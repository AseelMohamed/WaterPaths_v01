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hD_coding\WaterPaths_v01\WaterPaths\WaterPaths_WSS\output\"/>
    </mc:Choice>
  </mc:AlternateContent>
  <xr:revisionPtr revIDLastSave="0" documentId="13_ncr:1_{E78D82DF-CFBF-4D80-BF47-6B6A4195953C}" xr6:coauthVersionLast="47" xr6:coauthVersionMax="47" xr10:uidLastSave="{00000000-0000-0000-0000-000000000000}"/>
  <bookViews>
    <workbookView xWindow="720" yWindow="0" windowWidth="18570" windowHeight="11370" activeTab="5" xr2:uid="{00000000-000D-0000-FFFF-FFFF00000000}"/>
  </bookViews>
  <sheets>
    <sheet name="100Inflow" sheetId="1" r:id="rId1"/>
    <sheet name="70Inflow" sheetId="3" r:id="rId2"/>
    <sheet name="80Inflow" sheetId="2" r:id="rId3"/>
    <sheet name="50Inflow" sheetId="4" r:id="rId4"/>
    <sheet name="30Inflow" sheetId="6" r:id="rId5"/>
    <sheet name="25Inflow" sheetId="7" r:id="rId6"/>
    <sheet name="0|25Inflow" sheetId="8" r:id="rId7"/>
    <sheet name="20Inflow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5" l="1"/>
  <c r="L21" i="1"/>
  <c r="J9" i="1"/>
  <c r="L22" i="1"/>
  <c r="L10" i="1"/>
  <c r="M15" i="1"/>
  <c r="M3" i="1"/>
  <c r="J21" i="1"/>
  <c r="L9" i="1"/>
  <c r="L18" i="1" l="1"/>
  <c r="L6" i="1"/>
</calcChain>
</file>

<file path=xl/sharedStrings.xml><?xml version="1.0" encoding="utf-8"?>
<sst xmlns="http://schemas.openxmlformats.org/spreadsheetml/2006/main" count="93" uniqueCount="50">
  <si>
    <t>0reliability</t>
  </si>
  <si>
    <t>1reliability</t>
  </si>
  <si>
    <t>0afford</t>
  </si>
  <si>
    <t>1afford</t>
  </si>
  <si>
    <t>terminate called after throwing an instance of 'std::runtime_error'</t>
  </si>
  <si>
    <t xml:space="preserve">  what():  Sum of allocated volumes in a reservoir must </t>
  </si>
  <si>
    <t xml:space="preserve">total current storage minus unallocated </t>
  </si>
  <si>
    <t xml:space="preserve">volume.Please report this error to </t>
  </si>
  <si>
    <t>bct52@cornell.edu.</t>
  </si>
  <si>
    <t>week: 145</t>
  </si>
  <si>
    <t>sum_allocations: 460.489990</t>
  </si>
  <si>
    <t>policy_added_demand: 0.000000</t>
  </si>
  <si>
    <t>total_outflow: 0.423360</t>
  </si>
  <si>
    <t>continuity error: 0.000000</t>
  </si>
  <si>
    <t>Process finished with exit code 134</t>
  </si>
  <si>
    <t>Paranoa = 25%</t>
  </si>
  <si>
    <t>Torto = 0%</t>
  </si>
  <si>
    <t>Running solution 0</t>
  </si>
  <si>
    <t>week: 454</t>
  </si>
  <si>
    <t>available_volume_old: 458.569730</t>
  </si>
  <si>
    <t>available_volume 458.403032</t>
  </si>
  <si>
    <t>total_upstream_inflow: 2.224033</t>
  </si>
  <si>
    <t>upstream_catchment_inflow: 0.667414</t>
  </si>
  <si>
    <t>evaporation: 1.364705</t>
  </si>
  <si>
    <t>total_demand: 1.270080</t>
  </si>
  <si>
    <t>Descoberto</t>
  </si>
  <si>
    <t>Volume</t>
  </si>
  <si>
    <t>Paranoa</t>
  </si>
  <si>
    <t>Supply</t>
  </si>
  <si>
    <t>Population</t>
  </si>
  <si>
    <t>%Population_WSSs</t>
  </si>
  <si>
    <t>%Population_FDB</t>
  </si>
  <si>
    <t>Allocation</t>
  </si>
  <si>
    <t>Avg. demand</t>
  </si>
  <si>
    <t>m3/c/month</t>
  </si>
  <si>
    <t>Total demand</t>
  </si>
  <si>
    <t>m3/month</t>
  </si>
  <si>
    <t>Santa Maria</t>
  </si>
  <si>
    <t>m3</t>
  </si>
  <si>
    <t>Demand/supply</t>
  </si>
  <si>
    <t>sum_allocations</t>
  </si>
  <si>
    <t>available_volume_old</t>
  </si>
  <si>
    <t>total_upstream_inflow</t>
  </si>
  <si>
    <t>upstream_catchment_inflow</t>
  </si>
  <si>
    <t>evaporation</t>
  </si>
  <si>
    <t>total_demand</t>
  </si>
  <si>
    <t>policy_added_demand</t>
  </si>
  <si>
    <t>total_outflow</t>
  </si>
  <si>
    <t>continuity error</t>
  </si>
  <si>
    <t xml:space="preserve">available_volume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</si>
</sst>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scadia Code SemiLight"/>
      <family val="3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/>
    <xf numFmtId="0" fontId="18" fillId="33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8" fillId="33" borderId="0" xfId="0" applyFont="1" applyFill="1" applyAlignment="1">
      <alignment horizontal="left"/>
    </xf>
    <xf numFmtId="0" fontId="0" fillId="34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9" fontId="0" fillId="0" borderId="0" xfId="42" applyFont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35" borderId="0" xfId="0" applyNumberFormat="1" applyFill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9" fontId="20" fillId="35" borderId="0" xfId="42" applyFont="1" applyFill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opLeftCell="A5" workbookViewId="0">
      <selection activeCell="L16" sqref="L16"/>
    </sheetView>
  </sheetViews>
  <sheetFormatPr defaultRowHeight="14.5" x14ac:dyDescent="0.35"/>
  <cols>
    <col min="1" max="2" width="9.453125" style="1" bestFit="1" customWidth="1"/>
    <col min="3" max="4" width="9.81640625" style="1" bestFit="1" customWidth="1"/>
    <col min="5" max="10" width="8.7265625" style="1"/>
    <col min="11" max="11" width="17.453125" style="1" bestFit="1" customWidth="1"/>
    <col min="12" max="12" width="8.7265625" style="1"/>
    <col min="13" max="13" width="10.81640625" style="1" bestFit="1" customWidth="1"/>
    <col min="14" max="16384" width="8.7265625" style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14" x14ac:dyDescent="0.35">
      <c r="A2" s="1">
        <v>1</v>
      </c>
      <c r="B2" s="1">
        <v>1</v>
      </c>
      <c r="C2" s="1">
        <v>3.6668199999999998E-2</v>
      </c>
      <c r="D2" s="1">
        <v>2.3084899999999998E-2</v>
      </c>
      <c r="K2" s="7" t="s">
        <v>25</v>
      </c>
      <c r="M2" s="10" t="s">
        <v>32</v>
      </c>
    </row>
    <row r="3" spans="1:14" x14ac:dyDescent="0.35">
      <c r="A3" s="1">
        <v>1</v>
      </c>
      <c r="B3" s="1">
        <v>1</v>
      </c>
      <c r="C3" s="1">
        <v>3.7390399999999997E-2</v>
      </c>
      <c r="D3" s="1">
        <v>2.42594E-2</v>
      </c>
      <c r="K3" s="8" t="s">
        <v>26</v>
      </c>
      <c r="L3" s="1">
        <v>72.290000000000006</v>
      </c>
      <c r="M3" s="12">
        <f>L3*1*10^6</f>
        <v>72290000</v>
      </c>
      <c r="N3" s="1" t="s">
        <v>38</v>
      </c>
    </row>
    <row r="4" spans="1:14" x14ac:dyDescent="0.35">
      <c r="A4" s="1">
        <v>1</v>
      </c>
      <c r="B4" s="1">
        <v>1</v>
      </c>
      <c r="C4" s="1">
        <v>3.8458300000000001E-2</v>
      </c>
      <c r="D4" s="1">
        <v>2.5421599999999999E-2</v>
      </c>
      <c r="J4" s="9"/>
      <c r="K4" s="8" t="s">
        <v>28</v>
      </c>
      <c r="L4" s="13">
        <v>0.53</v>
      </c>
    </row>
    <row r="5" spans="1:14" x14ac:dyDescent="0.35">
      <c r="A5" s="1">
        <v>0.99799800000000005</v>
      </c>
      <c r="B5" s="1">
        <v>1</v>
      </c>
      <c r="C5" s="1">
        <v>4.0037900000000001E-2</v>
      </c>
      <c r="D5" s="1">
        <v>2.6042699999999998E-2</v>
      </c>
      <c r="J5" s="9"/>
      <c r="K5" s="8" t="s">
        <v>29</v>
      </c>
      <c r="L5" s="12">
        <v>1568110</v>
      </c>
    </row>
    <row r="6" spans="1:14" x14ac:dyDescent="0.35">
      <c r="A6" s="1">
        <v>0.99899899999999997</v>
      </c>
      <c r="B6" s="1">
        <v>1</v>
      </c>
      <c r="C6" s="1">
        <v>4.1301900000000002E-2</v>
      </c>
      <c r="D6" s="1">
        <v>2.6493300000000001E-2</v>
      </c>
      <c r="J6" s="9"/>
      <c r="K6" s="8" t="s">
        <v>30</v>
      </c>
      <c r="L6" s="9">
        <f>L5/(L5+L17)</f>
        <v>0.66891185742256654</v>
      </c>
    </row>
    <row r="7" spans="1:14" x14ac:dyDescent="0.35">
      <c r="A7" s="1">
        <v>0.99799800000000005</v>
      </c>
      <c r="B7" s="1">
        <v>1</v>
      </c>
      <c r="C7" s="1">
        <v>4.48647E-2</v>
      </c>
      <c r="D7" s="1">
        <v>2.8426099999999999E-2</v>
      </c>
      <c r="J7" s="9"/>
      <c r="K7" s="8" t="s">
        <v>31</v>
      </c>
      <c r="L7" s="9">
        <v>0.54413218018678255</v>
      </c>
    </row>
    <row r="8" spans="1:14" x14ac:dyDescent="0.35">
      <c r="A8" s="1">
        <v>0.99599599999999999</v>
      </c>
      <c r="B8" s="1">
        <v>1</v>
      </c>
      <c r="C8" s="1">
        <v>4.6198299999999998E-2</v>
      </c>
      <c r="D8" s="1">
        <v>2.92462E-2</v>
      </c>
      <c r="J8" s="9"/>
      <c r="K8" s="8" t="s">
        <v>33</v>
      </c>
      <c r="L8" s="1">
        <v>4</v>
      </c>
      <c r="M8" s="11" t="s">
        <v>34</v>
      </c>
    </row>
    <row r="9" spans="1:14" x14ac:dyDescent="0.35">
      <c r="A9" s="1">
        <v>0.99799800000000005</v>
      </c>
      <c r="B9" s="1">
        <v>1</v>
      </c>
      <c r="C9" s="1">
        <v>4.7021899999999998E-2</v>
      </c>
      <c r="D9" s="1">
        <v>2.9763399999999999E-2</v>
      </c>
      <c r="J9" s="15">
        <f>L9/(L9+L21)</f>
        <v>0.61777718245604363</v>
      </c>
      <c r="K9" s="8" t="s">
        <v>35</v>
      </c>
      <c r="L9" s="12">
        <f>L8*L5</f>
        <v>6272440</v>
      </c>
      <c r="M9" s="11" t="s">
        <v>36</v>
      </c>
    </row>
    <row r="10" spans="1:14" x14ac:dyDescent="0.35">
      <c r="A10" s="1">
        <v>0.99599599999999999</v>
      </c>
      <c r="B10" s="1">
        <v>1</v>
      </c>
      <c r="C10" s="1">
        <v>4.7731799999999998E-2</v>
      </c>
      <c r="D10" s="1">
        <v>3.0212699999999999E-2</v>
      </c>
      <c r="K10" s="8" t="s">
        <v>39</v>
      </c>
      <c r="L10" s="9">
        <f>L9/M3</f>
        <v>8.6767741043021165E-2</v>
      </c>
    </row>
    <row r="11" spans="1:14" x14ac:dyDescent="0.35">
      <c r="A11" s="1">
        <v>0.99099099999999996</v>
      </c>
      <c r="B11" s="1">
        <v>1</v>
      </c>
      <c r="C11" s="1">
        <v>4.8490699999999998E-2</v>
      </c>
      <c r="D11" s="1">
        <v>3.0693100000000001E-2</v>
      </c>
    </row>
    <row r="12" spans="1:14" x14ac:dyDescent="0.35">
      <c r="A12" s="1">
        <v>0.99299300000000001</v>
      </c>
      <c r="B12" s="1">
        <v>1</v>
      </c>
      <c r="C12" s="1">
        <v>4.9196799999999999E-2</v>
      </c>
      <c r="D12" s="1">
        <v>3.11401E-2</v>
      </c>
    </row>
    <row r="13" spans="1:14" x14ac:dyDescent="0.35">
      <c r="A13" s="1">
        <v>0.99099099999999996</v>
      </c>
      <c r="B13" s="1">
        <v>1</v>
      </c>
      <c r="C13" s="1">
        <v>4.9841900000000001E-2</v>
      </c>
      <c r="D13" s="1">
        <v>3.1548300000000001E-2</v>
      </c>
      <c r="J13" s="9"/>
    </row>
    <row r="14" spans="1:14" x14ac:dyDescent="0.35">
      <c r="A14" s="1">
        <v>0.98999000000000004</v>
      </c>
      <c r="B14" s="1">
        <v>1</v>
      </c>
      <c r="C14" s="1">
        <v>5.0487900000000002E-2</v>
      </c>
      <c r="D14" s="1">
        <v>3.1957300000000001E-2</v>
      </c>
      <c r="J14" s="9"/>
      <c r="K14" s="7" t="s">
        <v>27</v>
      </c>
    </row>
    <row r="15" spans="1:14" x14ac:dyDescent="0.35">
      <c r="A15" s="1">
        <v>0.98898900000000001</v>
      </c>
      <c r="B15" s="1">
        <v>1</v>
      </c>
      <c r="C15" s="1">
        <v>5.1112299999999999E-2</v>
      </c>
      <c r="D15" s="1">
        <v>3.2352499999999999E-2</v>
      </c>
      <c r="K15" s="8" t="s">
        <v>26</v>
      </c>
      <c r="L15" s="1">
        <v>460.49</v>
      </c>
      <c r="M15" s="12">
        <f>L15*0.08*10^6</f>
        <v>36839200</v>
      </c>
      <c r="N15" s="1" t="s">
        <v>38</v>
      </c>
    </row>
    <row r="16" spans="1:14" x14ac:dyDescent="0.35">
      <c r="A16" s="1">
        <v>0.98698699999999995</v>
      </c>
      <c r="B16" s="1">
        <v>1</v>
      </c>
      <c r="C16" s="1">
        <v>5.17139E-2</v>
      </c>
      <c r="D16" s="1">
        <v>3.27333E-2</v>
      </c>
      <c r="K16" s="8" t="s">
        <v>28</v>
      </c>
      <c r="L16" s="13">
        <v>0.02</v>
      </c>
    </row>
    <row r="17" spans="1:13" x14ac:dyDescent="0.35">
      <c r="A17" s="1">
        <v>0.97997999999999996</v>
      </c>
      <c r="B17" s="1">
        <v>1</v>
      </c>
      <c r="C17" s="1">
        <v>5.2325299999999998E-2</v>
      </c>
      <c r="D17" s="1">
        <v>3.3120299999999998E-2</v>
      </c>
      <c r="K17" s="8" t="s">
        <v>29</v>
      </c>
      <c r="L17" s="12">
        <v>776160</v>
      </c>
    </row>
    <row r="18" spans="1:13" x14ac:dyDescent="0.35">
      <c r="A18" s="1">
        <v>0.97797800000000001</v>
      </c>
      <c r="B18" s="1">
        <v>1</v>
      </c>
      <c r="C18" s="1">
        <v>5.2885300000000003E-2</v>
      </c>
      <c r="D18" s="1">
        <v>3.3474799999999999E-2</v>
      </c>
      <c r="K18" s="8" t="s">
        <v>30</v>
      </c>
      <c r="L18" s="9">
        <f>L17/(L17+L5)</f>
        <v>0.33108814257743346</v>
      </c>
    </row>
    <row r="19" spans="1:13" x14ac:dyDescent="0.35">
      <c r="A19" s="1">
        <v>0.97197199999999995</v>
      </c>
      <c r="B19" s="1">
        <v>1</v>
      </c>
      <c r="C19" s="1">
        <v>5.3436900000000002E-2</v>
      </c>
      <c r="D19" s="1">
        <v>3.3823899999999997E-2</v>
      </c>
      <c r="K19" s="8" t="s">
        <v>31</v>
      </c>
      <c r="L19" s="9">
        <v>0.2693264474883183</v>
      </c>
    </row>
    <row r="20" spans="1:13" x14ac:dyDescent="0.35">
      <c r="A20" s="1">
        <v>0.96596599999999999</v>
      </c>
      <c r="B20" s="1">
        <v>1</v>
      </c>
      <c r="C20" s="1">
        <v>5.3945600000000003E-2</v>
      </c>
      <c r="D20" s="1">
        <v>3.4130899999999999E-2</v>
      </c>
      <c r="K20" s="8" t="s">
        <v>33</v>
      </c>
      <c r="L20" s="1">
        <v>5</v>
      </c>
      <c r="M20" s="11" t="s">
        <v>34</v>
      </c>
    </row>
    <row r="21" spans="1:13" x14ac:dyDescent="0.35">
      <c r="A21" s="1">
        <v>0.96396400000000004</v>
      </c>
      <c r="B21" s="1">
        <v>1</v>
      </c>
      <c r="C21" s="1">
        <v>5.44199E-2</v>
      </c>
      <c r="D21" s="1">
        <v>3.4402200000000001E-2</v>
      </c>
      <c r="J21" s="15">
        <f>L21/(L21+L9)</f>
        <v>0.38222281754395643</v>
      </c>
      <c r="K21" s="8" t="s">
        <v>35</v>
      </c>
      <c r="L21" s="12">
        <f>L20*L17</f>
        <v>3880800</v>
      </c>
      <c r="M21" s="11" t="s">
        <v>36</v>
      </c>
    </row>
    <row r="22" spans="1:13" x14ac:dyDescent="0.35">
      <c r="A22" s="1">
        <v>0.96596599999999999</v>
      </c>
      <c r="B22" s="1">
        <v>1</v>
      </c>
      <c r="C22" s="1">
        <v>5.4881199999999998E-2</v>
      </c>
      <c r="D22" s="1">
        <v>3.4573699999999999E-2</v>
      </c>
      <c r="K22" s="8" t="s">
        <v>39</v>
      </c>
      <c r="L22" s="9">
        <f>L21/M15</f>
        <v>0.1053443071510782</v>
      </c>
    </row>
    <row r="23" spans="1:13" x14ac:dyDescent="0.35">
      <c r="A23" s="1">
        <v>0.97097100000000003</v>
      </c>
      <c r="B23" s="1">
        <v>1</v>
      </c>
      <c r="C23" s="1">
        <v>5.5338199999999997E-2</v>
      </c>
      <c r="D23" s="1">
        <v>3.4819500000000003E-2</v>
      </c>
    </row>
    <row r="24" spans="1:13" x14ac:dyDescent="0.35">
      <c r="A24" s="1">
        <v>0.96796800000000005</v>
      </c>
      <c r="B24" s="1">
        <v>1</v>
      </c>
      <c r="C24" s="1">
        <v>5.57666E-2</v>
      </c>
      <c r="D24" s="1">
        <v>3.4990800000000002E-2</v>
      </c>
    </row>
    <row r="25" spans="1:13" x14ac:dyDescent="0.35">
      <c r="A25" s="1">
        <v>0.97297299999999998</v>
      </c>
      <c r="B25" s="1">
        <v>1</v>
      </c>
      <c r="C25" s="1">
        <v>5.6127299999999998E-2</v>
      </c>
      <c r="D25" s="1">
        <v>3.5123000000000001E-2</v>
      </c>
      <c r="K25" s="7" t="s">
        <v>37</v>
      </c>
    </row>
    <row r="26" spans="1:13" x14ac:dyDescent="0.35">
      <c r="A26" s="1">
        <v>0.97197199999999995</v>
      </c>
      <c r="B26" s="1">
        <v>1</v>
      </c>
      <c r="C26" s="1">
        <v>5.6489900000000003E-2</v>
      </c>
      <c r="D26" s="1">
        <v>3.5227300000000003E-2</v>
      </c>
      <c r="K26" s="8" t="s">
        <v>26</v>
      </c>
      <c r="L26" s="1">
        <v>61.31</v>
      </c>
    </row>
    <row r="27" spans="1:13" x14ac:dyDescent="0.35">
      <c r="A27" s="1">
        <v>0.96896899999999997</v>
      </c>
      <c r="B27" s="1">
        <v>1</v>
      </c>
      <c r="C27" s="1">
        <v>5.6841599999999999E-2</v>
      </c>
      <c r="D27" s="1">
        <v>3.5284700000000002E-2</v>
      </c>
      <c r="K27" s="8" t="s">
        <v>28</v>
      </c>
      <c r="L27" s="14">
        <v>0.13</v>
      </c>
    </row>
    <row r="28" spans="1:13" x14ac:dyDescent="0.35">
      <c r="A28" s="1">
        <v>0.97997999999999996</v>
      </c>
      <c r="B28" s="1">
        <v>1</v>
      </c>
      <c r="C28" s="1">
        <v>5.7135499999999999E-2</v>
      </c>
      <c r="D28" s="1">
        <v>3.5300400000000003E-2</v>
      </c>
    </row>
    <row r="29" spans="1:13" x14ac:dyDescent="0.35">
      <c r="A29" s="1">
        <v>0.97297299999999998</v>
      </c>
      <c r="B29" s="1">
        <v>1</v>
      </c>
      <c r="C29" s="1">
        <v>5.74029E-2</v>
      </c>
      <c r="D29" s="1">
        <v>3.5378899999999998E-2</v>
      </c>
    </row>
    <row r="30" spans="1:13" x14ac:dyDescent="0.35">
      <c r="A30" s="1">
        <v>0.97097100000000003</v>
      </c>
      <c r="B30" s="1">
        <v>1</v>
      </c>
      <c r="C30" s="1">
        <v>5.7644899999999999E-2</v>
      </c>
      <c r="D30" s="1">
        <v>3.5451799999999999E-2</v>
      </c>
    </row>
    <row r="31" spans="1:13" x14ac:dyDescent="0.35">
      <c r="A31" s="1">
        <v>0.97797800000000001</v>
      </c>
      <c r="B31" s="1">
        <v>1</v>
      </c>
      <c r="C31" s="1">
        <v>5.7861099999999999E-2</v>
      </c>
      <c r="D31" s="1">
        <v>3.5492099999999999E-2</v>
      </c>
    </row>
    <row r="32" spans="1:13" x14ac:dyDescent="0.35">
      <c r="A32" s="1">
        <v>0.97997999999999996</v>
      </c>
      <c r="B32" s="1">
        <v>1</v>
      </c>
      <c r="C32" s="1">
        <v>5.8051400000000003E-2</v>
      </c>
      <c r="D32" s="1">
        <v>3.5502800000000001E-2</v>
      </c>
    </row>
    <row r="33" spans="1:4" x14ac:dyDescent="0.35">
      <c r="A33" s="1">
        <v>0.97597599999999995</v>
      </c>
      <c r="B33" s="1">
        <v>1</v>
      </c>
      <c r="C33" s="1">
        <v>5.8216299999999999E-2</v>
      </c>
      <c r="D33" s="1">
        <v>3.5508499999999998E-2</v>
      </c>
    </row>
    <row r="34" spans="1:4" x14ac:dyDescent="0.35">
      <c r="A34" s="1">
        <v>0.97297299999999998</v>
      </c>
      <c r="B34" s="1">
        <v>1</v>
      </c>
      <c r="C34" s="1">
        <v>5.8355499999999998E-2</v>
      </c>
      <c r="D34" s="1">
        <v>3.5548299999999998E-2</v>
      </c>
    </row>
    <row r="35" spans="1:4" x14ac:dyDescent="0.35">
      <c r="A35" s="1">
        <v>0.98098099999999999</v>
      </c>
      <c r="B35" s="1">
        <v>1</v>
      </c>
      <c r="C35" s="1">
        <v>5.8468899999999997E-2</v>
      </c>
      <c r="D35" s="1">
        <v>3.5550499999999999E-2</v>
      </c>
    </row>
    <row r="36" spans="1:4" x14ac:dyDescent="0.35">
      <c r="A36" s="1">
        <v>0.97497500000000004</v>
      </c>
      <c r="B36" s="1">
        <v>1</v>
      </c>
      <c r="C36" s="1">
        <v>5.8556200000000003E-2</v>
      </c>
      <c r="D36" s="1">
        <v>3.5559E-2</v>
      </c>
    </row>
    <row r="37" spans="1:4" x14ac:dyDescent="0.35">
      <c r="A37" s="1">
        <v>0.97097100000000003</v>
      </c>
      <c r="B37" s="1">
        <v>1</v>
      </c>
      <c r="C37" s="1">
        <v>5.8617599999999999E-2</v>
      </c>
      <c r="D37" s="1">
        <v>3.5562000000000003E-2</v>
      </c>
    </row>
    <row r="38" spans="1:4" x14ac:dyDescent="0.35">
      <c r="A38" s="1">
        <v>0.97697699999999998</v>
      </c>
      <c r="B38" s="1">
        <v>1</v>
      </c>
      <c r="C38" s="1">
        <v>5.8653400000000001E-2</v>
      </c>
      <c r="D38" s="1">
        <v>3.5562000000000003E-2</v>
      </c>
    </row>
    <row r="39" spans="1:4" x14ac:dyDescent="0.35">
      <c r="A39" s="1">
        <v>0.97797800000000001</v>
      </c>
      <c r="B39" s="1">
        <v>1</v>
      </c>
      <c r="C39" s="1">
        <v>5.8663699999999999E-2</v>
      </c>
      <c r="D39" s="1">
        <v>3.5562000000000003E-2</v>
      </c>
    </row>
    <row r="40" spans="1:4" x14ac:dyDescent="0.35">
      <c r="A40" s="1">
        <v>0.97897900000000004</v>
      </c>
      <c r="B40" s="1">
        <v>1</v>
      </c>
      <c r="C40" s="1">
        <v>5.86502E-2</v>
      </c>
      <c r="D40" s="1">
        <v>3.5562000000000003E-2</v>
      </c>
    </row>
    <row r="41" spans="1:4" x14ac:dyDescent="0.35">
      <c r="A41" s="1">
        <v>0.97097100000000003</v>
      </c>
      <c r="B41" s="1">
        <v>1</v>
      </c>
      <c r="C41" s="1">
        <v>5.8611799999999999E-2</v>
      </c>
      <c r="D41" s="1">
        <v>3.5562000000000003E-2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3C229-0D7A-41EC-9E22-055BDFBF4982}">
  <dimension ref="A1:D41"/>
  <sheetViews>
    <sheetView workbookViewId="0">
      <selection activeCell="D25" sqref="D25"/>
    </sheetView>
  </sheetViews>
  <sheetFormatPr defaultRowHeight="14.5" x14ac:dyDescent="0.35"/>
  <cols>
    <col min="1" max="2" width="9.453125" bestFit="1" customWidth="1"/>
    <col min="3" max="4" width="9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 s="1">
        <v>1</v>
      </c>
      <c r="C2" s="1">
        <v>3.6668199999999998E-2</v>
      </c>
      <c r="D2" s="1">
        <v>2.3084899999999998E-2</v>
      </c>
    </row>
    <row r="3" spans="1:4" x14ac:dyDescent="0.35">
      <c r="A3" s="1">
        <v>1</v>
      </c>
      <c r="B3" s="1">
        <v>1</v>
      </c>
      <c r="C3" s="1">
        <v>3.7390399999999997E-2</v>
      </c>
      <c r="D3" s="1">
        <v>2.42594E-2</v>
      </c>
    </row>
    <row r="4" spans="1:4" x14ac:dyDescent="0.35">
      <c r="A4" s="1">
        <v>1</v>
      </c>
      <c r="B4" s="1">
        <v>1</v>
      </c>
      <c r="C4" s="1">
        <v>3.8458300000000001E-2</v>
      </c>
      <c r="D4" s="1">
        <v>2.5421599999999999E-2</v>
      </c>
    </row>
    <row r="5" spans="1:4" x14ac:dyDescent="0.35">
      <c r="A5" s="1">
        <v>0.99799800000000005</v>
      </c>
      <c r="B5" s="1">
        <v>1</v>
      </c>
      <c r="C5" s="1">
        <v>4.0037900000000001E-2</v>
      </c>
      <c r="D5" s="1">
        <v>2.6042699999999998E-2</v>
      </c>
    </row>
    <row r="6" spans="1:4" x14ac:dyDescent="0.35">
      <c r="A6" s="1">
        <v>0.99899899999999997</v>
      </c>
      <c r="B6" s="1">
        <v>1</v>
      </c>
      <c r="C6" s="1">
        <v>4.1301900000000002E-2</v>
      </c>
      <c r="D6" s="1">
        <v>2.6493300000000001E-2</v>
      </c>
    </row>
    <row r="7" spans="1:4" x14ac:dyDescent="0.35">
      <c r="A7" s="1">
        <v>0.99799800000000005</v>
      </c>
      <c r="B7" s="1">
        <v>1</v>
      </c>
      <c r="C7" s="1">
        <v>4.48647E-2</v>
      </c>
      <c r="D7" s="1">
        <v>2.8426099999999999E-2</v>
      </c>
    </row>
    <row r="8" spans="1:4" x14ac:dyDescent="0.35">
      <c r="A8" s="1">
        <v>0.99599599999999999</v>
      </c>
      <c r="B8" s="1">
        <v>1</v>
      </c>
      <c r="C8" s="1">
        <v>4.6198299999999998E-2</v>
      </c>
      <c r="D8" s="1">
        <v>2.92462E-2</v>
      </c>
    </row>
    <row r="9" spans="1:4" x14ac:dyDescent="0.35">
      <c r="A9" s="1">
        <v>0.99799800000000005</v>
      </c>
      <c r="B9" s="1">
        <v>1</v>
      </c>
      <c r="C9" s="1">
        <v>4.7021899999999998E-2</v>
      </c>
      <c r="D9" s="1">
        <v>2.9763399999999999E-2</v>
      </c>
    </row>
    <row r="10" spans="1:4" x14ac:dyDescent="0.35">
      <c r="A10" s="1">
        <v>0.99599599999999999</v>
      </c>
      <c r="B10" s="1">
        <v>1</v>
      </c>
      <c r="C10" s="1">
        <v>4.7731799999999998E-2</v>
      </c>
      <c r="D10" s="1">
        <v>3.0212699999999999E-2</v>
      </c>
    </row>
    <row r="11" spans="1:4" x14ac:dyDescent="0.35">
      <c r="A11" s="1">
        <v>0.99099099999999996</v>
      </c>
      <c r="B11" s="1">
        <v>1</v>
      </c>
      <c r="C11" s="1">
        <v>4.8490699999999998E-2</v>
      </c>
      <c r="D11" s="1">
        <v>3.0693100000000001E-2</v>
      </c>
    </row>
    <row r="12" spans="1:4" x14ac:dyDescent="0.35">
      <c r="A12" s="1">
        <v>0.99299300000000001</v>
      </c>
      <c r="B12" s="1">
        <v>1</v>
      </c>
      <c r="C12" s="1">
        <v>4.9196799999999999E-2</v>
      </c>
      <c r="D12" s="1">
        <v>3.11401E-2</v>
      </c>
    </row>
    <row r="13" spans="1:4" x14ac:dyDescent="0.35">
      <c r="A13" s="1">
        <v>0.99099099999999996</v>
      </c>
      <c r="B13" s="1">
        <v>1</v>
      </c>
      <c r="C13" s="1">
        <v>4.9841900000000001E-2</v>
      </c>
      <c r="D13" s="1">
        <v>3.1548300000000001E-2</v>
      </c>
    </row>
    <row r="14" spans="1:4" x14ac:dyDescent="0.35">
      <c r="A14" s="1">
        <v>0.98999000000000004</v>
      </c>
      <c r="B14" s="1">
        <v>1</v>
      </c>
      <c r="C14" s="1">
        <v>5.0487900000000002E-2</v>
      </c>
      <c r="D14" s="1">
        <v>3.1957300000000001E-2</v>
      </c>
    </row>
    <row r="15" spans="1:4" x14ac:dyDescent="0.35">
      <c r="A15" s="1">
        <v>0.98898900000000001</v>
      </c>
      <c r="B15" s="1">
        <v>1</v>
      </c>
      <c r="C15" s="1">
        <v>5.1112299999999999E-2</v>
      </c>
      <c r="D15" s="1">
        <v>3.2352499999999999E-2</v>
      </c>
    </row>
    <row r="16" spans="1:4" x14ac:dyDescent="0.35">
      <c r="A16" s="1">
        <v>0.98698699999999995</v>
      </c>
      <c r="B16" s="1">
        <v>1</v>
      </c>
      <c r="C16" s="1">
        <v>5.17139E-2</v>
      </c>
      <c r="D16" s="1">
        <v>3.27333E-2</v>
      </c>
    </row>
    <row r="17" spans="1:4" x14ac:dyDescent="0.35">
      <c r="A17" s="1">
        <v>0.97997999999999996</v>
      </c>
      <c r="B17" s="1">
        <v>1</v>
      </c>
      <c r="C17" s="1">
        <v>5.2325299999999998E-2</v>
      </c>
      <c r="D17" s="1">
        <v>3.3120299999999998E-2</v>
      </c>
    </row>
    <row r="18" spans="1:4" x14ac:dyDescent="0.35">
      <c r="A18" s="1">
        <v>0.97797800000000001</v>
      </c>
      <c r="B18" s="1">
        <v>1</v>
      </c>
      <c r="C18" s="1">
        <v>5.2885300000000003E-2</v>
      </c>
      <c r="D18" s="1">
        <v>3.3474799999999999E-2</v>
      </c>
    </row>
    <row r="19" spans="1:4" x14ac:dyDescent="0.35">
      <c r="A19" s="1">
        <v>0.97197199999999995</v>
      </c>
      <c r="B19" s="1">
        <v>1</v>
      </c>
      <c r="C19" s="1">
        <v>5.3436900000000002E-2</v>
      </c>
      <c r="D19" s="1">
        <v>3.3823899999999997E-2</v>
      </c>
    </row>
    <row r="20" spans="1:4" x14ac:dyDescent="0.35">
      <c r="A20" s="1">
        <v>0.96596599999999999</v>
      </c>
      <c r="B20" s="1">
        <v>1</v>
      </c>
      <c r="C20" s="1">
        <v>5.3945600000000003E-2</v>
      </c>
      <c r="D20" s="1">
        <v>3.4130899999999999E-2</v>
      </c>
    </row>
    <row r="21" spans="1:4" x14ac:dyDescent="0.35">
      <c r="A21" s="1">
        <v>0.96096099999999995</v>
      </c>
      <c r="B21" s="1">
        <v>1</v>
      </c>
      <c r="C21" s="1">
        <v>5.44199E-2</v>
      </c>
      <c r="D21" s="1">
        <v>3.4402200000000001E-2</v>
      </c>
    </row>
    <row r="22" spans="1:4" x14ac:dyDescent="0.35">
      <c r="A22" s="1">
        <v>0.96396400000000004</v>
      </c>
      <c r="B22" s="1">
        <v>1</v>
      </c>
      <c r="C22" s="1">
        <v>5.4881199999999998E-2</v>
      </c>
      <c r="D22" s="1">
        <v>3.4573699999999999E-2</v>
      </c>
    </row>
    <row r="23" spans="1:4" x14ac:dyDescent="0.35">
      <c r="A23" s="1">
        <v>0.96396400000000004</v>
      </c>
      <c r="B23" s="1">
        <v>1</v>
      </c>
      <c r="C23" s="1">
        <v>5.5338199999999997E-2</v>
      </c>
      <c r="D23" s="1">
        <v>3.4819500000000003E-2</v>
      </c>
    </row>
    <row r="24" spans="1:4" x14ac:dyDescent="0.35">
      <c r="A24" s="1">
        <v>0.96696700000000002</v>
      </c>
      <c r="B24" s="1">
        <v>1</v>
      </c>
      <c r="C24" s="1">
        <v>5.57666E-2</v>
      </c>
      <c r="D24" s="1">
        <v>3.4990800000000002E-2</v>
      </c>
    </row>
    <row r="25" spans="1:4" x14ac:dyDescent="0.35">
      <c r="A25" s="1">
        <v>0.97097100000000003</v>
      </c>
      <c r="B25" s="1">
        <v>1</v>
      </c>
      <c r="C25" s="1">
        <v>5.6127299999999998E-2</v>
      </c>
      <c r="D25" s="1">
        <v>3.5123000000000001E-2</v>
      </c>
    </row>
    <row r="26" spans="1:4" x14ac:dyDescent="0.35">
      <c r="A26" s="1">
        <v>0.96596599999999999</v>
      </c>
      <c r="B26" s="1">
        <v>1</v>
      </c>
      <c r="C26" s="1">
        <v>5.6489900000000003E-2</v>
      </c>
      <c r="D26" s="1">
        <v>3.5227300000000003E-2</v>
      </c>
    </row>
    <row r="27" spans="1:4" x14ac:dyDescent="0.35">
      <c r="A27" s="1">
        <v>0.96396400000000004</v>
      </c>
      <c r="B27" s="1">
        <v>1</v>
      </c>
      <c r="C27" s="1">
        <v>5.6841599999999999E-2</v>
      </c>
      <c r="D27" s="1">
        <v>3.5284700000000002E-2</v>
      </c>
    </row>
    <row r="28" spans="1:4" x14ac:dyDescent="0.35">
      <c r="A28" s="1">
        <v>0.97897900000000004</v>
      </c>
      <c r="B28" s="1">
        <v>1</v>
      </c>
      <c r="C28" s="1">
        <v>5.7135499999999999E-2</v>
      </c>
      <c r="D28" s="1">
        <v>3.5300400000000003E-2</v>
      </c>
    </row>
    <row r="29" spans="1:4" x14ac:dyDescent="0.35">
      <c r="A29" s="1">
        <v>0.97197199999999995</v>
      </c>
      <c r="B29" s="1">
        <v>1</v>
      </c>
      <c r="C29" s="1">
        <v>5.74029E-2</v>
      </c>
      <c r="D29" s="1">
        <v>3.5378899999999998E-2</v>
      </c>
    </row>
    <row r="30" spans="1:4" x14ac:dyDescent="0.35">
      <c r="A30" s="1">
        <v>0.96896899999999997</v>
      </c>
      <c r="B30" s="1">
        <v>1</v>
      </c>
      <c r="C30" s="1">
        <v>5.7644899999999999E-2</v>
      </c>
      <c r="D30" s="1">
        <v>3.5451799999999999E-2</v>
      </c>
    </row>
    <row r="31" spans="1:4" x14ac:dyDescent="0.35">
      <c r="A31" s="1">
        <v>0.97697699999999998</v>
      </c>
      <c r="B31" s="1">
        <v>1</v>
      </c>
      <c r="C31" s="1">
        <v>5.7861099999999999E-2</v>
      </c>
      <c r="D31" s="1">
        <v>3.5492099999999999E-2</v>
      </c>
    </row>
    <row r="32" spans="1:4" x14ac:dyDescent="0.35">
      <c r="A32" s="1">
        <v>0.97797800000000001</v>
      </c>
      <c r="B32" s="1">
        <v>1</v>
      </c>
      <c r="C32" s="1">
        <v>5.8051400000000003E-2</v>
      </c>
      <c r="D32" s="1">
        <v>3.5502800000000001E-2</v>
      </c>
    </row>
    <row r="33" spans="1:4" x14ac:dyDescent="0.35">
      <c r="A33" s="1">
        <v>0.97497500000000004</v>
      </c>
      <c r="B33" s="1">
        <v>1</v>
      </c>
      <c r="C33" s="1">
        <v>5.8216299999999999E-2</v>
      </c>
      <c r="D33" s="1">
        <v>3.5508499999999998E-2</v>
      </c>
    </row>
    <row r="34" spans="1:4" x14ac:dyDescent="0.35">
      <c r="A34" s="1">
        <v>0.96997</v>
      </c>
      <c r="B34" s="1">
        <v>1</v>
      </c>
      <c r="C34" s="1">
        <v>5.8355499999999998E-2</v>
      </c>
      <c r="D34" s="1">
        <v>3.5548299999999998E-2</v>
      </c>
    </row>
    <row r="35" spans="1:4" x14ac:dyDescent="0.35">
      <c r="A35" s="1">
        <v>0.98098099999999999</v>
      </c>
      <c r="B35" s="1">
        <v>1</v>
      </c>
      <c r="C35" s="1">
        <v>5.8468899999999997E-2</v>
      </c>
      <c r="D35" s="1">
        <v>3.5550499999999999E-2</v>
      </c>
    </row>
    <row r="36" spans="1:4" x14ac:dyDescent="0.35">
      <c r="A36" s="1">
        <v>0.97497500000000004</v>
      </c>
      <c r="B36" s="1">
        <v>1</v>
      </c>
      <c r="C36" s="1">
        <v>5.8556200000000003E-2</v>
      </c>
      <c r="D36" s="1">
        <v>3.5559E-2</v>
      </c>
    </row>
    <row r="37" spans="1:4" x14ac:dyDescent="0.35">
      <c r="A37" s="1">
        <v>0.96997</v>
      </c>
      <c r="B37" s="1">
        <v>1</v>
      </c>
      <c r="C37" s="1">
        <v>5.8617599999999999E-2</v>
      </c>
      <c r="D37" s="1">
        <v>3.5562000000000003E-2</v>
      </c>
    </row>
    <row r="38" spans="1:4" x14ac:dyDescent="0.35">
      <c r="A38" s="1">
        <v>0.97497500000000004</v>
      </c>
      <c r="B38" s="1">
        <v>1</v>
      </c>
      <c r="C38" s="1">
        <v>5.8653400000000001E-2</v>
      </c>
      <c r="D38" s="1">
        <v>3.5562000000000003E-2</v>
      </c>
    </row>
    <row r="39" spans="1:4" x14ac:dyDescent="0.35">
      <c r="A39" s="1">
        <v>0.97797800000000001</v>
      </c>
      <c r="B39" s="1">
        <v>1</v>
      </c>
      <c r="C39" s="1">
        <v>5.8663699999999999E-2</v>
      </c>
      <c r="D39" s="1">
        <v>3.5562000000000003E-2</v>
      </c>
    </row>
    <row r="40" spans="1:4" x14ac:dyDescent="0.35">
      <c r="A40" s="1">
        <v>0.97897900000000004</v>
      </c>
      <c r="B40" s="1">
        <v>1</v>
      </c>
      <c r="C40" s="1">
        <v>5.86502E-2</v>
      </c>
      <c r="D40" s="1">
        <v>3.5562000000000003E-2</v>
      </c>
    </row>
    <row r="41" spans="1:4" x14ac:dyDescent="0.35">
      <c r="A41" s="1">
        <v>0.97097100000000003</v>
      </c>
      <c r="B41" s="1">
        <v>1</v>
      </c>
      <c r="C41" s="1">
        <v>5.8611799999999999E-2</v>
      </c>
      <c r="D41" s="1">
        <v>3.5562000000000003E-2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A180A-D40E-4A40-B2D0-FFEAFA98B7B1}">
  <dimension ref="A1:D41"/>
  <sheetViews>
    <sheetView workbookViewId="0">
      <selection activeCell="D25" sqref="D25"/>
    </sheetView>
  </sheetViews>
  <sheetFormatPr defaultRowHeight="14.5" x14ac:dyDescent="0.35"/>
  <cols>
    <col min="1" max="2" width="9.453125" style="1" bestFit="1" customWidth="1"/>
    <col min="3" max="4" width="9.81640625" style="1" bestFit="1" customWidth="1"/>
    <col min="5" max="16384" width="8.7265625" style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 s="1">
        <v>1</v>
      </c>
      <c r="C2" s="1">
        <v>3.6668199999999998E-2</v>
      </c>
      <c r="D2" s="1">
        <v>2.3084899999999998E-2</v>
      </c>
    </row>
    <row r="3" spans="1:4" x14ac:dyDescent="0.35">
      <c r="A3" s="1">
        <v>1</v>
      </c>
      <c r="B3" s="1">
        <v>1</v>
      </c>
      <c r="C3" s="1">
        <v>3.7390399999999997E-2</v>
      </c>
      <c r="D3" s="1">
        <v>2.42594E-2</v>
      </c>
    </row>
    <row r="4" spans="1:4" x14ac:dyDescent="0.35">
      <c r="A4" s="1">
        <v>1</v>
      </c>
      <c r="B4" s="1">
        <v>1</v>
      </c>
      <c r="C4" s="1">
        <v>3.8458300000000001E-2</v>
      </c>
      <c r="D4" s="1">
        <v>2.5421599999999999E-2</v>
      </c>
    </row>
    <row r="5" spans="1:4" x14ac:dyDescent="0.35">
      <c r="A5" s="1">
        <v>0.99799800000000005</v>
      </c>
      <c r="B5" s="1">
        <v>1</v>
      </c>
      <c r="C5" s="1">
        <v>4.0037900000000001E-2</v>
      </c>
      <c r="D5" s="1">
        <v>2.6042699999999998E-2</v>
      </c>
    </row>
    <row r="6" spans="1:4" x14ac:dyDescent="0.35">
      <c r="A6" s="1">
        <v>0.99899899999999997</v>
      </c>
      <c r="B6" s="1">
        <v>1</v>
      </c>
      <c r="C6" s="1">
        <v>4.1301900000000002E-2</v>
      </c>
      <c r="D6" s="1">
        <v>2.6493300000000001E-2</v>
      </c>
    </row>
    <row r="7" spans="1:4" x14ac:dyDescent="0.35">
      <c r="A7" s="1">
        <v>0.99799800000000005</v>
      </c>
      <c r="B7" s="1">
        <v>1</v>
      </c>
      <c r="C7" s="1">
        <v>4.48647E-2</v>
      </c>
      <c r="D7" s="1">
        <v>2.8426099999999999E-2</v>
      </c>
    </row>
    <row r="8" spans="1:4" x14ac:dyDescent="0.35">
      <c r="A8" s="1">
        <v>0.99599599999999999</v>
      </c>
      <c r="B8" s="1">
        <v>1</v>
      </c>
      <c r="C8" s="1">
        <v>4.6198299999999998E-2</v>
      </c>
      <c r="D8" s="1">
        <v>2.92462E-2</v>
      </c>
    </row>
    <row r="9" spans="1:4" x14ac:dyDescent="0.35">
      <c r="A9" s="1">
        <v>0.99799800000000005</v>
      </c>
      <c r="B9" s="1">
        <v>1</v>
      </c>
      <c r="C9" s="1">
        <v>4.7021899999999998E-2</v>
      </c>
      <c r="D9" s="1">
        <v>2.9763399999999999E-2</v>
      </c>
    </row>
    <row r="10" spans="1:4" x14ac:dyDescent="0.35">
      <c r="A10" s="1">
        <v>0.99599599999999999</v>
      </c>
      <c r="B10" s="1">
        <v>1</v>
      </c>
      <c r="C10" s="1">
        <v>4.7731799999999998E-2</v>
      </c>
      <c r="D10" s="1">
        <v>3.0212699999999999E-2</v>
      </c>
    </row>
    <row r="11" spans="1:4" x14ac:dyDescent="0.35">
      <c r="A11" s="1">
        <v>0.99099099999999996</v>
      </c>
      <c r="B11" s="1">
        <v>1</v>
      </c>
      <c r="C11" s="1">
        <v>4.8490699999999998E-2</v>
      </c>
      <c r="D11" s="1">
        <v>3.0693100000000001E-2</v>
      </c>
    </row>
    <row r="12" spans="1:4" x14ac:dyDescent="0.35">
      <c r="A12" s="1">
        <v>0.99299300000000001</v>
      </c>
      <c r="B12" s="1">
        <v>1</v>
      </c>
      <c r="C12" s="1">
        <v>4.9196799999999999E-2</v>
      </c>
      <c r="D12" s="1">
        <v>3.11401E-2</v>
      </c>
    </row>
    <row r="13" spans="1:4" x14ac:dyDescent="0.35">
      <c r="A13" s="1">
        <v>0.99099099999999996</v>
      </c>
      <c r="B13" s="1">
        <v>1</v>
      </c>
      <c r="C13" s="1">
        <v>4.9841900000000001E-2</v>
      </c>
      <c r="D13" s="1">
        <v>3.1548300000000001E-2</v>
      </c>
    </row>
    <row r="14" spans="1:4" x14ac:dyDescent="0.35">
      <c r="A14" s="1">
        <v>0.98999000000000004</v>
      </c>
      <c r="B14" s="1">
        <v>1</v>
      </c>
      <c r="C14" s="1">
        <v>5.0487900000000002E-2</v>
      </c>
      <c r="D14" s="1">
        <v>3.1957300000000001E-2</v>
      </c>
    </row>
    <row r="15" spans="1:4" x14ac:dyDescent="0.35">
      <c r="A15" s="1">
        <v>0.98898900000000001</v>
      </c>
      <c r="B15" s="1">
        <v>1</v>
      </c>
      <c r="C15" s="1">
        <v>5.1112299999999999E-2</v>
      </c>
      <c r="D15" s="1">
        <v>3.2352499999999999E-2</v>
      </c>
    </row>
    <row r="16" spans="1:4" x14ac:dyDescent="0.35">
      <c r="A16" s="1">
        <v>0.98698699999999995</v>
      </c>
      <c r="B16" s="1">
        <v>1</v>
      </c>
      <c r="C16" s="1">
        <v>5.17139E-2</v>
      </c>
      <c r="D16" s="1">
        <v>3.27333E-2</v>
      </c>
    </row>
    <row r="17" spans="1:4" x14ac:dyDescent="0.35">
      <c r="A17" s="1">
        <v>0.97997999999999996</v>
      </c>
      <c r="B17" s="1">
        <v>1</v>
      </c>
      <c r="C17" s="1">
        <v>5.2325299999999998E-2</v>
      </c>
      <c r="D17" s="1">
        <v>3.3120299999999998E-2</v>
      </c>
    </row>
    <row r="18" spans="1:4" x14ac:dyDescent="0.35">
      <c r="A18" s="1">
        <v>0.97797800000000001</v>
      </c>
      <c r="B18" s="1">
        <v>1</v>
      </c>
      <c r="C18" s="1">
        <v>5.2885300000000003E-2</v>
      </c>
      <c r="D18" s="1">
        <v>3.3474799999999999E-2</v>
      </c>
    </row>
    <row r="19" spans="1:4" x14ac:dyDescent="0.35">
      <c r="A19" s="1">
        <v>0.97197199999999995</v>
      </c>
      <c r="B19" s="1">
        <v>1</v>
      </c>
      <c r="C19" s="1">
        <v>5.3436900000000002E-2</v>
      </c>
      <c r="D19" s="1">
        <v>3.3823899999999997E-2</v>
      </c>
    </row>
    <row r="20" spans="1:4" x14ac:dyDescent="0.35">
      <c r="A20" s="1">
        <v>0.96596599999999999</v>
      </c>
      <c r="B20" s="1">
        <v>1</v>
      </c>
      <c r="C20" s="1">
        <v>5.3945600000000003E-2</v>
      </c>
      <c r="D20" s="1">
        <v>3.4130899999999999E-2</v>
      </c>
    </row>
    <row r="21" spans="1:4" x14ac:dyDescent="0.35">
      <c r="A21" s="1">
        <v>0.96096099999999995</v>
      </c>
      <c r="B21" s="1">
        <v>1</v>
      </c>
      <c r="C21" s="1">
        <v>5.44199E-2</v>
      </c>
      <c r="D21" s="1">
        <v>3.4402200000000001E-2</v>
      </c>
    </row>
    <row r="22" spans="1:4" x14ac:dyDescent="0.35">
      <c r="A22" s="1">
        <v>0.96396400000000004</v>
      </c>
      <c r="B22" s="1">
        <v>1</v>
      </c>
      <c r="C22" s="1">
        <v>5.4881199999999998E-2</v>
      </c>
      <c r="D22" s="1">
        <v>3.4573699999999999E-2</v>
      </c>
    </row>
    <row r="23" spans="1:4" x14ac:dyDescent="0.35">
      <c r="A23" s="1">
        <v>0.96396400000000004</v>
      </c>
      <c r="B23" s="1">
        <v>1</v>
      </c>
      <c r="C23" s="1">
        <v>5.5338199999999997E-2</v>
      </c>
      <c r="D23" s="1">
        <v>3.4819500000000003E-2</v>
      </c>
    </row>
    <row r="24" spans="1:4" x14ac:dyDescent="0.35">
      <c r="A24" s="1">
        <v>0.96696700000000002</v>
      </c>
      <c r="B24" s="1">
        <v>1</v>
      </c>
      <c r="C24" s="1">
        <v>5.57666E-2</v>
      </c>
      <c r="D24" s="1">
        <v>3.4990800000000002E-2</v>
      </c>
    </row>
    <row r="25" spans="1:4" x14ac:dyDescent="0.35">
      <c r="A25" s="1">
        <v>0.97097100000000003</v>
      </c>
      <c r="B25" s="1">
        <v>1</v>
      </c>
      <c r="C25" s="1">
        <v>5.6127299999999998E-2</v>
      </c>
      <c r="D25" s="1">
        <v>3.5123000000000001E-2</v>
      </c>
    </row>
    <row r="26" spans="1:4" x14ac:dyDescent="0.35">
      <c r="A26" s="1">
        <v>0.96596599999999999</v>
      </c>
      <c r="B26" s="1">
        <v>1</v>
      </c>
      <c r="C26" s="1">
        <v>5.6489900000000003E-2</v>
      </c>
      <c r="D26" s="1">
        <v>3.5227300000000003E-2</v>
      </c>
    </row>
    <row r="27" spans="1:4" x14ac:dyDescent="0.35">
      <c r="A27" s="1">
        <v>0.96396400000000004</v>
      </c>
      <c r="B27" s="1">
        <v>1</v>
      </c>
      <c r="C27" s="1">
        <v>5.6841599999999999E-2</v>
      </c>
      <c r="D27" s="1">
        <v>3.5284700000000002E-2</v>
      </c>
    </row>
    <row r="28" spans="1:4" x14ac:dyDescent="0.35">
      <c r="A28" s="1">
        <v>0.97897900000000004</v>
      </c>
      <c r="B28" s="1">
        <v>1</v>
      </c>
      <c r="C28" s="1">
        <v>5.7135499999999999E-2</v>
      </c>
      <c r="D28" s="1">
        <v>3.5300400000000003E-2</v>
      </c>
    </row>
    <row r="29" spans="1:4" x14ac:dyDescent="0.35">
      <c r="A29" s="1">
        <v>0.97197199999999995</v>
      </c>
      <c r="B29" s="1">
        <v>1</v>
      </c>
      <c r="C29" s="1">
        <v>5.74029E-2</v>
      </c>
      <c r="D29" s="1">
        <v>3.5378899999999998E-2</v>
      </c>
    </row>
    <row r="30" spans="1:4" x14ac:dyDescent="0.35">
      <c r="A30" s="1">
        <v>0.96896899999999997</v>
      </c>
      <c r="B30" s="1">
        <v>1</v>
      </c>
      <c r="C30" s="1">
        <v>5.7644899999999999E-2</v>
      </c>
      <c r="D30" s="1">
        <v>3.5451799999999999E-2</v>
      </c>
    </row>
    <row r="31" spans="1:4" x14ac:dyDescent="0.35">
      <c r="A31" s="1">
        <v>0.97697699999999998</v>
      </c>
      <c r="B31" s="1">
        <v>1</v>
      </c>
      <c r="C31" s="1">
        <v>5.7861099999999999E-2</v>
      </c>
      <c r="D31" s="1">
        <v>3.5492099999999999E-2</v>
      </c>
    </row>
    <row r="32" spans="1:4" x14ac:dyDescent="0.35">
      <c r="A32" s="1">
        <v>0.97797800000000001</v>
      </c>
      <c r="B32" s="1">
        <v>1</v>
      </c>
      <c r="C32" s="1">
        <v>5.8051400000000003E-2</v>
      </c>
      <c r="D32" s="1">
        <v>3.5502800000000001E-2</v>
      </c>
    </row>
    <row r="33" spans="1:4" x14ac:dyDescent="0.35">
      <c r="A33" s="1">
        <v>0.97497500000000004</v>
      </c>
      <c r="B33" s="1">
        <v>1</v>
      </c>
      <c r="C33" s="1">
        <v>5.8216299999999999E-2</v>
      </c>
      <c r="D33" s="1">
        <v>3.5508499999999998E-2</v>
      </c>
    </row>
    <row r="34" spans="1:4" x14ac:dyDescent="0.35">
      <c r="A34" s="1">
        <v>0.96997</v>
      </c>
      <c r="B34" s="1">
        <v>1</v>
      </c>
      <c r="C34" s="1">
        <v>5.8355499999999998E-2</v>
      </c>
      <c r="D34" s="1">
        <v>3.5548299999999998E-2</v>
      </c>
    </row>
    <row r="35" spans="1:4" x14ac:dyDescent="0.35">
      <c r="A35" s="1">
        <v>0.98098099999999999</v>
      </c>
      <c r="B35" s="1">
        <v>1</v>
      </c>
      <c r="C35" s="1">
        <v>5.8468899999999997E-2</v>
      </c>
      <c r="D35" s="1">
        <v>3.5550499999999999E-2</v>
      </c>
    </row>
    <row r="36" spans="1:4" x14ac:dyDescent="0.35">
      <c r="A36" s="1">
        <v>0.97497500000000004</v>
      </c>
      <c r="B36" s="1">
        <v>1</v>
      </c>
      <c r="C36" s="1">
        <v>5.8556200000000003E-2</v>
      </c>
      <c r="D36" s="1">
        <v>3.5559E-2</v>
      </c>
    </row>
    <row r="37" spans="1:4" x14ac:dyDescent="0.35">
      <c r="A37" s="1">
        <v>0.96997</v>
      </c>
      <c r="B37" s="1">
        <v>1</v>
      </c>
      <c r="C37" s="1">
        <v>5.8617599999999999E-2</v>
      </c>
      <c r="D37" s="1">
        <v>3.5562000000000003E-2</v>
      </c>
    </row>
    <row r="38" spans="1:4" x14ac:dyDescent="0.35">
      <c r="A38" s="1">
        <v>0.97497500000000004</v>
      </c>
      <c r="B38" s="1">
        <v>1</v>
      </c>
      <c r="C38" s="1">
        <v>5.8653400000000001E-2</v>
      </c>
      <c r="D38" s="1">
        <v>3.5562000000000003E-2</v>
      </c>
    </row>
    <row r="39" spans="1:4" x14ac:dyDescent="0.35">
      <c r="A39" s="1">
        <v>0.97797800000000001</v>
      </c>
      <c r="B39" s="1">
        <v>1</v>
      </c>
      <c r="C39" s="1">
        <v>5.8663699999999999E-2</v>
      </c>
      <c r="D39" s="1">
        <v>3.5562000000000003E-2</v>
      </c>
    </row>
    <row r="40" spans="1:4" x14ac:dyDescent="0.35">
      <c r="A40" s="1">
        <v>0.97897900000000004</v>
      </c>
      <c r="B40" s="1">
        <v>1</v>
      </c>
      <c r="C40" s="1">
        <v>5.86502E-2</v>
      </c>
      <c r="D40" s="1">
        <v>3.5562000000000003E-2</v>
      </c>
    </row>
    <row r="41" spans="1:4" x14ac:dyDescent="0.35">
      <c r="A41" s="1">
        <v>0.97097100000000003</v>
      </c>
      <c r="B41" s="1">
        <v>1</v>
      </c>
      <c r="C41" s="1">
        <v>5.8611799999999999E-2</v>
      </c>
      <c r="D41" s="1">
        <v>3.5562000000000003E-2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E12B1-5F72-4E65-AA2F-AB4F50EAEDEE}">
  <dimension ref="A1:D41"/>
  <sheetViews>
    <sheetView workbookViewId="0">
      <selection activeCell="B2" sqref="B2"/>
    </sheetView>
  </sheetViews>
  <sheetFormatPr defaultRowHeight="14.5" x14ac:dyDescent="0.35"/>
  <cols>
    <col min="1" max="2" width="9.453125" style="1" bestFit="1" customWidth="1"/>
    <col min="3" max="4" width="9.81640625" style="1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 s="1">
        <v>1</v>
      </c>
      <c r="C2" s="1">
        <v>3.6668199999999998E-2</v>
      </c>
      <c r="D2" s="1">
        <v>2.3084899999999998E-2</v>
      </c>
    </row>
    <row r="3" spans="1:4" x14ac:dyDescent="0.35">
      <c r="A3" s="1">
        <v>1</v>
      </c>
      <c r="B3" s="1">
        <v>1</v>
      </c>
      <c r="C3" s="1">
        <v>3.7390399999999997E-2</v>
      </c>
      <c r="D3" s="1">
        <v>2.42594E-2</v>
      </c>
    </row>
    <row r="4" spans="1:4" x14ac:dyDescent="0.35">
      <c r="A4" s="1">
        <v>1</v>
      </c>
      <c r="B4" s="1">
        <v>1</v>
      </c>
      <c r="C4" s="1">
        <v>3.8458300000000001E-2</v>
      </c>
      <c r="D4" s="1">
        <v>2.5421599999999999E-2</v>
      </c>
    </row>
    <row r="5" spans="1:4" x14ac:dyDescent="0.35">
      <c r="A5" s="1">
        <v>0.99799800000000005</v>
      </c>
      <c r="B5" s="1">
        <v>1</v>
      </c>
      <c r="C5" s="1">
        <v>4.0037900000000001E-2</v>
      </c>
      <c r="D5" s="1">
        <v>2.6042699999999998E-2</v>
      </c>
    </row>
    <row r="6" spans="1:4" x14ac:dyDescent="0.35">
      <c r="A6" s="1">
        <v>0.99899899999999997</v>
      </c>
      <c r="B6" s="1">
        <v>1</v>
      </c>
      <c r="C6" s="1">
        <v>4.1301900000000002E-2</v>
      </c>
      <c r="D6" s="1">
        <v>2.6493300000000001E-2</v>
      </c>
    </row>
    <row r="7" spans="1:4" x14ac:dyDescent="0.35">
      <c r="A7" s="1">
        <v>0.99799800000000005</v>
      </c>
      <c r="B7" s="1">
        <v>1</v>
      </c>
      <c r="C7" s="1">
        <v>4.48647E-2</v>
      </c>
      <c r="D7" s="1">
        <v>2.8426099999999999E-2</v>
      </c>
    </row>
    <row r="8" spans="1:4" x14ac:dyDescent="0.35">
      <c r="A8" s="1">
        <v>0.99599599999999999</v>
      </c>
      <c r="B8" s="1">
        <v>1</v>
      </c>
      <c r="C8" s="1">
        <v>4.6198299999999998E-2</v>
      </c>
      <c r="D8" s="1">
        <v>2.92462E-2</v>
      </c>
    </row>
    <row r="9" spans="1:4" x14ac:dyDescent="0.35">
      <c r="A9" s="1">
        <v>0.99799800000000005</v>
      </c>
      <c r="B9" s="1">
        <v>1</v>
      </c>
      <c r="C9" s="1">
        <v>4.7021899999999998E-2</v>
      </c>
      <c r="D9" s="1">
        <v>2.9763399999999999E-2</v>
      </c>
    </row>
    <row r="10" spans="1:4" x14ac:dyDescent="0.35">
      <c r="A10" s="1">
        <v>0.99599599999999999</v>
      </c>
      <c r="B10" s="1">
        <v>1</v>
      </c>
      <c r="C10" s="1">
        <v>4.7731799999999998E-2</v>
      </c>
      <c r="D10" s="1">
        <v>3.0212699999999999E-2</v>
      </c>
    </row>
    <row r="11" spans="1:4" x14ac:dyDescent="0.35">
      <c r="A11" s="1">
        <v>0.99099099999999996</v>
      </c>
      <c r="B11" s="1">
        <v>1</v>
      </c>
      <c r="C11" s="1">
        <v>4.8490699999999998E-2</v>
      </c>
      <c r="D11" s="1">
        <v>3.0693100000000001E-2</v>
      </c>
    </row>
    <row r="12" spans="1:4" x14ac:dyDescent="0.35">
      <c r="A12" s="1">
        <v>0.99299300000000001</v>
      </c>
      <c r="B12" s="1">
        <v>1</v>
      </c>
      <c r="C12" s="1">
        <v>4.9196799999999999E-2</v>
      </c>
      <c r="D12" s="1">
        <v>3.11401E-2</v>
      </c>
    </row>
    <row r="13" spans="1:4" x14ac:dyDescent="0.35">
      <c r="A13" s="1">
        <v>0.99099099999999996</v>
      </c>
      <c r="B13" s="1">
        <v>1</v>
      </c>
      <c r="C13" s="1">
        <v>4.9841900000000001E-2</v>
      </c>
      <c r="D13" s="1">
        <v>3.1548300000000001E-2</v>
      </c>
    </row>
    <row r="14" spans="1:4" x14ac:dyDescent="0.35">
      <c r="A14" s="1">
        <v>0.98999000000000004</v>
      </c>
      <c r="B14" s="1">
        <v>1</v>
      </c>
      <c r="C14" s="1">
        <v>5.0487900000000002E-2</v>
      </c>
      <c r="D14" s="1">
        <v>3.1957300000000001E-2</v>
      </c>
    </row>
    <row r="15" spans="1:4" x14ac:dyDescent="0.35">
      <c r="A15" s="1">
        <v>0.98898900000000001</v>
      </c>
      <c r="B15" s="1">
        <v>1</v>
      </c>
      <c r="C15" s="1">
        <v>5.1112299999999999E-2</v>
      </c>
      <c r="D15" s="1">
        <v>3.2352499999999999E-2</v>
      </c>
    </row>
    <row r="16" spans="1:4" x14ac:dyDescent="0.35">
      <c r="A16" s="1">
        <v>0.98598600000000003</v>
      </c>
      <c r="B16" s="1">
        <v>1</v>
      </c>
      <c r="C16" s="1">
        <v>5.17139E-2</v>
      </c>
      <c r="D16" s="1">
        <v>3.27333E-2</v>
      </c>
    </row>
    <row r="17" spans="1:4" x14ac:dyDescent="0.35">
      <c r="A17" s="1">
        <v>0.97997999999999996</v>
      </c>
      <c r="B17" s="1">
        <v>1</v>
      </c>
      <c r="C17" s="1">
        <v>5.2325299999999998E-2</v>
      </c>
      <c r="D17" s="1">
        <v>3.3120299999999998E-2</v>
      </c>
    </row>
    <row r="18" spans="1:4" x14ac:dyDescent="0.35">
      <c r="A18" s="1">
        <v>0.97797800000000001</v>
      </c>
      <c r="B18" s="1">
        <v>1</v>
      </c>
      <c r="C18" s="1">
        <v>5.2885300000000003E-2</v>
      </c>
      <c r="D18" s="1">
        <v>3.3474799999999999E-2</v>
      </c>
    </row>
    <row r="19" spans="1:4" x14ac:dyDescent="0.35">
      <c r="A19" s="1">
        <v>0.97197199999999995</v>
      </c>
      <c r="B19" s="1">
        <v>1</v>
      </c>
      <c r="C19" s="1">
        <v>5.3436900000000002E-2</v>
      </c>
      <c r="D19" s="1">
        <v>3.3823899999999997E-2</v>
      </c>
    </row>
    <row r="20" spans="1:4" x14ac:dyDescent="0.35">
      <c r="A20" s="1">
        <v>0.96596599999999999</v>
      </c>
      <c r="B20" s="1">
        <v>1</v>
      </c>
      <c r="C20" s="1">
        <v>5.3945600000000003E-2</v>
      </c>
      <c r="D20" s="1">
        <v>3.4130899999999999E-2</v>
      </c>
    </row>
    <row r="21" spans="1:4" x14ac:dyDescent="0.35">
      <c r="A21" s="1">
        <v>0.96096099999999995</v>
      </c>
      <c r="B21" s="1">
        <v>1</v>
      </c>
      <c r="C21" s="1">
        <v>5.44199E-2</v>
      </c>
      <c r="D21" s="1">
        <v>3.4402200000000001E-2</v>
      </c>
    </row>
    <row r="22" spans="1:4" x14ac:dyDescent="0.35">
      <c r="A22" s="1">
        <v>0.96396400000000004</v>
      </c>
      <c r="B22" s="1">
        <v>1</v>
      </c>
      <c r="C22" s="1">
        <v>5.4881199999999998E-2</v>
      </c>
      <c r="D22" s="1">
        <v>3.4573699999999999E-2</v>
      </c>
    </row>
    <row r="23" spans="1:4" x14ac:dyDescent="0.35">
      <c r="A23" s="1">
        <v>0.96396400000000004</v>
      </c>
      <c r="B23" s="1">
        <v>1</v>
      </c>
      <c r="C23" s="1">
        <v>5.5338199999999997E-2</v>
      </c>
      <c r="D23" s="1">
        <v>3.4819500000000003E-2</v>
      </c>
    </row>
    <row r="24" spans="1:4" x14ac:dyDescent="0.35">
      <c r="A24" s="1">
        <v>0.96696700000000002</v>
      </c>
      <c r="B24" s="1">
        <v>1</v>
      </c>
      <c r="C24" s="1">
        <v>5.57666E-2</v>
      </c>
      <c r="D24" s="1">
        <v>3.4990800000000002E-2</v>
      </c>
    </row>
    <row r="25" spans="1:4" x14ac:dyDescent="0.35">
      <c r="A25" s="1">
        <v>0.97097100000000003</v>
      </c>
      <c r="B25" s="1">
        <v>1</v>
      </c>
      <c r="C25" s="1">
        <v>5.6127299999999998E-2</v>
      </c>
      <c r="D25" s="1">
        <v>3.5123000000000001E-2</v>
      </c>
    </row>
    <row r="26" spans="1:4" x14ac:dyDescent="0.35">
      <c r="A26" s="1">
        <v>0.96596599999999999</v>
      </c>
      <c r="B26" s="1">
        <v>1</v>
      </c>
      <c r="C26" s="1">
        <v>5.6489900000000003E-2</v>
      </c>
      <c r="D26" s="1">
        <v>3.5227300000000003E-2</v>
      </c>
    </row>
    <row r="27" spans="1:4" x14ac:dyDescent="0.35">
      <c r="A27" s="1">
        <v>0.96396400000000004</v>
      </c>
      <c r="B27" s="1">
        <v>1</v>
      </c>
      <c r="C27" s="1">
        <v>5.6841599999999999E-2</v>
      </c>
      <c r="D27" s="1">
        <v>3.5284700000000002E-2</v>
      </c>
    </row>
    <row r="28" spans="1:4" x14ac:dyDescent="0.35">
      <c r="A28" s="1">
        <v>0.97897900000000004</v>
      </c>
      <c r="B28" s="1">
        <v>1</v>
      </c>
      <c r="C28" s="1">
        <v>5.7135499999999999E-2</v>
      </c>
      <c r="D28" s="1">
        <v>3.5300400000000003E-2</v>
      </c>
    </row>
    <row r="29" spans="1:4" x14ac:dyDescent="0.35">
      <c r="A29" s="1">
        <v>0.97197199999999995</v>
      </c>
      <c r="B29" s="1">
        <v>1</v>
      </c>
      <c r="C29" s="1">
        <v>5.74029E-2</v>
      </c>
      <c r="D29" s="1">
        <v>3.5378899999999998E-2</v>
      </c>
    </row>
    <row r="30" spans="1:4" x14ac:dyDescent="0.35">
      <c r="A30" s="1">
        <v>0.96896899999999997</v>
      </c>
      <c r="B30" s="1">
        <v>1</v>
      </c>
      <c r="C30" s="1">
        <v>5.7644899999999999E-2</v>
      </c>
      <c r="D30" s="1">
        <v>3.5451799999999999E-2</v>
      </c>
    </row>
    <row r="31" spans="1:4" x14ac:dyDescent="0.35">
      <c r="A31" s="1">
        <v>0.97697699999999998</v>
      </c>
      <c r="B31" s="1">
        <v>1</v>
      </c>
      <c r="C31" s="1">
        <v>5.7861099999999999E-2</v>
      </c>
      <c r="D31" s="1">
        <v>3.5492099999999999E-2</v>
      </c>
    </row>
    <row r="32" spans="1:4" x14ac:dyDescent="0.35">
      <c r="A32" s="1">
        <v>0.97797800000000001</v>
      </c>
      <c r="B32" s="1">
        <v>1</v>
      </c>
      <c r="C32" s="1">
        <v>5.8051400000000003E-2</v>
      </c>
      <c r="D32" s="1">
        <v>3.5502800000000001E-2</v>
      </c>
    </row>
    <row r="33" spans="1:4" x14ac:dyDescent="0.35">
      <c r="A33" s="1">
        <v>0.97497500000000004</v>
      </c>
      <c r="B33" s="1">
        <v>1</v>
      </c>
      <c r="C33" s="1">
        <v>5.8216299999999999E-2</v>
      </c>
      <c r="D33" s="1">
        <v>3.5508499999999998E-2</v>
      </c>
    </row>
    <row r="34" spans="1:4" x14ac:dyDescent="0.35">
      <c r="A34" s="1">
        <v>0.96997</v>
      </c>
      <c r="B34" s="1">
        <v>1</v>
      </c>
      <c r="C34" s="1">
        <v>5.8355499999999998E-2</v>
      </c>
      <c r="D34" s="1">
        <v>3.5548299999999998E-2</v>
      </c>
    </row>
    <row r="35" spans="1:4" x14ac:dyDescent="0.35">
      <c r="A35" s="1">
        <v>0.98098099999999999</v>
      </c>
      <c r="B35" s="1">
        <v>1</v>
      </c>
      <c r="C35" s="1">
        <v>5.8468899999999997E-2</v>
      </c>
      <c r="D35" s="1">
        <v>3.5550499999999999E-2</v>
      </c>
    </row>
    <row r="36" spans="1:4" x14ac:dyDescent="0.35">
      <c r="A36" s="1">
        <v>0.97497500000000004</v>
      </c>
      <c r="B36" s="1">
        <v>1</v>
      </c>
      <c r="C36" s="1">
        <v>5.8556200000000003E-2</v>
      </c>
      <c r="D36" s="1">
        <v>3.5559E-2</v>
      </c>
    </row>
    <row r="37" spans="1:4" x14ac:dyDescent="0.35">
      <c r="A37" s="1">
        <v>0.96997</v>
      </c>
      <c r="B37" s="1">
        <v>1</v>
      </c>
      <c r="C37" s="1">
        <v>5.8617599999999999E-2</v>
      </c>
      <c r="D37" s="1">
        <v>3.5562000000000003E-2</v>
      </c>
    </row>
    <row r="38" spans="1:4" x14ac:dyDescent="0.35">
      <c r="A38" s="1">
        <v>0.97497500000000004</v>
      </c>
      <c r="B38" s="1">
        <v>1</v>
      </c>
      <c r="C38" s="1">
        <v>5.8653400000000001E-2</v>
      </c>
      <c r="D38" s="1">
        <v>3.5562000000000003E-2</v>
      </c>
    </row>
    <row r="39" spans="1:4" x14ac:dyDescent="0.35">
      <c r="A39" s="1">
        <v>0.97797800000000001</v>
      </c>
      <c r="B39" s="1">
        <v>1</v>
      </c>
      <c r="C39" s="1">
        <v>5.8663699999999999E-2</v>
      </c>
      <c r="D39" s="1">
        <v>3.5562000000000003E-2</v>
      </c>
    </row>
    <row r="40" spans="1:4" x14ac:dyDescent="0.35">
      <c r="A40" s="1">
        <v>0.97897900000000004</v>
      </c>
      <c r="B40" s="1">
        <v>1</v>
      </c>
      <c r="C40" s="1">
        <v>5.86502E-2</v>
      </c>
      <c r="D40" s="1">
        <v>3.5562000000000003E-2</v>
      </c>
    </row>
    <row r="41" spans="1:4" x14ac:dyDescent="0.35">
      <c r="A41" s="1">
        <v>0.97097100000000003</v>
      </c>
      <c r="B41" s="1">
        <v>1</v>
      </c>
      <c r="C41" s="1">
        <v>5.8611799999999999E-2</v>
      </c>
      <c r="D41" s="1">
        <v>3.5562000000000003E-2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33DA3-8007-49FC-8546-F08B3BF34B52}">
  <dimension ref="A1:D41"/>
  <sheetViews>
    <sheetView workbookViewId="0">
      <selection activeCell="D25" sqref="D25"/>
    </sheetView>
  </sheetViews>
  <sheetFormatPr defaultRowHeight="14.5" x14ac:dyDescent="0.35"/>
  <cols>
    <col min="1" max="2" width="9.453125" bestFit="1" customWidth="1"/>
    <col min="3" max="4" width="9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 s="1">
        <v>1</v>
      </c>
      <c r="C2" s="1">
        <v>3.6668199999999998E-2</v>
      </c>
      <c r="D2" s="1">
        <v>2.3084899999999998E-2</v>
      </c>
    </row>
    <row r="3" spans="1:4" x14ac:dyDescent="0.35">
      <c r="A3" s="1">
        <v>1</v>
      </c>
      <c r="B3" s="1">
        <v>1</v>
      </c>
      <c r="C3" s="1">
        <v>3.7390399999999997E-2</v>
      </c>
      <c r="D3" s="1">
        <v>2.42594E-2</v>
      </c>
    </row>
    <row r="4" spans="1:4" x14ac:dyDescent="0.35">
      <c r="A4" s="1">
        <v>1</v>
      </c>
      <c r="B4" s="1">
        <v>1</v>
      </c>
      <c r="C4" s="1">
        <v>3.8458300000000001E-2</v>
      </c>
      <c r="D4" s="1">
        <v>2.5421599999999999E-2</v>
      </c>
    </row>
    <row r="5" spans="1:4" x14ac:dyDescent="0.35">
      <c r="A5" s="1">
        <v>0.99799800000000005</v>
      </c>
      <c r="B5" s="1">
        <v>1</v>
      </c>
      <c r="C5" s="1">
        <v>4.0037900000000001E-2</v>
      </c>
      <c r="D5" s="1">
        <v>2.6042699999999998E-2</v>
      </c>
    </row>
    <row r="6" spans="1:4" x14ac:dyDescent="0.35">
      <c r="A6" s="1">
        <v>0.99899899999999997</v>
      </c>
      <c r="B6" s="1">
        <v>1</v>
      </c>
      <c r="C6" s="1">
        <v>4.1301900000000002E-2</v>
      </c>
      <c r="D6" s="1">
        <v>2.6493300000000001E-2</v>
      </c>
    </row>
    <row r="7" spans="1:4" x14ac:dyDescent="0.35">
      <c r="A7" s="1">
        <v>0.99799800000000005</v>
      </c>
      <c r="B7" s="1">
        <v>1</v>
      </c>
      <c r="C7" s="1">
        <v>4.48647E-2</v>
      </c>
      <c r="D7" s="1">
        <v>2.8426099999999999E-2</v>
      </c>
    </row>
    <row r="8" spans="1:4" x14ac:dyDescent="0.35">
      <c r="A8" s="1">
        <v>0.99599599999999999</v>
      </c>
      <c r="B8" s="1">
        <v>1</v>
      </c>
      <c r="C8" s="1">
        <v>4.6198299999999998E-2</v>
      </c>
      <c r="D8" s="1">
        <v>2.92462E-2</v>
      </c>
    </row>
    <row r="9" spans="1:4" x14ac:dyDescent="0.35">
      <c r="A9" s="1">
        <v>0.99799800000000005</v>
      </c>
      <c r="B9" s="1">
        <v>1</v>
      </c>
      <c r="C9" s="1">
        <v>4.7021899999999998E-2</v>
      </c>
      <c r="D9" s="1">
        <v>2.9763399999999999E-2</v>
      </c>
    </row>
    <row r="10" spans="1:4" x14ac:dyDescent="0.35">
      <c r="A10" s="1">
        <v>0.99599599999999999</v>
      </c>
      <c r="B10" s="1">
        <v>1</v>
      </c>
      <c r="C10" s="1">
        <v>4.7731799999999998E-2</v>
      </c>
      <c r="D10" s="1">
        <v>3.0212699999999999E-2</v>
      </c>
    </row>
    <row r="11" spans="1:4" x14ac:dyDescent="0.35">
      <c r="A11" s="1">
        <v>0.99099099999999996</v>
      </c>
      <c r="B11" s="1">
        <v>1</v>
      </c>
      <c r="C11" s="1">
        <v>4.8490699999999998E-2</v>
      </c>
      <c r="D11" s="1">
        <v>3.0693100000000001E-2</v>
      </c>
    </row>
    <row r="12" spans="1:4" x14ac:dyDescent="0.35">
      <c r="A12" s="1">
        <v>0.99299300000000001</v>
      </c>
      <c r="B12" s="1">
        <v>1</v>
      </c>
      <c r="C12" s="1">
        <v>4.9196799999999999E-2</v>
      </c>
      <c r="D12" s="1">
        <v>3.11401E-2</v>
      </c>
    </row>
    <row r="13" spans="1:4" x14ac:dyDescent="0.35">
      <c r="A13" s="1">
        <v>0.99099099999999996</v>
      </c>
      <c r="B13" s="1">
        <v>1</v>
      </c>
      <c r="C13" s="1">
        <v>4.9841900000000001E-2</v>
      </c>
      <c r="D13" s="1">
        <v>3.1548300000000001E-2</v>
      </c>
    </row>
    <row r="14" spans="1:4" x14ac:dyDescent="0.35">
      <c r="A14" s="1">
        <v>0.98999000000000004</v>
      </c>
      <c r="B14" s="1">
        <v>1</v>
      </c>
      <c r="C14" s="1">
        <v>5.0487900000000002E-2</v>
      </c>
      <c r="D14" s="1">
        <v>3.1957300000000001E-2</v>
      </c>
    </row>
    <row r="15" spans="1:4" x14ac:dyDescent="0.35">
      <c r="A15" s="1">
        <v>0.98898900000000001</v>
      </c>
      <c r="B15" s="1">
        <v>1</v>
      </c>
      <c r="C15" s="1">
        <v>5.1112299999999999E-2</v>
      </c>
      <c r="D15" s="1">
        <v>3.2352499999999999E-2</v>
      </c>
    </row>
    <row r="16" spans="1:4" x14ac:dyDescent="0.35">
      <c r="A16" s="1">
        <v>0.984985</v>
      </c>
      <c r="B16" s="1">
        <v>1</v>
      </c>
      <c r="C16" s="1">
        <v>5.17139E-2</v>
      </c>
      <c r="D16" s="1">
        <v>3.27333E-2</v>
      </c>
    </row>
    <row r="17" spans="1:4" x14ac:dyDescent="0.35">
      <c r="A17" s="1">
        <v>0.97997999999999996</v>
      </c>
      <c r="B17" s="1">
        <v>1</v>
      </c>
      <c r="C17" s="1">
        <v>5.2325299999999998E-2</v>
      </c>
      <c r="D17" s="1">
        <v>3.3120299999999998E-2</v>
      </c>
    </row>
    <row r="18" spans="1:4" x14ac:dyDescent="0.35">
      <c r="A18" s="1">
        <v>0.97797800000000001</v>
      </c>
      <c r="B18" s="1">
        <v>1</v>
      </c>
      <c r="C18" s="1">
        <v>5.2885300000000003E-2</v>
      </c>
      <c r="D18" s="1">
        <v>3.3474799999999999E-2</v>
      </c>
    </row>
    <row r="19" spans="1:4" x14ac:dyDescent="0.35">
      <c r="A19" s="1">
        <v>0.97097100000000003</v>
      </c>
      <c r="B19" s="1">
        <v>1</v>
      </c>
      <c r="C19" s="1">
        <v>5.3436900000000002E-2</v>
      </c>
      <c r="D19" s="1">
        <v>3.3823899999999997E-2</v>
      </c>
    </row>
    <row r="20" spans="1:4" x14ac:dyDescent="0.35">
      <c r="A20" s="1">
        <v>0.96596599999999999</v>
      </c>
      <c r="B20" s="1">
        <v>1</v>
      </c>
      <c r="C20" s="1">
        <v>5.3945600000000003E-2</v>
      </c>
      <c r="D20" s="1">
        <v>3.4130899999999999E-2</v>
      </c>
    </row>
    <row r="21" spans="1:4" x14ac:dyDescent="0.35">
      <c r="A21" s="1">
        <v>0.96096099999999995</v>
      </c>
      <c r="B21" s="1">
        <v>1</v>
      </c>
      <c r="C21" s="1">
        <v>5.44199E-2</v>
      </c>
      <c r="D21" s="1">
        <v>3.4402200000000001E-2</v>
      </c>
    </row>
    <row r="22" spans="1:4" x14ac:dyDescent="0.35">
      <c r="A22" s="1">
        <v>0.96396400000000004</v>
      </c>
      <c r="B22" s="1">
        <v>1</v>
      </c>
      <c r="C22" s="1">
        <v>5.4881199999999998E-2</v>
      </c>
      <c r="D22" s="1">
        <v>3.4573699999999999E-2</v>
      </c>
    </row>
    <row r="23" spans="1:4" x14ac:dyDescent="0.35">
      <c r="A23" s="1">
        <v>0.96396400000000004</v>
      </c>
      <c r="B23" s="1">
        <v>1</v>
      </c>
      <c r="C23" s="1">
        <v>5.5338199999999997E-2</v>
      </c>
      <c r="D23" s="1">
        <v>3.4819500000000003E-2</v>
      </c>
    </row>
    <row r="24" spans="1:4" x14ac:dyDescent="0.35">
      <c r="A24" s="1">
        <v>0.96696700000000002</v>
      </c>
      <c r="B24" s="1">
        <v>1</v>
      </c>
      <c r="C24" s="1">
        <v>5.57666E-2</v>
      </c>
      <c r="D24" s="1">
        <v>3.4990800000000002E-2</v>
      </c>
    </row>
    <row r="25" spans="1:4" x14ac:dyDescent="0.35">
      <c r="A25" s="1">
        <v>0.97097100000000003</v>
      </c>
      <c r="B25" s="1">
        <v>1</v>
      </c>
      <c r="C25" s="1">
        <v>5.6127299999999998E-2</v>
      </c>
      <c r="D25" s="1">
        <v>3.5123000000000001E-2</v>
      </c>
    </row>
    <row r="26" spans="1:4" x14ac:dyDescent="0.35">
      <c r="A26" s="1">
        <v>0.96596599999999999</v>
      </c>
      <c r="B26" s="1">
        <v>1</v>
      </c>
      <c r="C26" s="1">
        <v>5.6489900000000003E-2</v>
      </c>
      <c r="D26" s="1">
        <v>3.5227300000000003E-2</v>
      </c>
    </row>
    <row r="27" spans="1:4" x14ac:dyDescent="0.35">
      <c r="A27" s="1">
        <v>0.96396400000000004</v>
      </c>
      <c r="B27" s="1">
        <v>1</v>
      </c>
      <c r="C27" s="1">
        <v>5.6841599999999999E-2</v>
      </c>
      <c r="D27" s="1">
        <v>3.5284700000000002E-2</v>
      </c>
    </row>
    <row r="28" spans="1:4" x14ac:dyDescent="0.35">
      <c r="A28" s="1">
        <v>0.97897900000000004</v>
      </c>
      <c r="B28" s="1">
        <v>1</v>
      </c>
      <c r="C28" s="1">
        <v>5.7135499999999999E-2</v>
      </c>
      <c r="D28" s="1">
        <v>3.5300400000000003E-2</v>
      </c>
    </row>
    <row r="29" spans="1:4" x14ac:dyDescent="0.35">
      <c r="A29" s="1">
        <v>0.97197199999999995</v>
      </c>
      <c r="B29" s="1">
        <v>1</v>
      </c>
      <c r="C29" s="1">
        <v>5.74029E-2</v>
      </c>
      <c r="D29" s="1">
        <v>3.5378899999999998E-2</v>
      </c>
    </row>
    <row r="30" spans="1:4" x14ac:dyDescent="0.35">
      <c r="A30" s="1">
        <v>0.96896899999999997</v>
      </c>
      <c r="B30" s="1">
        <v>1</v>
      </c>
      <c r="C30" s="1">
        <v>5.7644899999999999E-2</v>
      </c>
      <c r="D30" s="1">
        <v>3.5451799999999999E-2</v>
      </c>
    </row>
    <row r="31" spans="1:4" x14ac:dyDescent="0.35">
      <c r="A31" s="1">
        <v>0.97697699999999998</v>
      </c>
      <c r="B31" s="1">
        <v>1</v>
      </c>
      <c r="C31" s="1">
        <v>5.7861099999999999E-2</v>
      </c>
      <c r="D31" s="1">
        <v>3.5492099999999999E-2</v>
      </c>
    </row>
    <row r="32" spans="1:4" x14ac:dyDescent="0.35">
      <c r="A32" s="1">
        <v>0.97797800000000001</v>
      </c>
      <c r="B32" s="1">
        <v>1</v>
      </c>
      <c r="C32" s="1">
        <v>5.8051400000000003E-2</v>
      </c>
      <c r="D32" s="1">
        <v>3.5502800000000001E-2</v>
      </c>
    </row>
    <row r="33" spans="1:4" x14ac:dyDescent="0.35">
      <c r="A33" s="1">
        <v>0.97497500000000004</v>
      </c>
      <c r="B33" s="1">
        <v>1</v>
      </c>
      <c r="C33" s="1">
        <v>5.8216299999999999E-2</v>
      </c>
      <c r="D33" s="1">
        <v>3.5508499999999998E-2</v>
      </c>
    </row>
    <row r="34" spans="1:4" x14ac:dyDescent="0.35">
      <c r="A34" s="1">
        <v>0.96997</v>
      </c>
      <c r="B34" s="1">
        <v>1</v>
      </c>
      <c r="C34" s="1">
        <v>5.8355499999999998E-2</v>
      </c>
      <c r="D34" s="1">
        <v>3.5548299999999998E-2</v>
      </c>
    </row>
    <row r="35" spans="1:4" x14ac:dyDescent="0.35">
      <c r="A35" s="1">
        <v>0.98098099999999999</v>
      </c>
      <c r="B35" s="1">
        <v>1</v>
      </c>
      <c r="C35" s="1">
        <v>5.8468899999999997E-2</v>
      </c>
      <c r="D35" s="1">
        <v>3.5550499999999999E-2</v>
      </c>
    </row>
    <row r="36" spans="1:4" x14ac:dyDescent="0.35">
      <c r="A36" s="1">
        <v>0.97497500000000004</v>
      </c>
      <c r="B36" s="1">
        <v>1</v>
      </c>
      <c r="C36" s="1">
        <v>5.8556200000000003E-2</v>
      </c>
      <c r="D36" s="1">
        <v>3.5559E-2</v>
      </c>
    </row>
    <row r="37" spans="1:4" x14ac:dyDescent="0.35">
      <c r="A37" s="1">
        <v>0.96997</v>
      </c>
      <c r="B37" s="1">
        <v>1</v>
      </c>
      <c r="C37" s="1">
        <v>5.8617599999999999E-2</v>
      </c>
      <c r="D37" s="1">
        <v>3.5562000000000003E-2</v>
      </c>
    </row>
    <row r="38" spans="1:4" x14ac:dyDescent="0.35">
      <c r="A38" s="1">
        <v>0.97497500000000004</v>
      </c>
      <c r="B38" s="1">
        <v>1</v>
      </c>
      <c r="C38" s="1">
        <v>5.8653400000000001E-2</v>
      </c>
      <c r="D38" s="1">
        <v>3.5562000000000003E-2</v>
      </c>
    </row>
    <row r="39" spans="1:4" x14ac:dyDescent="0.35">
      <c r="A39" s="1">
        <v>0.97797800000000001</v>
      </c>
      <c r="B39" s="1">
        <v>1</v>
      </c>
      <c r="C39" s="1">
        <v>5.8663699999999999E-2</v>
      </c>
      <c r="D39" s="1">
        <v>3.5562000000000003E-2</v>
      </c>
    </row>
    <row r="40" spans="1:4" x14ac:dyDescent="0.35">
      <c r="A40" s="1">
        <v>0.97897900000000004</v>
      </c>
      <c r="B40" s="1">
        <v>1</v>
      </c>
      <c r="C40" s="1">
        <v>5.86502E-2</v>
      </c>
      <c r="D40" s="1">
        <v>3.5562000000000003E-2</v>
      </c>
    </row>
    <row r="41" spans="1:4" x14ac:dyDescent="0.35">
      <c r="A41" s="1">
        <v>0.97097100000000003</v>
      </c>
      <c r="B41" s="1">
        <v>1</v>
      </c>
      <c r="C41" s="1">
        <v>5.8611799999999999E-2</v>
      </c>
      <c r="D41" s="1">
        <v>3.5562000000000003E-2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6DC69-2802-48AF-B9DE-88E2D4D8E9AA}">
  <dimension ref="A1:D41"/>
  <sheetViews>
    <sheetView tabSelected="1" workbookViewId="0">
      <selection activeCell="D25" sqref="D25"/>
    </sheetView>
  </sheetViews>
  <sheetFormatPr defaultRowHeight="14.5" x14ac:dyDescent="0.35"/>
  <cols>
    <col min="1" max="2" width="9.453125" style="1" bestFit="1" customWidth="1"/>
    <col min="3" max="4" width="9.81640625" style="1" bestFit="1" customWidth="1"/>
    <col min="5" max="16384" width="8.7265625" style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 s="1">
        <v>1</v>
      </c>
      <c r="C2" s="1">
        <v>3.6668199999999998E-2</v>
      </c>
      <c r="D2" s="1">
        <v>2.3084899999999998E-2</v>
      </c>
    </row>
    <row r="3" spans="1:4" x14ac:dyDescent="0.35">
      <c r="A3" s="1">
        <v>1</v>
      </c>
      <c r="B3" s="1">
        <v>1</v>
      </c>
      <c r="C3" s="1">
        <v>3.7390399999999997E-2</v>
      </c>
      <c r="D3" s="1">
        <v>2.42594E-2</v>
      </c>
    </row>
    <row r="4" spans="1:4" x14ac:dyDescent="0.35">
      <c r="A4" s="1">
        <v>1</v>
      </c>
      <c r="B4" s="1">
        <v>1</v>
      </c>
      <c r="C4" s="1">
        <v>3.8458300000000001E-2</v>
      </c>
      <c r="D4" s="1">
        <v>2.5421599999999999E-2</v>
      </c>
    </row>
    <row r="5" spans="1:4" x14ac:dyDescent="0.35">
      <c r="A5" s="1">
        <v>0.99799800000000005</v>
      </c>
      <c r="B5" s="1">
        <v>1</v>
      </c>
      <c r="C5" s="1">
        <v>4.0037900000000001E-2</v>
      </c>
      <c r="D5" s="1">
        <v>2.6042699999999998E-2</v>
      </c>
    </row>
    <row r="6" spans="1:4" x14ac:dyDescent="0.35">
      <c r="A6" s="1">
        <v>0.99899899999999997</v>
      </c>
      <c r="B6" s="1">
        <v>1</v>
      </c>
      <c r="C6" s="1">
        <v>4.1301900000000002E-2</v>
      </c>
      <c r="D6" s="1">
        <v>2.6493300000000001E-2</v>
      </c>
    </row>
    <row r="7" spans="1:4" x14ac:dyDescent="0.35">
      <c r="A7" s="1">
        <v>0.99799800000000005</v>
      </c>
      <c r="B7" s="1">
        <v>1</v>
      </c>
      <c r="C7" s="1">
        <v>4.48647E-2</v>
      </c>
      <c r="D7" s="1">
        <v>2.8426099999999999E-2</v>
      </c>
    </row>
    <row r="8" spans="1:4" x14ac:dyDescent="0.35">
      <c r="A8" s="1">
        <v>0.99599599999999999</v>
      </c>
      <c r="B8" s="1">
        <v>1</v>
      </c>
      <c r="C8" s="1">
        <v>4.6198299999999998E-2</v>
      </c>
      <c r="D8" s="1">
        <v>2.92462E-2</v>
      </c>
    </row>
    <row r="9" spans="1:4" x14ac:dyDescent="0.35">
      <c r="A9" s="1">
        <v>0.99799800000000005</v>
      </c>
      <c r="B9" s="1">
        <v>1</v>
      </c>
      <c r="C9" s="1">
        <v>4.7021899999999998E-2</v>
      </c>
      <c r="D9" s="1">
        <v>2.9763399999999999E-2</v>
      </c>
    </row>
    <row r="10" spans="1:4" x14ac:dyDescent="0.35">
      <c r="A10" s="1">
        <v>0.99499499999999996</v>
      </c>
      <c r="B10" s="1">
        <v>1</v>
      </c>
      <c r="C10" s="1">
        <v>4.7731799999999998E-2</v>
      </c>
      <c r="D10" s="1">
        <v>3.0212699999999999E-2</v>
      </c>
    </row>
    <row r="11" spans="1:4" x14ac:dyDescent="0.35">
      <c r="A11" s="1">
        <v>0.99099099999999996</v>
      </c>
      <c r="B11" s="1">
        <v>1</v>
      </c>
      <c r="C11" s="1">
        <v>4.8490699999999998E-2</v>
      </c>
      <c r="D11" s="1">
        <v>3.0693100000000001E-2</v>
      </c>
    </row>
    <row r="12" spans="1:4" x14ac:dyDescent="0.35">
      <c r="A12" s="1">
        <v>0.99199199999999998</v>
      </c>
      <c r="B12" s="1">
        <v>1</v>
      </c>
      <c r="C12" s="1">
        <v>4.9196799999999999E-2</v>
      </c>
      <c r="D12" s="1">
        <v>3.11401E-2</v>
      </c>
    </row>
    <row r="13" spans="1:4" x14ac:dyDescent="0.35">
      <c r="A13" s="1">
        <v>0.99099099999999996</v>
      </c>
      <c r="B13" s="1">
        <v>1</v>
      </c>
      <c r="C13" s="1">
        <v>4.9841900000000001E-2</v>
      </c>
      <c r="D13" s="1">
        <v>3.1548300000000001E-2</v>
      </c>
    </row>
    <row r="14" spans="1:4" x14ac:dyDescent="0.35">
      <c r="A14" s="1">
        <v>0.98999000000000004</v>
      </c>
      <c r="B14" s="1">
        <v>1</v>
      </c>
      <c r="C14" s="1">
        <v>5.0487900000000002E-2</v>
      </c>
      <c r="D14" s="1">
        <v>3.1957300000000001E-2</v>
      </c>
    </row>
    <row r="15" spans="1:4" x14ac:dyDescent="0.35">
      <c r="A15" s="1">
        <v>0.98898900000000001</v>
      </c>
      <c r="B15" s="1">
        <v>1</v>
      </c>
      <c r="C15" s="1">
        <v>5.1112299999999999E-2</v>
      </c>
      <c r="D15" s="1">
        <v>3.2352499999999999E-2</v>
      </c>
    </row>
    <row r="16" spans="1:4" x14ac:dyDescent="0.35">
      <c r="A16" s="1">
        <v>0.984985</v>
      </c>
      <c r="B16" s="1">
        <v>1</v>
      </c>
      <c r="C16" s="1">
        <v>5.17139E-2</v>
      </c>
      <c r="D16" s="1">
        <v>3.27333E-2</v>
      </c>
    </row>
    <row r="17" spans="1:4" x14ac:dyDescent="0.35">
      <c r="A17" s="1">
        <v>0.97997999999999996</v>
      </c>
      <c r="B17" s="1">
        <v>1</v>
      </c>
      <c r="C17" s="1">
        <v>5.2325299999999998E-2</v>
      </c>
      <c r="D17" s="1">
        <v>3.3120299999999998E-2</v>
      </c>
    </row>
    <row r="18" spans="1:4" x14ac:dyDescent="0.35">
      <c r="A18" s="1">
        <v>0.97797800000000001</v>
      </c>
      <c r="B18" s="1">
        <v>1</v>
      </c>
      <c r="C18" s="1">
        <v>5.2885300000000003E-2</v>
      </c>
      <c r="D18" s="1">
        <v>3.3474799999999999E-2</v>
      </c>
    </row>
    <row r="19" spans="1:4" x14ac:dyDescent="0.35">
      <c r="A19" s="1">
        <v>0.97097100000000003</v>
      </c>
      <c r="B19" s="1">
        <v>1</v>
      </c>
      <c r="C19" s="1">
        <v>5.3436900000000002E-2</v>
      </c>
      <c r="D19" s="1">
        <v>3.3823899999999997E-2</v>
      </c>
    </row>
    <row r="20" spans="1:4" x14ac:dyDescent="0.35">
      <c r="A20" s="1">
        <v>0.96596599999999999</v>
      </c>
      <c r="B20" s="1">
        <v>1</v>
      </c>
      <c r="C20" s="1">
        <v>5.3945600000000003E-2</v>
      </c>
      <c r="D20" s="1">
        <v>3.4130899999999999E-2</v>
      </c>
    </row>
    <row r="21" spans="1:4" x14ac:dyDescent="0.35">
      <c r="A21" s="1">
        <v>0.96396400000000004</v>
      </c>
      <c r="B21" s="1">
        <v>1</v>
      </c>
      <c r="C21" s="1">
        <v>5.44199E-2</v>
      </c>
      <c r="D21" s="1">
        <v>3.4402200000000001E-2</v>
      </c>
    </row>
    <row r="22" spans="1:4" x14ac:dyDescent="0.35">
      <c r="A22" s="1">
        <v>0.96596599999999999</v>
      </c>
      <c r="B22" s="1">
        <v>1</v>
      </c>
      <c r="C22" s="1">
        <v>5.4881199999999998E-2</v>
      </c>
      <c r="D22" s="1">
        <v>3.4573699999999999E-2</v>
      </c>
    </row>
    <row r="23" spans="1:4" x14ac:dyDescent="0.35">
      <c r="A23" s="1">
        <v>0.97097100000000003</v>
      </c>
      <c r="B23" s="1">
        <v>1</v>
      </c>
      <c r="C23" s="1">
        <v>5.5338199999999997E-2</v>
      </c>
      <c r="D23" s="1">
        <v>3.4819500000000003E-2</v>
      </c>
    </row>
    <row r="24" spans="1:4" x14ac:dyDescent="0.35">
      <c r="A24" s="1">
        <v>0.96796800000000005</v>
      </c>
      <c r="B24" s="1">
        <v>1</v>
      </c>
      <c r="C24" s="1">
        <v>5.57666E-2</v>
      </c>
      <c r="D24" s="1">
        <v>3.4990800000000002E-2</v>
      </c>
    </row>
    <row r="25" spans="1:4" x14ac:dyDescent="0.35">
      <c r="A25" s="1">
        <v>0.97297299999999998</v>
      </c>
      <c r="B25" s="1">
        <v>1</v>
      </c>
      <c r="C25" s="1">
        <v>5.6127299999999998E-2</v>
      </c>
      <c r="D25" s="1">
        <v>3.5123000000000001E-2</v>
      </c>
    </row>
    <row r="26" spans="1:4" x14ac:dyDescent="0.35">
      <c r="A26" s="1">
        <v>0.97197199999999995</v>
      </c>
      <c r="B26" s="1">
        <v>1</v>
      </c>
      <c r="C26" s="1">
        <v>5.6489900000000003E-2</v>
      </c>
      <c r="D26" s="1">
        <v>3.5227300000000003E-2</v>
      </c>
    </row>
    <row r="27" spans="1:4" x14ac:dyDescent="0.35">
      <c r="A27" s="1">
        <v>0.96896899999999997</v>
      </c>
      <c r="B27" s="1">
        <v>1</v>
      </c>
      <c r="C27" s="1">
        <v>5.6841599999999999E-2</v>
      </c>
      <c r="D27" s="1">
        <v>3.5284700000000002E-2</v>
      </c>
    </row>
    <row r="28" spans="1:4" x14ac:dyDescent="0.35">
      <c r="A28" s="1">
        <v>0.97997999999999996</v>
      </c>
      <c r="B28" s="1">
        <v>1</v>
      </c>
      <c r="C28" s="1">
        <v>5.7135499999999999E-2</v>
      </c>
      <c r="D28" s="1">
        <v>3.5300400000000003E-2</v>
      </c>
    </row>
    <row r="29" spans="1:4" x14ac:dyDescent="0.35">
      <c r="A29" s="1">
        <v>0.97297299999999998</v>
      </c>
      <c r="B29" s="1">
        <v>1</v>
      </c>
      <c r="C29" s="1">
        <v>5.74029E-2</v>
      </c>
      <c r="D29" s="1">
        <v>3.5378899999999998E-2</v>
      </c>
    </row>
    <row r="30" spans="1:4" x14ac:dyDescent="0.35">
      <c r="A30" s="1">
        <v>0.97097100000000003</v>
      </c>
      <c r="B30" s="1">
        <v>1</v>
      </c>
      <c r="C30" s="1">
        <v>5.7644899999999999E-2</v>
      </c>
      <c r="D30" s="1">
        <v>3.5451799999999999E-2</v>
      </c>
    </row>
    <row r="31" spans="1:4" x14ac:dyDescent="0.35">
      <c r="A31" s="1">
        <v>0.97797800000000001</v>
      </c>
      <c r="B31" s="1">
        <v>1</v>
      </c>
      <c r="C31" s="1">
        <v>5.7861099999999999E-2</v>
      </c>
      <c r="D31" s="1">
        <v>3.5492099999999999E-2</v>
      </c>
    </row>
    <row r="32" spans="1:4" x14ac:dyDescent="0.35">
      <c r="A32" s="1">
        <v>0.97997999999999996</v>
      </c>
      <c r="B32" s="1">
        <v>1</v>
      </c>
      <c r="C32" s="1">
        <v>5.8051400000000003E-2</v>
      </c>
      <c r="D32" s="1">
        <v>3.5502800000000001E-2</v>
      </c>
    </row>
    <row r="33" spans="1:4" x14ac:dyDescent="0.35">
      <c r="A33" s="1">
        <v>0.97597599999999995</v>
      </c>
      <c r="B33" s="1">
        <v>1</v>
      </c>
      <c r="C33" s="1">
        <v>5.8216299999999999E-2</v>
      </c>
      <c r="D33" s="1">
        <v>3.5508499999999998E-2</v>
      </c>
    </row>
    <row r="34" spans="1:4" x14ac:dyDescent="0.35">
      <c r="A34" s="1">
        <v>0.97297299999999998</v>
      </c>
      <c r="B34" s="1">
        <v>1</v>
      </c>
      <c r="C34" s="1">
        <v>5.8355499999999998E-2</v>
      </c>
      <c r="D34" s="1">
        <v>3.5548299999999998E-2</v>
      </c>
    </row>
    <row r="35" spans="1:4" x14ac:dyDescent="0.35">
      <c r="A35" s="1">
        <v>0.98098099999999999</v>
      </c>
      <c r="B35" s="1">
        <v>1</v>
      </c>
      <c r="C35" s="1">
        <v>5.8468899999999997E-2</v>
      </c>
      <c r="D35" s="1">
        <v>3.5550499999999999E-2</v>
      </c>
    </row>
    <row r="36" spans="1:4" x14ac:dyDescent="0.35">
      <c r="A36" s="1">
        <v>0.97497500000000004</v>
      </c>
      <c r="B36" s="1">
        <v>1</v>
      </c>
      <c r="C36" s="1">
        <v>5.8556200000000003E-2</v>
      </c>
      <c r="D36" s="1">
        <v>3.5559E-2</v>
      </c>
    </row>
    <row r="37" spans="1:4" x14ac:dyDescent="0.35">
      <c r="A37" s="1">
        <v>0.97097100000000003</v>
      </c>
      <c r="B37" s="1">
        <v>1</v>
      </c>
      <c r="C37" s="1">
        <v>5.8617599999999999E-2</v>
      </c>
      <c r="D37" s="1">
        <v>3.5562000000000003E-2</v>
      </c>
    </row>
    <row r="38" spans="1:4" x14ac:dyDescent="0.35">
      <c r="A38" s="1">
        <v>0.97697699999999998</v>
      </c>
      <c r="B38" s="1">
        <v>1</v>
      </c>
      <c r="C38" s="1">
        <v>5.8653400000000001E-2</v>
      </c>
      <c r="D38" s="1">
        <v>3.5562000000000003E-2</v>
      </c>
    </row>
    <row r="39" spans="1:4" x14ac:dyDescent="0.35">
      <c r="A39" s="1">
        <v>0.97797800000000001</v>
      </c>
      <c r="B39" s="1">
        <v>1</v>
      </c>
      <c r="C39" s="1">
        <v>5.8663699999999999E-2</v>
      </c>
      <c r="D39" s="1">
        <v>3.5562000000000003E-2</v>
      </c>
    </row>
    <row r="40" spans="1:4" x14ac:dyDescent="0.35">
      <c r="A40" s="1">
        <v>0.97897900000000004</v>
      </c>
      <c r="B40" s="1">
        <v>1</v>
      </c>
      <c r="C40" s="1">
        <v>5.86502E-2</v>
      </c>
      <c r="D40" s="1">
        <v>3.5562000000000003E-2</v>
      </c>
    </row>
    <row r="41" spans="1:4" x14ac:dyDescent="0.35">
      <c r="A41" s="1">
        <v>0.97097100000000003</v>
      </c>
      <c r="B41" s="1">
        <v>1</v>
      </c>
      <c r="C41" s="1">
        <v>5.8611799999999999E-2</v>
      </c>
      <c r="D41" s="1">
        <v>3.5562000000000003E-2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60EF4-B899-4762-A2EE-701178851915}">
  <dimension ref="A1:J41"/>
  <sheetViews>
    <sheetView zoomScale="85" zoomScaleNormal="85" workbookViewId="0">
      <selection activeCell="J24" sqref="J24"/>
    </sheetView>
  </sheetViews>
  <sheetFormatPr defaultRowHeight="14.5" x14ac:dyDescent="0.35"/>
  <cols>
    <col min="1" max="2" width="9.453125" style="4" bestFit="1" customWidth="1"/>
    <col min="3" max="4" width="9.81640625" style="4" bestFit="1" customWidth="1"/>
    <col min="5" max="6" width="8.7265625" style="4"/>
    <col min="7" max="7" width="13.1796875" style="5" bestFit="1" customWidth="1"/>
    <col min="8" max="9" width="8.7265625" style="4"/>
    <col min="10" max="10" width="81.7265625" style="4" bestFit="1" customWidth="1"/>
    <col min="11" max="12" width="8.7265625" style="4"/>
    <col min="13" max="13" width="8.90625" style="4" customWidth="1"/>
    <col min="14" max="16384" width="8.7265625" style="4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10" x14ac:dyDescent="0.35">
      <c r="A2" s="4">
        <v>1</v>
      </c>
      <c r="B2" s="4">
        <v>1</v>
      </c>
      <c r="C2" s="4">
        <v>3.6668199999999998E-2</v>
      </c>
      <c r="D2" s="4">
        <v>2.3084899999999998E-2</v>
      </c>
      <c r="G2" s="5" t="s">
        <v>16</v>
      </c>
    </row>
    <row r="3" spans="1:10" x14ac:dyDescent="0.35">
      <c r="A3" s="4">
        <v>1</v>
      </c>
      <c r="B3" s="4">
        <v>1</v>
      </c>
      <c r="C3" s="4">
        <v>3.7390399999999997E-2</v>
      </c>
      <c r="D3" s="4">
        <v>2.42594E-2</v>
      </c>
      <c r="G3" s="5" t="s">
        <v>15</v>
      </c>
    </row>
    <row r="4" spans="1:10" ht="16" x14ac:dyDescent="0.4">
      <c r="A4" s="4">
        <v>1</v>
      </c>
      <c r="B4" s="4">
        <v>1</v>
      </c>
      <c r="C4" s="4">
        <v>3.8458300000000001E-2</v>
      </c>
      <c r="D4" s="4">
        <v>2.5421599999999999E-2</v>
      </c>
      <c r="J4" s="6" t="s">
        <v>17</v>
      </c>
    </row>
    <row r="5" spans="1:10" ht="16" x14ac:dyDescent="0.4">
      <c r="A5" s="4">
        <v>0.99799800000000005</v>
      </c>
      <c r="B5" s="4">
        <v>1</v>
      </c>
      <c r="C5" s="4">
        <v>4.0037900000000001E-2</v>
      </c>
      <c r="D5" s="4">
        <v>2.6042699999999998E-2</v>
      </c>
      <c r="J5" s="6" t="s">
        <v>4</v>
      </c>
    </row>
    <row r="6" spans="1:10" ht="16" x14ac:dyDescent="0.4">
      <c r="A6" s="4">
        <v>0.99899899999999997</v>
      </c>
      <c r="B6" s="4">
        <v>1</v>
      </c>
      <c r="C6" s="4">
        <v>4.1317699999999999E-2</v>
      </c>
      <c r="D6" s="4">
        <v>2.6489200000000001E-2</v>
      </c>
      <c r="J6" s="6" t="s">
        <v>5</v>
      </c>
    </row>
    <row r="7" spans="1:10" ht="16" x14ac:dyDescent="0.4">
      <c r="A7" s="4">
        <v>0.99799800000000005</v>
      </c>
      <c r="B7" s="4">
        <v>1</v>
      </c>
      <c r="C7" s="4">
        <v>4.48647E-2</v>
      </c>
      <c r="D7" s="4">
        <v>2.8426099999999999E-2</v>
      </c>
      <c r="J7" s="6" t="s">
        <v>6</v>
      </c>
    </row>
    <row r="8" spans="1:10" ht="16" x14ac:dyDescent="0.4">
      <c r="A8" s="4">
        <v>0.99599599999999999</v>
      </c>
      <c r="B8" s="4">
        <v>1</v>
      </c>
      <c r="C8" s="4">
        <v>4.6198299999999998E-2</v>
      </c>
      <c r="D8" s="4">
        <v>2.92462E-2</v>
      </c>
      <c r="J8" s="6" t="s">
        <v>7</v>
      </c>
    </row>
    <row r="9" spans="1:10" ht="16" x14ac:dyDescent="0.4">
      <c r="A9" s="4">
        <v>0.99699700000000002</v>
      </c>
      <c r="B9" s="4">
        <v>1</v>
      </c>
      <c r="C9" s="4">
        <v>4.7021899999999998E-2</v>
      </c>
      <c r="D9" s="4">
        <v>2.9763399999999999E-2</v>
      </c>
      <c r="J9" s="6" t="s">
        <v>8</v>
      </c>
    </row>
    <row r="10" spans="1:10" ht="16" x14ac:dyDescent="0.4">
      <c r="A10" s="4">
        <v>0.99499499999999996</v>
      </c>
      <c r="B10" s="4">
        <v>1</v>
      </c>
      <c r="C10" s="4">
        <v>4.7731799999999998E-2</v>
      </c>
      <c r="D10" s="4">
        <v>3.0212699999999999E-2</v>
      </c>
      <c r="J10" s="6"/>
    </row>
    <row r="11" spans="1:10" ht="16" x14ac:dyDescent="0.4">
      <c r="A11" s="4">
        <v>0.99099099999999996</v>
      </c>
      <c r="B11" s="4">
        <v>1</v>
      </c>
      <c r="C11" s="4">
        <v>4.8490699999999998E-2</v>
      </c>
      <c r="D11" s="4">
        <v>3.0693100000000001E-2</v>
      </c>
      <c r="J11" s="6" t="s">
        <v>18</v>
      </c>
    </row>
    <row r="12" spans="1:10" ht="16" x14ac:dyDescent="0.4">
      <c r="A12" s="4">
        <v>0.99199199999999998</v>
      </c>
      <c r="B12" s="4">
        <v>1</v>
      </c>
      <c r="C12" s="4">
        <v>4.9196799999999999E-2</v>
      </c>
      <c r="D12" s="4">
        <v>3.11401E-2</v>
      </c>
      <c r="J12" s="6" t="s">
        <v>10</v>
      </c>
    </row>
    <row r="13" spans="1:10" ht="16" x14ac:dyDescent="0.4">
      <c r="A13" s="4">
        <v>0.99099099999999996</v>
      </c>
      <c r="B13" s="4">
        <v>1</v>
      </c>
      <c r="C13" s="4">
        <v>4.9841900000000001E-2</v>
      </c>
      <c r="D13" s="4">
        <v>3.1548300000000001E-2</v>
      </c>
      <c r="J13" s="6" t="s">
        <v>19</v>
      </c>
    </row>
    <row r="14" spans="1:10" ht="16" x14ac:dyDescent="0.4">
      <c r="A14" s="4">
        <v>0.98999000000000004</v>
      </c>
      <c r="B14" s="4">
        <v>1</v>
      </c>
      <c r="C14" s="4">
        <v>5.0487900000000002E-2</v>
      </c>
      <c r="D14" s="4">
        <v>3.1957300000000001E-2</v>
      </c>
      <c r="J14" s="6" t="s">
        <v>20</v>
      </c>
    </row>
    <row r="15" spans="1:10" ht="16" x14ac:dyDescent="0.4">
      <c r="A15" s="4">
        <v>0.98898900000000001</v>
      </c>
      <c r="B15" s="4">
        <v>1</v>
      </c>
      <c r="C15" s="4">
        <v>5.1112299999999999E-2</v>
      </c>
      <c r="D15" s="4">
        <v>3.2352499999999999E-2</v>
      </c>
      <c r="J15" s="6" t="s">
        <v>21</v>
      </c>
    </row>
    <row r="16" spans="1:10" ht="16" x14ac:dyDescent="0.4">
      <c r="A16" s="4">
        <v>0.984985</v>
      </c>
      <c r="B16" s="4">
        <v>1</v>
      </c>
      <c r="C16" s="4">
        <v>5.17139E-2</v>
      </c>
      <c r="D16" s="4">
        <v>3.27333E-2</v>
      </c>
      <c r="J16" s="6" t="s">
        <v>22</v>
      </c>
    </row>
    <row r="17" spans="1:10" ht="16" x14ac:dyDescent="0.4">
      <c r="A17" s="4">
        <v>0.97997999999999996</v>
      </c>
      <c r="B17" s="4">
        <v>1</v>
      </c>
      <c r="C17" s="4">
        <v>5.2325299999999998E-2</v>
      </c>
      <c r="D17" s="4">
        <v>3.3120299999999998E-2</v>
      </c>
      <c r="J17" s="6" t="s">
        <v>23</v>
      </c>
    </row>
    <row r="18" spans="1:10" ht="16" x14ac:dyDescent="0.4">
      <c r="A18" s="4">
        <v>0.97797800000000001</v>
      </c>
      <c r="B18" s="4">
        <v>1</v>
      </c>
      <c r="C18" s="4">
        <v>5.2885300000000003E-2</v>
      </c>
      <c r="D18" s="4">
        <v>3.3474799999999999E-2</v>
      </c>
      <c r="J18" s="6" t="s">
        <v>24</v>
      </c>
    </row>
    <row r="19" spans="1:10" ht="16" x14ac:dyDescent="0.4">
      <c r="A19" s="4">
        <v>0.97097100000000003</v>
      </c>
      <c r="B19" s="4">
        <v>1</v>
      </c>
      <c r="C19" s="4">
        <v>5.3436900000000002E-2</v>
      </c>
      <c r="D19" s="4">
        <v>3.3823899999999997E-2</v>
      </c>
      <c r="J19" s="6" t="s">
        <v>11</v>
      </c>
    </row>
    <row r="20" spans="1:10" ht="16" x14ac:dyDescent="0.4">
      <c r="A20" s="4">
        <v>0.96596599999999999</v>
      </c>
      <c r="B20" s="4">
        <v>1</v>
      </c>
      <c r="C20" s="4">
        <v>5.3945600000000003E-2</v>
      </c>
      <c r="D20" s="4">
        <v>3.4130899999999999E-2</v>
      </c>
      <c r="J20" s="6" t="s">
        <v>12</v>
      </c>
    </row>
    <row r="21" spans="1:10" ht="16" x14ac:dyDescent="0.4">
      <c r="A21" s="4">
        <v>0.96096099999999995</v>
      </c>
      <c r="B21" s="4">
        <v>1</v>
      </c>
      <c r="C21" s="4">
        <v>5.44199E-2</v>
      </c>
      <c r="D21" s="4">
        <v>3.4402200000000001E-2</v>
      </c>
      <c r="J21" s="6" t="s">
        <v>13</v>
      </c>
    </row>
    <row r="22" spans="1:10" ht="16" x14ac:dyDescent="0.4">
      <c r="A22" s="4">
        <v>0.96396400000000004</v>
      </c>
      <c r="B22" s="4">
        <v>1</v>
      </c>
      <c r="C22" s="4">
        <v>5.4881199999999998E-2</v>
      </c>
      <c r="D22" s="4">
        <v>3.4573699999999999E-2</v>
      </c>
      <c r="J22" s="6"/>
    </row>
    <row r="23" spans="1:10" ht="16" x14ac:dyDescent="0.4">
      <c r="A23" s="4">
        <v>0.96396400000000004</v>
      </c>
      <c r="B23" s="4">
        <v>1</v>
      </c>
      <c r="C23" s="4">
        <v>5.5338199999999997E-2</v>
      </c>
      <c r="D23" s="4">
        <v>3.4819500000000003E-2</v>
      </c>
      <c r="J23" s="6" t="s">
        <v>14</v>
      </c>
    </row>
    <row r="24" spans="1:10" x14ac:dyDescent="0.35">
      <c r="A24" s="4">
        <v>0.96696700000000002</v>
      </c>
      <c r="B24" s="4">
        <v>1</v>
      </c>
      <c r="C24" s="4">
        <v>5.57666E-2</v>
      </c>
      <c r="D24" s="4">
        <v>3.4990800000000002E-2</v>
      </c>
    </row>
    <row r="25" spans="1:10" x14ac:dyDescent="0.35">
      <c r="A25" s="4">
        <v>0.97097100000000003</v>
      </c>
      <c r="B25" s="4">
        <v>1</v>
      </c>
      <c r="C25" s="4">
        <v>5.6127299999999998E-2</v>
      </c>
      <c r="D25" s="4">
        <v>3.5123000000000001E-2</v>
      </c>
    </row>
    <row r="26" spans="1:10" x14ac:dyDescent="0.35">
      <c r="A26" s="4">
        <v>0.96596599999999999</v>
      </c>
      <c r="B26" s="4">
        <v>1</v>
      </c>
      <c r="C26" s="4">
        <v>5.6489900000000003E-2</v>
      </c>
      <c r="D26" s="4">
        <v>3.5227300000000003E-2</v>
      </c>
    </row>
    <row r="27" spans="1:10" x14ac:dyDescent="0.35">
      <c r="A27" s="4">
        <v>0.96396400000000004</v>
      </c>
      <c r="B27" s="4">
        <v>1</v>
      </c>
      <c r="C27" s="4">
        <v>5.6841599999999999E-2</v>
      </c>
      <c r="D27" s="4">
        <v>3.5284700000000002E-2</v>
      </c>
    </row>
    <row r="28" spans="1:10" x14ac:dyDescent="0.35">
      <c r="A28" s="4">
        <v>0.97897900000000004</v>
      </c>
      <c r="B28" s="4">
        <v>1</v>
      </c>
      <c r="C28" s="4">
        <v>5.7135499999999999E-2</v>
      </c>
      <c r="D28" s="4">
        <v>3.5300400000000003E-2</v>
      </c>
    </row>
    <row r="29" spans="1:10" x14ac:dyDescent="0.35">
      <c r="A29" s="4">
        <v>0.97197199999999995</v>
      </c>
      <c r="B29" s="4">
        <v>1</v>
      </c>
      <c r="C29" s="4">
        <v>5.74029E-2</v>
      </c>
      <c r="D29" s="4">
        <v>3.5378899999999998E-2</v>
      </c>
    </row>
    <row r="30" spans="1:10" x14ac:dyDescent="0.35">
      <c r="A30" s="4">
        <v>0.96896899999999997</v>
      </c>
      <c r="B30" s="4">
        <v>1</v>
      </c>
      <c r="C30" s="4">
        <v>5.7644899999999999E-2</v>
      </c>
      <c r="D30" s="4">
        <v>3.5451799999999999E-2</v>
      </c>
    </row>
    <row r="31" spans="1:10" x14ac:dyDescent="0.35">
      <c r="A31" s="4">
        <v>0.97697699999999998</v>
      </c>
      <c r="B31" s="4">
        <v>1</v>
      </c>
      <c r="C31" s="4">
        <v>5.7861099999999999E-2</v>
      </c>
      <c r="D31" s="4">
        <v>3.5492099999999999E-2</v>
      </c>
    </row>
    <row r="32" spans="1:10" x14ac:dyDescent="0.35">
      <c r="A32" s="4">
        <v>0.97797800000000001</v>
      </c>
      <c r="B32" s="4">
        <v>1</v>
      </c>
      <c r="C32" s="4">
        <v>5.8051400000000003E-2</v>
      </c>
      <c r="D32" s="4">
        <v>3.5502800000000001E-2</v>
      </c>
    </row>
    <row r="33" spans="1:4" x14ac:dyDescent="0.35">
      <c r="A33" s="4">
        <v>0.97497500000000004</v>
      </c>
      <c r="B33" s="4">
        <v>1</v>
      </c>
      <c r="C33" s="4">
        <v>5.8216299999999999E-2</v>
      </c>
      <c r="D33" s="4">
        <v>3.5508499999999998E-2</v>
      </c>
    </row>
    <row r="34" spans="1:4" x14ac:dyDescent="0.35">
      <c r="A34" s="4">
        <v>0.96997</v>
      </c>
      <c r="B34" s="4">
        <v>1</v>
      </c>
      <c r="C34" s="4">
        <v>5.8355499999999998E-2</v>
      </c>
      <c r="D34" s="4">
        <v>3.5548299999999998E-2</v>
      </c>
    </row>
    <row r="35" spans="1:4" x14ac:dyDescent="0.35">
      <c r="A35" s="4">
        <v>0.98098099999999999</v>
      </c>
      <c r="B35" s="4">
        <v>1</v>
      </c>
      <c r="C35" s="4">
        <v>5.8468899999999997E-2</v>
      </c>
      <c r="D35" s="4">
        <v>3.5550499999999999E-2</v>
      </c>
    </row>
    <row r="36" spans="1:4" x14ac:dyDescent="0.35">
      <c r="A36" s="4">
        <v>0.97497500000000004</v>
      </c>
      <c r="B36" s="4">
        <v>1</v>
      </c>
      <c r="C36" s="4">
        <v>5.8556200000000003E-2</v>
      </c>
      <c r="D36" s="4">
        <v>3.5559E-2</v>
      </c>
    </row>
    <row r="37" spans="1:4" x14ac:dyDescent="0.35">
      <c r="A37" s="4">
        <v>0.96997</v>
      </c>
      <c r="B37" s="4">
        <v>1</v>
      </c>
      <c r="C37" s="4">
        <v>5.8617599999999999E-2</v>
      </c>
      <c r="D37" s="4">
        <v>3.5562000000000003E-2</v>
      </c>
    </row>
    <row r="38" spans="1:4" x14ac:dyDescent="0.35">
      <c r="A38" s="4">
        <v>0.97497500000000004</v>
      </c>
      <c r="B38" s="4">
        <v>1</v>
      </c>
      <c r="C38" s="4">
        <v>5.8653400000000001E-2</v>
      </c>
      <c r="D38" s="4">
        <v>3.5562000000000003E-2</v>
      </c>
    </row>
    <row r="39" spans="1:4" x14ac:dyDescent="0.35">
      <c r="A39" s="4">
        <v>0.97797800000000001</v>
      </c>
      <c r="B39" s="4">
        <v>1</v>
      </c>
      <c r="C39" s="4">
        <v>5.8663699999999999E-2</v>
      </c>
      <c r="D39" s="4">
        <v>3.5562000000000003E-2</v>
      </c>
    </row>
    <row r="40" spans="1:4" x14ac:dyDescent="0.35">
      <c r="A40" s="4">
        <v>0.97897900000000004</v>
      </c>
      <c r="B40" s="4">
        <v>1</v>
      </c>
      <c r="C40" s="4">
        <v>5.86502E-2</v>
      </c>
      <c r="D40" s="4">
        <v>3.5562000000000003E-2</v>
      </c>
    </row>
    <row r="41" spans="1:4" x14ac:dyDescent="0.35">
      <c r="A41" s="4">
        <v>0.97097100000000003</v>
      </c>
      <c r="B41" s="4">
        <v>1</v>
      </c>
      <c r="C41" s="4">
        <v>5.8611799999999999E-2</v>
      </c>
      <c r="D41" s="4">
        <v>3.5562000000000003E-2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A86EC-1C76-4404-8F18-8E47259D6C5D}">
  <dimension ref="B2:E20"/>
  <sheetViews>
    <sheetView zoomScale="92" workbookViewId="0">
      <selection activeCell="E19" sqref="E19"/>
    </sheetView>
  </sheetViews>
  <sheetFormatPr defaultRowHeight="16" x14ac:dyDescent="0.4"/>
  <cols>
    <col min="2" max="2" width="97.26953125" style="2" customWidth="1"/>
    <col min="5" max="5" width="12.453125" bestFit="1" customWidth="1"/>
  </cols>
  <sheetData>
    <row r="2" spans="2:3" x14ac:dyDescent="0.4">
      <c r="B2" s="3" t="s">
        <v>4</v>
      </c>
    </row>
    <row r="3" spans="2:3" x14ac:dyDescent="0.4">
      <c r="B3" s="3" t="s">
        <v>5</v>
      </c>
    </row>
    <row r="4" spans="2:3" x14ac:dyDescent="0.4">
      <c r="B4" s="3" t="s">
        <v>6</v>
      </c>
    </row>
    <row r="5" spans="2:3" x14ac:dyDescent="0.4">
      <c r="B5" s="3" t="s">
        <v>7</v>
      </c>
    </row>
    <row r="6" spans="2:3" x14ac:dyDescent="0.4">
      <c r="B6" s="3" t="s">
        <v>8</v>
      </c>
    </row>
    <row r="7" spans="2:3" x14ac:dyDescent="0.4">
      <c r="B7" s="3"/>
    </row>
    <row r="8" spans="2:3" x14ac:dyDescent="0.4">
      <c r="B8" s="3" t="s">
        <v>9</v>
      </c>
    </row>
    <row r="9" spans="2:3" x14ac:dyDescent="0.4">
      <c r="B9" s="3" t="s">
        <v>40</v>
      </c>
      <c r="C9">
        <v>460.48998999999998</v>
      </c>
    </row>
    <row r="10" spans="2:3" x14ac:dyDescent="0.4">
      <c r="B10" s="3" t="s">
        <v>41</v>
      </c>
      <c r="C10">
        <v>458.71954599999998</v>
      </c>
    </row>
    <row r="11" spans="2:3" x14ac:dyDescent="0.4">
      <c r="B11" s="3" t="s">
        <v>49</v>
      </c>
      <c r="C11">
        <v>458.40858500000002</v>
      </c>
    </row>
    <row r="12" spans="2:3" x14ac:dyDescent="0.4">
      <c r="B12" s="3" t="s">
        <v>42</v>
      </c>
      <c r="C12">
        <v>1.8705449999999999</v>
      </c>
    </row>
    <row r="13" spans="2:3" x14ac:dyDescent="0.4">
      <c r="B13" s="3" t="s">
        <v>43</v>
      </c>
      <c r="C13">
        <v>0.22094</v>
      </c>
    </row>
    <row r="14" spans="2:3" x14ac:dyDescent="0.4">
      <c r="B14" s="3" t="s">
        <v>44</v>
      </c>
      <c r="C14">
        <v>1.5557259999999999</v>
      </c>
    </row>
    <row r="15" spans="2:3" x14ac:dyDescent="0.4">
      <c r="B15" s="3" t="s">
        <v>45</v>
      </c>
      <c r="C15">
        <v>0.42336000000000001</v>
      </c>
    </row>
    <row r="16" spans="2:3" x14ac:dyDescent="0.4">
      <c r="B16" s="3" t="s">
        <v>46</v>
      </c>
      <c r="C16">
        <v>0</v>
      </c>
    </row>
    <row r="17" spans="2:5" x14ac:dyDescent="0.4">
      <c r="B17" s="3" t="s">
        <v>47</v>
      </c>
      <c r="C17">
        <v>0.42336000000000001</v>
      </c>
    </row>
    <row r="18" spans="2:5" x14ac:dyDescent="0.4">
      <c r="B18" s="3" t="s">
        <v>48</v>
      </c>
      <c r="C18">
        <v>0</v>
      </c>
      <c r="E18">
        <f>C10+C12+C13-C14-C15-C11-C17</f>
        <v>-5.4456439357863928E-14</v>
      </c>
    </row>
    <row r="19" spans="2:5" x14ac:dyDescent="0.4">
      <c r="B19" s="3"/>
    </row>
    <row r="20" spans="2:5" x14ac:dyDescent="0.4">
      <c r="B20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100Inflow</vt:lpstr>
      <vt:lpstr>70Inflow</vt:lpstr>
      <vt:lpstr>80Inflow</vt:lpstr>
      <vt:lpstr>50Inflow</vt:lpstr>
      <vt:lpstr>30Inflow</vt:lpstr>
      <vt:lpstr>25Inflow</vt:lpstr>
      <vt:lpstr>0|25Inflow</vt:lpstr>
      <vt:lpstr>20Inflow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Mohamed, A.A.A. (Aseel)</cp:lastModifiedBy>
  <dcterms:created xsi:type="dcterms:W3CDTF">2026-03-05T06:49:13Z</dcterms:created>
  <dcterms:modified xsi:type="dcterms:W3CDTF">2026-03-08T11:56:19Z</dcterms:modified>
</cp:coreProperties>
</file>