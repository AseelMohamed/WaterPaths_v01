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hD_coding\WaterPaths_v01\WaterPaths\WaterPaths_Original\output\"/>
    </mc:Choice>
  </mc:AlternateContent>
  <xr:revisionPtr revIDLastSave="0" documentId="13_ncr:1_{624146D4-8DB2-470C-9E09-241776B8230B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4" sheetId="6" r:id="rId1"/>
    <sheet name="WCC" sheetId="8" r:id="rId2"/>
    <sheet name="PFC" sheetId="7" r:id="rId3"/>
    <sheet name="Utilities_s0_r0" sheetId="1" r:id="rId4"/>
  </sheets>
  <definedNames>
    <definedName name="_xlnm._FilterDatabase" localSheetId="3" hidden="1">Utilities_s0_r0!$AM$1:$AN$2081</definedName>
  </definedNames>
  <calcPr calcId="191029"/>
  <pivotCaches>
    <pivotCache cacheId="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3" i="1" l="1"/>
  <c r="AN4" i="1"/>
  <c r="AN5" i="1"/>
  <c r="AN6" i="1"/>
  <c r="AN2" i="1"/>
  <c r="AM2" i="1"/>
  <c r="AM3" i="1"/>
  <c r="AM4" i="1"/>
  <c r="AM5" i="1"/>
  <c r="AM6" i="1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I42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2" i="8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2" i="7"/>
  <c r="K42" i="7"/>
  <c r="AL3" i="1"/>
  <c r="AK7" i="1"/>
  <c r="AM7" i="1" s="1"/>
  <c r="J7" i="6"/>
  <c r="K5" i="6"/>
  <c r="K19" i="6"/>
  <c r="K33" i="6"/>
  <c r="K6" i="6"/>
  <c r="K20" i="6"/>
  <c r="K34" i="6"/>
  <c r="K7" i="6"/>
  <c r="K21" i="6"/>
  <c r="K35" i="6"/>
  <c r="K32" i="6"/>
  <c r="K8" i="6"/>
  <c r="K22" i="6"/>
  <c r="K36" i="6"/>
  <c r="K23" i="6"/>
  <c r="K42" i="6"/>
  <c r="K43" i="6"/>
  <c r="K31" i="6"/>
  <c r="K9" i="6"/>
  <c r="K37" i="6"/>
  <c r="K15" i="6"/>
  <c r="K18" i="6"/>
  <c r="K10" i="6"/>
  <c r="K24" i="6"/>
  <c r="K38" i="6"/>
  <c r="K11" i="6"/>
  <c r="K25" i="6"/>
  <c r="K39" i="6"/>
  <c r="K12" i="6"/>
  <c r="K26" i="6"/>
  <c r="K40" i="6"/>
  <c r="K13" i="6"/>
  <c r="K27" i="6"/>
  <c r="K41" i="6"/>
  <c r="K14" i="6"/>
  <c r="K28" i="6"/>
  <c r="K29" i="6"/>
  <c r="K16" i="6"/>
  <c r="K30" i="6"/>
  <c r="K17" i="6"/>
  <c r="K4" i="6"/>
  <c r="J5" i="6"/>
  <c r="J19" i="6"/>
  <c r="J33" i="6"/>
  <c r="J6" i="6"/>
  <c r="J20" i="6"/>
  <c r="J34" i="6"/>
  <c r="J21" i="6"/>
  <c r="J35" i="6"/>
  <c r="J28" i="6"/>
  <c r="J15" i="6"/>
  <c r="J43" i="6"/>
  <c r="J30" i="6"/>
  <c r="J17" i="6"/>
  <c r="J32" i="6"/>
  <c r="J8" i="6"/>
  <c r="J22" i="6"/>
  <c r="J36" i="6"/>
  <c r="J9" i="6"/>
  <c r="J23" i="6"/>
  <c r="J37" i="6"/>
  <c r="J10" i="6"/>
  <c r="J24" i="6"/>
  <c r="J38" i="6"/>
  <c r="J11" i="6"/>
  <c r="J25" i="6"/>
  <c r="J39" i="6"/>
  <c r="J12" i="6"/>
  <c r="J26" i="6"/>
  <c r="J40" i="6"/>
  <c r="J13" i="6"/>
  <c r="J27" i="6"/>
  <c r="J41" i="6"/>
  <c r="J14" i="6"/>
  <c r="J42" i="6"/>
  <c r="J29" i="6"/>
  <c r="J16" i="6"/>
  <c r="J31" i="6"/>
  <c r="J18" i="6"/>
  <c r="J4" i="6"/>
  <c r="AK8" i="1" l="1"/>
  <c r="AN7" i="1"/>
  <c r="H42" i="8"/>
  <c r="J42" i="7"/>
  <c r="J44" i="6"/>
  <c r="K44" i="6"/>
  <c r="AL4" i="1"/>
  <c r="AK9" i="1" l="1"/>
  <c r="AN8" i="1"/>
  <c r="AM8" i="1"/>
  <c r="AL5" i="1"/>
  <c r="AK10" i="1" l="1"/>
  <c r="AM9" i="1"/>
  <c r="AN9" i="1"/>
  <c r="AL6" i="1"/>
  <c r="AK11" i="1" l="1"/>
  <c r="AM10" i="1"/>
  <c r="AN10" i="1"/>
  <c r="AL7" i="1"/>
  <c r="AK12" i="1" l="1"/>
  <c r="AM11" i="1"/>
  <c r="AN11" i="1"/>
  <c r="AL8" i="1"/>
  <c r="AK13" i="1" l="1"/>
  <c r="AM12" i="1"/>
  <c r="AN12" i="1"/>
  <c r="AL9" i="1"/>
  <c r="AK14" i="1" l="1"/>
  <c r="AM13" i="1"/>
  <c r="AN13" i="1"/>
  <c r="AL10" i="1"/>
  <c r="AK15" i="1" l="1"/>
  <c r="AM14" i="1"/>
  <c r="AN14" i="1"/>
  <c r="AL11" i="1"/>
  <c r="AK16" i="1" l="1"/>
  <c r="AN15" i="1"/>
  <c r="AM15" i="1"/>
  <c r="AL12" i="1"/>
  <c r="AK17" i="1" l="1"/>
  <c r="AN16" i="1"/>
  <c r="AM16" i="1"/>
  <c r="AL13" i="1"/>
  <c r="AK18" i="1" l="1"/>
  <c r="AN17" i="1"/>
  <c r="AM17" i="1"/>
  <c r="AL14" i="1"/>
  <c r="AK19" i="1" l="1"/>
  <c r="AN18" i="1"/>
  <c r="AM18" i="1"/>
  <c r="AL15" i="1"/>
  <c r="AK20" i="1" l="1"/>
  <c r="AN19" i="1"/>
  <c r="AM19" i="1"/>
  <c r="AL16" i="1"/>
  <c r="AK21" i="1" l="1"/>
  <c r="AN20" i="1"/>
  <c r="AM20" i="1"/>
  <c r="AL17" i="1"/>
  <c r="AK22" i="1" l="1"/>
  <c r="AN21" i="1"/>
  <c r="AM21" i="1"/>
  <c r="AL18" i="1"/>
  <c r="AK23" i="1" l="1"/>
  <c r="AN22" i="1"/>
  <c r="AM22" i="1"/>
  <c r="AL19" i="1"/>
  <c r="AK24" i="1" l="1"/>
  <c r="AM23" i="1"/>
  <c r="AN23" i="1"/>
  <c r="AL20" i="1"/>
  <c r="AK25" i="1" l="1"/>
  <c r="AN24" i="1"/>
  <c r="AM24" i="1"/>
  <c r="AL21" i="1"/>
  <c r="AK26" i="1" l="1"/>
  <c r="AN25" i="1"/>
  <c r="AM25" i="1"/>
  <c r="AL22" i="1"/>
  <c r="AK27" i="1" l="1"/>
  <c r="AN26" i="1"/>
  <c r="AM26" i="1"/>
  <c r="AL23" i="1"/>
  <c r="AK28" i="1" l="1"/>
  <c r="AN27" i="1"/>
  <c r="AM27" i="1"/>
  <c r="AL24" i="1"/>
  <c r="AK29" i="1" l="1"/>
  <c r="AN28" i="1"/>
  <c r="AM28" i="1"/>
  <c r="AL25" i="1"/>
  <c r="AK30" i="1" l="1"/>
  <c r="AN29" i="1"/>
  <c r="AM29" i="1"/>
  <c r="AL26" i="1"/>
  <c r="AK31" i="1" l="1"/>
  <c r="AN30" i="1"/>
  <c r="AM30" i="1"/>
  <c r="AL27" i="1"/>
  <c r="AK32" i="1" l="1"/>
  <c r="AN31" i="1"/>
  <c r="AM31" i="1"/>
  <c r="AL28" i="1"/>
  <c r="AK33" i="1" l="1"/>
  <c r="AN32" i="1"/>
  <c r="AM32" i="1"/>
  <c r="AL29" i="1"/>
  <c r="AK34" i="1" l="1"/>
  <c r="AN33" i="1"/>
  <c r="AM33" i="1"/>
  <c r="AL30" i="1"/>
  <c r="AK35" i="1" l="1"/>
  <c r="AN34" i="1"/>
  <c r="AM34" i="1"/>
  <c r="AL31" i="1"/>
  <c r="AK36" i="1" l="1"/>
  <c r="AN35" i="1"/>
  <c r="AM35" i="1"/>
  <c r="AL32" i="1"/>
  <c r="AK37" i="1" l="1"/>
  <c r="AN36" i="1"/>
  <c r="AM36" i="1"/>
  <c r="AL33" i="1"/>
  <c r="AK38" i="1" l="1"/>
  <c r="AN37" i="1"/>
  <c r="AM37" i="1"/>
  <c r="AL34" i="1"/>
  <c r="AK39" i="1" l="1"/>
  <c r="AN38" i="1"/>
  <c r="AM38" i="1"/>
  <c r="AL35" i="1"/>
  <c r="AK40" i="1" l="1"/>
  <c r="AN39" i="1"/>
  <c r="AM39" i="1"/>
  <c r="AL36" i="1"/>
  <c r="AK41" i="1" l="1"/>
  <c r="AN40" i="1"/>
  <c r="AM40" i="1"/>
  <c r="AL37" i="1"/>
  <c r="AK42" i="1" l="1"/>
  <c r="AN41" i="1"/>
  <c r="AM41" i="1"/>
  <c r="AL38" i="1"/>
  <c r="AK43" i="1" l="1"/>
  <c r="AN42" i="1"/>
  <c r="AM42" i="1"/>
  <c r="AL39" i="1"/>
  <c r="AK44" i="1" l="1"/>
  <c r="AM43" i="1"/>
  <c r="AN43" i="1"/>
  <c r="AL40" i="1"/>
  <c r="AK45" i="1" l="1"/>
  <c r="AN44" i="1"/>
  <c r="AM44" i="1"/>
  <c r="AL41" i="1"/>
  <c r="AK46" i="1" l="1"/>
  <c r="AN45" i="1"/>
  <c r="AM45" i="1"/>
  <c r="AL42" i="1"/>
  <c r="AK47" i="1" l="1"/>
  <c r="AN46" i="1"/>
  <c r="AM46" i="1"/>
  <c r="AL43" i="1"/>
  <c r="AK48" i="1" l="1"/>
  <c r="AN47" i="1"/>
  <c r="AM47" i="1"/>
  <c r="AL44" i="1"/>
  <c r="AK49" i="1" l="1"/>
  <c r="AN48" i="1"/>
  <c r="AM48" i="1"/>
  <c r="AL45" i="1"/>
  <c r="AK50" i="1" l="1"/>
  <c r="AN49" i="1"/>
  <c r="AM49" i="1"/>
  <c r="AL46" i="1"/>
  <c r="AK51" i="1" l="1"/>
  <c r="AN50" i="1"/>
  <c r="AM50" i="1"/>
  <c r="AL47" i="1"/>
  <c r="AK52" i="1" l="1"/>
  <c r="AN51" i="1"/>
  <c r="AM51" i="1"/>
  <c r="AL48" i="1"/>
  <c r="AK53" i="1" l="1"/>
  <c r="AN52" i="1"/>
  <c r="AM52" i="1"/>
  <c r="AL49" i="1"/>
  <c r="AK54" i="1" l="1"/>
  <c r="AN53" i="1"/>
  <c r="AM53" i="1"/>
  <c r="AL50" i="1"/>
  <c r="AK55" i="1" l="1"/>
  <c r="AN54" i="1"/>
  <c r="AM54" i="1"/>
  <c r="AL51" i="1"/>
  <c r="AK56" i="1" l="1"/>
  <c r="AN55" i="1"/>
  <c r="AM55" i="1"/>
  <c r="AL52" i="1"/>
  <c r="AK57" i="1" l="1"/>
  <c r="AN56" i="1"/>
  <c r="AM56" i="1"/>
  <c r="AL53" i="1"/>
  <c r="AK58" i="1" l="1"/>
  <c r="AN57" i="1"/>
  <c r="AM57" i="1"/>
  <c r="AL54" i="1"/>
  <c r="AK59" i="1" l="1"/>
  <c r="AN58" i="1"/>
  <c r="AM58" i="1"/>
  <c r="AL55" i="1"/>
  <c r="AK60" i="1" l="1"/>
  <c r="AM59" i="1"/>
  <c r="AN59" i="1"/>
  <c r="AL56" i="1"/>
  <c r="AK61" i="1" l="1"/>
  <c r="AN60" i="1"/>
  <c r="AM60" i="1"/>
  <c r="AL57" i="1"/>
  <c r="AK62" i="1" l="1"/>
  <c r="AN61" i="1"/>
  <c r="AM61" i="1"/>
  <c r="AL58" i="1"/>
  <c r="AK63" i="1" l="1"/>
  <c r="AN62" i="1"/>
  <c r="AM62" i="1"/>
  <c r="AL59" i="1"/>
  <c r="AK64" i="1" l="1"/>
  <c r="AN63" i="1"/>
  <c r="AM63" i="1"/>
  <c r="AL60" i="1"/>
  <c r="AK65" i="1" l="1"/>
  <c r="AN64" i="1"/>
  <c r="AM64" i="1"/>
  <c r="AL61" i="1"/>
  <c r="AK66" i="1" l="1"/>
  <c r="AN65" i="1"/>
  <c r="AM65" i="1"/>
  <c r="AL62" i="1"/>
  <c r="AK67" i="1" l="1"/>
  <c r="AM66" i="1"/>
  <c r="AN66" i="1"/>
  <c r="AL63" i="1"/>
  <c r="AK68" i="1" l="1"/>
  <c r="AN67" i="1"/>
  <c r="AM67" i="1"/>
  <c r="AL64" i="1"/>
  <c r="AK69" i="1" l="1"/>
  <c r="AN68" i="1"/>
  <c r="AM68" i="1"/>
  <c r="AL65" i="1"/>
  <c r="AK70" i="1" l="1"/>
  <c r="AN69" i="1"/>
  <c r="AM69" i="1"/>
  <c r="AL66" i="1"/>
  <c r="AK71" i="1" l="1"/>
  <c r="AN70" i="1"/>
  <c r="AM70" i="1"/>
  <c r="AL67" i="1"/>
  <c r="AK72" i="1" l="1"/>
  <c r="AN71" i="1"/>
  <c r="AM71" i="1"/>
  <c r="AL68" i="1"/>
  <c r="AK73" i="1" l="1"/>
  <c r="AN72" i="1"/>
  <c r="AM72" i="1"/>
  <c r="AL69" i="1"/>
  <c r="AK74" i="1" l="1"/>
  <c r="AN73" i="1"/>
  <c r="AM73" i="1"/>
  <c r="AL70" i="1"/>
  <c r="AK75" i="1" l="1"/>
  <c r="AN74" i="1"/>
  <c r="AM74" i="1"/>
  <c r="AL71" i="1"/>
  <c r="AK76" i="1" l="1"/>
  <c r="AN75" i="1"/>
  <c r="AM75" i="1"/>
  <c r="AL72" i="1"/>
  <c r="AK77" i="1" l="1"/>
  <c r="AN76" i="1"/>
  <c r="AM76" i="1"/>
  <c r="AL73" i="1"/>
  <c r="AK78" i="1" l="1"/>
  <c r="AN77" i="1"/>
  <c r="AM77" i="1"/>
  <c r="AL74" i="1"/>
  <c r="AK79" i="1" l="1"/>
  <c r="AN78" i="1"/>
  <c r="AM78" i="1"/>
  <c r="AL75" i="1"/>
  <c r="AK80" i="1" l="1"/>
  <c r="AN79" i="1"/>
  <c r="AM79" i="1"/>
  <c r="AL76" i="1"/>
  <c r="AK81" i="1" l="1"/>
  <c r="AN80" i="1"/>
  <c r="AM80" i="1"/>
  <c r="AL77" i="1"/>
  <c r="AK82" i="1" l="1"/>
  <c r="AN81" i="1"/>
  <c r="AM81" i="1"/>
  <c r="AL78" i="1"/>
  <c r="AK83" i="1" l="1"/>
  <c r="AN82" i="1"/>
  <c r="AM82" i="1"/>
  <c r="AL79" i="1"/>
  <c r="AK84" i="1" l="1"/>
  <c r="AN83" i="1"/>
  <c r="AM83" i="1"/>
  <c r="AL80" i="1"/>
  <c r="AK85" i="1" l="1"/>
  <c r="AM84" i="1"/>
  <c r="AN84" i="1"/>
  <c r="AL81" i="1"/>
  <c r="AK86" i="1" l="1"/>
  <c r="AN85" i="1"/>
  <c r="AM85" i="1"/>
  <c r="AL82" i="1"/>
  <c r="AK87" i="1" l="1"/>
  <c r="AN86" i="1"/>
  <c r="AM86" i="1"/>
  <c r="AL83" i="1"/>
  <c r="AK88" i="1" l="1"/>
  <c r="AN87" i="1"/>
  <c r="AM87" i="1"/>
  <c r="AL84" i="1"/>
  <c r="AK89" i="1" l="1"/>
  <c r="AN88" i="1"/>
  <c r="AM88" i="1"/>
  <c r="AL85" i="1"/>
  <c r="AK90" i="1" l="1"/>
  <c r="AN89" i="1"/>
  <c r="AM89" i="1"/>
  <c r="AL86" i="1"/>
  <c r="AK91" i="1" l="1"/>
  <c r="AN90" i="1"/>
  <c r="AM90" i="1"/>
  <c r="AL87" i="1"/>
  <c r="AK92" i="1" l="1"/>
  <c r="AN91" i="1"/>
  <c r="AM91" i="1"/>
  <c r="AL88" i="1"/>
  <c r="AK93" i="1" l="1"/>
  <c r="AN92" i="1"/>
  <c r="AM92" i="1"/>
  <c r="AL89" i="1"/>
  <c r="AK94" i="1" l="1"/>
  <c r="AN93" i="1"/>
  <c r="AM93" i="1"/>
  <c r="AL90" i="1"/>
  <c r="AK95" i="1" l="1"/>
  <c r="AN94" i="1"/>
  <c r="AM94" i="1"/>
  <c r="AL91" i="1"/>
  <c r="AK96" i="1" l="1"/>
  <c r="AN95" i="1"/>
  <c r="AM95" i="1"/>
  <c r="AL92" i="1"/>
  <c r="AK97" i="1" l="1"/>
  <c r="AN96" i="1"/>
  <c r="AM96" i="1"/>
  <c r="AL93" i="1"/>
  <c r="AK98" i="1" l="1"/>
  <c r="AN97" i="1"/>
  <c r="AM97" i="1"/>
  <c r="AL94" i="1"/>
  <c r="AK99" i="1" l="1"/>
  <c r="AN98" i="1"/>
  <c r="AM98" i="1"/>
  <c r="AL95" i="1"/>
  <c r="AK100" i="1" l="1"/>
  <c r="AN99" i="1"/>
  <c r="AM99" i="1"/>
  <c r="AL96" i="1"/>
  <c r="AK101" i="1" l="1"/>
  <c r="AN100" i="1"/>
  <c r="AM100" i="1"/>
  <c r="AL97" i="1"/>
  <c r="AK102" i="1" l="1"/>
  <c r="AN101" i="1"/>
  <c r="AM101" i="1"/>
  <c r="AL98" i="1"/>
  <c r="AK103" i="1" l="1"/>
  <c r="AN102" i="1"/>
  <c r="AM102" i="1"/>
  <c r="AL99" i="1"/>
  <c r="AK104" i="1" l="1"/>
  <c r="AN103" i="1"/>
  <c r="AM103" i="1"/>
  <c r="AL100" i="1"/>
  <c r="AK105" i="1" l="1"/>
  <c r="AN104" i="1"/>
  <c r="AM104" i="1"/>
  <c r="AL101" i="1"/>
  <c r="AK106" i="1" l="1"/>
  <c r="AN105" i="1"/>
  <c r="AM105" i="1"/>
  <c r="AL102" i="1"/>
  <c r="AK107" i="1" l="1"/>
  <c r="AN106" i="1"/>
  <c r="AM106" i="1"/>
  <c r="AL103" i="1"/>
  <c r="AK108" i="1" l="1"/>
  <c r="AN107" i="1"/>
  <c r="AM107" i="1"/>
  <c r="AL104" i="1"/>
  <c r="AK109" i="1" l="1"/>
  <c r="AN108" i="1"/>
  <c r="AM108" i="1"/>
  <c r="AL105" i="1"/>
  <c r="AK110" i="1" l="1"/>
  <c r="AN109" i="1"/>
  <c r="AM109" i="1"/>
  <c r="AL106" i="1"/>
  <c r="AK111" i="1" l="1"/>
  <c r="AN110" i="1"/>
  <c r="AM110" i="1"/>
  <c r="AL107" i="1"/>
  <c r="AK112" i="1" l="1"/>
  <c r="AN111" i="1"/>
  <c r="AM111" i="1"/>
  <c r="AL108" i="1"/>
  <c r="AK113" i="1" l="1"/>
  <c r="AN112" i="1"/>
  <c r="AM112" i="1"/>
  <c r="AL109" i="1"/>
  <c r="AK114" i="1" l="1"/>
  <c r="AN113" i="1"/>
  <c r="AM113" i="1"/>
  <c r="AL110" i="1"/>
  <c r="AK115" i="1" l="1"/>
  <c r="AN114" i="1"/>
  <c r="AM114" i="1"/>
  <c r="AL111" i="1"/>
  <c r="AK116" i="1" l="1"/>
  <c r="AN115" i="1"/>
  <c r="AM115" i="1"/>
  <c r="AL112" i="1"/>
  <c r="AK117" i="1" l="1"/>
  <c r="AN116" i="1"/>
  <c r="AM116" i="1"/>
  <c r="AL113" i="1"/>
  <c r="AK118" i="1" l="1"/>
  <c r="AN117" i="1"/>
  <c r="AM117" i="1"/>
  <c r="AL114" i="1"/>
  <c r="AK119" i="1" l="1"/>
  <c r="AN118" i="1"/>
  <c r="AM118" i="1"/>
  <c r="AL115" i="1"/>
  <c r="AK120" i="1" l="1"/>
  <c r="AN119" i="1"/>
  <c r="AM119" i="1"/>
  <c r="AL116" i="1"/>
  <c r="AK121" i="1" l="1"/>
  <c r="AN120" i="1"/>
  <c r="AM120" i="1"/>
  <c r="AL117" i="1"/>
  <c r="AK122" i="1" l="1"/>
  <c r="AN121" i="1"/>
  <c r="AM121" i="1"/>
  <c r="AL118" i="1"/>
  <c r="AK123" i="1" l="1"/>
  <c r="AN122" i="1"/>
  <c r="AM122" i="1"/>
  <c r="AL119" i="1"/>
  <c r="AK124" i="1" l="1"/>
  <c r="AM123" i="1"/>
  <c r="AN123" i="1"/>
  <c r="AL120" i="1"/>
  <c r="AK125" i="1" l="1"/>
  <c r="AN124" i="1"/>
  <c r="AM124" i="1"/>
  <c r="AL121" i="1"/>
  <c r="AK126" i="1" l="1"/>
  <c r="AM125" i="1"/>
  <c r="AN125" i="1"/>
  <c r="AL122" i="1"/>
  <c r="AK127" i="1" l="1"/>
  <c r="AM126" i="1"/>
  <c r="AN126" i="1"/>
  <c r="AL123" i="1"/>
  <c r="AK128" i="1" l="1"/>
  <c r="AM127" i="1"/>
  <c r="AN127" i="1"/>
  <c r="AL124" i="1"/>
  <c r="AK129" i="1" l="1"/>
  <c r="AN128" i="1"/>
  <c r="AM128" i="1"/>
  <c r="AL125" i="1"/>
  <c r="AK130" i="1" l="1"/>
  <c r="AM129" i="1"/>
  <c r="AN129" i="1"/>
  <c r="AL126" i="1"/>
  <c r="AK131" i="1" l="1"/>
  <c r="AN130" i="1"/>
  <c r="AM130" i="1"/>
  <c r="AL127" i="1"/>
  <c r="AK132" i="1" l="1"/>
  <c r="AN131" i="1"/>
  <c r="AM131" i="1"/>
  <c r="AL128" i="1"/>
  <c r="AK133" i="1" l="1"/>
  <c r="AN132" i="1"/>
  <c r="AM132" i="1"/>
  <c r="AL129" i="1"/>
  <c r="AK134" i="1" l="1"/>
  <c r="AN133" i="1"/>
  <c r="AM133" i="1"/>
  <c r="AL130" i="1"/>
  <c r="AK135" i="1" l="1"/>
  <c r="AN134" i="1"/>
  <c r="AM134" i="1"/>
  <c r="AL131" i="1"/>
  <c r="AK136" i="1" l="1"/>
  <c r="AN135" i="1"/>
  <c r="AM135" i="1"/>
  <c r="AL132" i="1"/>
  <c r="AK137" i="1" l="1"/>
  <c r="AN136" i="1"/>
  <c r="AM136" i="1"/>
  <c r="AL133" i="1"/>
  <c r="AK138" i="1" l="1"/>
  <c r="AM137" i="1"/>
  <c r="AN137" i="1"/>
  <c r="AL134" i="1"/>
  <c r="AK139" i="1" l="1"/>
  <c r="AN138" i="1"/>
  <c r="AM138" i="1"/>
  <c r="AL135" i="1"/>
  <c r="AK140" i="1" l="1"/>
  <c r="AN139" i="1"/>
  <c r="AM139" i="1"/>
  <c r="AL136" i="1"/>
  <c r="AK141" i="1" l="1"/>
  <c r="AN140" i="1"/>
  <c r="AM140" i="1"/>
  <c r="AL137" i="1"/>
  <c r="AK142" i="1" l="1"/>
  <c r="AN141" i="1"/>
  <c r="AM141" i="1"/>
  <c r="AL138" i="1"/>
  <c r="AK143" i="1" l="1"/>
  <c r="AN142" i="1"/>
  <c r="AM142" i="1"/>
  <c r="AL139" i="1"/>
  <c r="AK144" i="1" l="1"/>
  <c r="AN143" i="1"/>
  <c r="AM143" i="1"/>
  <c r="AL140" i="1"/>
  <c r="AK145" i="1" l="1"/>
  <c r="AN144" i="1"/>
  <c r="AM144" i="1"/>
  <c r="AL141" i="1"/>
  <c r="AK146" i="1" l="1"/>
  <c r="AN145" i="1"/>
  <c r="AM145" i="1"/>
  <c r="AL142" i="1"/>
  <c r="AK147" i="1" l="1"/>
  <c r="AN146" i="1"/>
  <c r="AM146" i="1"/>
  <c r="AL143" i="1"/>
  <c r="AK148" i="1" l="1"/>
  <c r="AN147" i="1"/>
  <c r="AM147" i="1"/>
  <c r="AL144" i="1"/>
  <c r="AK149" i="1" l="1"/>
  <c r="AN148" i="1"/>
  <c r="AM148" i="1"/>
  <c r="AL145" i="1"/>
  <c r="AK150" i="1" l="1"/>
  <c r="AN149" i="1"/>
  <c r="AM149" i="1"/>
  <c r="AL146" i="1"/>
  <c r="AK151" i="1" l="1"/>
  <c r="AN150" i="1"/>
  <c r="AM150" i="1"/>
  <c r="AL147" i="1"/>
  <c r="AK152" i="1" l="1"/>
  <c r="AN151" i="1"/>
  <c r="AM151" i="1"/>
  <c r="AL148" i="1"/>
  <c r="AK153" i="1" l="1"/>
  <c r="AN152" i="1"/>
  <c r="AM152" i="1"/>
  <c r="AL149" i="1"/>
  <c r="AK154" i="1" l="1"/>
  <c r="AN153" i="1"/>
  <c r="AM153" i="1"/>
  <c r="AL150" i="1"/>
  <c r="AK155" i="1" l="1"/>
  <c r="AN154" i="1"/>
  <c r="AM154" i="1"/>
  <c r="AL151" i="1"/>
  <c r="AK156" i="1" l="1"/>
  <c r="AN155" i="1"/>
  <c r="AM155" i="1"/>
  <c r="AL152" i="1"/>
  <c r="AK157" i="1" l="1"/>
  <c r="AN156" i="1"/>
  <c r="AM156" i="1"/>
  <c r="AL153" i="1"/>
  <c r="AK158" i="1" l="1"/>
  <c r="AN157" i="1"/>
  <c r="AM157" i="1"/>
  <c r="AL154" i="1"/>
  <c r="AK159" i="1" l="1"/>
  <c r="AN158" i="1"/>
  <c r="AM158" i="1"/>
  <c r="AL155" i="1"/>
  <c r="AK160" i="1" l="1"/>
  <c r="AN159" i="1"/>
  <c r="AM159" i="1"/>
  <c r="AL156" i="1"/>
  <c r="AK161" i="1" l="1"/>
  <c r="AN160" i="1"/>
  <c r="AM160" i="1"/>
  <c r="AL157" i="1"/>
  <c r="AK162" i="1" l="1"/>
  <c r="AN161" i="1"/>
  <c r="AM161" i="1"/>
  <c r="AL158" i="1"/>
  <c r="AK163" i="1" l="1"/>
  <c r="AN162" i="1"/>
  <c r="AM162" i="1"/>
  <c r="AL159" i="1"/>
  <c r="AK164" i="1" l="1"/>
  <c r="AN163" i="1"/>
  <c r="AM163" i="1"/>
  <c r="AL160" i="1"/>
  <c r="AK165" i="1" l="1"/>
  <c r="AN164" i="1"/>
  <c r="AM164" i="1"/>
  <c r="AL161" i="1"/>
  <c r="AK166" i="1" l="1"/>
  <c r="AN165" i="1"/>
  <c r="AM165" i="1"/>
  <c r="AL162" i="1"/>
  <c r="AK167" i="1" l="1"/>
  <c r="AN166" i="1"/>
  <c r="AM166" i="1"/>
  <c r="AL163" i="1"/>
  <c r="AK168" i="1" l="1"/>
  <c r="AN167" i="1"/>
  <c r="AM167" i="1"/>
  <c r="AL164" i="1"/>
  <c r="AK169" i="1" l="1"/>
  <c r="AM168" i="1"/>
  <c r="AN168" i="1"/>
  <c r="AL165" i="1"/>
  <c r="AK170" i="1" l="1"/>
  <c r="AN169" i="1"/>
  <c r="AM169" i="1"/>
  <c r="AL166" i="1"/>
  <c r="AK171" i="1" l="1"/>
  <c r="AN170" i="1"/>
  <c r="AM170" i="1"/>
  <c r="AL167" i="1"/>
  <c r="AK172" i="1" l="1"/>
  <c r="AN171" i="1"/>
  <c r="AM171" i="1"/>
  <c r="AL168" i="1"/>
  <c r="AK173" i="1" l="1"/>
  <c r="AN172" i="1"/>
  <c r="AM172" i="1"/>
  <c r="AL169" i="1"/>
  <c r="AK174" i="1" l="1"/>
  <c r="AN173" i="1"/>
  <c r="AM173" i="1"/>
  <c r="AL170" i="1"/>
  <c r="AK175" i="1" l="1"/>
  <c r="AN174" i="1"/>
  <c r="AM174" i="1"/>
  <c r="AL171" i="1"/>
  <c r="AK176" i="1" l="1"/>
  <c r="AN175" i="1"/>
  <c r="AM175" i="1"/>
  <c r="AL172" i="1"/>
  <c r="AK177" i="1" l="1"/>
  <c r="AN176" i="1"/>
  <c r="AM176" i="1"/>
  <c r="AL173" i="1"/>
  <c r="AK178" i="1" l="1"/>
  <c r="AM177" i="1"/>
  <c r="AN177" i="1"/>
  <c r="AL174" i="1"/>
  <c r="AK179" i="1" l="1"/>
  <c r="AN178" i="1"/>
  <c r="AM178" i="1"/>
  <c r="AL175" i="1"/>
  <c r="AK180" i="1" l="1"/>
  <c r="AN179" i="1"/>
  <c r="AM179" i="1"/>
  <c r="AL176" i="1"/>
  <c r="AK181" i="1" l="1"/>
  <c r="AN180" i="1"/>
  <c r="AM180" i="1"/>
  <c r="AL177" i="1"/>
  <c r="AK182" i="1" l="1"/>
  <c r="AN181" i="1"/>
  <c r="AM181" i="1"/>
  <c r="AL178" i="1"/>
  <c r="AK183" i="1" l="1"/>
  <c r="AN182" i="1"/>
  <c r="AM182" i="1"/>
  <c r="AL179" i="1"/>
  <c r="AK184" i="1" l="1"/>
  <c r="AN183" i="1"/>
  <c r="AM183" i="1"/>
  <c r="AL180" i="1"/>
  <c r="AK185" i="1" l="1"/>
  <c r="AN184" i="1"/>
  <c r="AM184" i="1"/>
  <c r="AL181" i="1"/>
  <c r="AK186" i="1" l="1"/>
  <c r="AM185" i="1"/>
  <c r="AN185" i="1"/>
  <c r="AL182" i="1"/>
  <c r="AK187" i="1" l="1"/>
  <c r="AN186" i="1"/>
  <c r="AM186" i="1"/>
  <c r="AL183" i="1"/>
  <c r="AK188" i="1" l="1"/>
  <c r="AN187" i="1"/>
  <c r="AM187" i="1"/>
  <c r="AL184" i="1"/>
  <c r="AK189" i="1" l="1"/>
  <c r="AN188" i="1"/>
  <c r="AM188" i="1"/>
  <c r="AL185" i="1"/>
  <c r="AK190" i="1" l="1"/>
  <c r="AN189" i="1"/>
  <c r="AM189" i="1"/>
  <c r="AL186" i="1"/>
  <c r="AK191" i="1" l="1"/>
  <c r="AN190" i="1"/>
  <c r="AM190" i="1"/>
  <c r="AL187" i="1"/>
  <c r="AK192" i="1" l="1"/>
  <c r="AM191" i="1"/>
  <c r="AN191" i="1"/>
  <c r="AL188" i="1"/>
  <c r="AK193" i="1" l="1"/>
  <c r="AM192" i="1"/>
  <c r="AN192" i="1"/>
  <c r="AL189" i="1"/>
  <c r="AK194" i="1" l="1"/>
  <c r="AN193" i="1"/>
  <c r="AM193" i="1"/>
  <c r="AL190" i="1"/>
  <c r="AK195" i="1" l="1"/>
  <c r="AN194" i="1"/>
  <c r="AM194" i="1"/>
  <c r="AL191" i="1"/>
  <c r="AK196" i="1" l="1"/>
  <c r="AN195" i="1"/>
  <c r="AM195" i="1"/>
  <c r="AL192" i="1"/>
  <c r="AK197" i="1" l="1"/>
  <c r="AN196" i="1"/>
  <c r="AM196" i="1"/>
  <c r="AL193" i="1"/>
  <c r="AK198" i="1" l="1"/>
  <c r="AN197" i="1"/>
  <c r="AM197" i="1"/>
  <c r="AL194" i="1"/>
  <c r="AK199" i="1" l="1"/>
  <c r="AN198" i="1"/>
  <c r="AM198" i="1"/>
  <c r="AL195" i="1"/>
  <c r="AK200" i="1" l="1"/>
  <c r="AN199" i="1"/>
  <c r="AM199" i="1"/>
  <c r="AL196" i="1"/>
  <c r="AK201" i="1" l="1"/>
  <c r="AN200" i="1"/>
  <c r="AM200" i="1"/>
  <c r="AL197" i="1"/>
  <c r="AK202" i="1" l="1"/>
  <c r="AN201" i="1"/>
  <c r="AM201" i="1"/>
  <c r="AL198" i="1"/>
  <c r="AK203" i="1" l="1"/>
  <c r="AN202" i="1"/>
  <c r="AM202" i="1"/>
  <c r="AL199" i="1"/>
  <c r="AK204" i="1" l="1"/>
  <c r="AN203" i="1"/>
  <c r="AM203" i="1"/>
  <c r="AL200" i="1"/>
  <c r="AK205" i="1" l="1"/>
  <c r="AN204" i="1"/>
  <c r="AM204" i="1"/>
  <c r="AL201" i="1"/>
  <c r="AK206" i="1" l="1"/>
  <c r="AN205" i="1"/>
  <c r="AM205" i="1"/>
  <c r="AL202" i="1"/>
  <c r="AK207" i="1" l="1"/>
  <c r="AN206" i="1"/>
  <c r="AM206" i="1"/>
  <c r="AL203" i="1"/>
  <c r="AK208" i="1" l="1"/>
  <c r="AN207" i="1"/>
  <c r="AM207" i="1"/>
  <c r="AL204" i="1"/>
  <c r="AK209" i="1" l="1"/>
  <c r="AN208" i="1"/>
  <c r="AM208" i="1"/>
  <c r="AL205" i="1"/>
  <c r="AK210" i="1" l="1"/>
  <c r="AN209" i="1"/>
  <c r="AM209" i="1"/>
  <c r="AL206" i="1"/>
  <c r="AK211" i="1" l="1"/>
  <c r="AM210" i="1"/>
  <c r="AN210" i="1"/>
  <c r="AL207" i="1"/>
  <c r="AK212" i="1" l="1"/>
  <c r="AN211" i="1"/>
  <c r="AM211" i="1"/>
  <c r="AL208" i="1"/>
  <c r="AK213" i="1" l="1"/>
  <c r="AN212" i="1"/>
  <c r="AM212" i="1"/>
  <c r="AL209" i="1"/>
  <c r="AK214" i="1" l="1"/>
  <c r="AN213" i="1"/>
  <c r="AM213" i="1"/>
  <c r="AL210" i="1"/>
  <c r="AK215" i="1" l="1"/>
  <c r="AN214" i="1"/>
  <c r="AM214" i="1"/>
  <c r="AL211" i="1"/>
  <c r="AK216" i="1" l="1"/>
  <c r="AN215" i="1"/>
  <c r="AM215" i="1"/>
  <c r="AL212" i="1"/>
  <c r="AK217" i="1" l="1"/>
  <c r="AN216" i="1"/>
  <c r="AM216" i="1"/>
  <c r="AL213" i="1"/>
  <c r="AK218" i="1" l="1"/>
  <c r="AN217" i="1"/>
  <c r="AM217" i="1"/>
  <c r="AL214" i="1"/>
  <c r="AK219" i="1" l="1"/>
  <c r="AN218" i="1"/>
  <c r="AM218" i="1"/>
  <c r="AL215" i="1"/>
  <c r="AK220" i="1" l="1"/>
  <c r="AN219" i="1"/>
  <c r="AM219" i="1"/>
  <c r="AL216" i="1"/>
  <c r="AK221" i="1" l="1"/>
  <c r="AN220" i="1"/>
  <c r="AM220" i="1"/>
  <c r="AL217" i="1"/>
  <c r="AK222" i="1" l="1"/>
  <c r="AN221" i="1"/>
  <c r="AM221" i="1"/>
  <c r="AL218" i="1"/>
  <c r="AK223" i="1" l="1"/>
  <c r="AN222" i="1"/>
  <c r="AM222" i="1"/>
  <c r="AL219" i="1"/>
  <c r="AK224" i="1" l="1"/>
  <c r="AN223" i="1"/>
  <c r="AM223" i="1"/>
  <c r="AL220" i="1"/>
  <c r="AK225" i="1" l="1"/>
  <c r="AN224" i="1"/>
  <c r="AM224" i="1"/>
  <c r="AL221" i="1"/>
  <c r="AK226" i="1" l="1"/>
  <c r="AN225" i="1"/>
  <c r="AM225" i="1"/>
  <c r="AL222" i="1"/>
  <c r="AK227" i="1" l="1"/>
  <c r="AN226" i="1"/>
  <c r="AM226" i="1"/>
  <c r="AL223" i="1"/>
  <c r="AK228" i="1" l="1"/>
  <c r="AM227" i="1"/>
  <c r="AN227" i="1"/>
  <c r="AL224" i="1"/>
  <c r="AK229" i="1" l="1"/>
  <c r="AN228" i="1"/>
  <c r="AM228" i="1"/>
  <c r="AL225" i="1"/>
  <c r="AK230" i="1" l="1"/>
  <c r="AN229" i="1"/>
  <c r="AM229" i="1"/>
  <c r="AL226" i="1"/>
  <c r="AK231" i="1" l="1"/>
  <c r="AN230" i="1"/>
  <c r="AM230" i="1"/>
  <c r="AL227" i="1"/>
  <c r="AK232" i="1" l="1"/>
  <c r="AN231" i="1"/>
  <c r="AM231" i="1"/>
  <c r="AL228" i="1"/>
  <c r="AK233" i="1" l="1"/>
  <c r="AN232" i="1"/>
  <c r="AM232" i="1"/>
  <c r="AL229" i="1"/>
  <c r="AK234" i="1" l="1"/>
  <c r="AN233" i="1"/>
  <c r="AM233" i="1"/>
  <c r="AL230" i="1"/>
  <c r="AK235" i="1" l="1"/>
  <c r="AN234" i="1"/>
  <c r="AM234" i="1"/>
  <c r="AL231" i="1"/>
  <c r="AK236" i="1" l="1"/>
  <c r="AN235" i="1"/>
  <c r="AM235" i="1"/>
  <c r="AL232" i="1"/>
  <c r="AK237" i="1" l="1"/>
  <c r="AM236" i="1"/>
  <c r="AN236" i="1"/>
  <c r="AL233" i="1"/>
  <c r="AK238" i="1" l="1"/>
  <c r="AM237" i="1"/>
  <c r="AN237" i="1"/>
  <c r="AL234" i="1"/>
  <c r="AK239" i="1" l="1"/>
  <c r="AM238" i="1"/>
  <c r="AN238" i="1"/>
  <c r="AL235" i="1"/>
  <c r="AK240" i="1" l="1"/>
  <c r="AN239" i="1"/>
  <c r="AM239" i="1"/>
  <c r="AL236" i="1"/>
  <c r="AK241" i="1" l="1"/>
  <c r="AM240" i="1"/>
  <c r="AN240" i="1"/>
  <c r="AL237" i="1"/>
  <c r="AK242" i="1" l="1"/>
  <c r="AN241" i="1"/>
  <c r="AM241" i="1"/>
  <c r="AL238" i="1"/>
  <c r="AK243" i="1" l="1"/>
  <c r="AN242" i="1"/>
  <c r="AM242" i="1"/>
  <c r="AL239" i="1"/>
  <c r="AK244" i="1" l="1"/>
  <c r="AN243" i="1"/>
  <c r="AM243" i="1"/>
  <c r="AL240" i="1"/>
  <c r="AK245" i="1" l="1"/>
  <c r="AN244" i="1"/>
  <c r="AM244" i="1"/>
  <c r="AL241" i="1"/>
  <c r="AK246" i="1" l="1"/>
  <c r="AN245" i="1"/>
  <c r="AM245" i="1"/>
  <c r="AL242" i="1"/>
  <c r="AK247" i="1" l="1"/>
  <c r="AN246" i="1"/>
  <c r="AM246" i="1"/>
  <c r="AL243" i="1"/>
  <c r="AK248" i="1" l="1"/>
  <c r="AN247" i="1"/>
  <c r="AM247" i="1"/>
  <c r="AL244" i="1"/>
  <c r="AK249" i="1" l="1"/>
  <c r="AN248" i="1"/>
  <c r="AM248" i="1"/>
  <c r="AL245" i="1"/>
  <c r="AK250" i="1" l="1"/>
  <c r="AN249" i="1"/>
  <c r="AM249" i="1"/>
  <c r="AL246" i="1"/>
  <c r="AK251" i="1" l="1"/>
  <c r="AN250" i="1"/>
  <c r="AM250" i="1"/>
  <c r="AL247" i="1"/>
  <c r="AK252" i="1" l="1"/>
  <c r="AN251" i="1"/>
  <c r="AM251" i="1"/>
  <c r="AL248" i="1"/>
  <c r="AK253" i="1" l="1"/>
  <c r="AN252" i="1"/>
  <c r="AM252" i="1"/>
  <c r="AL249" i="1"/>
  <c r="AK254" i="1" l="1"/>
  <c r="AN253" i="1"/>
  <c r="AM253" i="1"/>
  <c r="AL250" i="1"/>
  <c r="AK255" i="1" l="1"/>
  <c r="AN254" i="1"/>
  <c r="AM254" i="1"/>
  <c r="AL251" i="1"/>
  <c r="AK256" i="1" l="1"/>
  <c r="AN255" i="1"/>
  <c r="AM255" i="1"/>
  <c r="AL252" i="1"/>
  <c r="AK257" i="1" l="1"/>
  <c r="AN256" i="1"/>
  <c r="AM256" i="1"/>
  <c r="AL253" i="1"/>
  <c r="AK258" i="1" l="1"/>
  <c r="AN257" i="1"/>
  <c r="AM257" i="1"/>
  <c r="AL254" i="1"/>
  <c r="AK259" i="1" l="1"/>
  <c r="AN258" i="1"/>
  <c r="AM258" i="1"/>
  <c r="AL255" i="1"/>
  <c r="AK260" i="1" l="1"/>
  <c r="AN259" i="1"/>
  <c r="AM259" i="1"/>
  <c r="AL256" i="1"/>
  <c r="AK261" i="1" l="1"/>
  <c r="AN260" i="1"/>
  <c r="AM260" i="1"/>
  <c r="AL257" i="1"/>
  <c r="AK262" i="1" l="1"/>
  <c r="AM261" i="1"/>
  <c r="AN261" i="1"/>
  <c r="AL258" i="1"/>
  <c r="AK263" i="1" l="1"/>
  <c r="AN262" i="1"/>
  <c r="AM262" i="1"/>
  <c r="AL259" i="1"/>
  <c r="AK264" i="1" l="1"/>
  <c r="AM263" i="1"/>
  <c r="AN263" i="1"/>
  <c r="AL260" i="1"/>
  <c r="AK265" i="1" l="1"/>
  <c r="AN264" i="1"/>
  <c r="AM264" i="1"/>
  <c r="AL261" i="1"/>
  <c r="AK266" i="1" l="1"/>
  <c r="AN265" i="1"/>
  <c r="AM265" i="1"/>
  <c r="AL262" i="1"/>
  <c r="AK267" i="1" l="1"/>
  <c r="AM266" i="1"/>
  <c r="AN266" i="1"/>
  <c r="AL263" i="1"/>
  <c r="AK268" i="1" l="1"/>
  <c r="AN267" i="1"/>
  <c r="AM267" i="1"/>
  <c r="AL264" i="1"/>
  <c r="AK269" i="1" l="1"/>
  <c r="AN268" i="1"/>
  <c r="AM268" i="1"/>
  <c r="AL265" i="1"/>
  <c r="AK270" i="1" l="1"/>
  <c r="AN269" i="1"/>
  <c r="AM269" i="1"/>
  <c r="AL266" i="1"/>
  <c r="AK271" i="1" l="1"/>
  <c r="AN270" i="1"/>
  <c r="AM270" i="1"/>
  <c r="AL267" i="1"/>
  <c r="AK272" i="1" l="1"/>
  <c r="AN271" i="1"/>
  <c r="AM271" i="1"/>
  <c r="AL268" i="1"/>
  <c r="AK273" i="1" l="1"/>
  <c r="AN272" i="1"/>
  <c r="AM272" i="1"/>
  <c r="AL269" i="1"/>
  <c r="AK274" i="1" l="1"/>
  <c r="AN273" i="1"/>
  <c r="AM273" i="1"/>
  <c r="AL270" i="1"/>
  <c r="AK275" i="1" l="1"/>
  <c r="AN274" i="1"/>
  <c r="AM274" i="1"/>
  <c r="AL271" i="1"/>
  <c r="AK276" i="1" l="1"/>
  <c r="AN275" i="1"/>
  <c r="AM275" i="1"/>
  <c r="AL272" i="1"/>
  <c r="AK277" i="1" l="1"/>
  <c r="AM276" i="1"/>
  <c r="AN276" i="1"/>
  <c r="AL273" i="1"/>
  <c r="AK278" i="1" l="1"/>
  <c r="AN277" i="1"/>
  <c r="AM277" i="1"/>
  <c r="AL274" i="1"/>
  <c r="AK279" i="1" l="1"/>
  <c r="AN278" i="1"/>
  <c r="AM278" i="1"/>
  <c r="AL275" i="1"/>
  <c r="AK280" i="1" l="1"/>
  <c r="AM279" i="1"/>
  <c r="AN279" i="1"/>
  <c r="AL276" i="1"/>
  <c r="AK281" i="1" l="1"/>
  <c r="AN280" i="1"/>
  <c r="AM280" i="1"/>
  <c r="AL277" i="1"/>
  <c r="AK282" i="1" l="1"/>
  <c r="AN281" i="1"/>
  <c r="AM281" i="1"/>
  <c r="AL278" i="1"/>
  <c r="AK283" i="1" l="1"/>
  <c r="AN282" i="1"/>
  <c r="AM282" i="1"/>
  <c r="AL279" i="1"/>
  <c r="AK284" i="1" l="1"/>
  <c r="AN283" i="1"/>
  <c r="AM283" i="1"/>
  <c r="AL280" i="1"/>
  <c r="AK285" i="1" l="1"/>
  <c r="AN284" i="1"/>
  <c r="AM284" i="1"/>
  <c r="AL281" i="1"/>
  <c r="AK286" i="1" l="1"/>
  <c r="AN285" i="1"/>
  <c r="AM285" i="1"/>
  <c r="AL282" i="1"/>
  <c r="AK287" i="1" l="1"/>
  <c r="AN286" i="1"/>
  <c r="AM286" i="1"/>
  <c r="AL283" i="1"/>
  <c r="AK288" i="1" l="1"/>
  <c r="AN287" i="1"/>
  <c r="AM287" i="1"/>
  <c r="AL284" i="1"/>
  <c r="AK289" i="1" l="1"/>
  <c r="AN288" i="1"/>
  <c r="AM288" i="1"/>
  <c r="AL285" i="1"/>
  <c r="AK290" i="1" l="1"/>
  <c r="AN289" i="1"/>
  <c r="AM289" i="1"/>
  <c r="AL286" i="1"/>
  <c r="AK291" i="1" l="1"/>
  <c r="AN290" i="1"/>
  <c r="AM290" i="1"/>
  <c r="AL287" i="1"/>
  <c r="AK292" i="1" l="1"/>
  <c r="AN291" i="1"/>
  <c r="AM291" i="1"/>
  <c r="AL288" i="1"/>
  <c r="AK293" i="1" l="1"/>
  <c r="AN292" i="1"/>
  <c r="AM292" i="1"/>
  <c r="AL289" i="1"/>
  <c r="AK294" i="1" l="1"/>
  <c r="AN293" i="1"/>
  <c r="AM293" i="1"/>
  <c r="AL290" i="1"/>
  <c r="AK295" i="1" l="1"/>
  <c r="AM294" i="1"/>
  <c r="AN294" i="1"/>
  <c r="AL291" i="1"/>
  <c r="AK296" i="1" l="1"/>
  <c r="AM295" i="1"/>
  <c r="AN295" i="1"/>
  <c r="AL292" i="1"/>
  <c r="AK297" i="1" l="1"/>
  <c r="AN296" i="1"/>
  <c r="AM296" i="1"/>
  <c r="AL293" i="1"/>
  <c r="AK298" i="1" l="1"/>
  <c r="AM297" i="1"/>
  <c r="AN297" i="1"/>
  <c r="AL294" i="1"/>
  <c r="AK299" i="1" l="1"/>
  <c r="AN298" i="1"/>
  <c r="AM298" i="1"/>
  <c r="AL295" i="1"/>
  <c r="AK300" i="1" l="1"/>
  <c r="AN299" i="1"/>
  <c r="AM299" i="1"/>
  <c r="AL296" i="1"/>
  <c r="AK301" i="1" l="1"/>
  <c r="AN300" i="1"/>
  <c r="AM300" i="1"/>
  <c r="AL297" i="1"/>
  <c r="AK302" i="1" l="1"/>
  <c r="AN301" i="1"/>
  <c r="AM301" i="1"/>
  <c r="AL298" i="1"/>
  <c r="AK303" i="1" l="1"/>
  <c r="AN302" i="1"/>
  <c r="AM302" i="1"/>
  <c r="AL299" i="1"/>
  <c r="AK304" i="1" l="1"/>
  <c r="AM303" i="1"/>
  <c r="AN303" i="1"/>
  <c r="AL300" i="1"/>
  <c r="AK305" i="1" l="1"/>
  <c r="AN304" i="1"/>
  <c r="AM304" i="1"/>
  <c r="AL301" i="1"/>
  <c r="AK306" i="1" l="1"/>
  <c r="AN305" i="1"/>
  <c r="AM305" i="1"/>
  <c r="AL302" i="1"/>
  <c r="AK307" i="1" l="1"/>
  <c r="AN306" i="1"/>
  <c r="AM306" i="1"/>
  <c r="AL303" i="1"/>
  <c r="AK308" i="1" l="1"/>
  <c r="AN307" i="1"/>
  <c r="AM307" i="1"/>
  <c r="AL304" i="1"/>
  <c r="AK309" i="1" l="1"/>
  <c r="AN308" i="1"/>
  <c r="AM308" i="1"/>
  <c r="AL305" i="1"/>
  <c r="AK310" i="1" l="1"/>
  <c r="AN309" i="1"/>
  <c r="AM309" i="1"/>
  <c r="AL306" i="1"/>
  <c r="AK311" i="1" l="1"/>
  <c r="AN310" i="1"/>
  <c r="AM310" i="1"/>
  <c r="AL307" i="1"/>
  <c r="AK312" i="1" l="1"/>
  <c r="AN311" i="1"/>
  <c r="AM311" i="1"/>
  <c r="AL308" i="1"/>
  <c r="AK313" i="1" l="1"/>
  <c r="AN312" i="1"/>
  <c r="AM312" i="1"/>
  <c r="AL309" i="1"/>
  <c r="AK314" i="1" l="1"/>
  <c r="AN313" i="1"/>
  <c r="AM313" i="1"/>
  <c r="AL310" i="1"/>
  <c r="AK315" i="1" l="1"/>
  <c r="AN314" i="1"/>
  <c r="AM314" i="1"/>
  <c r="AL311" i="1"/>
  <c r="AK316" i="1" l="1"/>
  <c r="AN315" i="1"/>
  <c r="AM315" i="1"/>
  <c r="AL312" i="1"/>
  <c r="AK317" i="1" l="1"/>
  <c r="AN316" i="1"/>
  <c r="AM316" i="1"/>
  <c r="AL313" i="1"/>
  <c r="AK318" i="1" l="1"/>
  <c r="AN317" i="1"/>
  <c r="AM317" i="1"/>
  <c r="AL314" i="1"/>
  <c r="AK319" i="1" l="1"/>
  <c r="AN318" i="1"/>
  <c r="AM318" i="1"/>
  <c r="AL315" i="1"/>
  <c r="AK320" i="1" l="1"/>
  <c r="AN319" i="1"/>
  <c r="AM319" i="1"/>
  <c r="AL316" i="1"/>
  <c r="AK321" i="1" l="1"/>
  <c r="AN320" i="1"/>
  <c r="AM320" i="1"/>
  <c r="AL317" i="1"/>
  <c r="AK322" i="1" l="1"/>
  <c r="AN321" i="1"/>
  <c r="AM321" i="1"/>
  <c r="AL318" i="1"/>
  <c r="AK323" i="1" l="1"/>
  <c r="AN322" i="1"/>
  <c r="AM322" i="1"/>
  <c r="AL319" i="1"/>
  <c r="AK324" i="1" l="1"/>
  <c r="AN323" i="1"/>
  <c r="AM323" i="1"/>
  <c r="AL320" i="1"/>
  <c r="AK325" i="1" l="1"/>
  <c r="AN324" i="1"/>
  <c r="AM324" i="1"/>
  <c r="AL321" i="1"/>
  <c r="AK326" i="1" l="1"/>
  <c r="AN325" i="1"/>
  <c r="AM325" i="1"/>
  <c r="AL322" i="1"/>
  <c r="AK327" i="1" l="1"/>
  <c r="AN326" i="1"/>
  <c r="AM326" i="1"/>
  <c r="AL323" i="1"/>
  <c r="AK328" i="1" l="1"/>
  <c r="AN327" i="1"/>
  <c r="AM327" i="1"/>
  <c r="AL324" i="1"/>
  <c r="AK329" i="1" l="1"/>
  <c r="AN328" i="1"/>
  <c r="AM328" i="1"/>
  <c r="AL325" i="1"/>
  <c r="AK330" i="1" l="1"/>
  <c r="AN329" i="1"/>
  <c r="AM329" i="1"/>
  <c r="AL326" i="1"/>
  <c r="AK331" i="1" l="1"/>
  <c r="AN330" i="1"/>
  <c r="AM330" i="1"/>
  <c r="AL327" i="1"/>
  <c r="AK332" i="1" l="1"/>
  <c r="AN331" i="1"/>
  <c r="AM331" i="1"/>
  <c r="AL328" i="1"/>
  <c r="AK333" i="1" l="1"/>
  <c r="AN332" i="1"/>
  <c r="AM332" i="1"/>
  <c r="AL329" i="1"/>
  <c r="AK334" i="1" l="1"/>
  <c r="AN333" i="1"/>
  <c r="AM333" i="1"/>
  <c r="AL330" i="1"/>
  <c r="AK335" i="1" l="1"/>
  <c r="AN334" i="1"/>
  <c r="AM334" i="1"/>
  <c r="AL331" i="1"/>
  <c r="AK336" i="1" l="1"/>
  <c r="AN335" i="1"/>
  <c r="AM335" i="1"/>
  <c r="AL332" i="1"/>
  <c r="AK337" i="1" l="1"/>
  <c r="AN336" i="1"/>
  <c r="AM336" i="1"/>
  <c r="AL333" i="1"/>
  <c r="AK338" i="1" l="1"/>
  <c r="AN337" i="1"/>
  <c r="AM337" i="1"/>
  <c r="AL334" i="1"/>
  <c r="AK339" i="1" l="1"/>
  <c r="AN338" i="1"/>
  <c r="AM338" i="1"/>
  <c r="AL335" i="1"/>
  <c r="AK340" i="1" l="1"/>
  <c r="AM339" i="1"/>
  <c r="AN339" i="1"/>
  <c r="AL336" i="1"/>
  <c r="AK341" i="1" l="1"/>
  <c r="AN340" i="1"/>
  <c r="AM340" i="1"/>
  <c r="AL337" i="1"/>
  <c r="AK342" i="1" l="1"/>
  <c r="AN341" i="1"/>
  <c r="AM341" i="1"/>
  <c r="AL338" i="1"/>
  <c r="AK343" i="1" l="1"/>
  <c r="AN342" i="1"/>
  <c r="AM342" i="1"/>
  <c r="AL339" i="1"/>
  <c r="AK344" i="1" l="1"/>
  <c r="AN343" i="1"/>
  <c r="AM343" i="1"/>
  <c r="AL340" i="1"/>
  <c r="AK345" i="1" l="1"/>
  <c r="AN344" i="1"/>
  <c r="AM344" i="1"/>
  <c r="AL341" i="1"/>
  <c r="AK346" i="1" l="1"/>
  <c r="AM345" i="1"/>
  <c r="AN345" i="1"/>
  <c r="AL342" i="1"/>
  <c r="AK347" i="1" l="1"/>
  <c r="AN346" i="1"/>
  <c r="AM346" i="1"/>
  <c r="AL343" i="1"/>
  <c r="AK348" i="1" l="1"/>
  <c r="AN347" i="1"/>
  <c r="AM347" i="1"/>
  <c r="AL344" i="1"/>
  <c r="AK349" i="1" l="1"/>
  <c r="AN348" i="1"/>
  <c r="AM348" i="1"/>
  <c r="AL345" i="1"/>
  <c r="AK350" i="1" l="1"/>
  <c r="AN349" i="1"/>
  <c r="AM349" i="1"/>
  <c r="AL346" i="1"/>
  <c r="AK351" i="1" l="1"/>
  <c r="AM350" i="1"/>
  <c r="AN350" i="1"/>
  <c r="AL347" i="1"/>
  <c r="AK352" i="1" l="1"/>
  <c r="AN351" i="1"/>
  <c r="AM351" i="1"/>
  <c r="AL348" i="1"/>
  <c r="AK353" i="1" l="1"/>
  <c r="AN352" i="1"/>
  <c r="AM352" i="1"/>
  <c r="AL349" i="1"/>
  <c r="AK354" i="1" l="1"/>
  <c r="AN353" i="1"/>
  <c r="AM353" i="1"/>
  <c r="AL350" i="1"/>
  <c r="AK355" i="1" l="1"/>
  <c r="AN354" i="1"/>
  <c r="AM354" i="1"/>
  <c r="AL351" i="1"/>
  <c r="AK356" i="1" l="1"/>
  <c r="AN355" i="1"/>
  <c r="AM355" i="1"/>
  <c r="AL352" i="1"/>
  <c r="AK357" i="1" l="1"/>
  <c r="AN356" i="1"/>
  <c r="AM356" i="1"/>
  <c r="AL353" i="1"/>
  <c r="AK358" i="1" l="1"/>
  <c r="AN357" i="1"/>
  <c r="AM357" i="1"/>
  <c r="AL354" i="1"/>
  <c r="AK359" i="1" l="1"/>
  <c r="AN358" i="1"/>
  <c r="AM358" i="1"/>
  <c r="AL355" i="1"/>
  <c r="AK360" i="1" l="1"/>
  <c r="AN359" i="1"/>
  <c r="AM359" i="1"/>
  <c r="AL356" i="1"/>
  <c r="AK361" i="1" l="1"/>
  <c r="AN360" i="1"/>
  <c r="AM360" i="1"/>
  <c r="AL357" i="1"/>
  <c r="AK362" i="1" l="1"/>
  <c r="AN361" i="1"/>
  <c r="AM361" i="1"/>
  <c r="AL358" i="1"/>
  <c r="AK363" i="1" l="1"/>
  <c r="AN362" i="1"/>
  <c r="AM362" i="1"/>
  <c r="AL359" i="1"/>
  <c r="AK364" i="1" l="1"/>
  <c r="AN363" i="1"/>
  <c r="AM363" i="1"/>
  <c r="AL360" i="1"/>
  <c r="AK365" i="1" l="1"/>
  <c r="AM364" i="1"/>
  <c r="AN364" i="1"/>
  <c r="AL361" i="1"/>
  <c r="AK366" i="1" l="1"/>
  <c r="AN365" i="1"/>
  <c r="AM365" i="1"/>
  <c r="AL362" i="1"/>
  <c r="AK367" i="1" l="1"/>
  <c r="AN366" i="1"/>
  <c r="AM366" i="1"/>
  <c r="AL363" i="1"/>
  <c r="AK368" i="1" l="1"/>
  <c r="AN367" i="1"/>
  <c r="AM367" i="1"/>
  <c r="AL364" i="1"/>
  <c r="AK369" i="1" l="1"/>
  <c r="AN368" i="1"/>
  <c r="AM368" i="1"/>
  <c r="AL365" i="1"/>
  <c r="AK370" i="1" l="1"/>
  <c r="AN369" i="1"/>
  <c r="AM369" i="1"/>
  <c r="AL366" i="1"/>
  <c r="AK371" i="1" l="1"/>
  <c r="AN370" i="1"/>
  <c r="AM370" i="1"/>
  <c r="AL367" i="1"/>
  <c r="AK372" i="1" l="1"/>
  <c r="AN371" i="1"/>
  <c r="AM371" i="1"/>
  <c r="AL368" i="1"/>
  <c r="AK373" i="1" l="1"/>
  <c r="AN372" i="1"/>
  <c r="AM372" i="1"/>
  <c r="AL369" i="1"/>
  <c r="AK374" i="1" l="1"/>
  <c r="AN373" i="1"/>
  <c r="AM373" i="1"/>
  <c r="AL370" i="1"/>
  <c r="AK375" i="1" l="1"/>
  <c r="AN374" i="1"/>
  <c r="AM374" i="1"/>
  <c r="AL371" i="1"/>
  <c r="AK376" i="1" l="1"/>
  <c r="AN375" i="1"/>
  <c r="AM375" i="1"/>
  <c r="AL372" i="1"/>
  <c r="AK377" i="1" l="1"/>
  <c r="AN376" i="1"/>
  <c r="AM376" i="1"/>
  <c r="AL373" i="1"/>
  <c r="AK378" i="1" l="1"/>
  <c r="AN377" i="1"/>
  <c r="AM377" i="1"/>
  <c r="AL374" i="1"/>
  <c r="AK379" i="1" l="1"/>
  <c r="AM378" i="1"/>
  <c r="AN378" i="1"/>
  <c r="AL375" i="1"/>
  <c r="AK380" i="1" l="1"/>
  <c r="AN379" i="1"/>
  <c r="AM379" i="1"/>
  <c r="AL376" i="1"/>
  <c r="AK381" i="1" l="1"/>
  <c r="AN380" i="1"/>
  <c r="AM380" i="1"/>
  <c r="AL377" i="1"/>
  <c r="AK382" i="1" l="1"/>
  <c r="AM381" i="1"/>
  <c r="AN381" i="1"/>
  <c r="AL378" i="1"/>
  <c r="AK383" i="1" l="1"/>
  <c r="AN382" i="1"/>
  <c r="AM382" i="1"/>
  <c r="AL379" i="1"/>
  <c r="AK384" i="1" l="1"/>
  <c r="AN383" i="1"/>
  <c r="AM383" i="1"/>
  <c r="AL380" i="1"/>
  <c r="AK385" i="1" l="1"/>
  <c r="AN384" i="1"/>
  <c r="AM384" i="1"/>
  <c r="AL381" i="1"/>
  <c r="AK386" i="1" l="1"/>
  <c r="AN385" i="1"/>
  <c r="AM385" i="1"/>
  <c r="AL382" i="1"/>
  <c r="AK387" i="1" l="1"/>
  <c r="AN386" i="1"/>
  <c r="AM386" i="1"/>
  <c r="AL383" i="1"/>
  <c r="AK388" i="1" l="1"/>
  <c r="AN387" i="1"/>
  <c r="AM387" i="1"/>
  <c r="AL384" i="1"/>
  <c r="AK389" i="1" l="1"/>
  <c r="AN388" i="1"/>
  <c r="AM388" i="1"/>
  <c r="AL385" i="1"/>
  <c r="AK390" i="1" l="1"/>
  <c r="AN389" i="1"/>
  <c r="AM389" i="1"/>
  <c r="AL386" i="1"/>
  <c r="AK391" i="1" l="1"/>
  <c r="AN390" i="1"/>
  <c r="AM390" i="1"/>
  <c r="AL387" i="1"/>
  <c r="AK392" i="1" l="1"/>
  <c r="AN391" i="1"/>
  <c r="AM391" i="1"/>
  <c r="AL388" i="1"/>
  <c r="AK393" i="1" l="1"/>
  <c r="AM392" i="1"/>
  <c r="AN392" i="1"/>
  <c r="AL389" i="1"/>
  <c r="AK394" i="1" l="1"/>
  <c r="AN393" i="1"/>
  <c r="AM393" i="1"/>
  <c r="AL390" i="1"/>
  <c r="AK395" i="1" l="1"/>
  <c r="AM394" i="1"/>
  <c r="AN394" i="1"/>
  <c r="AL391" i="1"/>
  <c r="AK396" i="1" l="1"/>
  <c r="AM395" i="1"/>
  <c r="AN395" i="1"/>
  <c r="AL392" i="1"/>
  <c r="AK397" i="1" l="1"/>
  <c r="AN396" i="1"/>
  <c r="AM396" i="1"/>
  <c r="AL393" i="1"/>
  <c r="AK398" i="1" l="1"/>
  <c r="AN397" i="1"/>
  <c r="AM397" i="1"/>
  <c r="AL394" i="1"/>
  <c r="AK399" i="1" l="1"/>
  <c r="AN398" i="1"/>
  <c r="AM398" i="1"/>
  <c r="AL395" i="1"/>
  <c r="AK400" i="1" l="1"/>
  <c r="AN399" i="1"/>
  <c r="AM399" i="1"/>
  <c r="AL396" i="1"/>
  <c r="AK401" i="1" l="1"/>
  <c r="AN400" i="1"/>
  <c r="AM400" i="1"/>
  <c r="AL397" i="1"/>
  <c r="AK402" i="1" l="1"/>
  <c r="AM401" i="1"/>
  <c r="AN401" i="1"/>
  <c r="AL398" i="1"/>
  <c r="AK403" i="1" l="1"/>
  <c r="AN402" i="1"/>
  <c r="AM402" i="1"/>
  <c r="AL399" i="1"/>
  <c r="AK404" i="1" l="1"/>
  <c r="AM403" i="1"/>
  <c r="AN403" i="1"/>
  <c r="AL400" i="1"/>
  <c r="AK405" i="1" l="1"/>
  <c r="AN404" i="1"/>
  <c r="AM404" i="1"/>
  <c r="AL401" i="1"/>
  <c r="AK406" i="1" l="1"/>
  <c r="AN405" i="1"/>
  <c r="AM405" i="1"/>
  <c r="AL402" i="1"/>
  <c r="AK407" i="1" l="1"/>
  <c r="AN406" i="1"/>
  <c r="AM406" i="1"/>
  <c r="AL403" i="1"/>
  <c r="AK408" i="1" l="1"/>
  <c r="AN407" i="1"/>
  <c r="AM407" i="1"/>
  <c r="AL404" i="1"/>
  <c r="AK409" i="1" l="1"/>
  <c r="AN408" i="1"/>
  <c r="AM408" i="1"/>
  <c r="AL405" i="1"/>
  <c r="AK410" i="1" l="1"/>
  <c r="AN409" i="1"/>
  <c r="AM409" i="1"/>
  <c r="AL406" i="1"/>
  <c r="AK411" i="1" l="1"/>
  <c r="AN410" i="1"/>
  <c r="AM410" i="1"/>
  <c r="AL407" i="1"/>
  <c r="AK412" i="1" l="1"/>
  <c r="AN411" i="1"/>
  <c r="AM411" i="1"/>
  <c r="AL408" i="1"/>
  <c r="AK413" i="1" l="1"/>
  <c r="AN412" i="1"/>
  <c r="AM412" i="1"/>
  <c r="AL409" i="1"/>
  <c r="AK414" i="1" l="1"/>
  <c r="AN413" i="1"/>
  <c r="AM413" i="1"/>
  <c r="AL410" i="1"/>
  <c r="AK415" i="1" l="1"/>
  <c r="AN414" i="1"/>
  <c r="AM414" i="1"/>
  <c r="AL411" i="1"/>
  <c r="AK416" i="1" l="1"/>
  <c r="AN415" i="1"/>
  <c r="AM415" i="1"/>
  <c r="AL412" i="1"/>
  <c r="AK417" i="1" l="1"/>
  <c r="AN416" i="1"/>
  <c r="AM416" i="1"/>
  <c r="AL413" i="1"/>
  <c r="AK418" i="1" l="1"/>
  <c r="AN417" i="1"/>
  <c r="AM417" i="1"/>
  <c r="AL414" i="1"/>
  <c r="AK419" i="1" l="1"/>
  <c r="AN418" i="1"/>
  <c r="AM418" i="1"/>
  <c r="AL415" i="1"/>
  <c r="AK420" i="1" l="1"/>
  <c r="AN419" i="1"/>
  <c r="AM419" i="1"/>
  <c r="AL416" i="1"/>
  <c r="AK421" i="1" l="1"/>
  <c r="AN420" i="1"/>
  <c r="AM420" i="1"/>
  <c r="AL417" i="1"/>
  <c r="AK422" i="1" l="1"/>
  <c r="AN421" i="1"/>
  <c r="AM421" i="1"/>
  <c r="AL418" i="1"/>
  <c r="AK423" i="1" l="1"/>
  <c r="AM422" i="1"/>
  <c r="AN422" i="1"/>
  <c r="AL419" i="1"/>
  <c r="AK424" i="1" l="1"/>
  <c r="AM423" i="1"/>
  <c r="AN423" i="1"/>
  <c r="AL420" i="1"/>
  <c r="AK425" i="1" l="1"/>
  <c r="AN424" i="1"/>
  <c r="AM424" i="1"/>
  <c r="AL421" i="1"/>
  <c r="AK426" i="1" l="1"/>
  <c r="AN425" i="1"/>
  <c r="AM425" i="1"/>
  <c r="AL422" i="1"/>
  <c r="AK427" i="1" l="1"/>
  <c r="AM426" i="1"/>
  <c r="AN426" i="1"/>
  <c r="AL423" i="1"/>
  <c r="AK428" i="1" l="1"/>
  <c r="AN427" i="1"/>
  <c r="AM427" i="1"/>
  <c r="AL424" i="1"/>
  <c r="AK429" i="1" l="1"/>
  <c r="AN428" i="1"/>
  <c r="AM428" i="1"/>
  <c r="AL425" i="1"/>
  <c r="AK430" i="1" l="1"/>
  <c r="AN429" i="1"/>
  <c r="AM429" i="1"/>
  <c r="AL426" i="1"/>
  <c r="AK431" i="1" l="1"/>
  <c r="AN430" i="1"/>
  <c r="AM430" i="1"/>
  <c r="AL427" i="1"/>
  <c r="AK432" i="1" l="1"/>
  <c r="AN431" i="1"/>
  <c r="AM431" i="1"/>
  <c r="AL428" i="1"/>
  <c r="AK433" i="1" l="1"/>
  <c r="AN432" i="1"/>
  <c r="AM432" i="1"/>
  <c r="AL429" i="1"/>
  <c r="AK434" i="1" l="1"/>
  <c r="AN433" i="1"/>
  <c r="AM433" i="1"/>
  <c r="AL430" i="1"/>
  <c r="AK435" i="1" l="1"/>
  <c r="AM434" i="1"/>
  <c r="AN434" i="1"/>
  <c r="AL431" i="1"/>
  <c r="AK436" i="1" l="1"/>
  <c r="AN435" i="1"/>
  <c r="AM435" i="1"/>
  <c r="AL432" i="1"/>
  <c r="AK437" i="1" l="1"/>
  <c r="AM436" i="1"/>
  <c r="AN436" i="1"/>
  <c r="AL433" i="1"/>
  <c r="AK438" i="1" l="1"/>
  <c r="AN437" i="1"/>
  <c r="AM437" i="1"/>
  <c r="AL434" i="1"/>
  <c r="AK439" i="1" l="1"/>
  <c r="AN438" i="1"/>
  <c r="AM438" i="1"/>
  <c r="AL435" i="1"/>
  <c r="AK440" i="1" l="1"/>
  <c r="AN439" i="1"/>
  <c r="AM439" i="1"/>
  <c r="AL436" i="1"/>
  <c r="AK441" i="1" l="1"/>
  <c r="AN440" i="1"/>
  <c r="AM440" i="1"/>
  <c r="AL437" i="1"/>
  <c r="AK442" i="1" l="1"/>
  <c r="AN441" i="1"/>
  <c r="AM441" i="1"/>
  <c r="AL438" i="1"/>
  <c r="AK443" i="1" l="1"/>
  <c r="AN442" i="1"/>
  <c r="AM442" i="1"/>
  <c r="AL439" i="1"/>
  <c r="AK444" i="1" l="1"/>
  <c r="AN443" i="1"/>
  <c r="AM443" i="1"/>
  <c r="AL440" i="1"/>
  <c r="AK445" i="1" l="1"/>
  <c r="AM444" i="1"/>
  <c r="AN444" i="1"/>
  <c r="AL441" i="1"/>
  <c r="AK446" i="1" l="1"/>
  <c r="AN445" i="1"/>
  <c r="AM445" i="1"/>
  <c r="AL442" i="1"/>
  <c r="AK447" i="1" l="1"/>
  <c r="AN446" i="1"/>
  <c r="AM446" i="1"/>
  <c r="AL443" i="1"/>
  <c r="AK448" i="1" l="1"/>
  <c r="AN447" i="1"/>
  <c r="AM447" i="1"/>
  <c r="AL444" i="1"/>
  <c r="AK449" i="1" l="1"/>
  <c r="AN448" i="1"/>
  <c r="AM448" i="1"/>
  <c r="AL445" i="1"/>
  <c r="AK450" i="1" l="1"/>
  <c r="AN449" i="1"/>
  <c r="AM449" i="1"/>
  <c r="AL446" i="1"/>
  <c r="AK451" i="1" l="1"/>
  <c r="AN450" i="1"/>
  <c r="AM450" i="1"/>
  <c r="AL447" i="1"/>
  <c r="AK452" i="1" l="1"/>
  <c r="AN451" i="1"/>
  <c r="AM451" i="1"/>
  <c r="AL448" i="1"/>
  <c r="AK453" i="1" l="1"/>
  <c r="AN452" i="1"/>
  <c r="AM452" i="1"/>
  <c r="AL449" i="1"/>
  <c r="AK454" i="1" l="1"/>
  <c r="AN453" i="1"/>
  <c r="AM453" i="1"/>
  <c r="AL450" i="1"/>
  <c r="AK455" i="1" l="1"/>
  <c r="AN454" i="1"/>
  <c r="AM454" i="1"/>
  <c r="AL451" i="1"/>
  <c r="AK456" i="1" l="1"/>
  <c r="AN455" i="1"/>
  <c r="AM455" i="1"/>
  <c r="AL452" i="1"/>
  <c r="AK457" i="1" l="1"/>
  <c r="AN456" i="1"/>
  <c r="AM456" i="1"/>
  <c r="AL453" i="1"/>
  <c r="AK458" i="1" l="1"/>
  <c r="AN457" i="1"/>
  <c r="AM457" i="1"/>
  <c r="AL454" i="1"/>
  <c r="AK459" i="1" l="1"/>
  <c r="AN458" i="1"/>
  <c r="AM458" i="1"/>
  <c r="AL455" i="1"/>
  <c r="AK460" i="1" l="1"/>
  <c r="AN459" i="1"/>
  <c r="AM459" i="1"/>
  <c r="AL456" i="1"/>
  <c r="AK461" i="1" l="1"/>
  <c r="AN460" i="1"/>
  <c r="AM460" i="1"/>
  <c r="AL457" i="1"/>
  <c r="AK462" i="1" l="1"/>
  <c r="AN461" i="1"/>
  <c r="AM461" i="1"/>
  <c r="AL458" i="1"/>
  <c r="AK463" i="1" l="1"/>
  <c r="AN462" i="1"/>
  <c r="AM462" i="1"/>
  <c r="AL459" i="1"/>
  <c r="AK464" i="1" l="1"/>
  <c r="AN463" i="1"/>
  <c r="AM463" i="1"/>
  <c r="AL460" i="1"/>
  <c r="AK465" i="1" l="1"/>
  <c r="AM464" i="1"/>
  <c r="AN464" i="1"/>
  <c r="AL461" i="1"/>
  <c r="AK466" i="1" l="1"/>
  <c r="AN465" i="1"/>
  <c r="AM465" i="1"/>
  <c r="AL462" i="1"/>
  <c r="AK467" i="1" l="1"/>
  <c r="AN466" i="1"/>
  <c r="AM466" i="1"/>
  <c r="AL463" i="1"/>
  <c r="AK468" i="1" l="1"/>
  <c r="AN467" i="1"/>
  <c r="AM467" i="1"/>
  <c r="AL464" i="1"/>
  <c r="AK469" i="1" l="1"/>
  <c r="AN468" i="1"/>
  <c r="AM468" i="1"/>
  <c r="AL465" i="1"/>
  <c r="AK470" i="1" l="1"/>
  <c r="AN469" i="1"/>
  <c r="AM469" i="1"/>
  <c r="AL466" i="1"/>
  <c r="AK471" i="1" l="1"/>
  <c r="AN470" i="1"/>
  <c r="AM470" i="1"/>
  <c r="AL467" i="1"/>
  <c r="AK472" i="1" l="1"/>
  <c r="AN471" i="1"/>
  <c r="AM471" i="1"/>
  <c r="AL468" i="1"/>
  <c r="AK473" i="1" l="1"/>
  <c r="AN472" i="1"/>
  <c r="AM472" i="1"/>
  <c r="AL469" i="1"/>
  <c r="AK474" i="1" l="1"/>
  <c r="AN473" i="1"/>
  <c r="AM473" i="1"/>
  <c r="AL470" i="1"/>
  <c r="AK475" i="1" l="1"/>
  <c r="AN474" i="1"/>
  <c r="AM474" i="1"/>
  <c r="AL471" i="1"/>
  <c r="AK476" i="1" l="1"/>
  <c r="AN475" i="1"/>
  <c r="AM475" i="1"/>
  <c r="AL472" i="1"/>
  <c r="AK477" i="1" l="1"/>
  <c r="AN476" i="1"/>
  <c r="AM476" i="1"/>
  <c r="AL473" i="1"/>
  <c r="AK478" i="1" l="1"/>
  <c r="AM477" i="1"/>
  <c r="AN477" i="1"/>
  <c r="AL474" i="1"/>
  <c r="AK479" i="1" l="1"/>
  <c r="AN478" i="1"/>
  <c r="AM478" i="1"/>
  <c r="AL475" i="1"/>
  <c r="AK480" i="1" l="1"/>
  <c r="AN479" i="1"/>
  <c r="AM479" i="1"/>
  <c r="AL476" i="1"/>
  <c r="AK481" i="1" l="1"/>
  <c r="AN480" i="1"/>
  <c r="AM480" i="1"/>
  <c r="AL477" i="1"/>
  <c r="AK482" i="1" l="1"/>
  <c r="AN481" i="1"/>
  <c r="AM481" i="1"/>
  <c r="AL478" i="1"/>
  <c r="AK483" i="1" l="1"/>
  <c r="AN482" i="1"/>
  <c r="AM482" i="1"/>
  <c r="AL479" i="1"/>
  <c r="AK484" i="1" l="1"/>
  <c r="AN483" i="1"/>
  <c r="AM483" i="1"/>
  <c r="AL480" i="1"/>
  <c r="AK485" i="1" l="1"/>
  <c r="AN484" i="1"/>
  <c r="AM484" i="1"/>
  <c r="AL481" i="1"/>
  <c r="AK486" i="1" l="1"/>
  <c r="AN485" i="1"/>
  <c r="AM485" i="1"/>
  <c r="AL482" i="1"/>
  <c r="AK487" i="1" l="1"/>
  <c r="AM486" i="1"/>
  <c r="AN486" i="1"/>
  <c r="AL483" i="1"/>
  <c r="AK488" i="1" l="1"/>
  <c r="AN487" i="1"/>
  <c r="AM487" i="1"/>
  <c r="AL484" i="1"/>
  <c r="AK489" i="1" l="1"/>
  <c r="AN488" i="1"/>
  <c r="AM488" i="1"/>
  <c r="AL485" i="1"/>
  <c r="AK490" i="1" l="1"/>
  <c r="AN489" i="1"/>
  <c r="AM489" i="1"/>
  <c r="AL486" i="1"/>
  <c r="AK491" i="1" l="1"/>
  <c r="AM490" i="1"/>
  <c r="AN490" i="1"/>
  <c r="AL487" i="1"/>
  <c r="AK492" i="1" l="1"/>
  <c r="AN491" i="1"/>
  <c r="AM491" i="1"/>
  <c r="AL488" i="1"/>
  <c r="AK493" i="1" l="1"/>
  <c r="AM492" i="1"/>
  <c r="AN492" i="1"/>
  <c r="AL489" i="1"/>
  <c r="AK494" i="1" l="1"/>
  <c r="AM493" i="1"/>
  <c r="AN493" i="1"/>
  <c r="AL490" i="1"/>
  <c r="AK495" i="1" l="1"/>
  <c r="AN494" i="1"/>
  <c r="AM494" i="1"/>
  <c r="AL491" i="1"/>
  <c r="AK496" i="1" l="1"/>
  <c r="AN495" i="1"/>
  <c r="AM495" i="1"/>
  <c r="AL492" i="1"/>
  <c r="AK497" i="1" l="1"/>
  <c r="AN496" i="1"/>
  <c r="AM496" i="1"/>
  <c r="AL493" i="1"/>
  <c r="AK498" i="1" l="1"/>
  <c r="AN497" i="1"/>
  <c r="AM497" i="1"/>
  <c r="AL494" i="1"/>
  <c r="AK499" i="1" l="1"/>
  <c r="AN498" i="1"/>
  <c r="AM498" i="1"/>
  <c r="AL495" i="1"/>
  <c r="AK500" i="1" l="1"/>
  <c r="AN499" i="1"/>
  <c r="AM499" i="1"/>
  <c r="AL496" i="1"/>
  <c r="AK501" i="1" l="1"/>
  <c r="AN500" i="1"/>
  <c r="AM500" i="1"/>
  <c r="AL497" i="1"/>
  <c r="AK502" i="1" l="1"/>
  <c r="AN501" i="1"/>
  <c r="AM501" i="1"/>
  <c r="AL498" i="1"/>
  <c r="AK503" i="1" l="1"/>
  <c r="AN502" i="1"/>
  <c r="AM502" i="1"/>
  <c r="AL499" i="1"/>
  <c r="AK504" i="1" l="1"/>
  <c r="AN503" i="1"/>
  <c r="AM503" i="1"/>
  <c r="AL500" i="1"/>
  <c r="AK505" i="1" l="1"/>
  <c r="AN504" i="1"/>
  <c r="AM504" i="1"/>
  <c r="AL501" i="1"/>
  <c r="AK506" i="1" l="1"/>
  <c r="AN505" i="1"/>
  <c r="AM505" i="1"/>
  <c r="AL502" i="1"/>
  <c r="AK507" i="1" l="1"/>
  <c r="AN506" i="1"/>
  <c r="AM506" i="1"/>
  <c r="AL503" i="1"/>
  <c r="AK508" i="1" l="1"/>
  <c r="AN507" i="1"/>
  <c r="AM507" i="1"/>
  <c r="AL504" i="1"/>
  <c r="AK509" i="1" l="1"/>
  <c r="AN508" i="1"/>
  <c r="AM508" i="1"/>
  <c r="AL505" i="1"/>
  <c r="AK510" i="1" l="1"/>
  <c r="AN509" i="1"/>
  <c r="AM509" i="1"/>
  <c r="AL506" i="1"/>
  <c r="AK511" i="1" l="1"/>
  <c r="AN510" i="1"/>
  <c r="AM510" i="1"/>
  <c r="AL507" i="1"/>
  <c r="AK512" i="1" l="1"/>
  <c r="AN511" i="1"/>
  <c r="AM511" i="1"/>
  <c r="AL508" i="1"/>
  <c r="AK513" i="1" l="1"/>
  <c r="AN512" i="1"/>
  <c r="AM512" i="1"/>
  <c r="AL509" i="1"/>
  <c r="AK514" i="1" l="1"/>
  <c r="AN513" i="1"/>
  <c r="AM513" i="1"/>
  <c r="AL510" i="1"/>
  <c r="AK515" i="1" l="1"/>
  <c r="AM514" i="1"/>
  <c r="AN514" i="1"/>
  <c r="AL511" i="1"/>
  <c r="AK516" i="1" l="1"/>
  <c r="AN515" i="1"/>
  <c r="AM515" i="1"/>
  <c r="AL512" i="1"/>
  <c r="AK517" i="1" l="1"/>
  <c r="AN516" i="1"/>
  <c r="AM516" i="1"/>
  <c r="AL513" i="1"/>
  <c r="AK518" i="1" l="1"/>
  <c r="AN517" i="1"/>
  <c r="AM517" i="1"/>
  <c r="AL514" i="1"/>
  <c r="AK519" i="1" l="1"/>
  <c r="AM518" i="1"/>
  <c r="AN518" i="1"/>
  <c r="AL515" i="1"/>
  <c r="AK520" i="1" l="1"/>
  <c r="AM519" i="1"/>
  <c r="AN519" i="1"/>
  <c r="AL516" i="1"/>
  <c r="AK521" i="1" l="1"/>
  <c r="AN520" i="1"/>
  <c r="AM520" i="1"/>
  <c r="AL517" i="1"/>
  <c r="AK522" i="1" l="1"/>
  <c r="AM521" i="1"/>
  <c r="AN521" i="1"/>
  <c r="AL518" i="1"/>
  <c r="AK523" i="1" l="1"/>
  <c r="AN522" i="1"/>
  <c r="AM522" i="1"/>
  <c r="AL519" i="1"/>
  <c r="AK524" i="1" l="1"/>
  <c r="AN523" i="1"/>
  <c r="AM523" i="1"/>
  <c r="AL520" i="1"/>
  <c r="AK525" i="1" l="1"/>
  <c r="AN524" i="1"/>
  <c r="AM524" i="1"/>
  <c r="AL521" i="1"/>
  <c r="AK526" i="1" l="1"/>
  <c r="AN525" i="1"/>
  <c r="AM525" i="1"/>
  <c r="AL522" i="1"/>
  <c r="AK527" i="1" l="1"/>
  <c r="AN526" i="1"/>
  <c r="AM526" i="1"/>
  <c r="AL523" i="1"/>
  <c r="AK528" i="1" l="1"/>
  <c r="AN527" i="1"/>
  <c r="AM527" i="1"/>
  <c r="AL524" i="1"/>
  <c r="AK529" i="1" l="1"/>
  <c r="AN528" i="1"/>
  <c r="AM528" i="1"/>
  <c r="AL525" i="1"/>
  <c r="AK530" i="1" l="1"/>
  <c r="AN529" i="1"/>
  <c r="AM529" i="1"/>
  <c r="AL526" i="1"/>
  <c r="AK531" i="1" l="1"/>
  <c r="AN530" i="1"/>
  <c r="AM530" i="1"/>
  <c r="AL527" i="1"/>
  <c r="AK532" i="1" l="1"/>
  <c r="AN531" i="1"/>
  <c r="AM531" i="1"/>
  <c r="AL528" i="1"/>
  <c r="AK533" i="1" l="1"/>
  <c r="AN532" i="1"/>
  <c r="AM532" i="1"/>
  <c r="AL529" i="1"/>
  <c r="AK534" i="1" l="1"/>
  <c r="AN533" i="1"/>
  <c r="AM533" i="1"/>
  <c r="AL530" i="1"/>
  <c r="AK535" i="1" l="1"/>
  <c r="AN534" i="1"/>
  <c r="AM534" i="1"/>
  <c r="AL531" i="1"/>
  <c r="AK536" i="1" l="1"/>
  <c r="AN535" i="1"/>
  <c r="AM535" i="1"/>
  <c r="AL532" i="1"/>
  <c r="AK537" i="1" l="1"/>
  <c r="AN536" i="1"/>
  <c r="AM536" i="1"/>
  <c r="AL533" i="1"/>
  <c r="AK538" i="1" l="1"/>
  <c r="AN537" i="1"/>
  <c r="AM537" i="1"/>
  <c r="AL534" i="1"/>
  <c r="AK539" i="1" l="1"/>
  <c r="AN538" i="1"/>
  <c r="AM538" i="1"/>
  <c r="AL535" i="1"/>
  <c r="AK540" i="1" l="1"/>
  <c r="AN539" i="1"/>
  <c r="AM539" i="1"/>
  <c r="AL536" i="1"/>
  <c r="AK541" i="1" l="1"/>
  <c r="AN540" i="1"/>
  <c r="AM540" i="1"/>
  <c r="AL537" i="1"/>
  <c r="AK542" i="1" l="1"/>
  <c r="AN541" i="1"/>
  <c r="AM541" i="1"/>
  <c r="AL538" i="1"/>
  <c r="AK543" i="1" l="1"/>
  <c r="AN542" i="1"/>
  <c r="AM542" i="1"/>
  <c r="AL539" i="1"/>
  <c r="AK544" i="1" l="1"/>
  <c r="AN543" i="1"/>
  <c r="AM543" i="1"/>
  <c r="AL540" i="1"/>
  <c r="AK545" i="1" l="1"/>
  <c r="AN544" i="1"/>
  <c r="AM544" i="1"/>
  <c r="AL541" i="1"/>
  <c r="AK546" i="1" l="1"/>
  <c r="AN545" i="1"/>
  <c r="AM545" i="1"/>
  <c r="AL542" i="1"/>
  <c r="AK547" i="1" l="1"/>
  <c r="AN546" i="1"/>
  <c r="AM546" i="1"/>
  <c r="AL543" i="1"/>
  <c r="AK548" i="1" l="1"/>
  <c r="AN547" i="1"/>
  <c r="AM547" i="1"/>
  <c r="AL544" i="1"/>
  <c r="AK549" i="1" l="1"/>
  <c r="AN548" i="1"/>
  <c r="AM548" i="1"/>
  <c r="AL545" i="1"/>
  <c r="AK550" i="1" l="1"/>
  <c r="AN549" i="1"/>
  <c r="AM549" i="1"/>
  <c r="AL546" i="1"/>
  <c r="AK551" i="1" l="1"/>
  <c r="AN550" i="1"/>
  <c r="AM550" i="1"/>
  <c r="AL547" i="1"/>
  <c r="AK552" i="1" l="1"/>
  <c r="AN551" i="1"/>
  <c r="AM551" i="1"/>
  <c r="AL548" i="1"/>
  <c r="AK553" i="1" l="1"/>
  <c r="AN552" i="1"/>
  <c r="AM552" i="1"/>
  <c r="AL549" i="1"/>
  <c r="AK554" i="1" l="1"/>
  <c r="AN553" i="1"/>
  <c r="AM553" i="1"/>
  <c r="AL550" i="1"/>
  <c r="AK555" i="1" l="1"/>
  <c r="AN554" i="1"/>
  <c r="AM554" i="1"/>
  <c r="AL551" i="1"/>
  <c r="AK556" i="1" l="1"/>
  <c r="AN555" i="1"/>
  <c r="AM555" i="1"/>
  <c r="AL552" i="1"/>
  <c r="AK557" i="1" l="1"/>
  <c r="AN556" i="1"/>
  <c r="AM556" i="1"/>
  <c r="AL553" i="1"/>
  <c r="AK558" i="1" l="1"/>
  <c r="AN557" i="1"/>
  <c r="AM557" i="1"/>
  <c r="AL554" i="1"/>
  <c r="AK559" i="1" l="1"/>
  <c r="AN558" i="1"/>
  <c r="AM558" i="1"/>
  <c r="AL555" i="1"/>
  <c r="AK560" i="1" l="1"/>
  <c r="AN559" i="1"/>
  <c r="AM559" i="1"/>
  <c r="AL556" i="1"/>
  <c r="AK561" i="1" l="1"/>
  <c r="AM560" i="1"/>
  <c r="AN560" i="1"/>
  <c r="AL557" i="1"/>
  <c r="AK562" i="1" l="1"/>
  <c r="AN561" i="1"/>
  <c r="AM561" i="1"/>
  <c r="AL558" i="1"/>
  <c r="AK563" i="1" l="1"/>
  <c r="AN562" i="1"/>
  <c r="AM562" i="1"/>
  <c r="AL559" i="1"/>
  <c r="AK564" i="1" l="1"/>
  <c r="AN563" i="1"/>
  <c r="AM563" i="1"/>
  <c r="AL560" i="1"/>
  <c r="AK565" i="1" l="1"/>
  <c r="AN564" i="1"/>
  <c r="AM564" i="1"/>
  <c r="AL561" i="1"/>
  <c r="AK566" i="1" l="1"/>
  <c r="AN565" i="1"/>
  <c r="AM565" i="1"/>
  <c r="AL562" i="1"/>
  <c r="AK567" i="1" l="1"/>
  <c r="AN566" i="1"/>
  <c r="AM566" i="1"/>
  <c r="AL563" i="1"/>
  <c r="AK568" i="1" l="1"/>
  <c r="AN567" i="1"/>
  <c r="AM567" i="1"/>
  <c r="AL564" i="1"/>
  <c r="AK569" i="1" l="1"/>
  <c r="AN568" i="1"/>
  <c r="AM568" i="1"/>
  <c r="AL565" i="1"/>
  <c r="AK570" i="1" l="1"/>
  <c r="AN569" i="1"/>
  <c r="AM569" i="1"/>
  <c r="AL566" i="1"/>
  <c r="AK571" i="1" l="1"/>
  <c r="AN570" i="1"/>
  <c r="AM570" i="1"/>
  <c r="AL567" i="1"/>
  <c r="AK572" i="1" l="1"/>
  <c r="AN571" i="1"/>
  <c r="AM571" i="1"/>
  <c r="AL568" i="1"/>
  <c r="AK573" i="1" l="1"/>
  <c r="AM572" i="1"/>
  <c r="AN572" i="1"/>
  <c r="AL569" i="1"/>
  <c r="AK574" i="1" l="1"/>
  <c r="AN573" i="1"/>
  <c r="AM573" i="1"/>
  <c r="AL570" i="1"/>
  <c r="AK575" i="1" l="1"/>
  <c r="AM574" i="1"/>
  <c r="AN574" i="1"/>
  <c r="AL571" i="1"/>
  <c r="AK576" i="1" l="1"/>
  <c r="AN575" i="1"/>
  <c r="AM575" i="1"/>
  <c r="AL572" i="1"/>
  <c r="AK577" i="1" l="1"/>
  <c r="AN576" i="1"/>
  <c r="AM576" i="1"/>
  <c r="AL573" i="1"/>
  <c r="AK578" i="1" l="1"/>
  <c r="AM577" i="1"/>
  <c r="AN577" i="1"/>
  <c r="AL574" i="1"/>
  <c r="AK579" i="1" l="1"/>
  <c r="AN578" i="1"/>
  <c r="AM578" i="1"/>
  <c r="AL575" i="1"/>
  <c r="AK580" i="1" l="1"/>
  <c r="AN579" i="1"/>
  <c r="AM579" i="1"/>
  <c r="AL576" i="1"/>
  <c r="AK581" i="1" l="1"/>
  <c r="AN580" i="1"/>
  <c r="AM580" i="1"/>
  <c r="AL577" i="1"/>
  <c r="AK582" i="1" l="1"/>
  <c r="AN581" i="1"/>
  <c r="AM581" i="1"/>
  <c r="AL578" i="1"/>
  <c r="AK583" i="1" l="1"/>
  <c r="AN582" i="1"/>
  <c r="AM582" i="1"/>
  <c r="AL579" i="1"/>
  <c r="AK584" i="1" l="1"/>
  <c r="AN583" i="1"/>
  <c r="AM583" i="1"/>
  <c r="AL580" i="1"/>
  <c r="AK585" i="1" l="1"/>
  <c r="AN584" i="1"/>
  <c r="AM584" i="1"/>
  <c r="AL581" i="1"/>
  <c r="AK586" i="1" l="1"/>
  <c r="AN585" i="1"/>
  <c r="AM585" i="1"/>
  <c r="AL582" i="1"/>
  <c r="AK587" i="1" l="1"/>
  <c r="AN586" i="1"/>
  <c r="AM586" i="1"/>
  <c r="AL583" i="1"/>
  <c r="AK588" i="1" l="1"/>
  <c r="AN587" i="1"/>
  <c r="AM587" i="1"/>
  <c r="AL584" i="1"/>
  <c r="AK589" i="1" l="1"/>
  <c r="AN588" i="1"/>
  <c r="AM588" i="1"/>
  <c r="AL585" i="1"/>
  <c r="AK590" i="1" l="1"/>
  <c r="AN589" i="1"/>
  <c r="AM589" i="1"/>
  <c r="AL586" i="1"/>
  <c r="AK591" i="1" l="1"/>
  <c r="AN590" i="1"/>
  <c r="AM590" i="1"/>
  <c r="AL587" i="1"/>
  <c r="AK592" i="1" l="1"/>
  <c r="AN591" i="1"/>
  <c r="AM591" i="1"/>
  <c r="AL588" i="1"/>
  <c r="AK593" i="1" l="1"/>
  <c r="AN592" i="1"/>
  <c r="AM592" i="1"/>
  <c r="AL589" i="1"/>
  <c r="AK594" i="1" l="1"/>
  <c r="AN593" i="1"/>
  <c r="AM593" i="1"/>
  <c r="AL590" i="1"/>
  <c r="AK595" i="1" l="1"/>
  <c r="AN594" i="1"/>
  <c r="AM594" i="1"/>
  <c r="AL591" i="1"/>
  <c r="AK596" i="1" l="1"/>
  <c r="AN595" i="1"/>
  <c r="AM595" i="1"/>
  <c r="AL592" i="1"/>
  <c r="AK597" i="1" l="1"/>
  <c r="AN596" i="1"/>
  <c r="AM596" i="1"/>
  <c r="AL593" i="1"/>
  <c r="AK598" i="1" l="1"/>
  <c r="AN597" i="1"/>
  <c r="AM597" i="1"/>
  <c r="AL594" i="1"/>
  <c r="AK599" i="1" l="1"/>
  <c r="AN598" i="1"/>
  <c r="AM598" i="1"/>
  <c r="AL595" i="1"/>
  <c r="AK600" i="1" l="1"/>
  <c r="AN599" i="1"/>
  <c r="AM599" i="1"/>
  <c r="AL596" i="1"/>
  <c r="AK601" i="1" l="1"/>
  <c r="AN600" i="1"/>
  <c r="AM600" i="1"/>
  <c r="AL597" i="1"/>
  <c r="AK602" i="1" l="1"/>
  <c r="AN601" i="1"/>
  <c r="AM601" i="1"/>
  <c r="AL598" i="1"/>
  <c r="AK603" i="1" l="1"/>
  <c r="AN602" i="1"/>
  <c r="AM602" i="1"/>
  <c r="AL599" i="1"/>
  <c r="AK604" i="1" l="1"/>
  <c r="AN603" i="1"/>
  <c r="AM603" i="1"/>
  <c r="AL600" i="1"/>
  <c r="AK605" i="1" l="1"/>
  <c r="AN604" i="1"/>
  <c r="AM604" i="1"/>
  <c r="AL601" i="1"/>
  <c r="AK606" i="1" l="1"/>
  <c r="AN605" i="1"/>
  <c r="AM605" i="1"/>
  <c r="AL602" i="1"/>
  <c r="AK607" i="1" l="1"/>
  <c r="AN606" i="1"/>
  <c r="AM606" i="1"/>
  <c r="AL603" i="1"/>
  <c r="AK608" i="1" l="1"/>
  <c r="AN607" i="1"/>
  <c r="AM607" i="1"/>
  <c r="AL604" i="1"/>
  <c r="AK609" i="1" l="1"/>
  <c r="AN608" i="1"/>
  <c r="AM608" i="1"/>
  <c r="AL605" i="1"/>
  <c r="AK610" i="1" l="1"/>
  <c r="AN609" i="1"/>
  <c r="AM609" i="1"/>
  <c r="AL606" i="1"/>
  <c r="AK611" i="1" l="1"/>
  <c r="AN610" i="1"/>
  <c r="AM610" i="1"/>
  <c r="AL607" i="1"/>
  <c r="AK612" i="1" l="1"/>
  <c r="AN611" i="1"/>
  <c r="AM611" i="1"/>
  <c r="AL608" i="1"/>
  <c r="AK613" i="1" l="1"/>
  <c r="AN612" i="1"/>
  <c r="AM612" i="1"/>
  <c r="AL609" i="1"/>
  <c r="AK614" i="1" l="1"/>
  <c r="AM613" i="1"/>
  <c r="AN613" i="1"/>
  <c r="AL610" i="1"/>
  <c r="AK615" i="1" l="1"/>
  <c r="AN614" i="1"/>
  <c r="AM614" i="1"/>
  <c r="AL611" i="1"/>
  <c r="AK616" i="1" l="1"/>
  <c r="AM615" i="1"/>
  <c r="AN615" i="1"/>
  <c r="AL612" i="1"/>
  <c r="AK617" i="1" l="1"/>
  <c r="AM616" i="1"/>
  <c r="AN616" i="1"/>
  <c r="AL613" i="1"/>
  <c r="AK618" i="1" l="1"/>
  <c r="AN617" i="1"/>
  <c r="AM617" i="1"/>
  <c r="AL614" i="1"/>
  <c r="AK619" i="1" l="1"/>
  <c r="AN618" i="1"/>
  <c r="AM618" i="1"/>
  <c r="AL615" i="1"/>
  <c r="AK620" i="1" l="1"/>
  <c r="AM619" i="1"/>
  <c r="AN619" i="1"/>
  <c r="AL616" i="1"/>
  <c r="AK621" i="1" l="1"/>
  <c r="AN620" i="1"/>
  <c r="AM620" i="1"/>
  <c r="AL617" i="1"/>
  <c r="AK622" i="1" l="1"/>
  <c r="AN621" i="1"/>
  <c r="AM621" i="1"/>
  <c r="AL618" i="1"/>
  <c r="AK623" i="1" l="1"/>
  <c r="AN622" i="1"/>
  <c r="AM622" i="1"/>
  <c r="AL619" i="1"/>
  <c r="AK624" i="1" l="1"/>
  <c r="AN623" i="1"/>
  <c r="AM623" i="1"/>
  <c r="AL620" i="1"/>
  <c r="AK625" i="1" l="1"/>
  <c r="AN624" i="1"/>
  <c r="AM624" i="1"/>
  <c r="AL621" i="1"/>
  <c r="AK626" i="1" l="1"/>
  <c r="AN625" i="1"/>
  <c r="AM625" i="1"/>
  <c r="AL622" i="1"/>
  <c r="AK627" i="1" l="1"/>
  <c r="AN626" i="1"/>
  <c r="AM626" i="1"/>
  <c r="AL623" i="1"/>
  <c r="AK628" i="1" l="1"/>
  <c r="AN627" i="1"/>
  <c r="AM627" i="1"/>
  <c r="AL624" i="1"/>
  <c r="AK629" i="1" l="1"/>
  <c r="AN628" i="1"/>
  <c r="AM628" i="1"/>
  <c r="AL625" i="1"/>
  <c r="AK630" i="1" l="1"/>
  <c r="AN629" i="1"/>
  <c r="AM629" i="1"/>
  <c r="AL626" i="1"/>
  <c r="AK631" i="1" l="1"/>
  <c r="AN630" i="1"/>
  <c r="AM630" i="1"/>
  <c r="AL627" i="1"/>
  <c r="AK632" i="1" l="1"/>
  <c r="AN631" i="1"/>
  <c r="AM631" i="1"/>
  <c r="AL628" i="1"/>
  <c r="AK633" i="1" l="1"/>
  <c r="AN632" i="1"/>
  <c r="AM632" i="1"/>
  <c r="AL629" i="1"/>
  <c r="AK634" i="1" l="1"/>
  <c r="AN633" i="1"/>
  <c r="AM633" i="1"/>
  <c r="AL630" i="1"/>
  <c r="AK635" i="1" l="1"/>
  <c r="AN634" i="1"/>
  <c r="AM634" i="1"/>
  <c r="AL631" i="1"/>
  <c r="AK636" i="1" l="1"/>
  <c r="AN635" i="1"/>
  <c r="AM635" i="1"/>
  <c r="AL632" i="1"/>
  <c r="AK637" i="1" l="1"/>
  <c r="AN636" i="1"/>
  <c r="AM636" i="1"/>
  <c r="AL633" i="1"/>
  <c r="AK638" i="1" l="1"/>
  <c r="AN637" i="1"/>
  <c r="AM637" i="1"/>
  <c r="AL634" i="1"/>
  <c r="AK639" i="1" l="1"/>
  <c r="AN638" i="1"/>
  <c r="AM638" i="1"/>
  <c r="AL635" i="1"/>
  <c r="AK640" i="1" l="1"/>
  <c r="AN639" i="1"/>
  <c r="AM639" i="1"/>
  <c r="AL636" i="1"/>
  <c r="AK641" i="1" l="1"/>
  <c r="AN640" i="1"/>
  <c r="AM640" i="1"/>
  <c r="AL637" i="1"/>
  <c r="AK642" i="1" l="1"/>
  <c r="AN641" i="1"/>
  <c r="AM641" i="1"/>
  <c r="AL638" i="1"/>
  <c r="AK643" i="1" l="1"/>
  <c r="AN642" i="1"/>
  <c r="AM642" i="1"/>
  <c r="AL639" i="1"/>
  <c r="AK644" i="1" l="1"/>
  <c r="AM643" i="1"/>
  <c r="AN643" i="1"/>
  <c r="AL640" i="1"/>
  <c r="AK645" i="1" l="1"/>
  <c r="AM644" i="1"/>
  <c r="AN644" i="1"/>
  <c r="AL641" i="1"/>
  <c r="AK646" i="1" l="1"/>
  <c r="AM645" i="1"/>
  <c r="AN645" i="1"/>
  <c r="AL642" i="1"/>
  <c r="AK647" i="1" l="1"/>
  <c r="AM646" i="1"/>
  <c r="AN646" i="1"/>
  <c r="AL643" i="1"/>
  <c r="AK648" i="1" l="1"/>
  <c r="AN647" i="1"/>
  <c r="AM647" i="1"/>
  <c r="AL644" i="1"/>
  <c r="AK649" i="1" l="1"/>
  <c r="AN648" i="1"/>
  <c r="AM648" i="1"/>
  <c r="AL645" i="1"/>
  <c r="AK650" i="1" l="1"/>
  <c r="AN649" i="1"/>
  <c r="AM649" i="1"/>
  <c r="AL646" i="1"/>
  <c r="AK651" i="1" l="1"/>
  <c r="AN650" i="1"/>
  <c r="AM650" i="1"/>
  <c r="AL647" i="1"/>
  <c r="AK652" i="1" l="1"/>
  <c r="AN651" i="1"/>
  <c r="AM651" i="1"/>
  <c r="AL648" i="1"/>
  <c r="AK653" i="1" l="1"/>
  <c r="AN652" i="1"/>
  <c r="AM652" i="1"/>
  <c r="AL649" i="1"/>
  <c r="AK654" i="1" l="1"/>
  <c r="AN653" i="1"/>
  <c r="AM653" i="1"/>
  <c r="AL650" i="1"/>
  <c r="AK655" i="1" l="1"/>
  <c r="AN654" i="1"/>
  <c r="AM654" i="1"/>
  <c r="AL651" i="1"/>
  <c r="AK656" i="1" l="1"/>
  <c r="AN655" i="1"/>
  <c r="AM655" i="1"/>
  <c r="AL652" i="1"/>
  <c r="AK657" i="1" l="1"/>
  <c r="AN656" i="1"/>
  <c r="AM656" i="1"/>
  <c r="AL653" i="1"/>
  <c r="AK658" i="1" l="1"/>
  <c r="AN657" i="1"/>
  <c r="AM657" i="1"/>
  <c r="AL654" i="1"/>
  <c r="AK659" i="1" l="1"/>
  <c r="AM658" i="1"/>
  <c r="AN658" i="1"/>
  <c r="AL655" i="1"/>
  <c r="AK660" i="1" l="1"/>
  <c r="AN659" i="1"/>
  <c r="AM659" i="1"/>
  <c r="AL656" i="1"/>
  <c r="AK661" i="1" l="1"/>
  <c r="AN660" i="1"/>
  <c r="AM660" i="1"/>
  <c r="AL657" i="1"/>
  <c r="AK662" i="1" l="1"/>
  <c r="AM661" i="1"/>
  <c r="AN661" i="1"/>
  <c r="AL658" i="1"/>
  <c r="AK663" i="1" l="1"/>
  <c r="AN662" i="1"/>
  <c r="AM662" i="1"/>
  <c r="AL659" i="1"/>
  <c r="AK664" i="1" l="1"/>
  <c r="AN663" i="1"/>
  <c r="AM663" i="1"/>
  <c r="AL660" i="1"/>
  <c r="AK665" i="1" l="1"/>
  <c r="AN664" i="1"/>
  <c r="AM664" i="1"/>
  <c r="AL661" i="1"/>
  <c r="AK666" i="1" l="1"/>
  <c r="AN665" i="1"/>
  <c r="AM665" i="1"/>
  <c r="AL662" i="1"/>
  <c r="AK667" i="1" l="1"/>
  <c r="AN666" i="1"/>
  <c r="AM666" i="1"/>
  <c r="AL663" i="1"/>
  <c r="AK668" i="1" l="1"/>
  <c r="AN667" i="1"/>
  <c r="AM667" i="1"/>
  <c r="AL664" i="1"/>
  <c r="AK669" i="1" l="1"/>
  <c r="AN668" i="1"/>
  <c r="AM668" i="1"/>
  <c r="AL665" i="1"/>
  <c r="AK670" i="1" l="1"/>
  <c r="AN669" i="1"/>
  <c r="AM669" i="1"/>
  <c r="AL666" i="1"/>
  <c r="AK671" i="1" l="1"/>
  <c r="AN670" i="1"/>
  <c r="AM670" i="1"/>
  <c r="AL667" i="1"/>
  <c r="AK672" i="1" l="1"/>
  <c r="AN671" i="1"/>
  <c r="AM671" i="1"/>
  <c r="AL668" i="1"/>
  <c r="AK673" i="1" l="1"/>
  <c r="AN672" i="1"/>
  <c r="AM672" i="1"/>
  <c r="AL669" i="1"/>
  <c r="AK674" i="1" l="1"/>
  <c r="AN673" i="1"/>
  <c r="AM673" i="1"/>
  <c r="AL670" i="1"/>
  <c r="AK675" i="1" l="1"/>
  <c r="AN674" i="1"/>
  <c r="AM674" i="1"/>
  <c r="AL671" i="1"/>
  <c r="AK676" i="1" l="1"/>
  <c r="AN675" i="1"/>
  <c r="AM675" i="1"/>
  <c r="AL672" i="1"/>
  <c r="AK677" i="1" l="1"/>
  <c r="AN676" i="1"/>
  <c r="AM676" i="1"/>
  <c r="AL673" i="1"/>
  <c r="AK678" i="1" l="1"/>
  <c r="AN677" i="1"/>
  <c r="AM677" i="1"/>
  <c r="AL674" i="1"/>
  <c r="AK679" i="1" l="1"/>
  <c r="AN678" i="1"/>
  <c r="AM678" i="1"/>
  <c r="AL675" i="1"/>
  <c r="AK680" i="1" l="1"/>
  <c r="AN679" i="1"/>
  <c r="AM679" i="1"/>
  <c r="AL676" i="1"/>
  <c r="AK681" i="1" l="1"/>
  <c r="AN680" i="1"/>
  <c r="AM680" i="1"/>
  <c r="AL677" i="1"/>
  <c r="AK682" i="1" l="1"/>
  <c r="AM681" i="1"/>
  <c r="AN681" i="1"/>
  <c r="AL678" i="1"/>
  <c r="AK683" i="1" l="1"/>
  <c r="AM682" i="1"/>
  <c r="AN682" i="1"/>
  <c r="AL679" i="1"/>
  <c r="AK684" i="1" l="1"/>
  <c r="AN683" i="1"/>
  <c r="AM683" i="1"/>
  <c r="AL680" i="1"/>
  <c r="AK685" i="1" l="1"/>
  <c r="AN684" i="1"/>
  <c r="AM684" i="1"/>
  <c r="AL681" i="1"/>
  <c r="AK686" i="1" l="1"/>
  <c r="AN685" i="1"/>
  <c r="AM685" i="1"/>
  <c r="AL682" i="1"/>
  <c r="AK687" i="1" l="1"/>
  <c r="AN686" i="1"/>
  <c r="AM686" i="1"/>
  <c r="AL683" i="1"/>
  <c r="AK688" i="1" l="1"/>
  <c r="AN687" i="1"/>
  <c r="AM687" i="1"/>
  <c r="AL684" i="1"/>
  <c r="AK689" i="1" l="1"/>
  <c r="AN688" i="1"/>
  <c r="AM688" i="1"/>
  <c r="AL685" i="1"/>
  <c r="AK690" i="1" l="1"/>
  <c r="AN689" i="1"/>
  <c r="AM689" i="1"/>
  <c r="AL686" i="1"/>
  <c r="AK691" i="1" l="1"/>
  <c r="AN690" i="1"/>
  <c r="AM690" i="1"/>
  <c r="AL687" i="1"/>
  <c r="AK692" i="1" l="1"/>
  <c r="AN691" i="1"/>
  <c r="AM691" i="1"/>
  <c r="AL688" i="1"/>
  <c r="AK693" i="1" l="1"/>
  <c r="AN692" i="1"/>
  <c r="AM692" i="1"/>
  <c r="AL689" i="1"/>
  <c r="AK694" i="1" l="1"/>
  <c r="AN693" i="1"/>
  <c r="AM693" i="1"/>
  <c r="AL690" i="1"/>
  <c r="AK695" i="1" l="1"/>
  <c r="AN694" i="1"/>
  <c r="AM694" i="1"/>
  <c r="AL691" i="1"/>
  <c r="AK696" i="1" l="1"/>
  <c r="AN695" i="1"/>
  <c r="AM695" i="1"/>
  <c r="AL692" i="1"/>
  <c r="AK697" i="1" l="1"/>
  <c r="AN696" i="1"/>
  <c r="AM696" i="1"/>
  <c r="AL693" i="1"/>
  <c r="AK698" i="1" l="1"/>
  <c r="AM697" i="1"/>
  <c r="AN697" i="1"/>
  <c r="AL694" i="1"/>
  <c r="AK699" i="1" l="1"/>
  <c r="AN698" i="1"/>
  <c r="AM698" i="1"/>
  <c r="AL695" i="1"/>
  <c r="AK700" i="1" l="1"/>
  <c r="AN699" i="1"/>
  <c r="AM699" i="1"/>
  <c r="AL696" i="1"/>
  <c r="AK701" i="1" l="1"/>
  <c r="AN700" i="1"/>
  <c r="AM700" i="1"/>
  <c r="AL697" i="1"/>
  <c r="AK702" i="1" l="1"/>
  <c r="AN701" i="1"/>
  <c r="AM701" i="1"/>
  <c r="AL698" i="1"/>
  <c r="AK703" i="1" l="1"/>
  <c r="AN702" i="1"/>
  <c r="AM702" i="1"/>
  <c r="AL699" i="1"/>
  <c r="AK704" i="1" l="1"/>
  <c r="AM703" i="1"/>
  <c r="AN703" i="1"/>
  <c r="AL700" i="1"/>
  <c r="AK705" i="1" l="1"/>
  <c r="AN704" i="1"/>
  <c r="AM704" i="1"/>
  <c r="AL701" i="1"/>
  <c r="AK706" i="1" l="1"/>
  <c r="AN705" i="1"/>
  <c r="AM705" i="1"/>
  <c r="AL702" i="1"/>
  <c r="AK707" i="1" l="1"/>
  <c r="AN706" i="1"/>
  <c r="AM706" i="1"/>
  <c r="AL703" i="1"/>
  <c r="AK708" i="1" l="1"/>
  <c r="AN707" i="1"/>
  <c r="AM707" i="1"/>
  <c r="AL704" i="1"/>
  <c r="AK709" i="1" l="1"/>
  <c r="AN708" i="1"/>
  <c r="AM708" i="1"/>
  <c r="AL705" i="1"/>
  <c r="AK710" i="1" l="1"/>
  <c r="AN709" i="1"/>
  <c r="AM709" i="1"/>
  <c r="AL706" i="1"/>
  <c r="AK711" i="1" l="1"/>
  <c r="AN710" i="1"/>
  <c r="AM710" i="1"/>
  <c r="AL707" i="1"/>
  <c r="AK712" i="1" l="1"/>
  <c r="AN711" i="1"/>
  <c r="AM711" i="1"/>
  <c r="AL708" i="1"/>
  <c r="AK713" i="1" l="1"/>
  <c r="AN712" i="1"/>
  <c r="AM712" i="1"/>
  <c r="AL709" i="1"/>
  <c r="AK714" i="1" l="1"/>
  <c r="AN713" i="1"/>
  <c r="AM713" i="1"/>
  <c r="AL710" i="1"/>
  <c r="AK715" i="1" l="1"/>
  <c r="AM714" i="1"/>
  <c r="AN714" i="1"/>
  <c r="AL711" i="1"/>
  <c r="AK716" i="1" l="1"/>
  <c r="AN715" i="1"/>
  <c r="AM715" i="1"/>
  <c r="AL712" i="1"/>
  <c r="AK717" i="1" l="1"/>
  <c r="AN716" i="1"/>
  <c r="AM716" i="1"/>
  <c r="AL713" i="1"/>
  <c r="AK718" i="1" l="1"/>
  <c r="AM717" i="1"/>
  <c r="AN717" i="1"/>
  <c r="AL714" i="1"/>
  <c r="AK719" i="1" l="1"/>
  <c r="AN718" i="1"/>
  <c r="AM718" i="1"/>
  <c r="AL715" i="1"/>
  <c r="AK720" i="1" l="1"/>
  <c r="AN719" i="1"/>
  <c r="AM719" i="1"/>
  <c r="AL716" i="1"/>
  <c r="AK721" i="1" l="1"/>
  <c r="AN720" i="1"/>
  <c r="AM720" i="1"/>
  <c r="AL717" i="1"/>
  <c r="AK722" i="1" l="1"/>
  <c r="AN721" i="1"/>
  <c r="AM721" i="1"/>
  <c r="AL718" i="1"/>
  <c r="AK723" i="1" l="1"/>
  <c r="AN722" i="1"/>
  <c r="AM722" i="1"/>
  <c r="AL719" i="1"/>
  <c r="AK724" i="1" l="1"/>
  <c r="AN723" i="1"/>
  <c r="AM723" i="1"/>
  <c r="AL720" i="1"/>
  <c r="AK725" i="1" l="1"/>
  <c r="AN724" i="1"/>
  <c r="AM724" i="1"/>
  <c r="AL721" i="1"/>
  <c r="AK726" i="1" l="1"/>
  <c r="AN725" i="1"/>
  <c r="AM725" i="1"/>
  <c r="AL722" i="1"/>
  <c r="AK727" i="1" l="1"/>
  <c r="AN726" i="1"/>
  <c r="AM726" i="1"/>
  <c r="AL723" i="1"/>
  <c r="AK728" i="1" l="1"/>
  <c r="AM727" i="1"/>
  <c r="AN727" i="1"/>
  <c r="AL724" i="1"/>
  <c r="AK729" i="1" l="1"/>
  <c r="AN728" i="1"/>
  <c r="AM728" i="1"/>
  <c r="AL725" i="1"/>
  <c r="AK730" i="1" l="1"/>
  <c r="AN729" i="1"/>
  <c r="AM729" i="1"/>
  <c r="AL726" i="1"/>
  <c r="AK731" i="1" l="1"/>
  <c r="AN730" i="1"/>
  <c r="AM730" i="1"/>
  <c r="AL727" i="1"/>
  <c r="AK732" i="1" l="1"/>
  <c r="AM731" i="1"/>
  <c r="AN731" i="1"/>
  <c r="AL728" i="1"/>
  <c r="AK733" i="1" l="1"/>
  <c r="AN732" i="1"/>
  <c r="AM732" i="1"/>
  <c r="AL729" i="1"/>
  <c r="AK734" i="1" l="1"/>
  <c r="AN733" i="1"/>
  <c r="AM733" i="1"/>
  <c r="AL730" i="1"/>
  <c r="AK735" i="1" l="1"/>
  <c r="AM734" i="1"/>
  <c r="AN734" i="1"/>
  <c r="AL731" i="1"/>
  <c r="AK736" i="1" l="1"/>
  <c r="AM735" i="1"/>
  <c r="AN735" i="1"/>
  <c r="AL732" i="1"/>
  <c r="AK737" i="1" l="1"/>
  <c r="AN736" i="1"/>
  <c r="AM736" i="1"/>
  <c r="AL733" i="1"/>
  <c r="AK738" i="1" l="1"/>
  <c r="AM737" i="1"/>
  <c r="AN737" i="1"/>
  <c r="AL734" i="1"/>
  <c r="AK739" i="1" l="1"/>
  <c r="AN738" i="1"/>
  <c r="AM738" i="1"/>
  <c r="AL735" i="1"/>
  <c r="AK740" i="1" l="1"/>
  <c r="AN739" i="1"/>
  <c r="AM739" i="1"/>
  <c r="AL736" i="1"/>
  <c r="AK741" i="1" l="1"/>
  <c r="AN740" i="1"/>
  <c r="AM740" i="1"/>
  <c r="AL737" i="1"/>
  <c r="AK742" i="1" l="1"/>
  <c r="AN741" i="1"/>
  <c r="AM741" i="1"/>
  <c r="AL738" i="1"/>
  <c r="AK743" i="1" l="1"/>
  <c r="AM742" i="1"/>
  <c r="AN742" i="1"/>
  <c r="AL739" i="1"/>
  <c r="AK744" i="1" l="1"/>
  <c r="AN743" i="1"/>
  <c r="AM743" i="1"/>
  <c r="AL740" i="1"/>
  <c r="AK745" i="1" l="1"/>
  <c r="AN744" i="1"/>
  <c r="AM744" i="1"/>
  <c r="AL741" i="1"/>
  <c r="AK746" i="1" l="1"/>
  <c r="AN745" i="1"/>
  <c r="AM745" i="1"/>
  <c r="AL742" i="1"/>
  <c r="AK747" i="1" l="1"/>
  <c r="AN746" i="1"/>
  <c r="AM746" i="1"/>
  <c r="AL743" i="1"/>
  <c r="AK748" i="1" l="1"/>
  <c r="AN747" i="1"/>
  <c r="AM747" i="1"/>
  <c r="AL744" i="1"/>
  <c r="AK749" i="1" l="1"/>
  <c r="AN748" i="1"/>
  <c r="AM748" i="1"/>
  <c r="AL745" i="1"/>
  <c r="AK750" i="1" l="1"/>
  <c r="AN749" i="1"/>
  <c r="AM749" i="1"/>
  <c r="AL746" i="1"/>
  <c r="AK751" i="1" l="1"/>
  <c r="AN750" i="1"/>
  <c r="AM750" i="1"/>
  <c r="AL747" i="1"/>
  <c r="AK752" i="1" l="1"/>
  <c r="AN751" i="1"/>
  <c r="AM751" i="1"/>
  <c r="AL748" i="1"/>
  <c r="AK753" i="1" l="1"/>
  <c r="AN752" i="1"/>
  <c r="AM752" i="1"/>
  <c r="AL749" i="1"/>
  <c r="AK754" i="1" l="1"/>
  <c r="AN753" i="1"/>
  <c r="AM753" i="1"/>
  <c r="AL750" i="1"/>
  <c r="AK755" i="1" l="1"/>
  <c r="AM754" i="1"/>
  <c r="AN754" i="1"/>
  <c r="AL751" i="1"/>
  <c r="AK756" i="1" l="1"/>
  <c r="AN755" i="1"/>
  <c r="AM755" i="1"/>
  <c r="AL752" i="1"/>
  <c r="AK757" i="1" l="1"/>
  <c r="AM756" i="1"/>
  <c r="AN756" i="1"/>
  <c r="AL753" i="1"/>
  <c r="AK758" i="1" l="1"/>
  <c r="AM757" i="1"/>
  <c r="AN757" i="1"/>
  <c r="AL754" i="1"/>
  <c r="AK759" i="1" l="1"/>
  <c r="AM758" i="1"/>
  <c r="AN758" i="1"/>
  <c r="AL755" i="1"/>
  <c r="AK760" i="1" l="1"/>
  <c r="AN759" i="1"/>
  <c r="AM759" i="1"/>
  <c r="AL756" i="1"/>
  <c r="AK761" i="1" l="1"/>
  <c r="AN760" i="1"/>
  <c r="AM760" i="1"/>
  <c r="AL757" i="1"/>
  <c r="AK762" i="1" l="1"/>
  <c r="AN761" i="1"/>
  <c r="AM761" i="1"/>
  <c r="AL758" i="1"/>
  <c r="AK763" i="1" l="1"/>
  <c r="AN762" i="1"/>
  <c r="AM762" i="1"/>
  <c r="AL759" i="1"/>
  <c r="AK764" i="1" l="1"/>
  <c r="AM763" i="1"/>
  <c r="AN763" i="1"/>
  <c r="AL760" i="1"/>
  <c r="AK765" i="1" l="1"/>
  <c r="AN764" i="1"/>
  <c r="AM764" i="1"/>
  <c r="AL761" i="1"/>
  <c r="AK766" i="1" l="1"/>
  <c r="AN765" i="1"/>
  <c r="AM765" i="1"/>
  <c r="AL762" i="1"/>
  <c r="AK767" i="1" l="1"/>
  <c r="AN766" i="1"/>
  <c r="AM766" i="1"/>
  <c r="AL763" i="1"/>
  <c r="AK768" i="1" l="1"/>
  <c r="AN767" i="1"/>
  <c r="AM767" i="1"/>
  <c r="AL764" i="1"/>
  <c r="AK769" i="1" l="1"/>
  <c r="AN768" i="1"/>
  <c r="AM768" i="1"/>
  <c r="AL765" i="1"/>
  <c r="AK770" i="1" l="1"/>
  <c r="AN769" i="1"/>
  <c r="AM769" i="1"/>
  <c r="AL766" i="1"/>
  <c r="AK771" i="1" l="1"/>
  <c r="AM770" i="1"/>
  <c r="AN770" i="1"/>
  <c r="AL767" i="1"/>
  <c r="AK772" i="1" l="1"/>
  <c r="AN771" i="1"/>
  <c r="AM771" i="1"/>
  <c r="AL768" i="1"/>
  <c r="AK773" i="1" l="1"/>
  <c r="AN772" i="1"/>
  <c r="AM772" i="1"/>
  <c r="AL769" i="1"/>
  <c r="AK774" i="1" l="1"/>
  <c r="AN773" i="1"/>
  <c r="AM773" i="1"/>
  <c r="AL770" i="1"/>
  <c r="AK775" i="1" l="1"/>
  <c r="AN774" i="1"/>
  <c r="AM774" i="1"/>
  <c r="AL771" i="1"/>
  <c r="AK776" i="1" l="1"/>
  <c r="AN775" i="1"/>
  <c r="AM775" i="1"/>
  <c r="AL772" i="1"/>
  <c r="AK777" i="1" l="1"/>
  <c r="AN776" i="1"/>
  <c r="AM776" i="1"/>
  <c r="AL773" i="1"/>
  <c r="AK778" i="1" l="1"/>
  <c r="AN777" i="1"/>
  <c r="AM777" i="1"/>
  <c r="AL774" i="1"/>
  <c r="AK779" i="1" l="1"/>
  <c r="AN778" i="1"/>
  <c r="AM778" i="1"/>
  <c r="AL775" i="1"/>
  <c r="AK780" i="1" l="1"/>
  <c r="AN779" i="1"/>
  <c r="AM779" i="1"/>
  <c r="AL776" i="1"/>
  <c r="AK781" i="1" l="1"/>
  <c r="AN780" i="1"/>
  <c r="AM780" i="1"/>
  <c r="AL777" i="1"/>
  <c r="AK782" i="1" l="1"/>
  <c r="AN781" i="1"/>
  <c r="AM781" i="1"/>
  <c r="AL778" i="1"/>
  <c r="AK783" i="1" l="1"/>
  <c r="AN782" i="1"/>
  <c r="AM782" i="1"/>
  <c r="AL779" i="1"/>
  <c r="AK784" i="1" l="1"/>
  <c r="AN783" i="1"/>
  <c r="AM783" i="1"/>
  <c r="AL780" i="1"/>
  <c r="AK785" i="1" l="1"/>
  <c r="AN784" i="1"/>
  <c r="AM784" i="1"/>
  <c r="AL781" i="1"/>
  <c r="AK786" i="1" l="1"/>
  <c r="AN785" i="1"/>
  <c r="AM785" i="1"/>
  <c r="AL782" i="1"/>
  <c r="AK787" i="1" l="1"/>
  <c r="AN786" i="1"/>
  <c r="AM786" i="1"/>
  <c r="AL783" i="1"/>
  <c r="AK788" i="1" l="1"/>
  <c r="AN787" i="1"/>
  <c r="AM787" i="1"/>
  <c r="AL784" i="1"/>
  <c r="AK789" i="1" l="1"/>
  <c r="AN788" i="1"/>
  <c r="AM788" i="1"/>
  <c r="AL785" i="1"/>
  <c r="AK790" i="1" l="1"/>
  <c r="AN789" i="1"/>
  <c r="AM789" i="1"/>
  <c r="AL786" i="1"/>
  <c r="AK791" i="1" l="1"/>
  <c r="AN790" i="1"/>
  <c r="AM790" i="1"/>
  <c r="AL787" i="1"/>
  <c r="AK792" i="1" l="1"/>
  <c r="AN791" i="1"/>
  <c r="AM791" i="1"/>
  <c r="AL788" i="1"/>
  <c r="AK793" i="1" l="1"/>
  <c r="AN792" i="1"/>
  <c r="AM792" i="1"/>
  <c r="AL789" i="1"/>
  <c r="AK794" i="1" l="1"/>
  <c r="AM793" i="1"/>
  <c r="AN793" i="1"/>
  <c r="AL790" i="1"/>
  <c r="AK795" i="1" l="1"/>
  <c r="AN794" i="1"/>
  <c r="AM794" i="1"/>
  <c r="AL791" i="1"/>
  <c r="AK796" i="1" l="1"/>
  <c r="AN795" i="1"/>
  <c r="AM795" i="1"/>
  <c r="AL792" i="1"/>
  <c r="AK797" i="1" l="1"/>
  <c r="AM796" i="1"/>
  <c r="AN796" i="1"/>
  <c r="AL793" i="1"/>
  <c r="AK798" i="1" l="1"/>
  <c r="AN797" i="1"/>
  <c r="AM797" i="1"/>
  <c r="AL794" i="1"/>
  <c r="AK799" i="1" l="1"/>
  <c r="AN798" i="1"/>
  <c r="AM798" i="1"/>
  <c r="AL795" i="1"/>
  <c r="AK800" i="1" l="1"/>
  <c r="AN799" i="1"/>
  <c r="AM799" i="1"/>
  <c r="AL796" i="1"/>
  <c r="AK801" i="1" l="1"/>
  <c r="AM800" i="1"/>
  <c r="AN800" i="1"/>
  <c r="AL797" i="1"/>
  <c r="AK802" i="1" l="1"/>
  <c r="AN801" i="1"/>
  <c r="AM801" i="1"/>
  <c r="AL798" i="1"/>
  <c r="AK803" i="1" l="1"/>
  <c r="AN802" i="1"/>
  <c r="AM802" i="1"/>
  <c r="AL799" i="1"/>
  <c r="AK804" i="1" l="1"/>
  <c r="AN803" i="1"/>
  <c r="AM803" i="1"/>
  <c r="AL800" i="1"/>
  <c r="AK805" i="1" l="1"/>
  <c r="AN804" i="1"/>
  <c r="AM804" i="1"/>
  <c r="AL801" i="1"/>
  <c r="AK806" i="1" l="1"/>
  <c r="AM805" i="1"/>
  <c r="AN805" i="1"/>
  <c r="AL802" i="1"/>
  <c r="AK807" i="1" l="1"/>
  <c r="AN806" i="1"/>
  <c r="AM806" i="1"/>
  <c r="AL803" i="1"/>
  <c r="AK808" i="1" l="1"/>
  <c r="AN807" i="1"/>
  <c r="AM807" i="1"/>
  <c r="AL804" i="1"/>
  <c r="AK809" i="1" l="1"/>
  <c r="AN808" i="1"/>
  <c r="AM808" i="1"/>
  <c r="AL805" i="1"/>
  <c r="AK810" i="1" l="1"/>
  <c r="AN809" i="1"/>
  <c r="AM809" i="1"/>
  <c r="AL806" i="1"/>
  <c r="AK811" i="1" l="1"/>
  <c r="AN810" i="1"/>
  <c r="AM810" i="1"/>
  <c r="AL807" i="1"/>
  <c r="AK812" i="1" l="1"/>
  <c r="AM811" i="1"/>
  <c r="AN811" i="1"/>
  <c r="AL808" i="1"/>
  <c r="AK813" i="1" l="1"/>
  <c r="AN812" i="1"/>
  <c r="AM812" i="1"/>
  <c r="AL809" i="1"/>
  <c r="AK814" i="1" l="1"/>
  <c r="AM813" i="1"/>
  <c r="AN813" i="1"/>
  <c r="AL810" i="1"/>
  <c r="AK815" i="1" l="1"/>
  <c r="AN814" i="1"/>
  <c r="AM814" i="1"/>
  <c r="AL811" i="1"/>
  <c r="AK816" i="1" l="1"/>
  <c r="AM815" i="1"/>
  <c r="AN815" i="1"/>
  <c r="AL812" i="1"/>
  <c r="AK817" i="1" l="1"/>
  <c r="AN816" i="1"/>
  <c r="AM816" i="1"/>
  <c r="AL813" i="1"/>
  <c r="AK818" i="1" l="1"/>
  <c r="AN817" i="1"/>
  <c r="AM817" i="1"/>
  <c r="AL814" i="1"/>
  <c r="AK819" i="1" l="1"/>
  <c r="AN818" i="1"/>
  <c r="AM818" i="1"/>
  <c r="AL815" i="1"/>
  <c r="AK820" i="1" l="1"/>
  <c r="AN819" i="1"/>
  <c r="AM819" i="1"/>
  <c r="AL816" i="1"/>
  <c r="AK821" i="1" l="1"/>
  <c r="AN820" i="1"/>
  <c r="AM820" i="1"/>
  <c r="AL817" i="1"/>
  <c r="AK822" i="1" l="1"/>
  <c r="AN821" i="1"/>
  <c r="AM821" i="1"/>
  <c r="AL818" i="1"/>
  <c r="AK823" i="1" l="1"/>
  <c r="AN822" i="1"/>
  <c r="AM822" i="1"/>
  <c r="AL819" i="1"/>
  <c r="AK824" i="1" l="1"/>
  <c r="AM823" i="1"/>
  <c r="AN823" i="1"/>
  <c r="AL820" i="1"/>
  <c r="AK825" i="1" l="1"/>
  <c r="AN824" i="1"/>
  <c r="AM824" i="1"/>
  <c r="AL821" i="1"/>
  <c r="AK826" i="1" l="1"/>
  <c r="AM825" i="1"/>
  <c r="AN825" i="1"/>
  <c r="AL822" i="1"/>
  <c r="AK827" i="1" l="1"/>
  <c r="AN826" i="1"/>
  <c r="AM826" i="1"/>
  <c r="AL823" i="1"/>
  <c r="AK828" i="1" l="1"/>
  <c r="AN827" i="1"/>
  <c r="AM827" i="1"/>
  <c r="AL824" i="1"/>
  <c r="AK829" i="1" l="1"/>
  <c r="AN828" i="1"/>
  <c r="AM828" i="1"/>
  <c r="AL825" i="1"/>
  <c r="AK830" i="1" l="1"/>
  <c r="AN829" i="1"/>
  <c r="AM829" i="1"/>
  <c r="AL826" i="1"/>
  <c r="AK831" i="1" l="1"/>
  <c r="AN830" i="1"/>
  <c r="AM830" i="1"/>
  <c r="AL827" i="1"/>
  <c r="AK832" i="1" l="1"/>
  <c r="AN831" i="1"/>
  <c r="AM831" i="1"/>
  <c r="AL828" i="1"/>
  <c r="AK833" i="1" l="1"/>
  <c r="AN832" i="1"/>
  <c r="AM832" i="1"/>
  <c r="AL829" i="1"/>
  <c r="AK834" i="1" l="1"/>
  <c r="AN833" i="1"/>
  <c r="AM833" i="1"/>
  <c r="AL830" i="1"/>
  <c r="AK835" i="1" l="1"/>
  <c r="AN834" i="1"/>
  <c r="AM834" i="1"/>
  <c r="AL831" i="1"/>
  <c r="AK836" i="1" l="1"/>
  <c r="AN835" i="1"/>
  <c r="AM835" i="1"/>
  <c r="AL832" i="1"/>
  <c r="AK837" i="1" l="1"/>
  <c r="AN836" i="1"/>
  <c r="AM836" i="1"/>
  <c r="AL833" i="1"/>
  <c r="AK838" i="1" l="1"/>
  <c r="AN837" i="1"/>
  <c r="AM837" i="1"/>
  <c r="AL834" i="1"/>
  <c r="AK839" i="1" l="1"/>
  <c r="AN838" i="1"/>
  <c r="AM838" i="1"/>
  <c r="AL835" i="1"/>
  <c r="AK840" i="1" l="1"/>
  <c r="AN839" i="1"/>
  <c r="AM839" i="1"/>
  <c r="AL836" i="1"/>
  <c r="AK841" i="1" l="1"/>
  <c r="AN840" i="1"/>
  <c r="AM840" i="1"/>
  <c r="AL837" i="1"/>
  <c r="AK842" i="1" l="1"/>
  <c r="AN841" i="1"/>
  <c r="AM841" i="1"/>
  <c r="AL838" i="1"/>
  <c r="AK843" i="1" l="1"/>
  <c r="AM842" i="1"/>
  <c r="AN842" i="1"/>
  <c r="AL839" i="1"/>
  <c r="AK844" i="1" l="1"/>
  <c r="AM843" i="1"/>
  <c r="AN843" i="1"/>
  <c r="AL840" i="1"/>
  <c r="AK845" i="1" l="1"/>
  <c r="AN844" i="1"/>
  <c r="AM844" i="1"/>
  <c r="AL841" i="1"/>
  <c r="AK846" i="1" l="1"/>
  <c r="AN845" i="1"/>
  <c r="AM845" i="1"/>
  <c r="AL842" i="1"/>
  <c r="AK847" i="1" l="1"/>
  <c r="AM846" i="1"/>
  <c r="AN846" i="1"/>
  <c r="AL843" i="1"/>
  <c r="AK848" i="1" l="1"/>
  <c r="AN847" i="1"/>
  <c r="AM847" i="1"/>
  <c r="AL844" i="1"/>
  <c r="AK849" i="1" l="1"/>
  <c r="AN848" i="1"/>
  <c r="AM848" i="1"/>
  <c r="AL845" i="1"/>
  <c r="AK850" i="1" l="1"/>
  <c r="AN849" i="1"/>
  <c r="AM849" i="1"/>
  <c r="AL846" i="1"/>
  <c r="AK851" i="1" l="1"/>
  <c r="AN850" i="1"/>
  <c r="AM850" i="1"/>
  <c r="AL847" i="1"/>
  <c r="AK852" i="1" l="1"/>
  <c r="AN851" i="1"/>
  <c r="AM851" i="1"/>
  <c r="AL848" i="1"/>
  <c r="AK853" i="1" l="1"/>
  <c r="AN852" i="1"/>
  <c r="AM852" i="1"/>
  <c r="AL849" i="1"/>
  <c r="AK854" i="1" l="1"/>
  <c r="AN853" i="1"/>
  <c r="AM853" i="1"/>
  <c r="AL850" i="1"/>
  <c r="AK855" i="1" l="1"/>
  <c r="AM854" i="1"/>
  <c r="AN854" i="1"/>
  <c r="AL851" i="1"/>
  <c r="AK856" i="1" l="1"/>
  <c r="AN855" i="1"/>
  <c r="AM855" i="1"/>
  <c r="AL852" i="1"/>
  <c r="AK857" i="1" l="1"/>
  <c r="AN856" i="1"/>
  <c r="AM856" i="1"/>
  <c r="AL853" i="1"/>
  <c r="AK858" i="1" l="1"/>
  <c r="AN857" i="1"/>
  <c r="AM857" i="1"/>
  <c r="AL854" i="1"/>
  <c r="AK859" i="1" l="1"/>
  <c r="AN858" i="1"/>
  <c r="AM858" i="1"/>
  <c r="AL855" i="1"/>
  <c r="AK860" i="1" l="1"/>
  <c r="AN859" i="1"/>
  <c r="AM859" i="1"/>
  <c r="AL856" i="1"/>
  <c r="AK861" i="1" l="1"/>
  <c r="AN860" i="1"/>
  <c r="AM860" i="1"/>
  <c r="AL857" i="1"/>
  <c r="AK862" i="1" l="1"/>
  <c r="AM861" i="1"/>
  <c r="AN861" i="1"/>
  <c r="AL858" i="1"/>
  <c r="AK863" i="1" l="1"/>
  <c r="AN862" i="1"/>
  <c r="AM862" i="1"/>
  <c r="AL859" i="1"/>
  <c r="AK864" i="1" l="1"/>
  <c r="AN863" i="1"/>
  <c r="AM863" i="1"/>
  <c r="AL860" i="1"/>
  <c r="AK865" i="1" l="1"/>
  <c r="AN864" i="1"/>
  <c r="AM864" i="1"/>
  <c r="AL861" i="1"/>
  <c r="AK866" i="1" l="1"/>
  <c r="AM865" i="1"/>
  <c r="AN865" i="1"/>
  <c r="AL862" i="1"/>
  <c r="AK867" i="1" l="1"/>
  <c r="AN866" i="1"/>
  <c r="AM866" i="1"/>
  <c r="AL863" i="1"/>
  <c r="AK868" i="1" l="1"/>
  <c r="AN867" i="1"/>
  <c r="AM867" i="1"/>
  <c r="AL864" i="1"/>
  <c r="AK869" i="1" l="1"/>
  <c r="AN868" i="1"/>
  <c r="AM868" i="1"/>
  <c r="AL865" i="1"/>
  <c r="AK870" i="1" l="1"/>
  <c r="AN869" i="1"/>
  <c r="AM869" i="1"/>
  <c r="AL866" i="1"/>
  <c r="AK871" i="1" l="1"/>
  <c r="AN870" i="1"/>
  <c r="AM870" i="1"/>
  <c r="AL867" i="1"/>
  <c r="AK872" i="1" l="1"/>
  <c r="AM871" i="1"/>
  <c r="AN871" i="1"/>
  <c r="AL868" i="1"/>
  <c r="AK873" i="1" l="1"/>
  <c r="AN872" i="1"/>
  <c r="AM872" i="1"/>
  <c r="AL869" i="1"/>
  <c r="AK874" i="1" l="1"/>
  <c r="AN873" i="1"/>
  <c r="AM873" i="1"/>
  <c r="AL870" i="1"/>
  <c r="AK875" i="1" l="1"/>
  <c r="AN874" i="1"/>
  <c r="AM874" i="1"/>
  <c r="AL871" i="1"/>
  <c r="AK876" i="1" l="1"/>
  <c r="AN875" i="1"/>
  <c r="AM875" i="1"/>
  <c r="AL872" i="1"/>
  <c r="AK877" i="1" l="1"/>
  <c r="AN876" i="1"/>
  <c r="AM876" i="1"/>
  <c r="AL873" i="1"/>
  <c r="AK878" i="1" l="1"/>
  <c r="AN877" i="1"/>
  <c r="AM877" i="1"/>
  <c r="AL874" i="1"/>
  <c r="AK879" i="1" l="1"/>
  <c r="AM878" i="1"/>
  <c r="AN878" i="1"/>
  <c r="AL875" i="1"/>
  <c r="AK880" i="1" l="1"/>
  <c r="AN879" i="1"/>
  <c r="AM879" i="1"/>
  <c r="AL876" i="1"/>
  <c r="AK881" i="1" l="1"/>
  <c r="AN880" i="1"/>
  <c r="AM880" i="1"/>
  <c r="AL877" i="1"/>
  <c r="AK882" i="1" l="1"/>
  <c r="AN881" i="1"/>
  <c r="AM881" i="1"/>
  <c r="AL878" i="1"/>
  <c r="AK883" i="1" l="1"/>
  <c r="AN882" i="1"/>
  <c r="AM882" i="1"/>
  <c r="AL879" i="1"/>
  <c r="AK884" i="1" l="1"/>
  <c r="AM883" i="1"/>
  <c r="AN883" i="1"/>
  <c r="AL880" i="1"/>
  <c r="AK885" i="1" l="1"/>
  <c r="AN884" i="1"/>
  <c r="AM884" i="1"/>
  <c r="AL881" i="1"/>
  <c r="AK886" i="1" l="1"/>
  <c r="AN885" i="1"/>
  <c r="AM885" i="1"/>
  <c r="AL882" i="1"/>
  <c r="AK887" i="1" l="1"/>
  <c r="AN886" i="1"/>
  <c r="AM886" i="1"/>
  <c r="AL883" i="1"/>
  <c r="AK888" i="1" l="1"/>
  <c r="AN887" i="1"/>
  <c r="AM887" i="1"/>
  <c r="AL884" i="1"/>
  <c r="AK889" i="1" l="1"/>
  <c r="AM888" i="1"/>
  <c r="AN888" i="1"/>
  <c r="AL885" i="1"/>
  <c r="AK890" i="1" l="1"/>
  <c r="AN889" i="1"/>
  <c r="AM889" i="1"/>
  <c r="AL886" i="1"/>
  <c r="AK891" i="1" l="1"/>
  <c r="AN890" i="1"/>
  <c r="AM890" i="1"/>
  <c r="AL887" i="1"/>
  <c r="AK892" i="1" l="1"/>
  <c r="AN891" i="1"/>
  <c r="AM891" i="1"/>
  <c r="AL888" i="1"/>
  <c r="AK893" i="1" l="1"/>
  <c r="AN892" i="1"/>
  <c r="AM892" i="1"/>
  <c r="AL889" i="1"/>
  <c r="AK894" i="1" l="1"/>
  <c r="AM893" i="1"/>
  <c r="AN893" i="1"/>
  <c r="AL890" i="1"/>
  <c r="AK895" i="1" l="1"/>
  <c r="AN894" i="1"/>
  <c r="AM894" i="1"/>
  <c r="AL891" i="1"/>
  <c r="AK896" i="1" l="1"/>
  <c r="AN895" i="1"/>
  <c r="AM895" i="1"/>
  <c r="AL892" i="1"/>
  <c r="AK897" i="1" l="1"/>
  <c r="AN896" i="1"/>
  <c r="AM896" i="1"/>
  <c r="AL893" i="1"/>
  <c r="AK898" i="1" l="1"/>
  <c r="AN897" i="1"/>
  <c r="AM897" i="1"/>
  <c r="AL894" i="1"/>
  <c r="AK899" i="1" l="1"/>
  <c r="AN898" i="1"/>
  <c r="AM898" i="1"/>
  <c r="AL895" i="1"/>
  <c r="AK900" i="1" l="1"/>
  <c r="AN899" i="1"/>
  <c r="AM899" i="1"/>
  <c r="AL896" i="1"/>
  <c r="AK901" i="1" l="1"/>
  <c r="AN900" i="1"/>
  <c r="AM900" i="1"/>
  <c r="AL897" i="1"/>
  <c r="AK902" i="1" l="1"/>
  <c r="AN901" i="1"/>
  <c r="AM901" i="1"/>
  <c r="AL898" i="1"/>
  <c r="AK903" i="1" l="1"/>
  <c r="AM902" i="1"/>
  <c r="AN902" i="1"/>
  <c r="AL899" i="1"/>
  <c r="AK904" i="1" l="1"/>
  <c r="AN903" i="1"/>
  <c r="AM903" i="1"/>
  <c r="AL900" i="1"/>
  <c r="AK905" i="1" l="1"/>
  <c r="AN904" i="1"/>
  <c r="AM904" i="1"/>
  <c r="AL901" i="1"/>
  <c r="AK906" i="1" l="1"/>
  <c r="AN905" i="1"/>
  <c r="AM905" i="1"/>
  <c r="AL902" i="1"/>
  <c r="AK907" i="1" l="1"/>
  <c r="AN906" i="1"/>
  <c r="AM906" i="1"/>
  <c r="AL903" i="1"/>
  <c r="AK908" i="1" l="1"/>
  <c r="AN907" i="1"/>
  <c r="AM907" i="1"/>
  <c r="AL904" i="1"/>
  <c r="AK909" i="1" l="1"/>
  <c r="AN908" i="1"/>
  <c r="AM908" i="1"/>
  <c r="AL905" i="1"/>
  <c r="AK910" i="1" l="1"/>
  <c r="AN909" i="1"/>
  <c r="AM909" i="1"/>
  <c r="AL906" i="1"/>
  <c r="AK911" i="1" l="1"/>
  <c r="AM910" i="1"/>
  <c r="AN910" i="1"/>
  <c r="AL907" i="1"/>
  <c r="AK912" i="1" l="1"/>
  <c r="AN911" i="1"/>
  <c r="AM911" i="1"/>
  <c r="AL908" i="1"/>
  <c r="AK913" i="1" l="1"/>
  <c r="AN912" i="1"/>
  <c r="AM912" i="1"/>
  <c r="AL909" i="1"/>
  <c r="AK914" i="1" l="1"/>
  <c r="AN913" i="1"/>
  <c r="AM913" i="1"/>
  <c r="AL910" i="1"/>
  <c r="AK915" i="1" l="1"/>
  <c r="AN914" i="1"/>
  <c r="AM914" i="1"/>
  <c r="AL911" i="1"/>
  <c r="AK916" i="1" l="1"/>
  <c r="AN915" i="1"/>
  <c r="AM915" i="1"/>
  <c r="AL912" i="1"/>
  <c r="AK917" i="1" l="1"/>
  <c r="AN916" i="1"/>
  <c r="AM916" i="1"/>
  <c r="AL913" i="1"/>
  <c r="AK918" i="1" l="1"/>
  <c r="AN917" i="1"/>
  <c r="AM917" i="1"/>
  <c r="AL914" i="1"/>
  <c r="AK919" i="1" l="1"/>
  <c r="AN918" i="1"/>
  <c r="AM918" i="1"/>
  <c r="AL915" i="1"/>
  <c r="AK920" i="1" l="1"/>
  <c r="AM919" i="1"/>
  <c r="AN919" i="1"/>
  <c r="AL916" i="1"/>
  <c r="AK921" i="1" l="1"/>
  <c r="AN920" i="1"/>
  <c r="AM920" i="1"/>
  <c r="AL917" i="1"/>
  <c r="AK922" i="1" l="1"/>
  <c r="AN921" i="1"/>
  <c r="AM921" i="1"/>
  <c r="AL918" i="1"/>
  <c r="AK923" i="1" l="1"/>
  <c r="AN922" i="1"/>
  <c r="AM922" i="1"/>
  <c r="AL919" i="1"/>
  <c r="AK924" i="1" l="1"/>
  <c r="AN923" i="1"/>
  <c r="AM923" i="1"/>
  <c r="AL920" i="1"/>
  <c r="AK925" i="1" l="1"/>
  <c r="AN924" i="1"/>
  <c r="AM924" i="1"/>
  <c r="AL921" i="1"/>
  <c r="AK926" i="1" l="1"/>
  <c r="AN925" i="1"/>
  <c r="AM925" i="1"/>
  <c r="AL922" i="1"/>
  <c r="AK927" i="1" l="1"/>
  <c r="AN926" i="1"/>
  <c r="AM926" i="1"/>
  <c r="AL923" i="1"/>
  <c r="AK928" i="1" l="1"/>
  <c r="AN927" i="1"/>
  <c r="AM927" i="1"/>
  <c r="AL924" i="1"/>
  <c r="AK929" i="1" l="1"/>
  <c r="AN928" i="1"/>
  <c r="AM928" i="1"/>
  <c r="AL925" i="1"/>
  <c r="AK930" i="1" l="1"/>
  <c r="AN929" i="1"/>
  <c r="AM929" i="1"/>
  <c r="AL926" i="1"/>
  <c r="AK931" i="1" l="1"/>
  <c r="AN930" i="1"/>
  <c r="AM930" i="1"/>
  <c r="AL927" i="1"/>
  <c r="AK932" i="1" l="1"/>
  <c r="AN931" i="1"/>
  <c r="AM931" i="1"/>
  <c r="AL928" i="1"/>
  <c r="AK933" i="1" l="1"/>
  <c r="AN932" i="1"/>
  <c r="AM932" i="1"/>
  <c r="AL929" i="1"/>
  <c r="AK934" i="1" l="1"/>
  <c r="AN933" i="1"/>
  <c r="AM933" i="1"/>
  <c r="AL930" i="1"/>
  <c r="AK935" i="1" l="1"/>
  <c r="AN934" i="1"/>
  <c r="AM934" i="1"/>
  <c r="AL931" i="1"/>
  <c r="AK936" i="1" l="1"/>
  <c r="AN935" i="1"/>
  <c r="AM935" i="1"/>
  <c r="AL932" i="1"/>
  <c r="AK937" i="1" l="1"/>
  <c r="AN936" i="1"/>
  <c r="AM936" i="1"/>
  <c r="AL933" i="1"/>
  <c r="AK938" i="1" l="1"/>
  <c r="AN937" i="1"/>
  <c r="AM937" i="1"/>
  <c r="AL934" i="1"/>
  <c r="AK939" i="1" l="1"/>
  <c r="AN938" i="1"/>
  <c r="AM938" i="1"/>
  <c r="AL935" i="1"/>
  <c r="AK940" i="1" l="1"/>
  <c r="AN939" i="1"/>
  <c r="AM939" i="1"/>
  <c r="AL936" i="1"/>
  <c r="AK941" i="1" l="1"/>
  <c r="AN940" i="1"/>
  <c r="AM940" i="1"/>
  <c r="AL937" i="1"/>
  <c r="AK942" i="1" l="1"/>
  <c r="AN941" i="1"/>
  <c r="AM941" i="1"/>
  <c r="AL938" i="1"/>
  <c r="AK943" i="1" l="1"/>
  <c r="AN942" i="1"/>
  <c r="AM942" i="1"/>
  <c r="AL939" i="1"/>
  <c r="AK944" i="1" l="1"/>
  <c r="AN943" i="1"/>
  <c r="AM943" i="1"/>
  <c r="AL940" i="1"/>
  <c r="AK945" i="1" l="1"/>
  <c r="AN944" i="1"/>
  <c r="AM944" i="1"/>
  <c r="AL941" i="1"/>
  <c r="AK946" i="1" l="1"/>
  <c r="AN945" i="1"/>
  <c r="AM945" i="1"/>
  <c r="AL942" i="1"/>
  <c r="AK947" i="1" l="1"/>
  <c r="AN946" i="1"/>
  <c r="AM946" i="1"/>
  <c r="AL943" i="1"/>
  <c r="AK948" i="1" l="1"/>
  <c r="AN947" i="1"/>
  <c r="AM947" i="1"/>
  <c r="AL944" i="1"/>
  <c r="AK949" i="1" l="1"/>
  <c r="AN948" i="1"/>
  <c r="AM948" i="1"/>
  <c r="AL945" i="1"/>
  <c r="AK950" i="1" l="1"/>
  <c r="AN949" i="1"/>
  <c r="AM949" i="1"/>
  <c r="AL946" i="1"/>
  <c r="AK951" i="1" l="1"/>
  <c r="AN950" i="1"/>
  <c r="AM950" i="1"/>
  <c r="AL947" i="1"/>
  <c r="AK952" i="1" l="1"/>
  <c r="AN951" i="1"/>
  <c r="AM951" i="1"/>
  <c r="AL948" i="1"/>
  <c r="AK953" i="1" l="1"/>
  <c r="AM952" i="1"/>
  <c r="AN952" i="1"/>
  <c r="AL949" i="1"/>
  <c r="AK954" i="1" l="1"/>
  <c r="AN953" i="1"/>
  <c r="AM953" i="1"/>
  <c r="AL950" i="1"/>
  <c r="AK955" i="1" l="1"/>
  <c r="AN954" i="1"/>
  <c r="AM954" i="1"/>
  <c r="AL951" i="1"/>
  <c r="AK956" i="1" l="1"/>
  <c r="AM955" i="1"/>
  <c r="AN955" i="1"/>
  <c r="AL952" i="1"/>
  <c r="AK957" i="1" l="1"/>
  <c r="AN956" i="1"/>
  <c r="AM956" i="1"/>
  <c r="AL953" i="1"/>
  <c r="AK958" i="1" l="1"/>
  <c r="AN957" i="1"/>
  <c r="AM957" i="1"/>
  <c r="AL954" i="1"/>
  <c r="AK959" i="1" l="1"/>
  <c r="AM958" i="1"/>
  <c r="AN958" i="1"/>
  <c r="AL955" i="1"/>
  <c r="AK960" i="1" l="1"/>
  <c r="AN959" i="1"/>
  <c r="AM959" i="1"/>
  <c r="AL956" i="1"/>
  <c r="AK961" i="1" l="1"/>
  <c r="AM960" i="1"/>
  <c r="AN960" i="1"/>
  <c r="AL957" i="1"/>
  <c r="AK962" i="1" l="1"/>
  <c r="AN961" i="1"/>
  <c r="AM961" i="1"/>
  <c r="AL958" i="1"/>
  <c r="AK963" i="1" l="1"/>
  <c r="AM962" i="1"/>
  <c r="AN962" i="1"/>
  <c r="AL959" i="1"/>
  <c r="AK964" i="1" l="1"/>
  <c r="AN963" i="1"/>
  <c r="AM963" i="1"/>
  <c r="AL960" i="1"/>
  <c r="AK965" i="1" l="1"/>
  <c r="AN964" i="1"/>
  <c r="AM964" i="1"/>
  <c r="AL961" i="1"/>
  <c r="AK966" i="1" l="1"/>
  <c r="AM965" i="1"/>
  <c r="AN965" i="1"/>
  <c r="AL962" i="1"/>
  <c r="AK967" i="1" l="1"/>
  <c r="AN966" i="1"/>
  <c r="AM966" i="1"/>
  <c r="AL963" i="1"/>
  <c r="AK968" i="1" l="1"/>
  <c r="AN967" i="1"/>
  <c r="AM967" i="1"/>
  <c r="AL964" i="1"/>
  <c r="AK969" i="1" l="1"/>
  <c r="AN968" i="1"/>
  <c r="AM968" i="1"/>
  <c r="AL965" i="1"/>
  <c r="AK970" i="1" l="1"/>
  <c r="AN969" i="1"/>
  <c r="AM969" i="1"/>
  <c r="AL966" i="1"/>
  <c r="AK971" i="1" l="1"/>
  <c r="AN970" i="1"/>
  <c r="AM970" i="1"/>
  <c r="AL967" i="1"/>
  <c r="AK972" i="1" l="1"/>
  <c r="AN971" i="1"/>
  <c r="AM971" i="1"/>
  <c r="AL968" i="1"/>
  <c r="AK973" i="1" l="1"/>
  <c r="AN972" i="1"/>
  <c r="AM972" i="1"/>
  <c r="AL969" i="1"/>
  <c r="AK974" i="1" l="1"/>
  <c r="AN973" i="1"/>
  <c r="AM973" i="1"/>
  <c r="AL970" i="1"/>
  <c r="AK975" i="1" l="1"/>
  <c r="AN974" i="1"/>
  <c r="AM974" i="1"/>
  <c r="AL971" i="1"/>
  <c r="AK976" i="1" l="1"/>
  <c r="AN975" i="1"/>
  <c r="AM975" i="1"/>
  <c r="AL972" i="1"/>
  <c r="AK977" i="1" l="1"/>
  <c r="AN976" i="1"/>
  <c r="AM976" i="1"/>
  <c r="AL973" i="1"/>
  <c r="AK978" i="1" l="1"/>
  <c r="AN977" i="1"/>
  <c r="AM977" i="1"/>
  <c r="AL974" i="1"/>
  <c r="AK979" i="1" l="1"/>
  <c r="AN978" i="1"/>
  <c r="AM978" i="1"/>
  <c r="AL975" i="1"/>
  <c r="AK980" i="1" l="1"/>
  <c r="AN979" i="1"/>
  <c r="AM979" i="1"/>
  <c r="AL976" i="1"/>
  <c r="AK981" i="1" l="1"/>
  <c r="AM980" i="1"/>
  <c r="AN980" i="1"/>
  <c r="AL977" i="1"/>
  <c r="AK982" i="1" l="1"/>
  <c r="AN981" i="1"/>
  <c r="AM981" i="1"/>
  <c r="AL978" i="1"/>
  <c r="AK983" i="1" l="1"/>
  <c r="AN982" i="1"/>
  <c r="AM982" i="1"/>
  <c r="AL979" i="1"/>
  <c r="AK984" i="1" l="1"/>
  <c r="AM983" i="1"/>
  <c r="AN983" i="1"/>
  <c r="AL980" i="1"/>
  <c r="AK985" i="1" l="1"/>
  <c r="AN984" i="1"/>
  <c r="AM984" i="1"/>
  <c r="AL981" i="1"/>
  <c r="AK986" i="1" l="1"/>
  <c r="AN985" i="1"/>
  <c r="AM985" i="1"/>
  <c r="AL982" i="1"/>
  <c r="AK987" i="1" l="1"/>
  <c r="AN986" i="1"/>
  <c r="AM986" i="1"/>
  <c r="AL983" i="1"/>
  <c r="AK988" i="1" l="1"/>
  <c r="AN987" i="1"/>
  <c r="AM987" i="1"/>
  <c r="AL984" i="1"/>
  <c r="AK989" i="1" l="1"/>
  <c r="AN988" i="1"/>
  <c r="AM988" i="1"/>
  <c r="AL985" i="1"/>
  <c r="AK990" i="1" l="1"/>
  <c r="AN989" i="1"/>
  <c r="AM989" i="1"/>
  <c r="AL986" i="1"/>
  <c r="AK991" i="1" l="1"/>
  <c r="AN990" i="1"/>
  <c r="AM990" i="1"/>
  <c r="AL987" i="1"/>
  <c r="AK992" i="1" l="1"/>
  <c r="AN991" i="1"/>
  <c r="AM991" i="1"/>
  <c r="AL988" i="1"/>
  <c r="AK993" i="1" l="1"/>
  <c r="AM992" i="1"/>
  <c r="AN992" i="1"/>
  <c r="AL989" i="1"/>
  <c r="AK994" i="1" l="1"/>
  <c r="AM993" i="1"/>
  <c r="AN993" i="1"/>
  <c r="AL990" i="1"/>
  <c r="AK995" i="1" l="1"/>
  <c r="AN994" i="1"/>
  <c r="AM994" i="1"/>
  <c r="AL991" i="1"/>
  <c r="AK996" i="1" l="1"/>
  <c r="AN995" i="1"/>
  <c r="AM995" i="1"/>
  <c r="AL992" i="1"/>
  <c r="AK997" i="1" l="1"/>
  <c r="AN996" i="1"/>
  <c r="AM996" i="1"/>
  <c r="AL993" i="1"/>
  <c r="AK998" i="1" l="1"/>
  <c r="AM997" i="1"/>
  <c r="AN997" i="1"/>
  <c r="AL994" i="1"/>
  <c r="AK999" i="1" l="1"/>
  <c r="AN998" i="1"/>
  <c r="AM998" i="1"/>
  <c r="AL995" i="1"/>
  <c r="AK1000" i="1" l="1"/>
  <c r="AN999" i="1"/>
  <c r="AM999" i="1"/>
  <c r="AL996" i="1"/>
  <c r="AK1001" i="1" l="1"/>
  <c r="AN1000" i="1"/>
  <c r="AM1000" i="1"/>
  <c r="AL997" i="1"/>
  <c r="AK1002" i="1" l="1"/>
  <c r="AN1001" i="1"/>
  <c r="AM1001" i="1"/>
  <c r="AL998" i="1"/>
  <c r="AK1003" i="1" l="1"/>
  <c r="AN1002" i="1"/>
  <c r="AM1002" i="1"/>
  <c r="AL999" i="1"/>
  <c r="AK1004" i="1" l="1"/>
  <c r="AM1003" i="1"/>
  <c r="AN1003" i="1"/>
  <c r="AL1000" i="1"/>
  <c r="AK1005" i="1" l="1"/>
  <c r="AN1004" i="1"/>
  <c r="AM1004" i="1"/>
  <c r="AL1001" i="1"/>
  <c r="AK1006" i="1" l="1"/>
  <c r="AN1005" i="1"/>
  <c r="AM1005" i="1"/>
  <c r="AL1002" i="1"/>
  <c r="AK1007" i="1" l="1"/>
  <c r="AN1006" i="1"/>
  <c r="AM1006" i="1"/>
  <c r="AL1003" i="1"/>
  <c r="AK1008" i="1" l="1"/>
  <c r="AN1007" i="1"/>
  <c r="AM1007" i="1"/>
  <c r="AL1004" i="1"/>
  <c r="AK1009" i="1" l="1"/>
  <c r="AN1008" i="1"/>
  <c r="AM1008" i="1"/>
  <c r="AL1005" i="1"/>
  <c r="AK1010" i="1" l="1"/>
  <c r="AN1009" i="1"/>
  <c r="AM1009" i="1"/>
  <c r="AL1006" i="1"/>
  <c r="AK1011" i="1" l="1"/>
  <c r="AM1010" i="1"/>
  <c r="AN1010" i="1"/>
  <c r="AL1007" i="1"/>
  <c r="AK1012" i="1" l="1"/>
  <c r="AM1011" i="1"/>
  <c r="AN1011" i="1"/>
  <c r="AL1008" i="1"/>
  <c r="AK1013" i="1" l="1"/>
  <c r="AN1012" i="1"/>
  <c r="AM1012" i="1"/>
  <c r="AL1009" i="1"/>
  <c r="AK1014" i="1" l="1"/>
  <c r="AM1013" i="1"/>
  <c r="AN1013" i="1"/>
  <c r="AL1010" i="1"/>
  <c r="AK1015" i="1" l="1"/>
  <c r="AN1014" i="1"/>
  <c r="AM1014" i="1"/>
  <c r="AL1011" i="1"/>
  <c r="AK1016" i="1" l="1"/>
  <c r="AN1015" i="1"/>
  <c r="AM1015" i="1"/>
  <c r="AL1012" i="1"/>
  <c r="AK1017" i="1" l="1"/>
  <c r="AN1016" i="1"/>
  <c r="AM1016" i="1"/>
  <c r="AL1013" i="1"/>
  <c r="AK1018" i="1" l="1"/>
  <c r="AN1017" i="1"/>
  <c r="AM1017" i="1"/>
  <c r="AL1014" i="1"/>
  <c r="AK1019" i="1" l="1"/>
  <c r="AN1018" i="1"/>
  <c r="AM1018" i="1"/>
  <c r="AL1015" i="1"/>
  <c r="AK1020" i="1" l="1"/>
  <c r="AN1019" i="1"/>
  <c r="AM1019" i="1"/>
  <c r="AL1016" i="1"/>
  <c r="AK1021" i="1" l="1"/>
  <c r="AN1020" i="1"/>
  <c r="AM1020" i="1"/>
  <c r="AL1017" i="1"/>
  <c r="AK1022" i="1" l="1"/>
  <c r="AN1021" i="1"/>
  <c r="AM1021" i="1"/>
  <c r="AL1018" i="1"/>
  <c r="AK1023" i="1" l="1"/>
  <c r="AN1022" i="1"/>
  <c r="AM1022" i="1"/>
  <c r="AL1019" i="1"/>
  <c r="AK1024" i="1" l="1"/>
  <c r="AN1023" i="1"/>
  <c r="AM1023" i="1"/>
  <c r="AL1020" i="1"/>
  <c r="AK1025" i="1" l="1"/>
  <c r="AN1024" i="1"/>
  <c r="AM1024" i="1"/>
  <c r="AL1021" i="1"/>
  <c r="AK1026" i="1" l="1"/>
  <c r="AM1025" i="1"/>
  <c r="AN1025" i="1"/>
  <c r="AL1022" i="1"/>
  <c r="AK1027" i="1" l="1"/>
  <c r="AN1026" i="1"/>
  <c r="AM1026" i="1"/>
  <c r="AL1023" i="1"/>
  <c r="AK1028" i="1" l="1"/>
  <c r="AN1027" i="1"/>
  <c r="AM1027" i="1"/>
  <c r="AL1024" i="1"/>
  <c r="AK1029" i="1" l="1"/>
  <c r="AN1028" i="1"/>
  <c r="AM1028" i="1"/>
  <c r="AL1025" i="1"/>
  <c r="AK1030" i="1" l="1"/>
  <c r="AN1029" i="1"/>
  <c r="AM1029" i="1"/>
  <c r="AL1026" i="1"/>
  <c r="AK1031" i="1" l="1"/>
  <c r="AN1030" i="1"/>
  <c r="AM1030" i="1"/>
  <c r="AL1027" i="1"/>
  <c r="AK1032" i="1" l="1"/>
  <c r="AN1031" i="1"/>
  <c r="AM1031" i="1"/>
  <c r="AL1028" i="1"/>
  <c r="AK1033" i="1" l="1"/>
  <c r="AN1032" i="1"/>
  <c r="AM1032" i="1"/>
  <c r="AL1029" i="1"/>
  <c r="AK1034" i="1" l="1"/>
  <c r="AN1033" i="1"/>
  <c r="AM1033" i="1"/>
  <c r="AL1030" i="1"/>
  <c r="AK1035" i="1" l="1"/>
  <c r="AN1034" i="1"/>
  <c r="AM1034" i="1"/>
  <c r="AL1031" i="1"/>
  <c r="AK1036" i="1" l="1"/>
  <c r="AN1035" i="1"/>
  <c r="AM1035" i="1"/>
  <c r="AL1032" i="1"/>
  <c r="AK1037" i="1" l="1"/>
  <c r="AN1036" i="1"/>
  <c r="AM1036" i="1"/>
  <c r="AL1033" i="1"/>
  <c r="AK1038" i="1" l="1"/>
  <c r="AN1037" i="1"/>
  <c r="AM1037" i="1"/>
  <c r="AL1034" i="1"/>
  <c r="AK1039" i="1" l="1"/>
  <c r="AN1038" i="1"/>
  <c r="AM1038" i="1"/>
  <c r="AL1035" i="1"/>
  <c r="AK1040" i="1" l="1"/>
  <c r="AM1039" i="1"/>
  <c r="AN1039" i="1"/>
  <c r="AL1036" i="1"/>
  <c r="AK1041" i="1" l="1"/>
  <c r="AN1040" i="1"/>
  <c r="AM1040" i="1"/>
  <c r="AL1037" i="1"/>
  <c r="AK1042" i="1" l="1"/>
  <c r="AN1041" i="1"/>
  <c r="AM1041" i="1"/>
  <c r="AL1038" i="1"/>
  <c r="AK1043" i="1" l="1"/>
  <c r="AN1042" i="1"/>
  <c r="AM1042" i="1"/>
  <c r="AL1039" i="1"/>
  <c r="AK1044" i="1" l="1"/>
  <c r="AN1043" i="1"/>
  <c r="AM1043" i="1"/>
  <c r="AL1040" i="1"/>
  <c r="AK1045" i="1" l="1"/>
  <c r="AM1044" i="1"/>
  <c r="AN1044" i="1"/>
  <c r="AL1041" i="1"/>
  <c r="AK1046" i="1" l="1"/>
  <c r="AN1045" i="1"/>
  <c r="AM1045" i="1"/>
  <c r="AL1042" i="1"/>
  <c r="AK1047" i="1" l="1"/>
  <c r="AN1046" i="1"/>
  <c r="AM1046" i="1"/>
  <c r="AL1043" i="1"/>
  <c r="AK1048" i="1" l="1"/>
  <c r="AN1047" i="1"/>
  <c r="AM1047" i="1"/>
  <c r="AL1044" i="1"/>
  <c r="AK1049" i="1" l="1"/>
  <c r="AM1048" i="1"/>
  <c r="AN1048" i="1"/>
  <c r="AL1045" i="1"/>
  <c r="AK1050" i="1" l="1"/>
  <c r="AN1049" i="1"/>
  <c r="AM1049" i="1"/>
  <c r="AL1046" i="1"/>
  <c r="AK1051" i="1" l="1"/>
  <c r="AM1050" i="1"/>
  <c r="AN1050" i="1"/>
  <c r="AL1047" i="1"/>
  <c r="AK1052" i="1" l="1"/>
  <c r="AN1051" i="1"/>
  <c r="AM1051" i="1"/>
  <c r="AL1048" i="1"/>
  <c r="AK1053" i="1" l="1"/>
  <c r="AN1052" i="1"/>
  <c r="AM1052" i="1"/>
  <c r="AL1049" i="1"/>
  <c r="AK1054" i="1" l="1"/>
  <c r="AM1053" i="1"/>
  <c r="AN1053" i="1"/>
  <c r="AL1050" i="1"/>
  <c r="AK1055" i="1" l="1"/>
  <c r="AN1054" i="1"/>
  <c r="AM1054" i="1"/>
  <c r="AL1051" i="1"/>
  <c r="AK1056" i="1" l="1"/>
  <c r="AM1055" i="1"/>
  <c r="AN1055" i="1"/>
  <c r="AL1052" i="1"/>
  <c r="AK1057" i="1" l="1"/>
  <c r="AN1056" i="1"/>
  <c r="AM1056" i="1"/>
  <c r="AL1053" i="1"/>
  <c r="AK1058" i="1" l="1"/>
  <c r="AN1057" i="1"/>
  <c r="AM1057" i="1"/>
  <c r="AL1054" i="1"/>
  <c r="AK1059" i="1" l="1"/>
  <c r="AM1058" i="1"/>
  <c r="AN1058" i="1"/>
  <c r="AL1055" i="1"/>
  <c r="AK1060" i="1" l="1"/>
  <c r="AN1059" i="1"/>
  <c r="AM1059" i="1"/>
  <c r="AL1056" i="1"/>
  <c r="AK1061" i="1" l="1"/>
  <c r="AN1060" i="1"/>
  <c r="AM1060" i="1"/>
  <c r="AL1057" i="1"/>
  <c r="AK1062" i="1" l="1"/>
  <c r="AN1061" i="1"/>
  <c r="AM1061" i="1"/>
  <c r="AL1058" i="1"/>
  <c r="AK1063" i="1" l="1"/>
  <c r="AN1062" i="1"/>
  <c r="AM1062" i="1"/>
  <c r="AL1059" i="1"/>
  <c r="AK1064" i="1" l="1"/>
  <c r="AN1063" i="1"/>
  <c r="AM1063" i="1"/>
  <c r="AL1060" i="1"/>
  <c r="AK1065" i="1" l="1"/>
  <c r="AN1064" i="1"/>
  <c r="AM1064" i="1"/>
  <c r="AL1061" i="1"/>
  <c r="AK1066" i="1" l="1"/>
  <c r="AN1065" i="1"/>
  <c r="AM1065" i="1"/>
  <c r="AL1062" i="1"/>
  <c r="AK1067" i="1" l="1"/>
  <c r="AN1066" i="1"/>
  <c r="AM1066" i="1"/>
  <c r="AL1063" i="1"/>
  <c r="AK1068" i="1" l="1"/>
  <c r="AN1067" i="1"/>
  <c r="AM1067" i="1"/>
  <c r="AL1064" i="1"/>
  <c r="AK1069" i="1" l="1"/>
  <c r="AN1068" i="1"/>
  <c r="AM1068" i="1"/>
  <c r="AL1065" i="1"/>
  <c r="AK1070" i="1" l="1"/>
  <c r="AN1069" i="1"/>
  <c r="AM1069" i="1"/>
  <c r="AL1066" i="1"/>
  <c r="AK1071" i="1" l="1"/>
  <c r="AN1070" i="1"/>
  <c r="AM1070" i="1"/>
  <c r="AL1067" i="1"/>
  <c r="AK1072" i="1" l="1"/>
  <c r="AN1071" i="1"/>
  <c r="AM1071" i="1"/>
  <c r="AL1068" i="1"/>
  <c r="AK1073" i="1" l="1"/>
  <c r="AN1072" i="1"/>
  <c r="AM1072" i="1"/>
  <c r="AL1069" i="1"/>
  <c r="AK1074" i="1" l="1"/>
  <c r="AM1073" i="1"/>
  <c r="AN1073" i="1"/>
  <c r="AL1070" i="1"/>
  <c r="AK1075" i="1" l="1"/>
  <c r="AN1074" i="1"/>
  <c r="AM1074" i="1"/>
  <c r="AL1071" i="1"/>
  <c r="AK1076" i="1" l="1"/>
  <c r="AM1075" i="1"/>
  <c r="AN1075" i="1"/>
  <c r="AL1072" i="1"/>
  <c r="AK1077" i="1" l="1"/>
  <c r="AM1076" i="1"/>
  <c r="AN1076" i="1"/>
  <c r="AL1073" i="1"/>
  <c r="AK1078" i="1" l="1"/>
  <c r="AN1077" i="1"/>
  <c r="AM1077" i="1"/>
  <c r="AL1074" i="1"/>
  <c r="AK1079" i="1" l="1"/>
  <c r="AN1078" i="1"/>
  <c r="AM1078" i="1"/>
  <c r="AL1075" i="1"/>
  <c r="AK1080" i="1" l="1"/>
  <c r="AN1079" i="1"/>
  <c r="AM1079" i="1"/>
  <c r="AL1076" i="1"/>
  <c r="AK1081" i="1" l="1"/>
  <c r="AM1080" i="1"/>
  <c r="AN1080" i="1"/>
  <c r="AL1077" i="1"/>
  <c r="AK1082" i="1" l="1"/>
  <c r="AN1081" i="1"/>
  <c r="AM1081" i="1"/>
  <c r="AL1078" i="1"/>
  <c r="AK1083" i="1" l="1"/>
  <c r="AN1082" i="1"/>
  <c r="AM1082" i="1"/>
  <c r="AL1079" i="1"/>
  <c r="AK1084" i="1" l="1"/>
  <c r="AN1083" i="1"/>
  <c r="AM1083" i="1"/>
  <c r="AL1080" i="1"/>
  <c r="AK1085" i="1" l="1"/>
  <c r="AN1084" i="1"/>
  <c r="AM1084" i="1"/>
  <c r="AL1081" i="1"/>
  <c r="AK1086" i="1" l="1"/>
  <c r="AN1085" i="1"/>
  <c r="AM1085" i="1"/>
  <c r="AL1082" i="1"/>
  <c r="AK1087" i="1" l="1"/>
  <c r="AM1086" i="1"/>
  <c r="AN1086" i="1"/>
  <c r="AL1083" i="1"/>
  <c r="AK1088" i="1" l="1"/>
  <c r="AN1087" i="1"/>
  <c r="AM1087" i="1"/>
  <c r="AL1084" i="1"/>
  <c r="AK1089" i="1" l="1"/>
  <c r="AN1088" i="1"/>
  <c r="AM1088" i="1"/>
  <c r="AL1085" i="1"/>
  <c r="AK1090" i="1" l="1"/>
  <c r="AM1089" i="1"/>
  <c r="AN1089" i="1"/>
  <c r="AL1086" i="1"/>
  <c r="AK1091" i="1" l="1"/>
  <c r="AN1090" i="1"/>
  <c r="AM1090" i="1"/>
  <c r="AL1087" i="1"/>
  <c r="AK1092" i="1" l="1"/>
  <c r="AN1091" i="1"/>
  <c r="AM1091" i="1"/>
  <c r="AL1088" i="1"/>
  <c r="AK1093" i="1" l="1"/>
  <c r="AN1092" i="1"/>
  <c r="AM1092" i="1"/>
  <c r="AL1089" i="1"/>
  <c r="AK1094" i="1" l="1"/>
  <c r="AN1093" i="1"/>
  <c r="AM1093" i="1"/>
  <c r="AL1090" i="1"/>
  <c r="AK1095" i="1" l="1"/>
  <c r="AN1094" i="1"/>
  <c r="AM1094" i="1"/>
  <c r="AL1091" i="1"/>
  <c r="AK1096" i="1" l="1"/>
  <c r="AM1095" i="1"/>
  <c r="AN1095" i="1"/>
  <c r="AL1092" i="1"/>
  <c r="AK1097" i="1" l="1"/>
  <c r="AN1096" i="1"/>
  <c r="AM1096" i="1"/>
  <c r="AL1093" i="1"/>
  <c r="AK1098" i="1" l="1"/>
  <c r="AN1097" i="1"/>
  <c r="AM1097" i="1"/>
  <c r="AL1094" i="1"/>
  <c r="AK1099" i="1" l="1"/>
  <c r="AN1098" i="1"/>
  <c r="AM1098" i="1"/>
  <c r="AL1095" i="1"/>
  <c r="AK1100" i="1" l="1"/>
  <c r="AN1099" i="1"/>
  <c r="AM1099" i="1"/>
  <c r="AL1096" i="1"/>
  <c r="AK1101" i="1" l="1"/>
  <c r="AN1100" i="1"/>
  <c r="AM1100" i="1"/>
  <c r="AL1097" i="1"/>
  <c r="AK1102" i="1" l="1"/>
  <c r="AN1101" i="1"/>
  <c r="AM1101" i="1"/>
  <c r="AL1098" i="1"/>
  <c r="AK1103" i="1" l="1"/>
  <c r="AN1102" i="1"/>
  <c r="AM1102" i="1"/>
  <c r="AL1099" i="1"/>
  <c r="AK1104" i="1" l="1"/>
  <c r="AN1103" i="1"/>
  <c r="AM1103" i="1"/>
  <c r="AL1100" i="1"/>
  <c r="AK1105" i="1" l="1"/>
  <c r="AM1104" i="1"/>
  <c r="AN1104" i="1"/>
  <c r="AL1101" i="1"/>
  <c r="AK1106" i="1" l="1"/>
  <c r="AN1105" i="1"/>
  <c r="AM1105" i="1"/>
  <c r="AL1102" i="1"/>
  <c r="AK1107" i="1" l="1"/>
  <c r="AM1106" i="1"/>
  <c r="AN1106" i="1"/>
  <c r="AL1103" i="1"/>
  <c r="AK1108" i="1" l="1"/>
  <c r="AN1107" i="1"/>
  <c r="AM1107" i="1"/>
  <c r="AL1104" i="1"/>
  <c r="AK1109" i="1" l="1"/>
  <c r="AN1108" i="1"/>
  <c r="AM1108" i="1"/>
  <c r="AL1105" i="1"/>
  <c r="AK1110" i="1" l="1"/>
  <c r="AN1109" i="1"/>
  <c r="AM1109" i="1"/>
  <c r="AL1106" i="1"/>
  <c r="AK1111" i="1" l="1"/>
  <c r="AN1110" i="1"/>
  <c r="AM1110" i="1"/>
  <c r="AL1107" i="1"/>
  <c r="AK1112" i="1" l="1"/>
  <c r="AN1111" i="1"/>
  <c r="AM1111" i="1"/>
  <c r="AL1108" i="1"/>
  <c r="AK1113" i="1" l="1"/>
  <c r="AN1112" i="1"/>
  <c r="AM1112" i="1"/>
  <c r="AL1109" i="1"/>
  <c r="AK1114" i="1" l="1"/>
  <c r="AM1113" i="1"/>
  <c r="AN1113" i="1"/>
  <c r="AL1110" i="1"/>
  <c r="AK1115" i="1" l="1"/>
  <c r="AM1114" i="1"/>
  <c r="AN1114" i="1"/>
  <c r="AL1111" i="1"/>
  <c r="AK1116" i="1" l="1"/>
  <c r="AN1115" i="1"/>
  <c r="AM1115" i="1"/>
  <c r="AL1112" i="1"/>
  <c r="AK1117" i="1" l="1"/>
  <c r="AM1116" i="1"/>
  <c r="AN1116" i="1"/>
  <c r="AL1113" i="1"/>
  <c r="AK1118" i="1" l="1"/>
  <c r="AN1117" i="1"/>
  <c r="AM1117" i="1"/>
  <c r="AL1114" i="1"/>
  <c r="AK1119" i="1" l="1"/>
  <c r="AN1118" i="1"/>
  <c r="AM1118" i="1"/>
  <c r="AL1115" i="1"/>
  <c r="AK1120" i="1" l="1"/>
  <c r="AN1119" i="1"/>
  <c r="AM1119" i="1"/>
  <c r="AL1116" i="1"/>
  <c r="AK1121" i="1" l="1"/>
  <c r="AN1120" i="1"/>
  <c r="AM1120" i="1"/>
  <c r="AL1117" i="1"/>
  <c r="AK1122" i="1" l="1"/>
  <c r="AN1121" i="1"/>
  <c r="AM1121" i="1"/>
  <c r="AL1118" i="1"/>
  <c r="AK1123" i="1" l="1"/>
  <c r="AN1122" i="1"/>
  <c r="AM1122" i="1"/>
  <c r="AL1119" i="1"/>
  <c r="AK1124" i="1" l="1"/>
  <c r="AM1123" i="1"/>
  <c r="AN1123" i="1"/>
  <c r="AL1120" i="1"/>
  <c r="AK1125" i="1" l="1"/>
  <c r="AN1124" i="1"/>
  <c r="AM1124" i="1"/>
  <c r="AL1121" i="1"/>
  <c r="AK1126" i="1" l="1"/>
  <c r="AN1125" i="1"/>
  <c r="AM1125" i="1"/>
  <c r="AL1122" i="1"/>
  <c r="AK1127" i="1" l="1"/>
  <c r="AN1126" i="1"/>
  <c r="AM1126" i="1"/>
  <c r="AL1123" i="1"/>
  <c r="AK1128" i="1" l="1"/>
  <c r="AN1127" i="1"/>
  <c r="AM1127" i="1"/>
  <c r="AL1124" i="1"/>
  <c r="AK1129" i="1" l="1"/>
  <c r="AN1128" i="1"/>
  <c r="AM1128" i="1"/>
  <c r="AL1125" i="1"/>
  <c r="AK1130" i="1" l="1"/>
  <c r="AN1129" i="1"/>
  <c r="AM1129" i="1"/>
  <c r="AL1126" i="1"/>
  <c r="AK1131" i="1" l="1"/>
  <c r="AN1130" i="1"/>
  <c r="AM1130" i="1"/>
  <c r="AL1127" i="1"/>
  <c r="AK1132" i="1" l="1"/>
  <c r="AN1131" i="1"/>
  <c r="AM1131" i="1"/>
  <c r="AL1128" i="1"/>
  <c r="AK1133" i="1" l="1"/>
  <c r="AM1132" i="1"/>
  <c r="AN1132" i="1"/>
  <c r="AL1129" i="1"/>
  <c r="AK1134" i="1" l="1"/>
  <c r="AM1133" i="1"/>
  <c r="AN1133" i="1"/>
  <c r="AL1130" i="1"/>
  <c r="AK1135" i="1" l="1"/>
  <c r="AM1134" i="1"/>
  <c r="AN1134" i="1"/>
  <c r="AL1131" i="1"/>
  <c r="AK1136" i="1" l="1"/>
  <c r="AN1135" i="1"/>
  <c r="AM1135" i="1"/>
  <c r="AL1132" i="1"/>
  <c r="AK1137" i="1" l="1"/>
  <c r="AN1136" i="1"/>
  <c r="AM1136" i="1"/>
  <c r="AL1133" i="1"/>
  <c r="AK1138" i="1" l="1"/>
  <c r="AN1137" i="1"/>
  <c r="AM1137" i="1"/>
  <c r="AL1134" i="1"/>
  <c r="AK1139" i="1" l="1"/>
  <c r="AN1138" i="1"/>
  <c r="AM1138" i="1"/>
  <c r="AL1135" i="1"/>
  <c r="AK1140" i="1" l="1"/>
  <c r="AN1139" i="1"/>
  <c r="AM1139" i="1"/>
  <c r="AL1136" i="1"/>
  <c r="AK1141" i="1" l="1"/>
  <c r="AN1140" i="1"/>
  <c r="AM1140" i="1"/>
  <c r="AL1137" i="1"/>
  <c r="AK1142" i="1" l="1"/>
  <c r="AN1141" i="1"/>
  <c r="AM1141" i="1"/>
  <c r="AL1138" i="1"/>
  <c r="AK1143" i="1" l="1"/>
  <c r="AN1142" i="1"/>
  <c r="AM1142" i="1"/>
  <c r="AL1139" i="1"/>
  <c r="AK1144" i="1" l="1"/>
  <c r="AN1143" i="1"/>
  <c r="AM1143" i="1"/>
  <c r="AL1140" i="1"/>
  <c r="AK1145" i="1" l="1"/>
  <c r="AN1144" i="1"/>
  <c r="AM1144" i="1"/>
  <c r="AL1141" i="1"/>
  <c r="AK1146" i="1" l="1"/>
  <c r="AN1145" i="1"/>
  <c r="AM1145" i="1"/>
  <c r="AL1142" i="1"/>
  <c r="AK1147" i="1" l="1"/>
  <c r="AN1146" i="1"/>
  <c r="AM1146" i="1"/>
  <c r="AL1143" i="1"/>
  <c r="AK1148" i="1" l="1"/>
  <c r="AN1147" i="1"/>
  <c r="AM1147" i="1"/>
  <c r="AL1144" i="1"/>
  <c r="AK1149" i="1" l="1"/>
  <c r="AN1148" i="1"/>
  <c r="AM1148" i="1"/>
  <c r="AL1145" i="1"/>
  <c r="AK1150" i="1" l="1"/>
  <c r="AN1149" i="1"/>
  <c r="AM1149" i="1"/>
  <c r="AL1146" i="1"/>
  <c r="AK1151" i="1" l="1"/>
  <c r="AN1150" i="1"/>
  <c r="AM1150" i="1"/>
  <c r="AL1147" i="1"/>
  <c r="AK1152" i="1" l="1"/>
  <c r="AM1151" i="1"/>
  <c r="AN1151" i="1"/>
  <c r="AL1148" i="1"/>
  <c r="AK1153" i="1" l="1"/>
  <c r="AN1152" i="1"/>
  <c r="AM1152" i="1"/>
  <c r="AL1149" i="1"/>
  <c r="AK1154" i="1" l="1"/>
  <c r="AN1153" i="1"/>
  <c r="AM1153" i="1"/>
  <c r="AL1150" i="1"/>
  <c r="AK1155" i="1" l="1"/>
  <c r="AN1154" i="1"/>
  <c r="AM1154" i="1"/>
  <c r="AL1151" i="1"/>
  <c r="AK1156" i="1" l="1"/>
  <c r="AN1155" i="1"/>
  <c r="AM1155" i="1"/>
  <c r="AL1152" i="1"/>
  <c r="AK1157" i="1" l="1"/>
  <c r="AN1156" i="1"/>
  <c r="AM1156" i="1"/>
  <c r="AL1153" i="1"/>
  <c r="AK1158" i="1" l="1"/>
  <c r="AN1157" i="1"/>
  <c r="AM1157" i="1"/>
  <c r="AL1154" i="1"/>
  <c r="AK1159" i="1" l="1"/>
  <c r="AN1158" i="1"/>
  <c r="AM1158" i="1"/>
  <c r="AL1155" i="1"/>
  <c r="AK1160" i="1" l="1"/>
  <c r="AN1159" i="1"/>
  <c r="AM1159" i="1"/>
  <c r="AL1156" i="1"/>
  <c r="AK1161" i="1" l="1"/>
  <c r="AN1160" i="1"/>
  <c r="AM1160" i="1"/>
  <c r="AL1157" i="1"/>
  <c r="AK1162" i="1" l="1"/>
  <c r="AN1161" i="1"/>
  <c r="AM1161" i="1"/>
  <c r="AL1158" i="1"/>
  <c r="AK1163" i="1" l="1"/>
  <c r="AN1162" i="1"/>
  <c r="AM1162" i="1"/>
  <c r="AL1159" i="1"/>
  <c r="AK1164" i="1" l="1"/>
  <c r="AM1163" i="1"/>
  <c r="AN1163" i="1"/>
  <c r="AL1160" i="1"/>
  <c r="AK1165" i="1" l="1"/>
  <c r="AN1164" i="1"/>
  <c r="AM1164" i="1"/>
  <c r="AL1161" i="1"/>
  <c r="AK1166" i="1" l="1"/>
  <c r="AM1165" i="1"/>
  <c r="AN1165" i="1"/>
  <c r="AL1162" i="1"/>
  <c r="AK1167" i="1" l="1"/>
  <c r="AN1166" i="1"/>
  <c r="AM1166" i="1"/>
  <c r="AL1163" i="1"/>
  <c r="AK1168" i="1" l="1"/>
  <c r="AN1167" i="1"/>
  <c r="AM1167" i="1"/>
  <c r="AL1164" i="1"/>
  <c r="AK1169" i="1" l="1"/>
  <c r="AN1168" i="1"/>
  <c r="AM1168" i="1"/>
  <c r="AL1165" i="1"/>
  <c r="AK1170" i="1" l="1"/>
  <c r="AM1169" i="1"/>
  <c r="AN1169" i="1"/>
  <c r="AL1166" i="1"/>
  <c r="AK1171" i="1" l="1"/>
  <c r="AN1170" i="1"/>
  <c r="AM1170" i="1"/>
  <c r="AL1167" i="1"/>
  <c r="AK1172" i="1" l="1"/>
  <c r="AM1171" i="1"/>
  <c r="AN1171" i="1"/>
  <c r="AL1168" i="1"/>
  <c r="AK1173" i="1" l="1"/>
  <c r="AN1172" i="1"/>
  <c r="AM1172" i="1"/>
  <c r="AL1169" i="1"/>
  <c r="AK1174" i="1" l="1"/>
  <c r="AN1173" i="1"/>
  <c r="AM1173" i="1"/>
  <c r="AL1170" i="1"/>
  <c r="AK1175" i="1" l="1"/>
  <c r="AM1174" i="1"/>
  <c r="AN1174" i="1"/>
  <c r="AL1171" i="1"/>
  <c r="AK1176" i="1" l="1"/>
  <c r="AN1175" i="1"/>
  <c r="AM1175" i="1"/>
  <c r="AL1172" i="1"/>
  <c r="AK1177" i="1" l="1"/>
  <c r="AM1176" i="1"/>
  <c r="AN1176" i="1"/>
  <c r="AL1173" i="1"/>
  <c r="AK1178" i="1" l="1"/>
  <c r="AN1177" i="1"/>
  <c r="AM1177" i="1"/>
  <c r="AL1174" i="1"/>
  <c r="AK1179" i="1" l="1"/>
  <c r="AM1178" i="1"/>
  <c r="AN1178" i="1"/>
  <c r="AL1175" i="1"/>
  <c r="AK1180" i="1" l="1"/>
  <c r="AN1179" i="1"/>
  <c r="AM1179" i="1"/>
  <c r="AL1176" i="1"/>
  <c r="AK1181" i="1" l="1"/>
  <c r="AN1180" i="1"/>
  <c r="AM1180" i="1"/>
  <c r="AL1177" i="1"/>
  <c r="AK1182" i="1" l="1"/>
  <c r="AN1181" i="1"/>
  <c r="AM1181" i="1"/>
  <c r="AL1178" i="1"/>
  <c r="AK1183" i="1" l="1"/>
  <c r="AN1182" i="1"/>
  <c r="AM1182" i="1"/>
  <c r="AL1179" i="1"/>
  <c r="AK1184" i="1" l="1"/>
  <c r="AN1183" i="1"/>
  <c r="AM1183" i="1"/>
  <c r="AL1180" i="1"/>
  <c r="AK1185" i="1" l="1"/>
  <c r="AN1184" i="1"/>
  <c r="AM1184" i="1"/>
  <c r="AL1181" i="1"/>
  <c r="AK1186" i="1" l="1"/>
  <c r="AN1185" i="1"/>
  <c r="AM1185" i="1"/>
  <c r="AL1182" i="1"/>
  <c r="AK1187" i="1" l="1"/>
  <c r="AN1186" i="1"/>
  <c r="AM1186" i="1"/>
  <c r="AL1183" i="1"/>
  <c r="AK1188" i="1" l="1"/>
  <c r="AN1187" i="1"/>
  <c r="AM1187" i="1"/>
  <c r="AL1184" i="1"/>
  <c r="AK1189" i="1" l="1"/>
  <c r="AN1188" i="1"/>
  <c r="AM1188" i="1"/>
  <c r="AL1185" i="1"/>
  <c r="AK1190" i="1" l="1"/>
  <c r="AN1189" i="1"/>
  <c r="AM1189" i="1"/>
  <c r="AL1186" i="1"/>
  <c r="AK1191" i="1" l="1"/>
  <c r="AN1190" i="1"/>
  <c r="AM1190" i="1"/>
  <c r="AL1187" i="1"/>
  <c r="AK1192" i="1" l="1"/>
  <c r="AN1191" i="1"/>
  <c r="AM1191" i="1"/>
  <c r="AL1188" i="1"/>
  <c r="AK1193" i="1" l="1"/>
  <c r="AN1192" i="1"/>
  <c r="AM1192" i="1"/>
  <c r="AL1189" i="1"/>
  <c r="AK1194" i="1" l="1"/>
  <c r="AN1193" i="1"/>
  <c r="AM1193" i="1"/>
  <c r="AL1190" i="1"/>
  <c r="AK1195" i="1" l="1"/>
  <c r="AN1194" i="1"/>
  <c r="AM1194" i="1"/>
  <c r="AL1191" i="1"/>
  <c r="AK1196" i="1" l="1"/>
  <c r="AM1195" i="1"/>
  <c r="AN1195" i="1"/>
  <c r="AL1192" i="1"/>
  <c r="AK1197" i="1" l="1"/>
  <c r="AN1196" i="1"/>
  <c r="AM1196" i="1"/>
  <c r="AL1193" i="1"/>
  <c r="AK1198" i="1" l="1"/>
  <c r="AN1197" i="1"/>
  <c r="AM1197" i="1"/>
  <c r="AL1194" i="1"/>
  <c r="AK1199" i="1" l="1"/>
  <c r="AN1198" i="1"/>
  <c r="AM1198" i="1"/>
  <c r="AL1195" i="1"/>
  <c r="AK1200" i="1" l="1"/>
  <c r="AN1199" i="1"/>
  <c r="AM1199" i="1"/>
  <c r="AL1196" i="1"/>
  <c r="AK1201" i="1" l="1"/>
  <c r="AN1200" i="1"/>
  <c r="AM1200" i="1"/>
  <c r="AL1197" i="1"/>
  <c r="AK1202" i="1" l="1"/>
  <c r="AN1201" i="1"/>
  <c r="AM1201" i="1"/>
  <c r="AL1198" i="1"/>
  <c r="AK1203" i="1" l="1"/>
  <c r="AN1202" i="1"/>
  <c r="AM1202" i="1"/>
  <c r="AL1199" i="1"/>
  <c r="AK1204" i="1" l="1"/>
  <c r="AN1203" i="1"/>
  <c r="AM1203" i="1"/>
  <c r="AL1200" i="1"/>
  <c r="AK1205" i="1" l="1"/>
  <c r="AN1204" i="1"/>
  <c r="AM1204" i="1"/>
  <c r="AL1201" i="1"/>
  <c r="AK1206" i="1" l="1"/>
  <c r="AN1205" i="1"/>
  <c r="AM1205" i="1"/>
  <c r="AL1202" i="1"/>
  <c r="AK1207" i="1" l="1"/>
  <c r="AM1206" i="1"/>
  <c r="AN1206" i="1"/>
  <c r="AL1203" i="1"/>
  <c r="AK1208" i="1" l="1"/>
  <c r="AM1207" i="1"/>
  <c r="AN1207" i="1"/>
  <c r="AL1204" i="1"/>
  <c r="AK1209" i="1" l="1"/>
  <c r="AM1208" i="1"/>
  <c r="AN1208" i="1"/>
  <c r="AL1205" i="1"/>
  <c r="AK1210" i="1" l="1"/>
  <c r="AN1209" i="1"/>
  <c r="AM1209" i="1"/>
  <c r="AL1206" i="1"/>
  <c r="AK1211" i="1" l="1"/>
  <c r="AN1210" i="1"/>
  <c r="AM1210" i="1"/>
  <c r="AL1207" i="1"/>
  <c r="AK1212" i="1" l="1"/>
  <c r="AN1211" i="1"/>
  <c r="AM1211" i="1"/>
  <c r="AL1208" i="1"/>
  <c r="AK1213" i="1" l="1"/>
  <c r="AN1212" i="1"/>
  <c r="AM1212" i="1"/>
  <c r="AL1209" i="1"/>
  <c r="AK1214" i="1" l="1"/>
  <c r="AM1213" i="1"/>
  <c r="AN1213" i="1"/>
  <c r="AL1210" i="1"/>
  <c r="AK1215" i="1" l="1"/>
  <c r="AN1214" i="1"/>
  <c r="AM1214" i="1"/>
  <c r="AL1211" i="1"/>
  <c r="AK1216" i="1" l="1"/>
  <c r="AN1215" i="1"/>
  <c r="AM1215" i="1"/>
  <c r="AL1212" i="1"/>
  <c r="AK1217" i="1" l="1"/>
  <c r="AN1216" i="1"/>
  <c r="AM1216" i="1"/>
  <c r="AL1213" i="1"/>
  <c r="AK1218" i="1" l="1"/>
  <c r="AN1217" i="1"/>
  <c r="AM1217" i="1"/>
  <c r="AL1214" i="1"/>
  <c r="AK1219" i="1" l="1"/>
  <c r="AN1218" i="1"/>
  <c r="AM1218" i="1"/>
  <c r="AL1215" i="1"/>
  <c r="AK1220" i="1" l="1"/>
  <c r="AN1219" i="1"/>
  <c r="AM1219" i="1"/>
  <c r="AL1216" i="1"/>
  <c r="AK1221" i="1" l="1"/>
  <c r="AN1220" i="1"/>
  <c r="AM1220" i="1"/>
  <c r="AL1217" i="1"/>
  <c r="AK1222" i="1" l="1"/>
  <c r="AN1221" i="1"/>
  <c r="AM1221" i="1"/>
  <c r="AL1218" i="1"/>
  <c r="AK1223" i="1" l="1"/>
  <c r="AN1222" i="1"/>
  <c r="AM1222" i="1"/>
  <c r="AL1219" i="1"/>
  <c r="AK1224" i="1" l="1"/>
  <c r="AN1223" i="1"/>
  <c r="AM1223" i="1"/>
  <c r="AL1220" i="1"/>
  <c r="AK1225" i="1" l="1"/>
  <c r="AM1224" i="1"/>
  <c r="AN1224" i="1"/>
  <c r="AL1221" i="1"/>
  <c r="AK1226" i="1" l="1"/>
  <c r="AM1225" i="1"/>
  <c r="AN1225" i="1"/>
  <c r="AL1222" i="1"/>
  <c r="AK1227" i="1" l="1"/>
  <c r="AN1226" i="1"/>
  <c r="AM1226" i="1"/>
  <c r="AL1223" i="1"/>
  <c r="AK1228" i="1" l="1"/>
  <c r="AM1227" i="1"/>
  <c r="AN1227" i="1"/>
  <c r="AL1224" i="1"/>
  <c r="AK1229" i="1" l="1"/>
  <c r="AN1228" i="1"/>
  <c r="AM1228" i="1"/>
  <c r="AL1225" i="1"/>
  <c r="AK1230" i="1" l="1"/>
  <c r="AN1229" i="1"/>
  <c r="AM1229" i="1"/>
  <c r="AL1226" i="1"/>
  <c r="AK1231" i="1" l="1"/>
  <c r="AN1230" i="1"/>
  <c r="AM1230" i="1"/>
  <c r="AL1227" i="1"/>
  <c r="AK1232" i="1" l="1"/>
  <c r="AN1231" i="1"/>
  <c r="AM1231" i="1"/>
  <c r="AL1228" i="1"/>
  <c r="AK1233" i="1" l="1"/>
  <c r="AM1232" i="1"/>
  <c r="AN1232" i="1"/>
  <c r="AL1229" i="1"/>
  <c r="AK1234" i="1" l="1"/>
  <c r="AN1233" i="1"/>
  <c r="AM1233" i="1"/>
  <c r="AL1230" i="1"/>
  <c r="AK1235" i="1" l="1"/>
  <c r="AN1234" i="1"/>
  <c r="AM1234" i="1"/>
  <c r="AL1231" i="1"/>
  <c r="AK1236" i="1" l="1"/>
  <c r="AN1235" i="1"/>
  <c r="AM1235" i="1"/>
  <c r="AL1232" i="1"/>
  <c r="AK1237" i="1" l="1"/>
  <c r="AN1236" i="1"/>
  <c r="AM1236" i="1"/>
  <c r="AL1233" i="1"/>
  <c r="AK1238" i="1" l="1"/>
  <c r="AM1237" i="1"/>
  <c r="AN1237" i="1"/>
  <c r="AL1234" i="1"/>
  <c r="AK1239" i="1" l="1"/>
  <c r="AN1238" i="1"/>
  <c r="AM1238" i="1"/>
  <c r="AL1235" i="1"/>
  <c r="AK1240" i="1" l="1"/>
  <c r="AM1239" i="1"/>
  <c r="AN1239" i="1"/>
  <c r="AL1236" i="1"/>
  <c r="AK1241" i="1" l="1"/>
  <c r="AN1240" i="1"/>
  <c r="AM1240" i="1"/>
  <c r="AL1237" i="1"/>
  <c r="AK1242" i="1" l="1"/>
  <c r="AN1241" i="1"/>
  <c r="AM1241" i="1"/>
  <c r="AL1238" i="1"/>
  <c r="AK1243" i="1" l="1"/>
  <c r="AN1242" i="1"/>
  <c r="AM1242" i="1"/>
  <c r="AL1239" i="1"/>
  <c r="AK1244" i="1" l="1"/>
  <c r="AN1243" i="1"/>
  <c r="AM1243" i="1"/>
  <c r="AL1240" i="1"/>
  <c r="AK1245" i="1" l="1"/>
  <c r="AN1244" i="1"/>
  <c r="AM1244" i="1"/>
  <c r="AL1241" i="1"/>
  <c r="AK1246" i="1" l="1"/>
  <c r="AN1245" i="1"/>
  <c r="AM1245" i="1"/>
  <c r="AL1242" i="1"/>
  <c r="AK1247" i="1" l="1"/>
  <c r="AN1246" i="1"/>
  <c r="AM1246" i="1"/>
  <c r="AL1243" i="1"/>
  <c r="AK1248" i="1" l="1"/>
  <c r="AN1247" i="1"/>
  <c r="AM1247" i="1"/>
  <c r="AL1244" i="1"/>
  <c r="AK1249" i="1" l="1"/>
  <c r="AN1248" i="1"/>
  <c r="AM1248" i="1"/>
  <c r="AL1245" i="1"/>
  <c r="AK1250" i="1" l="1"/>
  <c r="AN1249" i="1"/>
  <c r="AM1249" i="1"/>
  <c r="AL1246" i="1"/>
  <c r="AK1251" i="1" l="1"/>
  <c r="AN1250" i="1"/>
  <c r="AM1250" i="1"/>
  <c r="AL1247" i="1"/>
  <c r="AK1252" i="1" l="1"/>
  <c r="AN1251" i="1"/>
  <c r="AM1251" i="1"/>
  <c r="AL1248" i="1"/>
  <c r="AK1253" i="1" l="1"/>
  <c r="AN1252" i="1"/>
  <c r="AM1252" i="1"/>
  <c r="AL1249" i="1"/>
  <c r="AK1254" i="1" l="1"/>
  <c r="AN1253" i="1"/>
  <c r="AM1253" i="1"/>
  <c r="AL1250" i="1"/>
  <c r="AK1255" i="1" l="1"/>
  <c r="AN1254" i="1"/>
  <c r="AM1254" i="1"/>
  <c r="AL1251" i="1"/>
  <c r="AK1256" i="1" l="1"/>
  <c r="AM1255" i="1"/>
  <c r="AN1255" i="1"/>
  <c r="AL1252" i="1"/>
  <c r="AK1257" i="1" l="1"/>
  <c r="AN1256" i="1"/>
  <c r="AM1256" i="1"/>
  <c r="AL1253" i="1"/>
  <c r="AK1258" i="1" l="1"/>
  <c r="AN1257" i="1"/>
  <c r="AM1257" i="1"/>
  <c r="AL1254" i="1"/>
  <c r="AK1259" i="1" l="1"/>
  <c r="AN1258" i="1"/>
  <c r="AM1258" i="1"/>
  <c r="AL1255" i="1"/>
  <c r="AK1260" i="1" l="1"/>
  <c r="AN1259" i="1"/>
  <c r="AM1259" i="1"/>
  <c r="AL1256" i="1"/>
  <c r="AK1261" i="1" l="1"/>
  <c r="AN1260" i="1"/>
  <c r="AM1260" i="1"/>
  <c r="AL1257" i="1"/>
  <c r="AK1262" i="1" l="1"/>
  <c r="AN1261" i="1"/>
  <c r="AM1261" i="1"/>
  <c r="AL1258" i="1"/>
  <c r="AK1263" i="1" l="1"/>
  <c r="AM1262" i="1"/>
  <c r="AN1262" i="1"/>
  <c r="AL1259" i="1"/>
  <c r="AK1264" i="1" l="1"/>
  <c r="AM1263" i="1"/>
  <c r="AN1263" i="1"/>
  <c r="AL1260" i="1"/>
  <c r="AK1265" i="1" l="1"/>
  <c r="AN1264" i="1"/>
  <c r="AM1264" i="1"/>
  <c r="AL1261" i="1"/>
  <c r="AK1266" i="1" l="1"/>
  <c r="AN1265" i="1"/>
  <c r="AM1265" i="1"/>
  <c r="AL1262" i="1"/>
  <c r="AK1267" i="1" l="1"/>
  <c r="AM1266" i="1"/>
  <c r="AN1266" i="1"/>
  <c r="AL1263" i="1"/>
  <c r="AK1268" i="1" l="1"/>
  <c r="AN1267" i="1"/>
  <c r="AM1267" i="1"/>
  <c r="AL1264" i="1"/>
  <c r="AK1269" i="1" l="1"/>
  <c r="AN1268" i="1"/>
  <c r="AM1268" i="1"/>
  <c r="AL1265" i="1"/>
  <c r="AK1270" i="1" l="1"/>
  <c r="AN1269" i="1"/>
  <c r="AM1269" i="1"/>
  <c r="AL1266" i="1"/>
  <c r="AK1271" i="1" l="1"/>
  <c r="AN1270" i="1"/>
  <c r="AM1270" i="1"/>
  <c r="AL1267" i="1"/>
  <c r="AK1272" i="1" l="1"/>
  <c r="AN1271" i="1"/>
  <c r="AM1271" i="1"/>
  <c r="AL1268" i="1"/>
  <c r="AK1273" i="1" l="1"/>
  <c r="AN1272" i="1"/>
  <c r="AM1272" i="1"/>
  <c r="AL1269" i="1"/>
  <c r="AK1274" i="1" l="1"/>
  <c r="AN1273" i="1"/>
  <c r="AM1273" i="1"/>
  <c r="AL1270" i="1"/>
  <c r="AK1275" i="1" l="1"/>
  <c r="AM1274" i="1"/>
  <c r="AN1274" i="1"/>
  <c r="AL1271" i="1"/>
  <c r="AK1276" i="1" l="1"/>
  <c r="AN1275" i="1"/>
  <c r="AM1275" i="1"/>
  <c r="AL1272" i="1"/>
  <c r="AK1277" i="1" l="1"/>
  <c r="AN1276" i="1"/>
  <c r="AM1276" i="1"/>
  <c r="AL1273" i="1"/>
  <c r="AK1278" i="1" l="1"/>
  <c r="AN1277" i="1"/>
  <c r="AM1277" i="1"/>
  <c r="AL1274" i="1"/>
  <c r="AK1279" i="1" l="1"/>
  <c r="AN1278" i="1"/>
  <c r="AM1278" i="1"/>
  <c r="AL1275" i="1"/>
  <c r="AK1280" i="1" l="1"/>
  <c r="AN1279" i="1"/>
  <c r="AM1279" i="1"/>
  <c r="AL1276" i="1"/>
  <c r="AK1281" i="1" l="1"/>
  <c r="AN1280" i="1"/>
  <c r="AM1280" i="1"/>
  <c r="AL1277" i="1"/>
  <c r="AK1282" i="1" l="1"/>
  <c r="AN1281" i="1"/>
  <c r="AM1281" i="1"/>
  <c r="AL1278" i="1"/>
  <c r="AK1283" i="1" l="1"/>
  <c r="AN1282" i="1"/>
  <c r="AM1282" i="1"/>
  <c r="AL1279" i="1"/>
  <c r="AK1284" i="1" l="1"/>
  <c r="AN1283" i="1"/>
  <c r="AM1283" i="1"/>
  <c r="AL1280" i="1"/>
  <c r="AK1285" i="1" l="1"/>
  <c r="AN1284" i="1"/>
  <c r="AM1284" i="1"/>
  <c r="AL1281" i="1"/>
  <c r="AK1286" i="1" l="1"/>
  <c r="AM1285" i="1"/>
  <c r="AN1285" i="1"/>
  <c r="AL1282" i="1"/>
  <c r="AK1287" i="1" l="1"/>
  <c r="AN1286" i="1"/>
  <c r="AM1286" i="1"/>
  <c r="AL1283" i="1"/>
  <c r="AK1288" i="1" l="1"/>
  <c r="AN1287" i="1"/>
  <c r="AM1287" i="1"/>
  <c r="AL1284" i="1"/>
  <c r="AK1289" i="1" l="1"/>
  <c r="AM1288" i="1"/>
  <c r="AN1288" i="1"/>
  <c r="AL1285" i="1"/>
  <c r="AK1290" i="1" l="1"/>
  <c r="AN1289" i="1"/>
  <c r="AM1289" i="1"/>
  <c r="AL1286" i="1"/>
  <c r="AK1291" i="1" l="1"/>
  <c r="AN1290" i="1"/>
  <c r="AM1290" i="1"/>
  <c r="AL1287" i="1"/>
  <c r="AK1292" i="1" l="1"/>
  <c r="AM1291" i="1"/>
  <c r="AN1291" i="1"/>
  <c r="AL1288" i="1"/>
  <c r="AK1293" i="1" l="1"/>
  <c r="AN1292" i="1"/>
  <c r="AM1292" i="1"/>
  <c r="AL1289" i="1"/>
  <c r="AK1294" i="1" l="1"/>
  <c r="AM1293" i="1"/>
  <c r="AN1293" i="1"/>
  <c r="AL1290" i="1"/>
  <c r="AK1295" i="1" l="1"/>
  <c r="AN1294" i="1"/>
  <c r="AM1294" i="1"/>
  <c r="AL1291" i="1"/>
  <c r="AK1296" i="1" l="1"/>
  <c r="AN1295" i="1"/>
  <c r="AM1295" i="1"/>
  <c r="AL1292" i="1"/>
  <c r="AK1297" i="1" l="1"/>
  <c r="AN1296" i="1"/>
  <c r="AM1296" i="1"/>
  <c r="AL1293" i="1"/>
  <c r="AK1298" i="1" l="1"/>
  <c r="AN1297" i="1"/>
  <c r="AM1297" i="1"/>
  <c r="AL1294" i="1"/>
  <c r="AK1299" i="1" l="1"/>
  <c r="AN1298" i="1"/>
  <c r="AM1298" i="1"/>
  <c r="AL1295" i="1"/>
  <c r="AK1300" i="1" l="1"/>
  <c r="AM1299" i="1"/>
  <c r="AN1299" i="1"/>
  <c r="AL1296" i="1"/>
  <c r="AK1301" i="1" l="1"/>
  <c r="AN1300" i="1"/>
  <c r="AM1300" i="1"/>
  <c r="AL1297" i="1"/>
  <c r="AK1302" i="1" l="1"/>
  <c r="AN1301" i="1"/>
  <c r="AM1301" i="1"/>
  <c r="AL1298" i="1"/>
  <c r="AK1303" i="1" l="1"/>
  <c r="AN1302" i="1"/>
  <c r="AM1302" i="1"/>
  <c r="AL1299" i="1"/>
  <c r="AK1304" i="1" l="1"/>
  <c r="AN1303" i="1"/>
  <c r="AM1303" i="1"/>
  <c r="AL1300" i="1"/>
  <c r="AK1305" i="1" l="1"/>
  <c r="AN1304" i="1"/>
  <c r="AM1304" i="1"/>
  <c r="AL1301" i="1"/>
  <c r="AK1306" i="1" l="1"/>
  <c r="AN1305" i="1"/>
  <c r="AM1305" i="1"/>
  <c r="AL1302" i="1"/>
  <c r="AK1307" i="1" l="1"/>
  <c r="AN1306" i="1"/>
  <c r="AM1306" i="1"/>
  <c r="AL1303" i="1"/>
  <c r="AK1308" i="1" l="1"/>
  <c r="AN1307" i="1"/>
  <c r="AM1307" i="1"/>
  <c r="AL1304" i="1"/>
  <c r="AK1309" i="1" l="1"/>
  <c r="AN1308" i="1"/>
  <c r="AM1308" i="1"/>
  <c r="AL1305" i="1"/>
  <c r="AK1310" i="1" l="1"/>
  <c r="AN1309" i="1"/>
  <c r="AM1309" i="1"/>
  <c r="AL1306" i="1"/>
  <c r="AK1311" i="1" l="1"/>
  <c r="AN1310" i="1"/>
  <c r="AM1310" i="1"/>
  <c r="AL1307" i="1"/>
  <c r="AK1312" i="1" l="1"/>
  <c r="AN1311" i="1"/>
  <c r="AM1311" i="1"/>
  <c r="AL1308" i="1"/>
  <c r="AK1313" i="1" l="1"/>
  <c r="AN1312" i="1"/>
  <c r="AM1312" i="1"/>
  <c r="AL1309" i="1"/>
  <c r="AK1314" i="1" l="1"/>
  <c r="AN1313" i="1"/>
  <c r="AM1313" i="1"/>
  <c r="AL1310" i="1"/>
  <c r="AK1315" i="1" l="1"/>
  <c r="AN1314" i="1"/>
  <c r="AM1314" i="1"/>
  <c r="AL1311" i="1"/>
  <c r="AK1316" i="1" l="1"/>
  <c r="AN1315" i="1"/>
  <c r="AM1315" i="1"/>
  <c r="AL1312" i="1"/>
  <c r="AK1317" i="1" l="1"/>
  <c r="AN1316" i="1"/>
  <c r="AM1316" i="1"/>
  <c r="AL1313" i="1"/>
  <c r="AK1318" i="1" l="1"/>
  <c r="AM1317" i="1"/>
  <c r="AN1317" i="1"/>
  <c r="AL1314" i="1"/>
  <c r="AK1319" i="1" l="1"/>
  <c r="AM1318" i="1"/>
  <c r="AN1318" i="1"/>
  <c r="AL1315" i="1"/>
  <c r="AK1320" i="1" l="1"/>
  <c r="AM1319" i="1"/>
  <c r="AN1319" i="1"/>
  <c r="AL1316" i="1"/>
  <c r="AK1321" i="1" l="1"/>
  <c r="AN1320" i="1"/>
  <c r="AM1320" i="1"/>
  <c r="AL1317" i="1"/>
  <c r="AK1322" i="1" l="1"/>
  <c r="AN1321" i="1"/>
  <c r="AM1321" i="1"/>
  <c r="AL1318" i="1"/>
  <c r="AK1323" i="1" l="1"/>
  <c r="AN1322" i="1"/>
  <c r="AM1322" i="1"/>
  <c r="AL1319" i="1"/>
  <c r="AK1324" i="1" l="1"/>
  <c r="AN1323" i="1"/>
  <c r="AM1323" i="1"/>
  <c r="AL1320" i="1"/>
  <c r="AK1325" i="1" l="1"/>
  <c r="AN1324" i="1"/>
  <c r="AM1324" i="1"/>
  <c r="AL1321" i="1"/>
  <c r="AK1326" i="1" l="1"/>
  <c r="AM1325" i="1"/>
  <c r="AN1325" i="1"/>
  <c r="AL1322" i="1"/>
  <c r="AK1327" i="1" l="1"/>
  <c r="AN1326" i="1"/>
  <c r="AM1326" i="1"/>
  <c r="AL1323" i="1"/>
  <c r="AK1328" i="1" l="1"/>
  <c r="AN1327" i="1"/>
  <c r="AM1327" i="1"/>
  <c r="AL1324" i="1"/>
  <c r="AK1329" i="1" l="1"/>
  <c r="AN1328" i="1"/>
  <c r="AM1328" i="1"/>
  <c r="AL1325" i="1"/>
  <c r="AK1330" i="1" l="1"/>
  <c r="AM1329" i="1"/>
  <c r="AN1329" i="1"/>
  <c r="AL1326" i="1"/>
  <c r="AK1331" i="1" l="1"/>
  <c r="AN1330" i="1"/>
  <c r="AM1330" i="1"/>
  <c r="AL1327" i="1"/>
  <c r="AK1332" i="1" l="1"/>
  <c r="AN1331" i="1"/>
  <c r="AM1331" i="1"/>
  <c r="AL1328" i="1"/>
  <c r="AK1333" i="1" l="1"/>
  <c r="AN1332" i="1"/>
  <c r="AM1332" i="1"/>
  <c r="AL1329" i="1"/>
  <c r="AK1334" i="1" l="1"/>
  <c r="AM1333" i="1"/>
  <c r="AN1333" i="1"/>
  <c r="AL1330" i="1"/>
  <c r="AK1335" i="1" l="1"/>
  <c r="AM1334" i="1"/>
  <c r="AN1334" i="1"/>
  <c r="AL1331" i="1"/>
  <c r="AK1336" i="1" l="1"/>
  <c r="AN1335" i="1"/>
  <c r="AM1335" i="1"/>
  <c r="AL1332" i="1"/>
  <c r="AK1337" i="1" l="1"/>
  <c r="AN1336" i="1"/>
  <c r="AM1336" i="1"/>
  <c r="AL1333" i="1"/>
  <c r="AK1338" i="1" l="1"/>
  <c r="AN1337" i="1"/>
  <c r="AM1337" i="1"/>
  <c r="AL1334" i="1"/>
  <c r="AK1339" i="1" l="1"/>
  <c r="AN1338" i="1"/>
  <c r="AM1338" i="1"/>
  <c r="AL1335" i="1"/>
  <c r="AK1340" i="1" l="1"/>
  <c r="AN1339" i="1"/>
  <c r="AM1339" i="1"/>
  <c r="AL1336" i="1"/>
  <c r="AK1341" i="1" l="1"/>
  <c r="AN1340" i="1"/>
  <c r="AM1340" i="1"/>
  <c r="AL1337" i="1"/>
  <c r="AK1342" i="1" l="1"/>
  <c r="AN1341" i="1"/>
  <c r="AM1341" i="1"/>
  <c r="AL1338" i="1"/>
  <c r="AK1343" i="1" l="1"/>
  <c r="AN1342" i="1"/>
  <c r="AM1342" i="1"/>
  <c r="AL1339" i="1"/>
  <c r="AK1344" i="1" l="1"/>
  <c r="AM1343" i="1"/>
  <c r="AN1343" i="1"/>
  <c r="AL1340" i="1"/>
  <c r="AK1345" i="1" l="1"/>
  <c r="AN1344" i="1"/>
  <c r="AM1344" i="1"/>
  <c r="AL1341" i="1"/>
  <c r="AK1346" i="1" l="1"/>
  <c r="AN1345" i="1"/>
  <c r="AM1345" i="1"/>
  <c r="AL1342" i="1"/>
  <c r="AK1347" i="1" l="1"/>
  <c r="AN1346" i="1"/>
  <c r="AM1346" i="1"/>
  <c r="AL1343" i="1"/>
  <c r="AK1348" i="1" l="1"/>
  <c r="AN1347" i="1"/>
  <c r="AM1347" i="1"/>
  <c r="AL1344" i="1"/>
  <c r="AK1349" i="1" l="1"/>
  <c r="AN1348" i="1"/>
  <c r="AM1348" i="1"/>
  <c r="AL1345" i="1"/>
  <c r="AK1350" i="1" l="1"/>
  <c r="AN1349" i="1"/>
  <c r="AM1349" i="1"/>
  <c r="AL1346" i="1"/>
  <c r="AK1351" i="1" l="1"/>
  <c r="AN1350" i="1"/>
  <c r="AM1350" i="1"/>
  <c r="AL1347" i="1"/>
  <c r="AK1352" i="1" l="1"/>
  <c r="AN1351" i="1"/>
  <c r="AM1351" i="1"/>
  <c r="AL1348" i="1"/>
  <c r="AK1353" i="1" l="1"/>
  <c r="AN1352" i="1"/>
  <c r="AM1352" i="1"/>
  <c r="AL1349" i="1"/>
  <c r="AK1354" i="1" l="1"/>
  <c r="AN1353" i="1"/>
  <c r="AM1353" i="1"/>
  <c r="AL1350" i="1"/>
  <c r="AK1355" i="1" l="1"/>
  <c r="AN1354" i="1"/>
  <c r="AM1354" i="1"/>
  <c r="AL1351" i="1"/>
  <c r="AK1356" i="1" l="1"/>
  <c r="AM1355" i="1"/>
  <c r="AN1355" i="1"/>
  <c r="AL1352" i="1"/>
  <c r="AK1357" i="1" l="1"/>
  <c r="AN1356" i="1"/>
  <c r="AM1356" i="1"/>
  <c r="AL1353" i="1"/>
  <c r="AK1358" i="1" l="1"/>
  <c r="AN1357" i="1"/>
  <c r="AM1357" i="1"/>
  <c r="AL1354" i="1"/>
  <c r="AK1359" i="1" l="1"/>
  <c r="AM1358" i="1"/>
  <c r="AN1358" i="1"/>
  <c r="AL1355" i="1"/>
  <c r="AK1360" i="1" l="1"/>
  <c r="AN1359" i="1"/>
  <c r="AM1359" i="1"/>
  <c r="AL1356" i="1"/>
  <c r="AK1361" i="1" l="1"/>
  <c r="AM1360" i="1"/>
  <c r="AN1360" i="1"/>
  <c r="AL1357" i="1"/>
  <c r="AK1362" i="1" l="1"/>
  <c r="AM1361" i="1"/>
  <c r="AN1361" i="1"/>
  <c r="AL1358" i="1"/>
  <c r="AK1363" i="1" l="1"/>
  <c r="AN1362" i="1"/>
  <c r="AM1362" i="1"/>
  <c r="AL1359" i="1"/>
  <c r="AK1364" i="1" l="1"/>
  <c r="AM1363" i="1"/>
  <c r="AN1363" i="1"/>
  <c r="AL1360" i="1"/>
  <c r="AK1365" i="1" l="1"/>
  <c r="AM1364" i="1"/>
  <c r="AN1364" i="1"/>
  <c r="AL1361" i="1"/>
  <c r="AK1366" i="1" l="1"/>
  <c r="AN1365" i="1"/>
  <c r="AM1365" i="1"/>
  <c r="AL1362" i="1"/>
  <c r="AK1367" i="1" l="1"/>
  <c r="AN1366" i="1"/>
  <c r="AM1366" i="1"/>
  <c r="AL1363" i="1"/>
  <c r="AK1368" i="1" l="1"/>
  <c r="AN1367" i="1"/>
  <c r="AM1367" i="1"/>
  <c r="AL1364" i="1"/>
  <c r="AK1369" i="1" l="1"/>
  <c r="AN1368" i="1"/>
  <c r="AM1368" i="1"/>
  <c r="AL1365" i="1"/>
  <c r="AK1370" i="1" l="1"/>
  <c r="AN1369" i="1"/>
  <c r="AM1369" i="1"/>
  <c r="AL1366" i="1"/>
  <c r="AK1371" i="1" l="1"/>
  <c r="AN1370" i="1"/>
  <c r="AM1370" i="1"/>
  <c r="AL1367" i="1"/>
  <c r="AK1372" i="1" l="1"/>
  <c r="AN1371" i="1"/>
  <c r="AM1371" i="1"/>
  <c r="AL1368" i="1"/>
  <c r="AK1373" i="1" l="1"/>
  <c r="AN1372" i="1"/>
  <c r="AM1372" i="1"/>
  <c r="AL1369" i="1"/>
  <c r="AK1374" i="1" l="1"/>
  <c r="AM1373" i="1"/>
  <c r="AN1373" i="1"/>
  <c r="AL1370" i="1"/>
  <c r="AK1375" i="1" l="1"/>
  <c r="AN1374" i="1"/>
  <c r="AM1374" i="1"/>
  <c r="AL1371" i="1"/>
  <c r="AK1376" i="1" l="1"/>
  <c r="AN1375" i="1"/>
  <c r="AM1375" i="1"/>
  <c r="AL1372" i="1"/>
  <c r="AK1377" i="1" l="1"/>
  <c r="AN1376" i="1"/>
  <c r="AM1376" i="1"/>
  <c r="AL1373" i="1"/>
  <c r="AK1378" i="1" l="1"/>
  <c r="AN1377" i="1"/>
  <c r="AM1377" i="1"/>
  <c r="AL1374" i="1"/>
  <c r="AK1379" i="1" l="1"/>
  <c r="AN1378" i="1"/>
  <c r="AM1378" i="1"/>
  <c r="AL1375" i="1"/>
  <c r="AK1380" i="1" l="1"/>
  <c r="AN1379" i="1"/>
  <c r="AM1379" i="1"/>
  <c r="AL1376" i="1"/>
  <c r="AK1381" i="1" l="1"/>
  <c r="AN1380" i="1"/>
  <c r="AM1380" i="1"/>
  <c r="AL1377" i="1"/>
  <c r="AK1382" i="1" l="1"/>
  <c r="AN1381" i="1"/>
  <c r="AM1381" i="1"/>
  <c r="AL1378" i="1"/>
  <c r="AK1383" i="1" l="1"/>
  <c r="AN1382" i="1"/>
  <c r="AM1382" i="1"/>
  <c r="AL1379" i="1"/>
  <c r="AK1384" i="1" l="1"/>
  <c r="AN1383" i="1"/>
  <c r="AM1383" i="1"/>
  <c r="AL1380" i="1"/>
  <c r="AK1385" i="1" l="1"/>
  <c r="AN1384" i="1"/>
  <c r="AM1384" i="1"/>
  <c r="AL1381" i="1"/>
  <c r="AK1386" i="1" l="1"/>
  <c r="AN1385" i="1"/>
  <c r="AM1385" i="1"/>
  <c r="AL1382" i="1"/>
  <c r="AK1387" i="1" l="1"/>
  <c r="AM1386" i="1"/>
  <c r="AN1386" i="1"/>
  <c r="AL1383" i="1"/>
  <c r="AK1388" i="1" l="1"/>
  <c r="AM1387" i="1"/>
  <c r="AN1387" i="1"/>
  <c r="AL1384" i="1"/>
  <c r="AK1389" i="1" l="1"/>
  <c r="AN1388" i="1"/>
  <c r="AM1388" i="1"/>
  <c r="AL1385" i="1"/>
  <c r="AK1390" i="1" l="1"/>
  <c r="AN1389" i="1"/>
  <c r="AM1389" i="1"/>
  <c r="AL1386" i="1"/>
  <c r="AK1391" i="1" l="1"/>
  <c r="AN1390" i="1"/>
  <c r="AM1390" i="1"/>
  <c r="AL1387" i="1"/>
  <c r="AK1392" i="1" l="1"/>
  <c r="AN1391" i="1"/>
  <c r="AM1391" i="1"/>
  <c r="AL1388" i="1"/>
  <c r="AK1393" i="1" l="1"/>
  <c r="AN1392" i="1"/>
  <c r="AM1392" i="1"/>
  <c r="AL1389" i="1"/>
  <c r="AK1394" i="1" l="1"/>
  <c r="AN1393" i="1"/>
  <c r="AM1393" i="1"/>
  <c r="AL1390" i="1"/>
  <c r="AK1395" i="1" l="1"/>
  <c r="AN1394" i="1"/>
  <c r="AM1394" i="1"/>
  <c r="AL1391" i="1"/>
  <c r="AK1396" i="1" l="1"/>
  <c r="AN1395" i="1"/>
  <c r="AM1395" i="1"/>
  <c r="AL1392" i="1"/>
  <c r="AK1397" i="1" l="1"/>
  <c r="AM1396" i="1"/>
  <c r="AN1396" i="1"/>
  <c r="AL1393" i="1"/>
  <c r="AK1398" i="1" l="1"/>
  <c r="AN1397" i="1"/>
  <c r="AM1397" i="1"/>
  <c r="AL1394" i="1"/>
  <c r="AK1399" i="1" l="1"/>
  <c r="AN1398" i="1"/>
  <c r="AM1398" i="1"/>
  <c r="AL1395" i="1"/>
  <c r="AK1400" i="1" l="1"/>
  <c r="AN1399" i="1"/>
  <c r="AM1399" i="1"/>
  <c r="AL1396" i="1"/>
  <c r="AK1401" i="1" l="1"/>
  <c r="AN1400" i="1"/>
  <c r="AM1400" i="1"/>
  <c r="AL1397" i="1"/>
  <c r="AK1402" i="1" l="1"/>
  <c r="AM1401" i="1"/>
  <c r="AN1401" i="1"/>
  <c r="AL1398" i="1"/>
  <c r="AK1403" i="1" l="1"/>
  <c r="AN1402" i="1"/>
  <c r="AM1402" i="1"/>
  <c r="AL1399" i="1"/>
  <c r="AK1404" i="1" l="1"/>
  <c r="AM1403" i="1"/>
  <c r="AN1403" i="1"/>
  <c r="AL1400" i="1"/>
  <c r="AK1405" i="1" l="1"/>
  <c r="AN1404" i="1"/>
  <c r="AM1404" i="1"/>
  <c r="AL1401" i="1"/>
  <c r="AK1406" i="1" l="1"/>
  <c r="AN1405" i="1"/>
  <c r="AM1405" i="1"/>
  <c r="AL1402" i="1"/>
  <c r="AK1407" i="1" l="1"/>
  <c r="AM1406" i="1"/>
  <c r="AN1406" i="1"/>
  <c r="AL1403" i="1"/>
  <c r="AK1408" i="1" l="1"/>
  <c r="AN1407" i="1"/>
  <c r="AM1407" i="1"/>
  <c r="AL1404" i="1"/>
  <c r="AK1409" i="1" l="1"/>
  <c r="AN1408" i="1"/>
  <c r="AM1408" i="1"/>
  <c r="AL1405" i="1"/>
  <c r="AK1410" i="1" l="1"/>
  <c r="AM1409" i="1"/>
  <c r="AN1409" i="1"/>
  <c r="AL1406" i="1"/>
  <c r="AK1411" i="1" l="1"/>
  <c r="AN1410" i="1"/>
  <c r="AM1410" i="1"/>
  <c r="AL1407" i="1"/>
  <c r="AK1412" i="1" l="1"/>
  <c r="AN1411" i="1"/>
  <c r="AM1411" i="1"/>
  <c r="AL1408" i="1"/>
  <c r="AK1413" i="1" l="1"/>
  <c r="AN1412" i="1"/>
  <c r="AM1412" i="1"/>
  <c r="AL1409" i="1"/>
  <c r="AK1414" i="1" l="1"/>
  <c r="AN1413" i="1"/>
  <c r="AM1413" i="1"/>
  <c r="AL1410" i="1"/>
  <c r="AK1415" i="1" l="1"/>
  <c r="AN1414" i="1"/>
  <c r="AM1414" i="1"/>
  <c r="AL1411" i="1"/>
  <c r="AK1416" i="1" l="1"/>
  <c r="AM1415" i="1"/>
  <c r="AN1415" i="1"/>
  <c r="AL1412" i="1"/>
  <c r="AK1417" i="1" l="1"/>
  <c r="AN1416" i="1"/>
  <c r="AM1416" i="1"/>
  <c r="AL1413" i="1"/>
  <c r="AK1418" i="1" l="1"/>
  <c r="AN1417" i="1"/>
  <c r="AM1417" i="1"/>
  <c r="AL1414" i="1"/>
  <c r="AK1419" i="1" l="1"/>
  <c r="AN1418" i="1"/>
  <c r="AM1418" i="1"/>
  <c r="AL1415" i="1"/>
  <c r="AK1420" i="1" l="1"/>
  <c r="AN1419" i="1"/>
  <c r="AM1419" i="1"/>
  <c r="AL1416" i="1"/>
  <c r="AK1421" i="1" l="1"/>
  <c r="AN1420" i="1"/>
  <c r="AM1420" i="1"/>
  <c r="AL1417" i="1"/>
  <c r="AK1422" i="1" l="1"/>
  <c r="AN1421" i="1"/>
  <c r="AM1421" i="1"/>
  <c r="AL1418" i="1"/>
  <c r="AK1423" i="1" l="1"/>
  <c r="AN1422" i="1"/>
  <c r="AM1422" i="1"/>
  <c r="AL1419" i="1"/>
  <c r="AK1424" i="1" l="1"/>
  <c r="AN1423" i="1"/>
  <c r="AM1423" i="1"/>
  <c r="AL1420" i="1"/>
  <c r="AK1425" i="1" l="1"/>
  <c r="AM1424" i="1"/>
  <c r="AN1424" i="1"/>
  <c r="AL1421" i="1"/>
  <c r="AK1426" i="1" l="1"/>
  <c r="AN1425" i="1"/>
  <c r="AM1425" i="1"/>
  <c r="AL1422" i="1"/>
  <c r="AK1427" i="1" l="1"/>
  <c r="AN1426" i="1"/>
  <c r="AM1426" i="1"/>
  <c r="AL1423" i="1"/>
  <c r="AK1428" i="1" l="1"/>
  <c r="AN1427" i="1"/>
  <c r="AM1427" i="1"/>
  <c r="AL1424" i="1"/>
  <c r="AK1429" i="1" l="1"/>
  <c r="AN1428" i="1"/>
  <c r="AM1428" i="1"/>
  <c r="AL1425" i="1"/>
  <c r="AK1430" i="1" l="1"/>
  <c r="AN1429" i="1"/>
  <c r="AM1429" i="1"/>
  <c r="AL1426" i="1"/>
  <c r="AK1431" i="1" l="1"/>
  <c r="AN1430" i="1"/>
  <c r="AM1430" i="1"/>
  <c r="AL1427" i="1"/>
  <c r="AK1432" i="1" l="1"/>
  <c r="AM1431" i="1"/>
  <c r="AN1431" i="1"/>
  <c r="AL1428" i="1"/>
  <c r="AK1433" i="1" l="1"/>
  <c r="AN1432" i="1"/>
  <c r="AM1432" i="1"/>
  <c r="AL1429" i="1"/>
  <c r="AK1434" i="1" l="1"/>
  <c r="AN1433" i="1"/>
  <c r="AM1433" i="1"/>
  <c r="AL1430" i="1"/>
  <c r="AK1435" i="1" l="1"/>
  <c r="AN1434" i="1"/>
  <c r="AM1434" i="1"/>
  <c r="AL1431" i="1"/>
  <c r="AK1436" i="1" l="1"/>
  <c r="AN1435" i="1"/>
  <c r="AM1435" i="1"/>
  <c r="AL1432" i="1"/>
  <c r="AK1437" i="1" l="1"/>
  <c r="AM1436" i="1"/>
  <c r="AN1436" i="1"/>
  <c r="AL1433" i="1"/>
  <c r="AK1438" i="1" l="1"/>
  <c r="AN1437" i="1"/>
  <c r="AM1437" i="1"/>
  <c r="AL1434" i="1"/>
  <c r="AK1439" i="1" l="1"/>
  <c r="AN1438" i="1"/>
  <c r="AM1438" i="1"/>
  <c r="AL1435" i="1"/>
  <c r="AK1440" i="1" l="1"/>
  <c r="AN1439" i="1"/>
  <c r="AM1439" i="1"/>
  <c r="AL1436" i="1"/>
  <c r="AK1441" i="1" l="1"/>
  <c r="AN1440" i="1"/>
  <c r="AM1440" i="1"/>
  <c r="AL1437" i="1"/>
  <c r="AK1442" i="1" l="1"/>
  <c r="AN1441" i="1"/>
  <c r="AM1441" i="1"/>
  <c r="AL1438" i="1"/>
  <c r="AK1443" i="1" l="1"/>
  <c r="AN1442" i="1"/>
  <c r="AM1442" i="1"/>
  <c r="AL1439" i="1"/>
  <c r="AK1444" i="1" l="1"/>
  <c r="AN1443" i="1"/>
  <c r="AM1443" i="1"/>
  <c r="AL1440" i="1"/>
  <c r="AK1445" i="1" l="1"/>
  <c r="AN1444" i="1"/>
  <c r="AM1444" i="1"/>
  <c r="AL1441" i="1"/>
  <c r="AK1446" i="1" l="1"/>
  <c r="AN1445" i="1"/>
  <c r="AM1445" i="1"/>
  <c r="AL1442" i="1"/>
  <c r="AK1447" i="1" l="1"/>
  <c r="AN1446" i="1"/>
  <c r="AM1446" i="1"/>
  <c r="AL1443" i="1"/>
  <c r="AK1448" i="1" l="1"/>
  <c r="AN1447" i="1"/>
  <c r="AM1447" i="1"/>
  <c r="AL1444" i="1"/>
  <c r="AK1449" i="1" l="1"/>
  <c r="AN1448" i="1"/>
  <c r="AM1448" i="1"/>
  <c r="AL1445" i="1"/>
  <c r="AK1450" i="1" l="1"/>
  <c r="AN1449" i="1"/>
  <c r="AM1449" i="1"/>
  <c r="AL1446" i="1"/>
  <c r="AK1451" i="1" l="1"/>
  <c r="AN1450" i="1"/>
  <c r="AM1450" i="1"/>
  <c r="AL1447" i="1"/>
  <c r="AK1452" i="1" l="1"/>
  <c r="AN1451" i="1"/>
  <c r="AM1451" i="1"/>
  <c r="AL1448" i="1"/>
  <c r="AK1453" i="1" l="1"/>
  <c r="AN1452" i="1"/>
  <c r="AM1452" i="1"/>
  <c r="AL1449" i="1"/>
  <c r="AK1454" i="1" l="1"/>
  <c r="AN1453" i="1"/>
  <c r="AM1453" i="1"/>
  <c r="AL1450" i="1"/>
  <c r="AK1455" i="1" l="1"/>
  <c r="AN1454" i="1"/>
  <c r="AM1454" i="1"/>
  <c r="AL1451" i="1"/>
  <c r="AK1456" i="1" l="1"/>
  <c r="AN1455" i="1"/>
  <c r="AM1455" i="1"/>
  <c r="AL1452" i="1"/>
  <c r="AK1457" i="1" l="1"/>
  <c r="AN1456" i="1"/>
  <c r="AM1456" i="1"/>
  <c r="AL1453" i="1"/>
  <c r="AK1458" i="1" l="1"/>
  <c r="AN1457" i="1"/>
  <c r="AM1457" i="1"/>
  <c r="AL1454" i="1"/>
  <c r="AK1459" i="1" l="1"/>
  <c r="AN1458" i="1"/>
  <c r="AM1458" i="1"/>
  <c r="AL1455" i="1"/>
  <c r="AK1460" i="1" l="1"/>
  <c r="AN1459" i="1"/>
  <c r="AM1459" i="1"/>
  <c r="AL1456" i="1"/>
  <c r="AK1461" i="1" l="1"/>
  <c r="AN1460" i="1"/>
  <c r="AM1460" i="1"/>
  <c r="AL1457" i="1"/>
  <c r="AK1462" i="1" l="1"/>
  <c r="AN1461" i="1"/>
  <c r="AM1461" i="1"/>
  <c r="AL1458" i="1"/>
  <c r="AK1463" i="1" l="1"/>
  <c r="AN1462" i="1"/>
  <c r="AM1462" i="1"/>
  <c r="AL1459" i="1"/>
  <c r="AK1464" i="1" l="1"/>
  <c r="AN1463" i="1"/>
  <c r="AM1463" i="1"/>
  <c r="AL1460" i="1"/>
  <c r="AK1465" i="1" l="1"/>
  <c r="AN1464" i="1"/>
  <c r="AM1464" i="1"/>
  <c r="AL1461" i="1"/>
  <c r="AK1466" i="1" l="1"/>
  <c r="AN1465" i="1"/>
  <c r="AM1465" i="1"/>
  <c r="AL1462" i="1"/>
  <c r="AK1467" i="1" l="1"/>
  <c r="AM1466" i="1"/>
  <c r="AN1466" i="1"/>
  <c r="AL1463" i="1"/>
  <c r="AK1468" i="1" l="1"/>
  <c r="AN1467" i="1"/>
  <c r="AM1467" i="1"/>
  <c r="AL1464" i="1"/>
  <c r="AK1469" i="1" l="1"/>
  <c r="AN1468" i="1"/>
  <c r="AM1468" i="1"/>
  <c r="AL1465" i="1"/>
  <c r="AK1470" i="1" l="1"/>
  <c r="AM1469" i="1"/>
  <c r="AN1469" i="1"/>
  <c r="AL1466" i="1"/>
  <c r="AK1471" i="1" l="1"/>
  <c r="AM1470" i="1"/>
  <c r="AN1470" i="1"/>
  <c r="AL1467" i="1"/>
  <c r="AK1472" i="1" l="1"/>
  <c r="AN1471" i="1"/>
  <c r="AM1471" i="1"/>
  <c r="AL1468" i="1"/>
  <c r="AK1473" i="1" l="1"/>
  <c r="AM1472" i="1"/>
  <c r="AN1472" i="1"/>
  <c r="AL1469" i="1"/>
  <c r="AK1474" i="1" l="1"/>
  <c r="AN1473" i="1"/>
  <c r="AM1473" i="1"/>
  <c r="AL1470" i="1"/>
  <c r="AK1475" i="1" l="1"/>
  <c r="AN1474" i="1"/>
  <c r="AM1474" i="1"/>
  <c r="AL1471" i="1"/>
  <c r="AK1476" i="1" l="1"/>
  <c r="AN1475" i="1"/>
  <c r="AM1475" i="1"/>
  <c r="AL1472" i="1"/>
  <c r="AK1477" i="1" l="1"/>
  <c r="AN1476" i="1"/>
  <c r="AM1476" i="1"/>
  <c r="AL1473" i="1"/>
  <c r="AK1478" i="1" l="1"/>
  <c r="AN1477" i="1"/>
  <c r="AM1477" i="1"/>
  <c r="AL1474" i="1"/>
  <c r="AK1479" i="1" l="1"/>
  <c r="AN1478" i="1"/>
  <c r="AM1478" i="1"/>
  <c r="AL1475" i="1"/>
  <c r="AK1480" i="1" l="1"/>
  <c r="AN1479" i="1"/>
  <c r="AM1479" i="1"/>
  <c r="AL1476" i="1"/>
  <c r="AK1481" i="1" l="1"/>
  <c r="AM1480" i="1"/>
  <c r="AN1480" i="1"/>
  <c r="AL1477" i="1"/>
  <c r="AK1482" i="1" l="1"/>
  <c r="AN1481" i="1"/>
  <c r="AM1481" i="1"/>
  <c r="AL1478" i="1"/>
  <c r="AK1483" i="1" l="1"/>
  <c r="AN1482" i="1"/>
  <c r="AM1482" i="1"/>
  <c r="AL1479" i="1"/>
  <c r="AK1484" i="1" l="1"/>
  <c r="AN1483" i="1"/>
  <c r="AM1483" i="1"/>
  <c r="AL1480" i="1"/>
  <c r="AK1485" i="1" l="1"/>
  <c r="AM1484" i="1"/>
  <c r="AN1484" i="1"/>
  <c r="AL1481" i="1"/>
  <c r="AK1486" i="1" l="1"/>
  <c r="AN1485" i="1"/>
  <c r="AM1485" i="1"/>
  <c r="AL1482" i="1"/>
  <c r="AK1487" i="1" l="1"/>
  <c r="AN1486" i="1"/>
  <c r="AM1486" i="1"/>
  <c r="AL1483" i="1"/>
  <c r="AK1488" i="1" l="1"/>
  <c r="AN1487" i="1"/>
  <c r="AM1487" i="1"/>
  <c r="AL1484" i="1"/>
  <c r="AK1489" i="1" l="1"/>
  <c r="AN1488" i="1"/>
  <c r="AM1488" i="1"/>
  <c r="AL1485" i="1"/>
  <c r="AK1490" i="1" l="1"/>
  <c r="AN1489" i="1"/>
  <c r="AM1489" i="1"/>
  <c r="AL1486" i="1"/>
  <c r="AK1491" i="1" l="1"/>
  <c r="AN1490" i="1"/>
  <c r="AM1490" i="1"/>
  <c r="AL1487" i="1"/>
  <c r="AK1492" i="1" l="1"/>
  <c r="AN1491" i="1"/>
  <c r="AM1491" i="1"/>
  <c r="AL1488" i="1"/>
  <c r="AK1493" i="1" l="1"/>
  <c r="AN1492" i="1"/>
  <c r="AM1492" i="1"/>
  <c r="AL1489" i="1"/>
  <c r="AK1494" i="1" l="1"/>
  <c r="AN1493" i="1"/>
  <c r="AM1493" i="1"/>
  <c r="AL1490" i="1"/>
  <c r="AK1495" i="1" l="1"/>
  <c r="AN1494" i="1"/>
  <c r="AM1494" i="1"/>
  <c r="AL1491" i="1"/>
  <c r="AK1496" i="1" l="1"/>
  <c r="AN1495" i="1"/>
  <c r="AM1495" i="1"/>
  <c r="AL1492" i="1"/>
  <c r="AK1497" i="1" l="1"/>
  <c r="AN1496" i="1"/>
  <c r="AM1496" i="1"/>
  <c r="AL1493" i="1"/>
  <c r="AK1498" i="1" l="1"/>
  <c r="AN1497" i="1"/>
  <c r="AM1497" i="1"/>
  <c r="AL1494" i="1"/>
  <c r="AK1499" i="1" l="1"/>
  <c r="AN1498" i="1"/>
  <c r="AM1498" i="1"/>
  <c r="AL1495" i="1"/>
  <c r="AK1500" i="1" l="1"/>
  <c r="AM1499" i="1"/>
  <c r="AN1499" i="1"/>
  <c r="AL1496" i="1"/>
  <c r="AK1501" i="1" l="1"/>
  <c r="AN1500" i="1"/>
  <c r="AM1500" i="1"/>
  <c r="AL1497" i="1"/>
  <c r="AK1502" i="1" l="1"/>
  <c r="AN1501" i="1"/>
  <c r="AM1501" i="1"/>
  <c r="AL1498" i="1"/>
  <c r="AK1503" i="1" l="1"/>
  <c r="AN1502" i="1"/>
  <c r="AM1502" i="1"/>
  <c r="AL1499" i="1"/>
  <c r="AK1504" i="1" l="1"/>
  <c r="AN1503" i="1"/>
  <c r="AM1503" i="1"/>
  <c r="AL1500" i="1"/>
  <c r="AK1505" i="1" l="1"/>
  <c r="AM1504" i="1"/>
  <c r="AN1504" i="1"/>
  <c r="AL1501" i="1"/>
  <c r="AK1506" i="1" l="1"/>
  <c r="AN1505" i="1"/>
  <c r="AM1505" i="1"/>
  <c r="AL1502" i="1"/>
  <c r="AK1507" i="1" l="1"/>
  <c r="AM1506" i="1"/>
  <c r="AN1506" i="1"/>
  <c r="AL1503" i="1"/>
  <c r="AK1508" i="1" l="1"/>
  <c r="AM1507" i="1"/>
  <c r="AN1507" i="1"/>
  <c r="AL1504" i="1"/>
  <c r="AK1509" i="1" l="1"/>
  <c r="AN1508" i="1"/>
  <c r="AM1508" i="1"/>
  <c r="AL1505" i="1"/>
  <c r="AK1510" i="1" l="1"/>
  <c r="AN1509" i="1"/>
  <c r="AM1509" i="1"/>
  <c r="AL1506" i="1"/>
  <c r="AK1511" i="1" l="1"/>
  <c r="AM1510" i="1"/>
  <c r="AN1510" i="1"/>
  <c r="AL1507" i="1"/>
  <c r="AK1512" i="1" l="1"/>
  <c r="AN1511" i="1"/>
  <c r="AM1511" i="1"/>
  <c r="AL1508" i="1"/>
  <c r="AK1513" i="1" l="1"/>
  <c r="AN1512" i="1"/>
  <c r="AM1512" i="1"/>
  <c r="AL1509" i="1"/>
  <c r="AK1514" i="1" l="1"/>
  <c r="AM1513" i="1"/>
  <c r="AN1513" i="1"/>
  <c r="AL1510" i="1"/>
  <c r="AK1515" i="1" l="1"/>
  <c r="AN1514" i="1"/>
  <c r="AM1514" i="1"/>
  <c r="AL1511" i="1"/>
  <c r="AK1516" i="1" l="1"/>
  <c r="AN1515" i="1"/>
  <c r="AM1515" i="1"/>
  <c r="AL1512" i="1"/>
  <c r="AK1517" i="1" l="1"/>
  <c r="AN1516" i="1"/>
  <c r="AM1516" i="1"/>
  <c r="AL1513" i="1"/>
  <c r="AK1518" i="1" l="1"/>
  <c r="AN1517" i="1"/>
  <c r="AM1517" i="1"/>
  <c r="AL1514" i="1"/>
  <c r="AK1519" i="1" l="1"/>
  <c r="AN1518" i="1"/>
  <c r="AM1518" i="1"/>
  <c r="AL1515" i="1"/>
  <c r="AK1520" i="1" l="1"/>
  <c r="AN1519" i="1"/>
  <c r="AM1519" i="1"/>
  <c r="AL1516" i="1"/>
  <c r="AK1521" i="1" l="1"/>
  <c r="AM1520" i="1"/>
  <c r="AN1520" i="1"/>
  <c r="AL1517" i="1"/>
  <c r="AK1522" i="1" l="1"/>
  <c r="AN1521" i="1"/>
  <c r="AM1521" i="1"/>
  <c r="AL1518" i="1"/>
  <c r="AK1523" i="1" l="1"/>
  <c r="AN1522" i="1"/>
  <c r="AM1522" i="1"/>
  <c r="AL1519" i="1"/>
  <c r="AK1524" i="1" l="1"/>
  <c r="AN1523" i="1"/>
  <c r="AM1523" i="1"/>
  <c r="AL1520" i="1"/>
  <c r="AK1525" i="1" l="1"/>
  <c r="AN1524" i="1"/>
  <c r="AM1524" i="1"/>
  <c r="AL1521" i="1"/>
  <c r="AK1526" i="1" l="1"/>
  <c r="AN1525" i="1"/>
  <c r="AM1525" i="1"/>
  <c r="AL1522" i="1"/>
  <c r="AK1527" i="1" l="1"/>
  <c r="AM1526" i="1"/>
  <c r="AN1526" i="1"/>
  <c r="AL1523" i="1"/>
  <c r="AK1528" i="1" l="1"/>
  <c r="AN1527" i="1"/>
  <c r="AM1527" i="1"/>
  <c r="AL1524" i="1"/>
  <c r="AK1529" i="1" l="1"/>
  <c r="AN1528" i="1"/>
  <c r="AM1528" i="1"/>
  <c r="AL1525" i="1"/>
  <c r="AK1530" i="1" l="1"/>
  <c r="AN1529" i="1"/>
  <c r="AM1529" i="1"/>
  <c r="AL1526" i="1"/>
  <c r="AK1531" i="1" l="1"/>
  <c r="AN1530" i="1"/>
  <c r="AM1530" i="1"/>
  <c r="AL1527" i="1"/>
  <c r="AK1532" i="1" l="1"/>
  <c r="AN1531" i="1"/>
  <c r="AM1531" i="1"/>
  <c r="AL1528" i="1"/>
  <c r="AK1533" i="1" l="1"/>
  <c r="AN1532" i="1"/>
  <c r="AM1532" i="1"/>
  <c r="AL1529" i="1"/>
  <c r="AK1534" i="1" l="1"/>
  <c r="AM1533" i="1"/>
  <c r="AN1533" i="1"/>
  <c r="AL1530" i="1"/>
  <c r="AK1535" i="1" l="1"/>
  <c r="AM1534" i="1"/>
  <c r="AN1534" i="1"/>
  <c r="AL1531" i="1"/>
  <c r="AK1536" i="1" l="1"/>
  <c r="AN1535" i="1"/>
  <c r="AM1535" i="1"/>
  <c r="AL1532" i="1"/>
  <c r="AK1537" i="1" l="1"/>
  <c r="AM1536" i="1"/>
  <c r="AN1536" i="1"/>
  <c r="AL1533" i="1"/>
  <c r="AK1538" i="1" l="1"/>
  <c r="AM1537" i="1"/>
  <c r="AN1537" i="1"/>
  <c r="AL1534" i="1"/>
  <c r="AK1539" i="1" l="1"/>
  <c r="AN1538" i="1"/>
  <c r="AM1538" i="1"/>
  <c r="AL1535" i="1"/>
  <c r="AK1540" i="1" l="1"/>
  <c r="AM1539" i="1"/>
  <c r="AN1539" i="1"/>
  <c r="AL1536" i="1"/>
  <c r="AK1541" i="1" l="1"/>
  <c r="AN1540" i="1"/>
  <c r="AM1540" i="1"/>
  <c r="AL1537" i="1"/>
  <c r="AK1542" i="1" l="1"/>
  <c r="AN1541" i="1"/>
  <c r="AM1541" i="1"/>
  <c r="AL1538" i="1"/>
  <c r="AK1543" i="1" l="1"/>
  <c r="AN1542" i="1"/>
  <c r="AM1542" i="1"/>
  <c r="AL1539" i="1"/>
  <c r="AK1544" i="1" l="1"/>
  <c r="AN1543" i="1"/>
  <c r="AM1543" i="1"/>
  <c r="AL1540" i="1"/>
  <c r="AK1545" i="1" l="1"/>
  <c r="AN1544" i="1"/>
  <c r="AM1544" i="1"/>
  <c r="AL1541" i="1"/>
  <c r="AK1546" i="1" l="1"/>
  <c r="AN1545" i="1"/>
  <c r="AM1545" i="1"/>
  <c r="AL1542" i="1"/>
  <c r="AK1547" i="1" l="1"/>
  <c r="AN1546" i="1"/>
  <c r="AM1546" i="1"/>
  <c r="AL1543" i="1"/>
  <c r="AK1548" i="1" l="1"/>
  <c r="AM1547" i="1"/>
  <c r="AN1547" i="1"/>
  <c r="AL1544" i="1"/>
  <c r="AK1549" i="1" l="1"/>
  <c r="AN1548" i="1"/>
  <c r="AM1548" i="1"/>
  <c r="AL1545" i="1"/>
  <c r="AK1550" i="1" l="1"/>
  <c r="AN1549" i="1"/>
  <c r="AM1549" i="1"/>
  <c r="AL1546" i="1"/>
  <c r="AK1551" i="1" l="1"/>
  <c r="AN1550" i="1"/>
  <c r="AM1550" i="1"/>
  <c r="AL1547" i="1"/>
  <c r="AK1552" i="1" l="1"/>
  <c r="AN1551" i="1"/>
  <c r="AM1551" i="1"/>
  <c r="AL1548" i="1"/>
  <c r="AK1553" i="1" l="1"/>
  <c r="AM1552" i="1"/>
  <c r="AN1552" i="1"/>
  <c r="AL1549" i="1"/>
  <c r="AK1554" i="1" l="1"/>
  <c r="AN1553" i="1"/>
  <c r="AM1553" i="1"/>
  <c r="AL1550" i="1"/>
  <c r="AK1555" i="1" l="1"/>
  <c r="AM1554" i="1"/>
  <c r="AN1554" i="1"/>
  <c r="AL1551" i="1"/>
  <c r="AK1556" i="1" l="1"/>
  <c r="AM1555" i="1"/>
  <c r="AN1555" i="1"/>
  <c r="AL1552" i="1"/>
  <c r="AK1557" i="1" l="1"/>
  <c r="AN1556" i="1"/>
  <c r="AM1556" i="1"/>
  <c r="AL1553" i="1"/>
  <c r="AK1558" i="1" l="1"/>
  <c r="AM1557" i="1"/>
  <c r="AN1557" i="1"/>
  <c r="AL1554" i="1"/>
  <c r="AK1559" i="1" l="1"/>
  <c r="AN1558" i="1"/>
  <c r="AM1558" i="1"/>
  <c r="AL1555" i="1"/>
  <c r="AK1560" i="1" l="1"/>
  <c r="AM1559" i="1"/>
  <c r="AN1559" i="1"/>
  <c r="AL1556" i="1"/>
  <c r="AK1561" i="1" l="1"/>
  <c r="AM1560" i="1"/>
  <c r="AN1560" i="1"/>
  <c r="AL1557" i="1"/>
  <c r="AK1562" i="1" l="1"/>
  <c r="AM1561" i="1"/>
  <c r="AN1561" i="1"/>
  <c r="AL1558" i="1"/>
  <c r="AK1563" i="1" l="1"/>
  <c r="AN1562" i="1"/>
  <c r="AM1562" i="1"/>
  <c r="AL1559" i="1"/>
  <c r="AK1564" i="1" l="1"/>
  <c r="AN1563" i="1"/>
  <c r="AM1563" i="1"/>
  <c r="AL1560" i="1"/>
  <c r="AK1565" i="1" l="1"/>
  <c r="AN1564" i="1"/>
  <c r="AM1564" i="1"/>
  <c r="AL1561" i="1"/>
  <c r="AK1566" i="1" l="1"/>
  <c r="AN1565" i="1"/>
  <c r="AM1565" i="1"/>
  <c r="AL1562" i="1"/>
  <c r="AK1567" i="1" l="1"/>
  <c r="AN1566" i="1"/>
  <c r="AM1566" i="1"/>
  <c r="AL1563" i="1"/>
  <c r="AK1568" i="1" l="1"/>
  <c r="AN1567" i="1"/>
  <c r="AM1567" i="1"/>
  <c r="AL1564" i="1"/>
  <c r="AK1569" i="1" l="1"/>
  <c r="AM1568" i="1"/>
  <c r="AN1568" i="1"/>
  <c r="AL1565" i="1"/>
  <c r="AK1570" i="1" l="1"/>
  <c r="AN1569" i="1"/>
  <c r="AM1569" i="1"/>
  <c r="AL1566" i="1"/>
  <c r="AK1571" i="1" l="1"/>
  <c r="AN1570" i="1"/>
  <c r="AM1570" i="1"/>
  <c r="AL1567" i="1"/>
  <c r="AK1572" i="1" l="1"/>
  <c r="AN1571" i="1"/>
  <c r="AM1571" i="1"/>
  <c r="AL1568" i="1"/>
  <c r="AK1573" i="1" l="1"/>
  <c r="AN1572" i="1"/>
  <c r="AM1572" i="1"/>
  <c r="AL1569" i="1"/>
  <c r="AK1574" i="1" l="1"/>
  <c r="AN1573" i="1"/>
  <c r="AM1573" i="1"/>
  <c r="AL1570" i="1"/>
  <c r="AK1575" i="1" l="1"/>
  <c r="AM1574" i="1"/>
  <c r="AN1574" i="1"/>
  <c r="AL1571" i="1"/>
  <c r="AK1576" i="1" l="1"/>
  <c r="AM1575" i="1"/>
  <c r="AN1575" i="1"/>
  <c r="AL1572" i="1"/>
  <c r="AK1577" i="1" l="1"/>
  <c r="AM1576" i="1"/>
  <c r="AN1576" i="1"/>
  <c r="AL1573" i="1"/>
  <c r="AK1578" i="1" l="1"/>
  <c r="AM1577" i="1"/>
  <c r="AN1577" i="1"/>
  <c r="AL1574" i="1"/>
  <c r="AK1579" i="1" l="1"/>
  <c r="AN1578" i="1"/>
  <c r="AM1578" i="1"/>
  <c r="AL1575" i="1"/>
  <c r="AK1580" i="1" l="1"/>
  <c r="AM1579" i="1"/>
  <c r="AN1579" i="1"/>
  <c r="AL1576" i="1"/>
  <c r="AK1581" i="1" l="1"/>
  <c r="AN1580" i="1"/>
  <c r="AM1580" i="1"/>
  <c r="AL1577" i="1"/>
  <c r="AK1582" i="1" l="1"/>
  <c r="AN1581" i="1"/>
  <c r="AM1581" i="1"/>
  <c r="AL1578" i="1"/>
  <c r="AK1583" i="1" l="1"/>
  <c r="AM1582" i="1"/>
  <c r="AN1582" i="1"/>
  <c r="AL1579" i="1"/>
  <c r="AK1584" i="1" l="1"/>
  <c r="AN1583" i="1"/>
  <c r="AM1583" i="1"/>
  <c r="AL1580" i="1"/>
  <c r="AK1585" i="1" l="1"/>
  <c r="AN1584" i="1"/>
  <c r="AM1584" i="1"/>
  <c r="AL1581" i="1"/>
  <c r="AK1586" i="1" l="1"/>
  <c r="AN1585" i="1"/>
  <c r="AM1585" i="1"/>
  <c r="AL1582" i="1"/>
  <c r="AK1587" i="1" l="1"/>
  <c r="AN1586" i="1"/>
  <c r="AM1586" i="1"/>
  <c r="AL1583" i="1"/>
  <c r="AK1588" i="1" l="1"/>
  <c r="AN1587" i="1"/>
  <c r="AM1587" i="1"/>
  <c r="AL1584" i="1"/>
  <c r="AK1589" i="1" l="1"/>
  <c r="AN1588" i="1"/>
  <c r="AM1588" i="1"/>
  <c r="AL1585" i="1"/>
  <c r="AK1590" i="1" l="1"/>
  <c r="AN1589" i="1"/>
  <c r="AM1589" i="1"/>
  <c r="AL1586" i="1"/>
  <c r="AK1591" i="1" l="1"/>
  <c r="AN1590" i="1"/>
  <c r="AM1590" i="1"/>
  <c r="AL1587" i="1"/>
  <c r="AK1592" i="1" l="1"/>
  <c r="AN1591" i="1"/>
  <c r="AM1591" i="1"/>
  <c r="AL1588" i="1"/>
  <c r="AK1593" i="1" l="1"/>
  <c r="AN1592" i="1"/>
  <c r="AM1592" i="1"/>
  <c r="AL1589" i="1"/>
  <c r="AK1594" i="1" l="1"/>
  <c r="AM1593" i="1"/>
  <c r="AN1593" i="1"/>
  <c r="AL1590" i="1"/>
  <c r="AK1595" i="1" l="1"/>
  <c r="AN1594" i="1"/>
  <c r="AM1594" i="1"/>
  <c r="AL1591" i="1"/>
  <c r="AK1596" i="1" l="1"/>
  <c r="AN1595" i="1"/>
  <c r="AM1595" i="1"/>
  <c r="AL1592" i="1"/>
  <c r="AK1597" i="1" l="1"/>
  <c r="AN1596" i="1"/>
  <c r="AM1596" i="1"/>
  <c r="AL1593" i="1"/>
  <c r="AK1598" i="1" l="1"/>
  <c r="AN1597" i="1"/>
  <c r="AM1597" i="1"/>
  <c r="AL1594" i="1"/>
  <c r="AK1599" i="1" l="1"/>
  <c r="AN1598" i="1"/>
  <c r="AM1598" i="1"/>
  <c r="AL1595" i="1"/>
  <c r="AK1600" i="1" l="1"/>
  <c r="AN1599" i="1"/>
  <c r="AM1599" i="1"/>
  <c r="AL1596" i="1"/>
  <c r="AK1601" i="1" l="1"/>
  <c r="AN1600" i="1"/>
  <c r="AM1600" i="1"/>
  <c r="AL1597" i="1"/>
  <c r="AK1602" i="1" l="1"/>
  <c r="AN1601" i="1"/>
  <c r="AM1601" i="1"/>
  <c r="AL1598" i="1"/>
  <c r="AK1603" i="1" l="1"/>
  <c r="AM1602" i="1"/>
  <c r="AN1602" i="1"/>
  <c r="AL1599" i="1"/>
  <c r="AK1604" i="1" l="1"/>
  <c r="AN1603" i="1"/>
  <c r="AM1603" i="1"/>
  <c r="AL1600" i="1"/>
  <c r="AK1605" i="1" l="1"/>
  <c r="AN1604" i="1"/>
  <c r="AM1604" i="1"/>
  <c r="AL1601" i="1"/>
  <c r="AK1606" i="1" l="1"/>
  <c r="AN1605" i="1"/>
  <c r="AM1605" i="1"/>
  <c r="AL1602" i="1"/>
  <c r="AK1607" i="1" l="1"/>
  <c r="AM1606" i="1"/>
  <c r="AN1606" i="1"/>
  <c r="AL1603" i="1"/>
  <c r="AK1608" i="1" l="1"/>
  <c r="AN1607" i="1"/>
  <c r="AM1607" i="1"/>
  <c r="AL1604" i="1"/>
  <c r="AK1609" i="1" l="1"/>
  <c r="AM1608" i="1"/>
  <c r="AN1608" i="1"/>
  <c r="AL1605" i="1"/>
  <c r="AK1610" i="1" l="1"/>
  <c r="AM1609" i="1"/>
  <c r="AN1609" i="1"/>
  <c r="AL1606" i="1"/>
  <c r="AK1611" i="1" l="1"/>
  <c r="AN1610" i="1"/>
  <c r="AM1610" i="1"/>
  <c r="AL1607" i="1"/>
  <c r="AK1612" i="1" l="1"/>
  <c r="AN1611" i="1"/>
  <c r="AM1611" i="1"/>
  <c r="AL1608" i="1"/>
  <c r="AK1613" i="1" l="1"/>
  <c r="AN1612" i="1"/>
  <c r="AM1612" i="1"/>
  <c r="AL1609" i="1"/>
  <c r="AK1614" i="1" l="1"/>
  <c r="AN1613" i="1"/>
  <c r="AM1613" i="1"/>
  <c r="AL1610" i="1"/>
  <c r="AK1615" i="1" l="1"/>
  <c r="AN1614" i="1"/>
  <c r="AM1614" i="1"/>
  <c r="AL1611" i="1"/>
  <c r="AK1616" i="1" l="1"/>
  <c r="AN1615" i="1"/>
  <c r="AM1615" i="1"/>
  <c r="AL1612" i="1"/>
  <c r="AK1617" i="1" l="1"/>
  <c r="AN1616" i="1"/>
  <c r="AM1616" i="1"/>
  <c r="AL1613" i="1"/>
  <c r="AK1618" i="1" l="1"/>
  <c r="AN1617" i="1"/>
  <c r="AM1617" i="1"/>
  <c r="AL1614" i="1"/>
  <c r="AK1619" i="1" l="1"/>
  <c r="AN1618" i="1"/>
  <c r="AM1618" i="1"/>
  <c r="AL1615" i="1"/>
  <c r="AK1620" i="1" l="1"/>
  <c r="AN1619" i="1"/>
  <c r="AM1619" i="1"/>
  <c r="AL1616" i="1"/>
  <c r="AK1621" i="1" l="1"/>
  <c r="AN1620" i="1"/>
  <c r="AM1620" i="1"/>
  <c r="AL1617" i="1"/>
  <c r="AK1622" i="1" l="1"/>
  <c r="AN1621" i="1"/>
  <c r="AM1621" i="1"/>
  <c r="AL1618" i="1"/>
  <c r="AK1623" i="1" l="1"/>
  <c r="AM1622" i="1"/>
  <c r="AN1622" i="1"/>
  <c r="AL1619" i="1"/>
  <c r="AK1624" i="1" l="1"/>
  <c r="AN1623" i="1"/>
  <c r="AM1623" i="1"/>
  <c r="AL1620" i="1"/>
  <c r="AK1625" i="1" l="1"/>
  <c r="AN1624" i="1"/>
  <c r="AM1624" i="1"/>
  <c r="AL1621" i="1"/>
  <c r="AK1626" i="1" l="1"/>
  <c r="AM1625" i="1"/>
  <c r="AN1625" i="1"/>
  <c r="AL1622" i="1"/>
  <c r="AK1627" i="1" l="1"/>
  <c r="AN1626" i="1"/>
  <c r="AM1626" i="1"/>
  <c r="AL1623" i="1"/>
  <c r="AK1628" i="1" l="1"/>
  <c r="AN1627" i="1"/>
  <c r="AM1627" i="1"/>
  <c r="AL1624" i="1"/>
  <c r="AK1629" i="1" l="1"/>
  <c r="AN1628" i="1"/>
  <c r="AM1628" i="1"/>
  <c r="AL1625" i="1"/>
  <c r="AK1630" i="1" l="1"/>
  <c r="AN1629" i="1"/>
  <c r="AM1629" i="1"/>
  <c r="AL1626" i="1"/>
  <c r="AK1631" i="1" l="1"/>
  <c r="AN1630" i="1"/>
  <c r="AM1630" i="1"/>
  <c r="AL1627" i="1"/>
  <c r="AK1632" i="1" l="1"/>
  <c r="AN1631" i="1"/>
  <c r="AM1631" i="1"/>
  <c r="AL1628" i="1"/>
  <c r="AK1633" i="1" l="1"/>
  <c r="AN1632" i="1"/>
  <c r="AM1632" i="1"/>
  <c r="AL1629" i="1"/>
  <c r="AK1634" i="1" l="1"/>
  <c r="AN1633" i="1"/>
  <c r="AM1633" i="1"/>
  <c r="AL1630" i="1"/>
  <c r="AK1635" i="1" l="1"/>
  <c r="AN1634" i="1"/>
  <c r="AM1634" i="1"/>
  <c r="AL1631" i="1"/>
  <c r="AK1636" i="1" l="1"/>
  <c r="AN1635" i="1"/>
  <c r="AM1635" i="1"/>
  <c r="AL1632" i="1"/>
  <c r="AK1637" i="1" l="1"/>
  <c r="AM1636" i="1"/>
  <c r="AN1636" i="1"/>
  <c r="AL1633" i="1"/>
  <c r="AK1638" i="1" l="1"/>
  <c r="AN1637" i="1"/>
  <c r="AM1637" i="1"/>
  <c r="AL1634" i="1"/>
  <c r="AK1639" i="1" l="1"/>
  <c r="AN1638" i="1"/>
  <c r="AM1638" i="1"/>
  <c r="AL1635" i="1"/>
  <c r="AK1640" i="1" l="1"/>
  <c r="AM1639" i="1"/>
  <c r="AN1639" i="1"/>
  <c r="AL1636" i="1"/>
  <c r="AK1641" i="1" l="1"/>
  <c r="AN1640" i="1"/>
  <c r="AM1640" i="1"/>
  <c r="AL1637" i="1"/>
  <c r="AK1642" i="1" l="1"/>
  <c r="AM1641" i="1"/>
  <c r="AN1641" i="1"/>
  <c r="AL1638" i="1"/>
  <c r="AK1643" i="1" l="1"/>
  <c r="AN1642" i="1"/>
  <c r="AM1642" i="1"/>
  <c r="AL1639" i="1"/>
  <c r="AK1644" i="1" l="1"/>
  <c r="AN1643" i="1"/>
  <c r="AM1643" i="1"/>
  <c r="AL1640" i="1"/>
  <c r="AK1645" i="1" l="1"/>
  <c r="AN1644" i="1"/>
  <c r="AM1644" i="1"/>
  <c r="AL1641" i="1"/>
  <c r="AK1646" i="1" l="1"/>
  <c r="AM1645" i="1"/>
  <c r="AN1645" i="1"/>
  <c r="AL1642" i="1"/>
  <c r="AK1647" i="1" l="1"/>
  <c r="AN1646" i="1"/>
  <c r="AM1646" i="1"/>
  <c r="AL1643" i="1"/>
  <c r="AK1648" i="1" l="1"/>
  <c r="AN1647" i="1"/>
  <c r="AM1647" i="1"/>
  <c r="AL1644" i="1"/>
  <c r="AK1649" i="1" l="1"/>
  <c r="AN1648" i="1"/>
  <c r="AM1648" i="1"/>
  <c r="AL1645" i="1"/>
  <c r="AK1650" i="1" l="1"/>
  <c r="AN1649" i="1"/>
  <c r="AM1649" i="1"/>
  <c r="AL1646" i="1"/>
  <c r="AK1651" i="1" l="1"/>
  <c r="AN1650" i="1"/>
  <c r="AM1650" i="1"/>
  <c r="AL1647" i="1"/>
  <c r="AK1652" i="1" l="1"/>
  <c r="AN1651" i="1"/>
  <c r="AM1651" i="1"/>
  <c r="AL1648" i="1"/>
  <c r="AK1653" i="1" l="1"/>
  <c r="AN1652" i="1"/>
  <c r="AM1652" i="1"/>
  <c r="AL1649" i="1"/>
  <c r="AK1654" i="1" l="1"/>
  <c r="AN1653" i="1"/>
  <c r="AM1653" i="1"/>
  <c r="AL1650" i="1"/>
  <c r="AK1655" i="1" l="1"/>
  <c r="AN1654" i="1"/>
  <c r="AM1654" i="1"/>
  <c r="AL1651" i="1"/>
  <c r="AK1656" i="1" l="1"/>
  <c r="AM1655" i="1"/>
  <c r="AN1655" i="1"/>
  <c r="AL1652" i="1"/>
  <c r="AK1657" i="1" l="1"/>
  <c r="AN1656" i="1"/>
  <c r="AM1656" i="1"/>
  <c r="AL1653" i="1"/>
  <c r="AK1658" i="1" l="1"/>
  <c r="AN1657" i="1"/>
  <c r="AM1657" i="1"/>
  <c r="AL1654" i="1"/>
  <c r="AK1659" i="1" l="1"/>
  <c r="AM1658" i="1"/>
  <c r="AN1658" i="1"/>
  <c r="AL1655" i="1"/>
  <c r="AK1660" i="1" l="1"/>
  <c r="AM1659" i="1"/>
  <c r="AN1659" i="1"/>
  <c r="AL1656" i="1"/>
  <c r="AK1661" i="1" l="1"/>
  <c r="AN1660" i="1"/>
  <c r="AM1660" i="1"/>
  <c r="AL1657" i="1"/>
  <c r="AK1662" i="1" l="1"/>
  <c r="AN1661" i="1"/>
  <c r="AM1661" i="1"/>
  <c r="AL1658" i="1"/>
  <c r="AK1663" i="1" l="1"/>
  <c r="AN1662" i="1"/>
  <c r="AM1662" i="1"/>
  <c r="AL1659" i="1"/>
  <c r="AK1664" i="1" l="1"/>
  <c r="AN1663" i="1"/>
  <c r="AM1663" i="1"/>
  <c r="AL1660" i="1"/>
  <c r="AK1665" i="1" l="1"/>
  <c r="AM1664" i="1"/>
  <c r="AN1664" i="1"/>
  <c r="AL1661" i="1"/>
  <c r="AK1666" i="1" l="1"/>
  <c r="AN1665" i="1"/>
  <c r="AM1665" i="1"/>
  <c r="AL1662" i="1"/>
  <c r="AK1667" i="1" l="1"/>
  <c r="AN1666" i="1"/>
  <c r="AM1666" i="1"/>
  <c r="AL1663" i="1"/>
  <c r="AK1668" i="1" l="1"/>
  <c r="AN1667" i="1"/>
  <c r="AM1667" i="1"/>
  <c r="AL1664" i="1"/>
  <c r="AK1669" i="1" l="1"/>
  <c r="AN1668" i="1"/>
  <c r="AM1668" i="1"/>
  <c r="AL1665" i="1"/>
  <c r="AK1670" i="1" l="1"/>
  <c r="AN1669" i="1"/>
  <c r="AM1669" i="1"/>
  <c r="AL1666" i="1"/>
  <c r="AK1671" i="1" l="1"/>
  <c r="AN1670" i="1"/>
  <c r="AM1670" i="1"/>
  <c r="AL1667" i="1"/>
  <c r="AK1672" i="1" l="1"/>
  <c r="AN1671" i="1"/>
  <c r="AM1671" i="1"/>
  <c r="AL1668" i="1"/>
  <c r="AK1673" i="1" l="1"/>
  <c r="AN1672" i="1"/>
  <c r="AM1672" i="1"/>
  <c r="AL1669" i="1"/>
  <c r="AK1674" i="1" l="1"/>
  <c r="AM1673" i="1"/>
  <c r="AN1673" i="1"/>
  <c r="AL1670" i="1"/>
  <c r="AK1675" i="1" l="1"/>
  <c r="AN1674" i="1"/>
  <c r="AM1674" i="1"/>
  <c r="AL1671" i="1"/>
  <c r="AK1676" i="1" l="1"/>
  <c r="AN1675" i="1"/>
  <c r="AM1675" i="1"/>
  <c r="AL1672" i="1"/>
  <c r="AK1677" i="1" l="1"/>
  <c r="AN1676" i="1"/>
  <c r="AM1676" i="1"/>
  <c r="AL1673" i="1"/>
  <c r="AK1678" i="1" l="1"/>
  <c r="AN1677" i="1"/>
  <c r="AM1677" i="1"/>
  <c r="AL1674" i="1"/>
  <c r="AK1679" i="1" l="1"/>
  <c r="AN1678" i="1"/>
  <c r="AM1678" i="1"/>
  <c r="AL1675" i="1"/>
  <c r="AK1680" i="1" l="1"/>
  <c r="AM1679" i="1"/>
  <c r="AN1679" i="1"/>
  <c r="AL1676" i="1"/>
  <c r="AK1681" i="1" l="1"/>
  <c r="AN1680" i="1"/>
  <c r="AM1680" i="1"/>
  <c r="AL1677" i="1"/>
  <c r="AK1682" i="1" l="1"/>
  <c r="AN1681" i="1"/>
  <c r="AM1681" i="1"/>
  <c r="AL1678" i="1"/>
  <c r="AK1683" i="1" l="1"/>
  <c r="AN1682" i="1"/>
  <c r="AM1682" i="1"/>
  <c r="AL1679" i="1"/>
  <c r="AK1684" i="1" l="1"/>
  <c r="AN1683" i="1"/>
  <c r="AM1683" i="1"/>
  <c r="AL1680" i="1"/>
  <c r="AK1685" i="1" l="1"/>
  <c r="AN1684" i="1"/>
  <c r="AM1684" i="1"/>
  <c r="AL1681" i="1"/>
  <c r="AK1686" i="1" l="1"/>
  <c r="AN1685" i="1"/>
  <c r="AM1685" i="1"/>
  <c r="AL1682" i="1"/>
  <c r="AK1687" i="1" l="1"/>
  <c r="AN1686" i="1"/>
  <c r="AM1686" i="1"/>
  <c r="AL1683" i="1"/>
  <c r="AK1688" i="1" l="1"/>
  <c r="AN1687" i="1"/>
  <c r="AM1687" i="1"/>
  <c r="AL1684" i="1"/>
  <c r="AK1689" i="1" l="1"/>
  <c r="AN1688" i="1"/>
  <c r="AM1688" i="1"/>
  <c r="AL1685" i="1"/>
  <c r="AK1690" i="1" l="1"/>
  <c r="AN1689" i="1"/>
  <c r="AM1689" i="1"/>
  <c r="AL1686" i="1"/>
  <c r="AK1691" i="1" l="1"/>
  <c r="AN1690" i="1"/>
  <c r="AM1690" i="1"/>
  <c r="AL1687" i="1"/>
  <c r="AK1692" i="1" l="1"/>
  <c r="AM1691" i="1"/>
  <c r="AN1691" i="1"/>
  <c r="AL1688" i="1"/>
  <c r="AK1693" i="1" l="1"/>
  <c r="AN1692" i="1"/>
  <c r="AM1692" i="1"/>
  <c r="AL1689" i="1"/>
  <c r="AK1694" i="1" l="1"/>
  <c r="AM1693" i="1"/>
  <c r="AN1693" i="1"/>
  <c r="AL1690" i="1"/>
  <c r="AK1695" i="1" l="1"/>
  <c r="AN1694" i="1"/>
  <c r="AM1694" i="1"/>
  <c r="AL1691" i="1"/>
  <c r="AK1696" i="1" l="1"/>
  <c r="AN1695" i="1"/>
  <c r="AM1695" i="1"/>
  <c r="AL1692" i="1"/>
  <c r="AK1697" i="1" l="1"/>
  <c r="AN1696" i="1"/>
  <c r="AM1696" i="1"/>
  <c r="AL1693" i="1"/>
  <c r="AK1698" i="1" l="1"/>
  <c r="AN1697" i="1"/>
  <c r="AM1697" i="1"/>
  <c r="AL1694" i="1"/>
  <c r="AK1699" i="1" l="1"/>
  <c r="AN1698" i="1"/>
  <c r="AM1698" i="1"/>
  <c r="AL1695" i="1"/>
  <c r="AK1700" i="1" l="1"/>
  <c r="AN1699" i="1"/>
  <c r="AM1699" i="1"/>
  <c r="AL1696" i="1"/>
  <c r="AK1701" i="1" l="1"/>
  <c r="AN1700" i="1"/>
  <c r="AM1700" i="1"/>
  <c r="AL1697" i="1"/>
  <c r="AK1702" i="1" l="1"/>
  <c r="AM1701" i="1"/>
  <c r="AN1701" i="1"/>
  <c r="AL1698" i="1"/>
  <c r="AK1703" i="1" l="1"/>
  <c r="AN1702" i="1"/>
  <c r="AM1702" i="1"/>
  <c r="AL1699" i="1"/>
  <c r="AK1704" i="1" l="1"/>
  <c r="AN1703" i="1"/>
  <c r="AM1703" i="1"/>
  <c r="AL1700" i="1"/>
  <c r="AK1705" i="1" l="1"/>
  <c r="AM1704" i="1"/>
  <c r="AN1704" i="1"/>
  <c r="AL1701" i="1"/>
  <c r="AK1706" i="1" l="1"/>
  <c r="AM1705" i="1"/>
  <c r="AN1705" i="1"/>
  <c r="AL1702" i="1"/>
  <c r="AK1707" i="1" l="1"/>
  <c r="AM1706" i="1"/>
  <c r="AN1706" i="1"/>
  <c r="AL1703" i="1"/>
  <c r="AK1708" i="1" l="1"/>
  <c r="AN1707" i="1"/>
  <c r="AM1707" i="1"/>
  <c r="AL1704" i="1"/>
  <c r="AK1709" i="1" l="1"/>
  <c r="AM1708" i="1"/>
  <c r="AN1708" i="1"/>
  <c r="AL1705" i="1"/>
  <c r="AK1710" i="1" l="1"/>
  <c r="AN1709" i="1"/>
  <c r="AM1709" i="1"/>
  <c r="AL1706" i="1"/>
  <c r="AK1711" i="1" l="1"/>
  <c r="AN1710" i="1"/>
  <c r="AM1710" i="1"/>
  <c r="AL1707" i="1"/>
  <c r="AK1712" i="1" l="1"/>
  <c r="AN1711" i="1"/>
  <c r="AM1711" i="1"/>
  <c r="AL1708" i="1"/>
  <c r="AK1713" i="1" l="1"/>
  <c r="AN1712" i="1"/>
  <c r="AM1712" i="1"/>
  <c r="AL1709" i="1"/>
  <c r="AK1714" i="1" l="1"/>
  <c r="AM1713" i="1"/>
  <c r="AN1713" i="1"/>
  <c r="AL1710" i="1"/>
  <c r="AK1715" i="1" l="1"/>
  <c r="AM1714" i="1"/>
  <c r="AN1714" i="1"/>
  <c r="AL1711" i="1"/>
  <c r="AK1716" i="1" l="1"/>
  <c r="AN1715" i="1"/>
  <c r="AM1715" i="1"/>
  <c r="AL1712" i="1"/>
  <c r="AK1717" i="1" l="1"/>
  <c r="AN1716" i="1"/>
  <c r="AM1716" i="1"/>
  <c r="AL1713" i="1"/>
  <c r="AK1718" i="1" l="1"/>
  <c r="AN1717" i="1"/>
  <c r="AM1717" i="1"/>
  <c r="AL1714" i="1"/>
  <c r="AK1719" i="1" l="1"/>
  <c r="AM1718" i="1"/>
  <c r="AN1718" i="1"/>
  <c r="AL1715" i="1"/>
  <c r="AK1720" i="1" l="1"/>
  <c r="AN1719" i="1"/>
  <c r="AM1719" i="1"/>
  <c r="AL1716" i="1"/>
  <c r="AK1721" i="1" l="1"/>
  <c r="AM1720" i="1"/>
  <c r="AN1720" i="1"/>
  <c r="AL1717" i="1"/>
  <c r="AK1722" i="1" l="1"/>
  <c r="AN1721" i="1"/>
  <c r="AM1721" i="1"/>
  <c r="AL1718" i="1"/>
  <c r="AK1723" i="1" l="1"/>
  <c r="AN1722" i="1"/>
  <c r="AM1722" i="1"/>
  <c r="AL1719" i="1"/>
  <c r="AK1724" i="1" l="1"/>
  <c r="AN1723" i="1"/>
  <c r="AM1723" i="1"/>
  <c r="AL1720" i="1"/>
  <c r="AK1725" i="1" l="1"/>
  <c r="AN1724" i="1"/>
  <c r="AM1724" i="1"/>
  <c r="AL1721" i="1"/>
  <c r="AK1726" i="1" l="1"/>
  <c r="AN1725" i="1"/>
  <c r="AM1725" i="1"/>
  <c r="AL1722" i="1"/>
  <c r="AK1727" i="1" l="1"/>
  <c r="AN1726" i="1"/>
  <c r="AM1726" i="1"/>
  <c r="AL1723" i="1"/>
  <c r="AK1728" i="1" l="1"/>
  <c r="AN1727" i="1"/>
  <c r="AM1727" i="1"/>
  <c r="AL1724" i="1"/>
  <c r="AK1729" i="1" l="1"/>
  <c r="AN1728" i="1"/>
  <c r="AM1728" i="1"/>
  <c r="AL1725" i="1"/>
  <c r="AK1730" i="1" l="1"/>
  <c r="AN1729" i="1"/>
  <c r="AM1729" i="1"/>
  <c r="AL1726" i="1"/>
  <c r="AK1731" i="1" l="1"/>
  <c r="AN1730" i="1"/>
  <c r="AM1730" i="1"/>
  <c r="AL1727" i="1"/>
  <c r="AK1732" i="1" l="1"/>
  <c r="AN1731" i="1"/>
  <c r="AM1731" i="1"/>
  <c r="AL1728" i="1"/>
  <c r="AK1733" i="1" l="1"/>
  <c r="AN1732" i="1"/>
  <c r="AM1732" i="1"/>
  <c r="AL1729" i="1"/>
  <c r="AK1734" i="1" l="1"/>
  <c r="AN1733" i="1"/>
  <c r="AM1733" i="1"/>
  <c r="AL1730" i="1"/>
  <c r="AK1735" i="1" l="1"/>
  <c r="AM1734" i="1"/>
  <c r="AN1734" i="1"/>
  <c r="AL1731" i="1"/>
  <c r="AK1736" i="1" l="1"/>
  <c r="AN1735" i="1"/>
  <c r="AM1735" i="1"/>
  <c r="AL1732" i="1"/>
  <c r="AK1737" i="1" l="1"/>
  <c r="AN1736" i="1"/>
  <c r="AM1736" i="1"/>
  <c r="AL1733" i="1"/>
  <c r="AK1738" i="1" l="1"/>
  <c r="AM1737" i="1"/>
  <c r="AN1737" i="1"/>
  <c r="AL1734" i="1"/>
  <c r="AK1739" i="1" l="1"/>
  <c r="AN1738" i="1"/>
  <c r="AM1738" i="1"/>
  <c r="AL1735" i="1"/>
  <c r="AK1740" i="1" l="1"/>
  <c r="AN1739" i="1"/>
  <c r="AM1739" i="1"/>
  <c r="AL1736" i="1"/>
  <c r="AK1741" i="1" l="1"/>
  <c r="AM1740" i="1"/>
  <c r="AN1740" i="1"/>
  <c r="AL1737" i="1"/>
  <c r="AK1742" i="1" l="1"/>
  <c r="AN1741" i="1"/>
  <c r="AM1741" i="1"/>
  <c r="AL1738" i="1"/>
  <c r="AK1743" i="1" l="1"/>
  <c r="AN1742" i="1"/>
  <c r="AM1742" i="1"/>
  <c r="AL1739" i="1"/>
  <c r="AK1744" i="1" l="1"/>
  <c r="AN1743" i="1"/>
  <c r="AM1743" i="1"/>
  <c r="AL1740" i="1"/>
  <c r="AK1745" i="1" l="1"/>
  <c r="AN1744" i="1"/>
  <c r="AM1744" i="1"/>
  <c r="AL1741" i="1"/>
  <c r="AK1746" i="1" l="1"/>
  <c r="AN1745" i="1"/>
  <c r="AM1745" i="1"/>
  <c r="AL1742" i="1"/>
  <c r="AK1747" i="1" l="1"/>
  <c r="AN1746" i="1"/>
  <c r="AM1746" i="1"/>
  <c r="AL1743" i="1"/>
  <c r="AK1748" i="1" l="1"/>
  <c r="AN1747" i="1"/>
  <c r="AM1747" i="1"/>
  <c r="AL1744" i="1"/>
  <c r="AK1749" i="1" l="1"/>
  <c r="AM1748" i="1"/>
  <c r="AN1748" i="1"/>
  <c r="AL1745" i="1"/>
  <c r="AK1750" i="1" l="1"/>
  <c r="AN1749" i="1"/>
  <c r="AM1749" i="1"/>
  <c r="AL1746" i="1"/>
  <c r="AK1751" i="1" l="1"/>
  <c r="AN1750" i="1"/>
  <c r="AM1750" i="1"/>
  <c r="AL1747" i="1"/>
  <c r="AK1752" i="1" l="1"/>
  <c r="AM1751" i="1"/>
  <c r="AN1751" i="1"/>
  <c r="AL1748" i="1"/>
  <c r="AK1753" i="1" l="1"/>
  <c r="AN1752" i="1"/>
  <c r="AM1752" i="1"/>
  <c r="AL1749" i="1"/>
  <c r="AK1754" i="1" l="1"/>
  <c r="AN1753" i="1"/>
  <c r="AM1753" i="1"/>
  <c r="AL1750" i="1"/>
  <c r="AK1755" i="1" l="1"/>
  <c r="AN1754" i="1"/>
  <c r="AM1754" i="1"/>
  <c r="AL1751" i="1"/>
  <c r="AK1756" i="1" l="1"/>
  <c r="AN1755" i="1"/>
  <c r="AM1755" i="1"/>
  <c r="AL1752" i="1"/>
  <c r="AK1757" i="1" l="1"/>
  <c r="AM1756" i="1"/>
  <c r="AN1756" i="1"/>
  <c r="AL1753" i="1"/>
  <c r="AK1758" i="1" l="1"/>
  <c r="AM1757" i="1"/>
  <c r="AN1757" i="1"/>
  <c r="AL1754" i="1"/>
  <c r="AK1759" i="1" l="1"/>
  <c r="AN1758" i="1"/>
  <c r="AM1758" i="1"/>
  <c r="AL1755" i="1"/>
  <c r="AK1760" i="1" l="1"/>
  <c r="AM1759" i="1"/>
  <c r="AN1759" i="1"/>
  <c r="AL1756" i="1"/>
  <c r="AK1761" i="1" l="1"/>
  <c r="AN1760" i="1"/>
  <c r="AM1760" i="1"/>
  <c r="AL1757" i="1"/>
  <c r="AK1762" i="1" l="1"/>
  <c r="AN1761" i="1"/>
  <c r="AM1761" i="1"/>
  <c r="AL1758" i="1"/>
  <c r="AK1763" i="1" l="1"/>
  <c r="AN1762" i="1"/>
  <c r="AM1762" i="1"/>
  <c r="AL1759" i="1"/>
  <c r="AK1764" i="1" l="1"/>
  <c r="AN1763" i="1"/>
  <c r="AM1763" i="1"/>
  <c r="AL1760" i="1"/>
  <c r="AK1765" i="1" l="1"/>
  <c r="AN1764" i="1"/>
  <c r="AM1764" i="1"/>
  <c r="AL1761" i="1"/>
  <c r="AK1766" i="1" l="1"/>
  <c r="AN1765" i="1"/>
  <c r="AM1765" i="1"/>
  <c r="AL1762" i="1"/>
  <c r="AK1767" i="1" l="1"/>
  <c r="AM1766" i="1"/>
  <c r="AN1766" i="1"/>
  <c r="AL1763" i="1"/>
  <c r="AK1768" i="1" l="1"/>
  <c r="AN1767" i="1"/>
  <c r="AM1767" i="1"/>
  <c r="AL1764" i="1"/>
  <c r="AK1769" i="1" l="1"/>
  <c r="AN1768" i="1"/>
  <c r="AM1768" i="1"/>
  <c r="AL1765" i="1"/>
  <c r="AK1770" i="1" l="1"/>
  <c r="AN1769" i="1"/>
  <c r="AM1769" i="1"/>
  <c r="AL1766" i="1"/>
  <c r="AK1771" i="1" l="1"/>
  <c r="AM1770" i="1"/>
  <c r="AN1770" i="1"/>
  <c r="AL1767" i="1"/>
  <c r="AK1772" i="1" l="1"/>
  <c r="AM1771" i="1"/>
  <c r="AN1771" i="1"/>
  <c r="AL1768" i="1"/>
  <c r="AK1773" i="1" l="1"/>
  <c r="AN1772" i="1"/>
  <c r="AM1772" i="1"/>
  <c r="AL1769" i="1"/>
  <c r="AK1774" i="1" l="1"/>
  <c r="AM1773" i="1"/>
  <c r="AN1773" i="1"/>
  <c r="AL1770" i="1"/>
  <c r="AK1775" i="1" l="1"/>
  <c r="AN1774" i="1"/>
  <c r="AM1774" i="1"/>
  <c r="AL1771" i="1"/>
  <c r="AK1776" i="1" l="1"/>
  <c r="AN1775" i="1"/>
  <c r="AM1775" i="1"/>
  <c r="AL1772" i="1"/>
  <c r="AK1777" i="1" l="1"/>
  <c r="AN1776" i="1"/>
  <c r="AM1776" i="1"/>
  <c r="AL1773" i="1"/>
  <c r="AK1778" i="1" l="1"/>
  <c r="AN1777" i="1"/>
  <c r="AM1777" i="1"/>
  <c r="AL1774" i="1"/>
  <c r="AK1779" i="1" l="1"/>
  <c r="AN1778" i="1"/>
  <c r="AM1778" i="1"/>
  <c r="AL1775" i="1"/>
  <c r="AK1780" i="1" l="1"/>
  <c r="AM1779" i="1"/>
  <c r="AN1779" i="1"/>
  <c r="AL1776" i="1"/>
  <c r="AK1781" i="1" l="1"/>
  <c r="AN1780" i="1"/>
  <c r="AM1780" i="1"/>
  <c r="AL1777" i="1"/>
  <c r="AK1782" i="1" l="1"/>
  <c r="AN1781" i="1"/>
  <c r="AM1781" i="1"/>
  <c r="AL1778" i="1"/>
  <c r="AK1783" i="1" l="1"/>
  <c r="AN1782" i="1"/>
  <c r="AM1782" i="1"/>
  <c r="AL1779" i="1"/>
  <c r="AK1784" i="1" l="1"/>
  <c r="AN1783" i="1"/>
  <c r="AM1783" i="1"/>
  <c r="AL1780" i="1"/>
  <c r="AK1785" i="1" l="1"/>
  <c r="AN1784" i="1"/>
  <c r="AM1784" i="1"/>
  <c r="AL1781" i="1"/>
  <c r="AK1786" i="1" l="1"/>
  <c r="AN1785" i="1"/>
  <c r="AM1785" i="1"/>
  <c r="AL1782" i="1"/>
  <c r="AK1787" i="1" l="1"/>
  <c r="AN1786" i="1"/>
  <c r="AM1786" i="1"/>
  <c r="AL1783" i="1"/>
  <c r="AK1788" i="1" l="1"/>
  <c r="AM1787" i="1"/>
  <c r="AN1787" i="1"/>
  <c r="AL1784" i="1"/>
  <c r="AK1789" i="1" l="1"/>
  <c r="AN1788" i="1"/>
  <c r="AM1788" i="1"/>
  <c r="AL1785" i="1"/>
  <c r="AK1790" i="1" l="1"/>
  <c r="AN1789" i="1"/>
  <c r="AM1789" i="1"/>
  <c r="AL1786" i="1"/>
  <c r="AK1791" i="1" l="1"/>
  <c r="AM1790" i="1"/>
  <c r="AN1790" i="1"/>
  <c r="AL1787" i="1"/>
  <c r="AK1792" i="1" l="1"/>
  <c r="AN1791" i="1"/>
  <c r="AM1791" i="1"/>
  <c r="AL1788" i="1"/>
  <c r="AK1793" i="1" l="1"/>
  <c r="AN1792" i="1"/>
  <c r="AM1792" i="1"/>
  <c r="AL1789" i="1"/>
  <c r="AK1794" i="1" l="1"/>
  <c r="AM1793" i="1"/>
  <c r="AN1793" i="1"/>
  <c r="AL1790" i="1"/>
  <c r="AK1795" i="1" l="1"/>
  <c r="AN1794" i="1"/>
  <c r="AM1794" i="1"/>
  <c r="AL1791" i="1"/>
  <c r="AK1796" i="1" l="1"/>
  <c r="AN1795" i="1"/>
  <c r="AM1795" i="1"/>
  <c r="AL1792" i="1"/>
  <c r="AK1797" i="1" l="1"/>
  <c r="AN1796" i="1"/>
  <c r="AM1796" i="1"/>
  <c r="AL1793" i="1"/>
  <c r="AK1798" i="1" l="1"/>
  <c r="AN1797" i="1"/>
  <c r="AM1797" i="1"/>
  <c r="AL1794" i="1"/>
  <c r="AK1799" i="1" l="1"/>
  <c r="AN1798" i="1"/>
  <c r="AM1798" i="1"/>
  <c r="AL1795" i="1"/>
  <c r="AK1800" i="1" l="1"/>
  <c r="AM1799" i="1"/>
  <c r="AN1799" i="1"/>
  <c r="AL1796" i="1"/>
  <c r="AK1801" i="1" l="1"/>
  <c r="AN1800" i="1"/>
  <c r="AM1800" i="1"/>
  <c r="AL1797" i="1"/>
  <c r="AK1802" i="1" l="1"/>
  <c r="AN1801" i="1"/>
  <c r="AM1801" i="1"/>
  <c r="AL1798" i="1"/>
  <c r="AK1803" i="1" l="1"/>
  <c r="AN1802" i="1"/>
  <c r="AM1802" i="1"/>
  <c r="AL1799" i="1"/>
  <c r="AK1804" i="1" l="1"/>
  <c r="AN1803" i="1"/>
  <c r="AM1803" i="1"/>
  <c r="AL1800" i="1"/>
  <c r="AK1805" i="1" l="1"/>
  <c r="AN1804" i="1"/>
  <c r="AM1804" i="1"/>
  <c r="AL1801" i="1"/>
  <c r="AK1806" i="1" l="1"/>
  <c r="AN1805" i="1"/>
  <c r="AM1805" i="1"/>
  <c r="AL1802" i="1"/>
  <c r="AK1807" i="1" l="1"/>
  <c r="AN1806" i="1"/>
  <c r="AM1806" i="1"/>
  <c r="AL1803" i="1"/>
  <c r="AK1808" i="1" l="1"/>
  <c r="AN1807" i="1"/>
  <c r="AM1807" i="1"/>
  <c r="AL1804" i="1"/>
  <c r="AK1809" i="1" l="1"/>
  <c r="AN1808" i="1"/>
  <c r="AM1808" i="1"/>
  <c r="AL1805" i="1"/>
  <c r="AK1810" i="1" l="1"/>
  <c r="AN1809" i="1"/>
  <c r="AM1809" i="1"/>
  <c r="AL1806" i="1"/>
  <c r="AK1811" i="1" l="1"/>
  <c r="AN1810" i="1"/>
  <c r="AM1810" i="1"/>
  <c r="AL1807" i="1"/>
  <c r="AK1812" i="1" l="1"/>
  <c r="AN1811" i="1"/>
  <c r="AM1811" i="1"/>
  <c r="AL1808" i="1"/>
  <c r="AK1813" i="1" l="1"/>
  <c r="AM1812" i="1"/>
  <c r="AN1812" i="1"/>
  <c r="AL1809" i="1"/>
  <c r="AK1814" i="1" l="1"/>
  <c r="AN1813" i="1"/>
  <c r="AM1813" i="1"/>
  <c r="AL1810" i="1"/>
  <c r="AK1815" i="1" l="1"/>
  <c r="AN1814" i="1"/>
  <c r="AM1814" i="1"/>
  <c r="AL1811" i="1"/>
  <c r="AK1816" i="1" l="1"/>
  <c r="AN1815" i="1"/>
  <c r="AM1815" i="1"/>
  <c r="AL1812" i="1"/>
  <c r="AK1817" i="1" l="1"/>
  <c r="AM1816" i="1"/>
  <c r="AN1816" i="1"/>
  <c r="AL1813" i="1"/>
  <c r="AK1818" i="1" l="1"/>
  <c r="AM1817" i="1"/>
  <c r="AN1817" i="1"/>
  <c r="AL1814" i="1"/>
  <c r="AK1819" i="1" l="1"/>
  <c r="AM1818" i="1"/>
  <c r="AN1818" i="1"/>
  <c r="AL1815" i="1"/>
  <c r="AK1820" i="1" l="1"/>
  <c r="AM1819" i="1"/>
  <c r="AN1819" i="1"/>
  <c r="AL1816" i="1"/>
  <c r="AK1821" i="1" l="1"/>
  <c r="AM1820" i="1"/>
  <c r="AN1820" i="1"/>
  <c r="AL1817" i="1"/>
  <c r="AK1822" i="1" l="1"/>
  <c r="AM1821" i="1"/>
  <c r="AN1821" i="1"/>
  <c r="AL1818" i="1"/>
  <c r="AK1823" i="1" l="1"/>
  <c r="AM1822" i="1"/>
  <c r="AN1822" i="1"/>
  <c r="AL1819" i="1"/>
  <c r="AK1824" i="1" l="1"/>
  <c r="AN1823" i="1"/>
  <c r="AM1823" i="1"/>
  <c r="AL1820" i="1"/>
  <c r="AK1825" i="1" l="1"/>
  <c r="AN1824" i="1"/>
  <c r="AM1824" i="1"/>
  <c r="AL1821" i="1"/>
  <c r="AK1826" i="1" l="1"/>
  <c r="AN1825" i="1"/>
  <c r="AM1825" i="1"/>
  <c r="AL1822" i="1"/>
  <c r="AK1827" i="1" l="1"/>
  <c r="AN1826" i="1"/>
  <c r="AM1826" i="1"/>
  <c r="AL1823" i="1"/>
  <c r="AK1828" i="1" l="1"/>
  <c r="AN1827" i="1"/>
  <c r="AM1827" i="1"/>
  <c r="AL1824" i="1"/>
  <c r="AK1829" i="1" l="1"/>
  <c r="AN1828" i="1"/>
  <c r="AM1828" i="1"/>
  <c r="AL1825" i="1"/>
  <c r="AK1830" i="1" l="1"/>
  <c r="AN1829" i="1"/>
  <c r="AM1829" i="1"/>
  <c r="AL1826" i="1"/>
  <c r="AK1831" i="1" l="1"/>
  <c r="AN1830" i="1"/>
  <c r="AM1830" i="1"/>
  <c r="AL1827" i="1"/>
  <c r="AK1832" i="1" l="1"/>
  <c r="AN1831" i="1"/>
  <c r="AM1831" i="1"/>
  <c r="AL1828" i="1"/>
  <c r="AK1833" i="1" l="1"/>
  <c r="AN1832" i="1"/>
  <c r="AM1832" i="1"/>
  <c r="AL1829" i="1"/>
  <c r="AK1834" i="1" l="1"/>
  <c r="AM1833" i="1"/>
  <c r="AN1833" i="1"/>
  <c r="AL1830" i="1"/>
  <c r="AK1835" i="1" l="1"/>
  <c r="AN1834" i="1"/>
  <c r="AM1834" i="1"/>
  <c r="AL1831" i="1"/>
  <c r="AK1836" i="1" l="1"/>
  <c r="AM1835" i="1"/>
  <c r="AN1835" i="1"/>
  <c r="AL1832" i="1"/>
  <c r="AK1837" i="1" l="1"/>
  <c r="AM1836" i="1"/>
  <c r="AN1836" i="1"/>
  <c r="AL1833" i="1"/>
  <c r="AK1838" i="1" l="1"/>
  <c r="AN1837" i="1"/>
  <c r="AM1837" i="1"/>
  <c r="AL1834" i="1"/>
  <c r="AK1839" i="1" l="1"/>
  <c r="AN1838" i="1"/>
  <c r="AM1838" i="1"/>
  <c r="AL1835" i="1"/>
  <c r="AK1840" i="1" l="1"/>
  <c r="AN1839" i="1"/>
  <c r="AM1839" i="1"/>
  <c r="AL1836" i="1"/>
  <c r="AK1841" i="1" l="1"/>
  <c r="AM1840" i="1"/>
  <c r="AN1840" i="1"/>
  <c r="AL1837" i="1"/>
  <c r="AK1842" i="1" l="1"/>
  <c r="AN1841" i="1"/>
  <c r="AM1841" i="1"/>
  <c r="AL1838" i="1"/>
  <c r="AK1843" i="1" l="1"/>
  <c r="AN1842" i="1"/>
  <c r="AM1842" i="1"/>
  <c r="AL1839" i="1"/>
  <c r="AK1844" i="1" l="1"/>
  <c r="AM1843" i="1"/>
  <c r="AN1843" i="1"/>
  <c r="AL1840" i="1"/>
  <c r="AK1845" i="1" l="1"/>
  <c r="AN1844" i="1"/>
  <c r="AM1844" i="1"/>
  <c r="AL1841" i="1"/>
  <c r="AK1846" i="1" l="1"/>
  <c r="AM1845" i="1"/>
  <c r="AN1845" i="1"/>
  <c r="AL1842" i="1"/>
  <c r="AK1847" i="1" l="1"/>
  <c r="AM1846" i="1"/>
  <c r="AN1846" i="1"/>
  <c r="AL1843" i="1"/>
  <c r="AK1848" i="1" l="1"/>
  <c r="AN1847" i="1"/>
  <c r="AM1847" i="1"/>
  <c r="AL1844" i="1"/>
  <c r="AK1849" i="1" l="1"/>
  <c r="AN1848" i="1"/>
  <c r="AM1848" i="1"/>
  <c r="AL1845" i="1"/>
  <c r="AK1850" i="1" l="1"/>
  <c r="AM1849" i="1"/>
  <c r="AN1849" i="1"/>
  <c r="AL1846" i="1"/>
  <c r="AK1851" i="1" l="1"/>
  <c r="AN1850" i="1"/>
  <c r="AM1850" i="1"/>
  <c r="AL1847" i="1"/>
  <c r="AK1852" i="1" l="1"/>
  <c r="AN1851" i="1"/>
  <c r="AM1851" i="1"/>
  <c r="AL1848" i="1"/>
  <c r="AK1853" i="1" l="1"/>
  <c r="AM1852" i="1"/>
  <c r="AN1852" i="1"/>
  <c r="AL1849" i="1"/>
  <c r="AK1854" i="1" l="1"/>
  <c r="AN1853" i="1"/>
  <c r="AM1853" i="1"/>
  <c r="AL1850" i="1"/>
  <c r="AK1855" i="1" l="1"/>
  <c r="AN1854" i="1"/>
  <c r="AM1854" i="1"/>
  <c r="AL1851" i="1"/>
  <c r="AK1856" i="1" l="1"/>
  <c r="AN1855" i="1"/>
  <c r="AM1855" i="1"/>
  <c r="AL1852" i="1"/>
  <c r="AK1857" i="1" l="1"/>
  <c r="AN1856" i="1"/>
  <c r="AM1856" i="1"/>
  <c r="AL1853" i="1"/>
  <c r="AK1858" i="1" l="1"/>
  <c r="AN1857" i="1"/>
  <c r="AM1857" i="1"/>
  <c r="AL1854" i="1"/>
  <c r="AK1859" i="1" l="1"/>
  <c r="AN1858" i="1"/>
  <c r="AM1858" i="1"/>
  <c r="AL1855" i="1"/>
  <c r="AK1860" i="1" l="1"/>
  <c r="AN1859" i="1"/>
  <c r="AM1859" i="1"/>
  <c r="AL1856" i="1"/>
  <c r="AK1861" i="1" l="1"/>
  <c r="AN1860" i="1"/>
  <c r="AM1860" i="1"/>
  <c r="AL1857" i="1"/>
  <c r="AK1862" i="1" l="1"/>
  <c r="AM1861" i="1"/>
  <c r="AN1861" i="1"/>
  <c r="AL1858" i="1"/>
  <c r="AK1863" i="1" l="1"/>
  <c r="AM1862" i="1"/>
  <c r="AN1862" i="1"/>
  <c r="AL1859" i="1"/>
  <c r="AK1864" i="1" l="1"/>
  <c r="AN1863" i="1"/>
  <c r="AM1863" i="1"/>
  <c r="AL1860" i="1"/>
  <c r="AK1865" i="1" l="1"/>
  <c r="AM1864" i="1"/>
  <c r="AN1864" i="1"/>
  <c r="AL1861" i="1"/>
  <c r="AK1866" i="1" l="1"/>
  <c r="AM1865" i="1"/>
  <c r="AN1865" i="1"/>
  <c r="AL1862" i="1"/>
  <c r="AK1867" i="1" l="1"/>
  <c r="AM1866" i="1"/>
  <c r="AN1866" i="1"/>
  <c r="AL1863" i="1"/>
  <c r="AK1868" i="1" l="1"/>
  <c r="AN1867" i="1"/>
  <c r="AM1867" i="1"/>
  <c r="AL1864" i="1"/>
  <c r="AK1869" i="1" l="1"/>
  <c r="AN1868" i="1"/>
  <c r="AM1868" i="1"/>
  <c r="AL1865" i="1"/>
  <c r="AK1870" i="1" l="1"/>
  <c r="AN1869" i="1"/>
  <c r="AM1869" i="1"/>
  <c r="AL1866" i="1"/>
  <c r="AK1871" i="1" l="1"/>
  <c r="AN1870" i="1"/>
  <c r="AM1870" i="1"/>
  <c r="AL1867" i="1"/>
  <c r="AK1872" i="1" l="1"/>
  <c r="AN1871" i="1"/>
  <c r="AM1871" i="1"/>
  <c r="AL1868" i="1"/>
  <c r="AK1873" i="1" l="1"/>
  <c r="AN1872" i="1"/>
  <c r="AM1872" i="1"/>
  <c r="AL1869" i="1"/>
  <c r="AK1874" i="1" l="1"/>
  <c r="AN1873" i="1"/>
  <c r="AM1873" i="1"/>
  <c r="AL1870" i="1"/>
  <c r="AK1875" i="1" l="1"/>
  <c r="AN1874" i="1"/>
  <c r="AM1874" i="1"/>
  <c r="AL1871" i="1"/>
  <c r="AK1876" i="1" l="1"/>
  <c r="AN1875" i="1"/>
  <c r="AM1875" i="1"/>
  <c r="AL1872" i="1"/>
  <c r="AK1877" i="1" l="1"/>
  <c r="AN1876" i="1"/>
  <c r="AM1876" i="1"/>
  <c r="AL1873" i="1"/>
  <c r="AK1878" i="1" l="1"/>
  <c r="AM1877" i="1"/>
  <c r="AN1877" i="1"/>
  <c r="AL1874" i="1"/>
  <c r="AK1879" i="1" l="1"/>
  <c r="AM1878" i="1"/>
  <c r="AN1878" i="1"/>
  <c r="AL1875" i="1"/>
  <c r="AK1880" i="1" l="1"/>
  <c r="AN1879" i="1"/>
  <c r="AM1879" i="1"/>
  <c r="AL1876" i="1"/>
  <c r="AK1881" i="1" l="1"/>
  <c r="AN1880" i="1"/>
  <c r="AM1880" i="1"/>
  <c r="AL1877" i="1"/>
  <c r="AK1882" i="1" l="1"/>
  <c r="AN1881" i="1"/>
  <c r="AM1881" i="1"/>
  <c r="AL1878" i="1"/>
  <c r="AK1883" i="1" l="1"/>
  <c r="AN1882" i="1"/>
  <c r="AM1882" i="1"/>
  <c r="AL1879" i="1"/>
  <c r="AK1884" i="1" l="1"/>
  <c r="AN1883" i="1"/>
  <c r="AM1883" i="1"/>
  <c r="AL1880" i="1"/>
  <c r="AK1885" i="1" l="1"/>
  <c r="AN1884" i="1"/>
  <c r="AM1884" i="1"/>
  <c r="AL1881" i="1"/>
  <c r="AK1886" i="1" l="1"/>
  <c r="AN1885" i="1"/>
  <c r="AM1885" i="1"/>
  <c r="AL1882" i="1"/>
  <c r="AK1887" i="1" l="1"/>
  <c r="AN1886" i="1"/>
  <c r="AM1886" i="1"/>
  <c r="AL1883" i="1"/>
  <c r="AK1888" i="1" l="1"/>
  <c r="AN1887" i="1"/>
  <c r="AM1887" i="1"/>
  <c r="AL1884" i="1"/>
  <c r="AK1889" i="1" l="1"/>
  <c r="AN1888" i="1"/>
  <c r="AM1888" i="1"/>
  <c r="AL1885" i="1"/>
  <c r="AK1890" i="1" l="1"/>
  <c r="AM1889" i="1"/>
  <c r="AN1889" i="1"/>
  <c r="AL1886" i="1"/>
  <c r="AK1891" i="1" l="1"/>
  <c r="AN1890" i="1"/>
  <c r="AM1890" i="1"/>
  <c r="AL1887" i="1"/>
  <c r="AK1892" i="1" l="1"/>
  <c r="AN1891" i="1"/>
  <c r="AM1891" i="1"/>
  <c r="AL1888" i="1"/>
  <c r="AK1893" i="1" l="1"/>
  <c r="AN1892" i="1"/>
  <c r="AM1892" i="1"/>
  <c r="AL1889" i="1"/>
  <c r="AK1894" i="1" l="1"/>
  <c r="AN1893" i="1"/>
  <c r="AM1893" i="1"/>
  <c r="AL1890" i="1"/>
  <c r="AK1895" i="1" l="1"/>
  <c r="AM1894" i="1"/>
  <c r="AN1894" i="1"/>
  <c r="AL1891" i="1"/>
  <c r="AK1896" i="1" l="1"/>
  <c r="AN1895" i="1"/>
  <c r="AM1895" i="1"/>
  <c r="AL1892" i="1"/>
  <c r="AK1897" i="1" l="1"/>
  <c r="AN1896" i="1"/>
  <c r="AM1896" i="1"/>
  <c r="AL1893" i="1"/>
  <c r="AK1898" i="1" l="1"/>
  <c r="AM1897" i="1"/>
  <c r="AN1897" i="1"/>
  <c r="AL1894" i="1"/>
  <c r="AK1899" i="1" l="1"/>
  <c r="AN1898" i="1"/>
  <c r="AM1898" i="1"/>
  <c r="AL1895" i="1"/>
  <c r="AK1900" i="1" l="1"/>
  <c r="AN1899" i="1"/>
  <c r="AM1899" i="1"/>
  <c r="AL1896" i="1"/>
  <c r="AK1901" i="1" l="1"/>
  <c r="AN1900" i="1"/>
  <c r="AM1900" i="1"/>
  <c r="AL1897" i="1"/>
  <c r="AK1902" i="1" l="1"/>
  <c r="AN1901" i="1"/>
  <c r="AM1901" i="1"/>
  <c r="AL1898" i="1"/>
  <c r="AK1903" i="1" l="1"/>
  <c r="AN1902" i="1"/>
  <c r="AM1902" i="1"/>
  <c r="AL1899" i="1"/>
  <c r="AK1904" i="1" l="1"/>
  <c r="AM1903" i="1"/>
  <c r="AN1903" i="1"/>
  <c r="AL1900" i="1"/>
  <c r="AK1905" i="1" l="1"/>
  <c r="AN1904" i="1"/>
  <c r="AM1904" i="1"/>
  <c r="AL1901" i="1"/>
  <c r="AK1906" i="1" l="1"/>
  <c r="AM1905" i="1"/>
  <c r="AN1905" i="1"/>
  <c r="AL1902" i="1"/>
  <c r="AK1907" i="1" l="1"/>
  <c r="AN1906" i="1"/>
  <c r="AM1906" i="1"/>
  <c r="AL1903" i="1"/>
  <c r="AK1908" i="1" l="1"/>
  <c r="AM1907" i="1"/>
  <c r="AN1907" i="1"/>
  <c r="AL1904" i="1"/>
  <c r="AK1909" i="1" l="1"/>
  <c r="AN1908" i="1"/>
  <c r="AM1908" i="1"/>
  <c r="AL1905" i="1"/>
  <c r="AK1910" i="1" l="1"/>
  <c r="AN1909" i="1"/>
  <c r="AM1909" i="1"/>
  <c r="AL1906" i="1"/>
  <c r="AK1911" i="1" l="1"/>
  <c r="AN1910" i="1"/>
  <c r="AM1910" i="1"/>
  <c r="AL1907" i="1"/>
  <c r="AK1912" i="1" l="1"/>
  <c r="AN1911" i="1"/>
  <c r="AM1911" i="1"/>
  <c r="AL1908" i="1"/>
  <c r="AK1913" i="1" l="1"/>
  <c r="AN1912" i="1"/>
  <c r="AM1912" i="1"/>
  <c r="AL1909" i="1"/>
  <c r="AK1914" i="1" l="1"/>
  <c r="AN1913" i="1"/>
  <c r="AM1913" i="1"/>
  <c r="AL1910" i="1"/>
  <c r="AK1915" i="1" l="1"/>
  <c r="AN1914" i="1"/>
  <c r="AM1914" i="1"/>
  <c r="AL1911" i="1"/>
  <c r="AK1916" i="1" l="1"/>
  <c r="AN1915" i="1"/>
  <c r="AM1915" i="1"/>
  <c r="AL1912" i="1"/>
  <c r="AK1917" i="1" l="1"/>
  <c r="AN1916" i="1"/>
  <c r="AM1916" i="1"/>
  <c r="AL1913" i="1"/>
  <c r="AK1918" i="1" l="1"/>
  <c r="AM1917" i="1"/>
  <c r="AN1917" i="1"/>
  <c r="AL1914" i="1"/>
  <c r="AK1919" i="1" l="1"/>
  <c r="AN1918" i="1"/>
  <c r="AM1918" i="1"/>
  <c r="AL1915" i="1"/>
  <c r="AK1920" i="1" l="1"/>
  <c r="AM1919" i="1"/>
  <c r="AN1919" i="1"/>
  <c r="AL1916" i="1"/>
  <c r="AK1921" i="1" l="1"/>
  <c r="AN1920" i="1"/>
  <c r="AM1920" i="1"/>
  <c r="AL1917" i="1"/>
  <c r="AK1922" i="1" l="1"/>
  <c r="AN1921" i="1"/>
  <c r="AM1921" i="1"/>
  <c r="AL1918" i="1"/>
  <c r="AK1923" i="1" l="1"/>
  <c r="AN1922" i="1"/>
  <c r="AM1922" i="1"/>
  <c r="AL1919" i="1"/>
  <c r="AK1924" i="1" l="1"/>
  <c r="AN1923" i="1"/>
  <c r="AM1923" i="1"/>
  <c r="AL1920" i="1"/>
  <c r="AK1925" i="1" l="1"/>
  <c r="AM1924" i="1"/>
  <c r="AN1924" i="1"/>
  <c r="AL1921" i="1"/>
  <c r="AK1926" i="1" l="1"/>
  <c r="AN1925" i="1"/>
  <c r="AM1925" i="1"/>
  <c r="AL1922" i="1"/>
  <c r="AK1927" i="1" l="1"/>
  <c r="AN1926" i="1"/>
  <c r="AM1926" i="1"/>
  <c r="AL1923" i="1"/>
  <c r="AK1928" i="1" l="1"/>
  <c r="AN1927" i="1"/>
  <c r="AM1927" i="1"/>
  <c r="AL1924" i="1"/>
  <c r="AK1929" i="1" l="1"/>
  <c r="AN1928" i="1"/>
  <c r="AM1928" i="1"/>
  <c r="AL1925" i="1"/>
  <c r="AK1930" i="1" l="1"/>
  <c r="AN1929" i="1"/>
  <c r="AM1929" i="1"/>
  <c r="AL1926" i="1"/>
  <c r="AK1931" i="1" l="1"/>
  <c r="AN1930" i="1"/>
  <c r="AM1930" i="1"/>
  <c r="AL1927" i="1"/>
  <c r="AK1932" i="1" l="1"/>
  <c r="AN1931" i="1"/>
  <c r="AM1931" i="1"/>
  <c r="AL1928" i="1"/>
  <c r="AK1933" i="1" l="1"/>
  <c r="AN1932" i="1"/>
  <c r="AM1932" i="1"/>
  <c r="AL1929" i="1"/>
  <c r="AK1934" i="1" l="1"/>
  <c r="AN1933" i="1"/>
  <c r="AM1933" i="1"/>
  <c r="AL1930" i="1"/>
  <c r="AK1935" i="1" l="1"/>
  <c r="AN1934" i="1"/>
  <c r="AM1934" i="1"/>
  <c r="AL1931" i="1"/>
  <c r="AK1936" i="1" l="1"/>
  <c r="AN1935" i="1"/>
  <c r="AM1935" i="1"/>
  <c r="AL1932" i="1"/>
  <c r="AK1937" i="1" l="1"/>
  <c r="AN1936" i="1"/>
  <c r="AM1936" i="1"/>
  <c r="AL1933" i="1"/>
  <c r="AK1938" i="1" l="1"/>
  <c r="AM1937" i="1"/>
  <c r="AN1937" i="1"/>
  <c r="AL1934" i="1"/>
  <c r="AK1939" i="1" l="1"/>
  <c r="AN1938" i="1"/>
  <c r="AM1938" i="1"/>
  <c r="AL1935" i="1"/>
  <c r="AK1940" i="1" l="1"/>
  <c r="AM1939" i="1"/>
  <c r="AN1939" i="1"/>
  <c r="AL1936" i="1"/>
  <c r="AK1941" i="1" l="1"/>
  <c r="AN1940" i="1"/>
  <c r="AM1940" i="1"/>
  <c r="AL1937" i="1"/>
  <c r="AK1942" i="1" l="1"/>
  <c r="AN1941" i="1"/>
  <c r="AM1941" i="1"/>
  <c r="AL1938" i="1"/>
  <c r="AK1943" i="1" l="1"/>
  <c r="AM1942" i="1"/>
  <c r="AN1942" i="1"/>
  <c r="AL1939" i="1"/>
  <c r="AK1944" i="1" l="1"/>
  <c r="AM1943" i="1"/>
  <c r="AN1943" i="1"/>
  <c r="AL1940" i="1"/>
  <c r="AK1945" i="1" l="1"/>
  <c r="AN1944" i="1"/>
  <c r="AM1944" i="1"/>
  <c r="AL1941" i="1"/>
  <c r="AK1946" i="1" l="1"/>
  <c r="AM1945" i="1"/>
  <c r="AN1945" i="1"/>
  <c r="AL1942" i="1"/>
  <c r="AK1947" i="1" l="1"/>
  <c r="AM1946" i="1"/>
  <c r="AN1946" i="1"/>
  <c r="AL1943" i="1"/>
  <c r="AK1948" i="1" l="1"/>
  <c r="AM1947" i="1"/>
  <c r="AN1947" i="1"/>
  <c r="AL1944" i="1"/>
  <c r="AK1949" i="1" l="1"/>
  <c r="AM1948" i="1"/>
  <c r="AN1948" i="1"/>
  <c r="AL1945" i="1"/>
  <c r="AK1950" i="1" l="1"/>
  <c r="AN1949" i="1"/>
  <c r="AM1949" i="1"/>
  <c r="AL1946" i="1"/>
  <c r="AK1951" i="1" l="1"/>
  <c r="AN1950" i="1"/>
  <c r="AM1950" i="1"/>
  <c r="AL1947" i="1"/>
  <c r="AK1952" i="1" l="1"/>
  <c r="AN1951" i="1"/>
  <c r="AM1951" i="1"/>
  <c r="AL1948" i="1"/>
  <c r="AK1953" i="1" l="1"/>
  <c r="AN1952" i="1"/>
  <c r="AM1952" i="1"/>
  <c r="AL1949" i="1"/>
  <c r="AK1954" i="1" l="1"/>
  <c r="AN1953" i="1"/>
  <c r="AM1953" i="1"/>
  <c r="AL1950" i="1"/>
  <c r="AK1955" i="1" l="1"/>
  <c r="AM1954" i="1"/>
  <c r="AN1954" i="1"/>
  <c r="AL1951" i="1"/>
  <c r="AK1956" i="1" l="1"/>
  <c r="AN1955" i="1"/>
  <c r="AM1955" i="1"/>
  <c r="AL1952" i="1"/>
  <c r="AK1957" i="1" l="1"/>
  <c r="AM1956" i="1"/>
  <c r="AN1956" i="1"/>
  <c r="AL1953" i="1"/>
  <c r="AK1958" i="1" l="1"/>
  <c r="AN1957" i="1"/>
  <c r="AM1957" i="1"/>
  <c r="AL1954" i="1"/>
  <c r="AK1959" i="1" l="1"/>
  <c r="AN1958" i="1"/>
  <c r="AM1958" i="1"/>
  <c r="AL1955" i="1"/>
  <c r="AK1960" i="1" l="1"/>
  <c r="AN1959" i="1"/>
  <c r="AM1959" i="1"/>
  <c r="AL1956" i="1"/>
  <c r="AK1961" i="1" l="1"/>
  <c r="AN1960" i="1"/>
  <c r="AM1960" i="1"/>
  <c r="AL1957" i="1"/>
  <c r="AK1962" i="1" l="1"/>
  <c r="AM1961" i="1"/>
  <c r="AN1961" i="1"/>
  <c r="AL1958" i="1"/>
  <c r="AK1963" i="1" l="1"/>
  <c r="AN1962" i="1"/>
  <c r="AM1962" i="1"/>
  <c r="AL1959" i="1"/>
  <c r="AK1964" i="1" l="1"/>
  <c r="AN1963" i="1"/>
  <c r="AM1963" i="1"/>
  <c r="AL1960" i="1"/>
  <c r="AK1965" i="1" l="1"/>
  <c r="AN1964" i="1"/>
  <c r="AM1964" i="1"/>
  <c r="AL1961" i="1"/>
  <c r="AK1966" i="1" l="1"/>
  <c r="AN1965" i="1"/>
  <c r="AM1965" i="1"/>
  <c r="AL1962" i="1"/>
  <c r="AK1967" i="1" l="1"/>
  <c r="AN1966" i="1"/>
  <c r="AM1966" i="1"/>
  <c r="AL1963" i="1"/>
  <c r="AK1968" i="1" l="1"/>
  <c r="AN1967" i="1"/>
  <c r="AM1967" i="1"/>
  <c r="AL1964" i="1"/>
  <c r="AK1969" i="1" l="1"/>
  <c r="AM1968" i="1"/>
  <c r="AN1968" i="1"/>
  <c r="AL1965" i="1"/>
  <c r="AK1970" i="1" l="1"/>
  <c r="AN1969" i="1"/>
  <c r="AM1969" i="1"/>
  <c r="AL1966" i="1"/>
  <c r="AK1971" i="1" l="1"/>
  <c r="AN1970" i="1"/>
  <c r="AM1970" i="1"/>
  <c r="AL1967" i="1"/>
  <c r="AK1972" i="1" l="1"/>
  <c r="AN1971" i="1"/>
  <c r="AM1971" i="1"/>
  <c r="AL1968" i="1"/>
  <c r="AK1973" i="1" l="1"/>
  <c r="AN1972" i="1"/>
  <c r="AM1972" i="1"/>
  <c r="AL1969" i="1"/>
  <c r="AK1974" i="1" l="1"/>
  <c r="AN1973" i="1"/>
  <c r="AM1973" i="1"/>
  <c r="AL1970" i="1"/>
  <c r="AK1975" i="1" l="1"/>
  <c r="AM1974" i="1"/>
  <c r="AN1974" i="1"/>
  <c r="AL1971" i="1"/>
  <c r="AK1976" i="1" l="1"/>
  <c r="AM1975" i="1"/>
  <c r="AN1975" i="1"/>
  <c r="AL1972" i="1"/>
  <c r="AK1977" i="1" l="1"/>
  <c r="AN1976" i="1"/>
  <c r="AM1976" i="1"/>
  <c r="AL1973" i="1"/>
  <c r="AK1978" i="1" l="1"/>
  <c r="AN1977" i="1"/>
  <c r="AM1977" i="1"/>
  <c r="AL1974" i="1"/>
  <c r="AK1979" i="1" l="1"/>
  <c r="AN1978" i="1"/>
  <c r="AM1978" i="1"/>
  <c r="AL1975" i="1"/>
  <c r="AK1980" i="1" l="1"/>
  <c r="AN1979" i="1"/>
  <c r="AM1979" i="1"/>
  <c r="AL1976" i="1"/>
  <c r="AK1981" i="1" l="1"/>
  <c r="AN1980" i="1"/>
  <c r="AM1980" i="1"/>
  <c r="AL1977" i="1"/>
  <c r="AK1982" i="1" l="1"/>
  <c r="AN1981" i="1"/>
  <c r="AM1981" i="1"/>
  <c r="AL1978" i="1"/>
  <c r="AK1983" i="1" l="1"/>
  <c r="AM1982" i="1"/>
  <c r="AN1982" i="1"/>
  <c r="AL1979" i="1"/>
  <c r="AK1984" i="1" l="1"/>
  <c r="AN1983" i="1"/>
  <c r="AM1983" i="1"/>
  <c r="AL1980" i="1"/>
  <c r="AK1985" i="1" l="1"/>
  <c r="AM1984" i="1"/>
  <c r="AN1984" i="1"/>
  <c r="AL1981" i="1"/>
  <c r="AK1986" i="1" l="1"/>
  <c r="AN1985" i="1"/>
  <c r="AM1985" i="1"/>
  <c r="AL1982" i="1"/>
  <c r="AK1987" i="1" l="1"/>
  <c r="AN1986" i="1"/>
  <c r="AM1986" i="1"/>
  <c r="AL1983" i="1"/>
  <c r="AK1988" i="1" l="1"/>
  <c r="AM1987" i="1"/>
  <c r="AN1987" i="1"/>
  <c r="AL1984" i="1"/>
  <c r="AK1989" i="1" l="1"/>
  <c r="AN1988" i="1"/>
  <c r="AM1988" i="1"/>
  <c r="AL1985" i="1"/>
  <c r="AK1990" i="1" l="1"/>
  <c r="AN1989" i="1"/>
  <c r="AM1989" i="1"/>
  <c r="AL1986" i="1"/>
  <c r="AK1991" i="1" l="1"/>
  <c r="AM1990" i="1"/>
  <c r="AN1990" i="1"/>
  <c r="AL1987" i="1"/>
  <c r="AK1992" i="1" l="1"/>
  <c r="AN1991" i="1"/>
  <c r="AM1991" i="1"/>
  <c r="AL1988" i="1"/>
  <c r="AK1993" i="1" l="1"/>
  <c r="AM1992" i="1"/>
  <c r="AN1992" i="1"/>
  <c r="AL1989" i="1"/>
  <c r="AK1994" i="1" l="1"/>
  <c r="AN1993" i="1"/>
  <c r="AM1993" i="1"/>
  <c r="AL1990" i="1"/>
  <c r="AK1995" i="1" l="1"/>
  <c r="AN1994" i="1"/>
  <c r="AM1994" i="1"/>
  <c r="AL1991" i="1"/>
  <c r="AK1996" i="1" l="1"/>
  <c r="AN1995" i="1"/>
  <c r="AM1995" i="1"/>
  <c r="AL1992" i="1"/>
  <c r="AK1997" i="1" l="1"/>
  <c r="AN1996" i="1"/>
  <c r="AM1996" i="1"/>
  <c r="AL1993" i="1"/>
  <c r="AK1998" i="1" l="1"/>
  <c r="AN1997" i="1"/>
  <c r="AM1997" i="1"/>
  <c r="AL1994" i="1"/>
  <c r="AK1999" i="1" l="1"/>
  <c r="AM1998" i="1"/>
  <c r="AN1998" i="1"/>
  <c r="AL1995" i="1"/>
  <c r="AK2000" i="1" l="1"/>
  <c r="AM1999" i="1"/>
  <c r="AN1999" i="1"/>
  <c r="AL1996" i="1"/>
  <c r="AK2001" i="1" l="1"/>
  <c r="AN2000" i="1"/>
  <c r="AM2000" i="1"/>
  <c r="AL1997" i="1"/>
  <c r="AK2002" i="1" l="1"/>
  <c r="AN2001" i="1"/>
  <c r="AM2001" i="1"/>
  <c r="AL1998" i="1"/>
  <c r="AK2003" i="1" l="1"/>
  <c r="AN2002" i="1"/>
  <c r="AM2002" i="1"/>
  <c r="AL1999" i="1"/>
  <c r="AK2004" i="1" l="1"/>
  <c r="AN2003" i="1"/>
  <c r="AM2003" i="1"/>
  <c r="AL2000" i="1"/>
  <c r="AK2005" i="1" l="1"/>
  <c r="AN2004" i="1"/>
  <c r="AM2004" i="1"/>
  <c r="AL2001" i="1"/>
  <c r="AK2006" i="1" l="1"/>
  <c r="AN2005" i="1"/>
  <c r="AM2005" i="1"/>
  <c r="AL2002" i="1"/>
  <c r="AK2007" i="1" l="1"/>
  <c r="AN2006" i="1"/>
  <c r="AM2006" i="1"/>
  <c r="AL2003" i="1"/>
  <c r="AK2008" i="1" l="1"/>
  <c r="AN2007" i="1"/>
  <c r="AM2007" i="1"/>
  <c r="AL2004" i="1"/>
  <c r="AK2009" i="1" l="1"/>
  <c r="AN2008" i="1"/>
  <c r="AM2008" i="1"/>
  <c r="AL2005" i="1"/>
  <c r="AK2010" i="1" l="1"/>
  <c r="AN2009" i="1"/>
  <c r="AM2009" i="1"/>
  <c r="AL2006" i="1"/>
  <c r="AK2011" i="1" l="1"/>
  <c r="AN2010" i="1"/>
  <c r="AM2010" i="1"/>
  <c r="AL2007" i="1"/>
  <c r="AK2012" i="1" l="1"/>
  <c r="AN2011" i="1"/>
  <c r="AM2011" i="1"/>
  <c r="AL2008" i="1"/>
  <c r="AK2013" i="1" l="1"/>
  <c r="AM2012" i="1"/>
  <c r="AN2012" i="1"/>
  <c r="AL2009" i="1"/>
  <c r="AK2014" i="1" l="1"/>
  <c r="AM2013" i="1"/>
  <c r="AN2013" i="1"/>
  <c r="AL2010" i="1"/>
  <c r="AK2015" i="1" l="1"/>
  <c r="AN2014" i="1"/>
  <c r="AM2014" i="1"/>
  <c r="AL2011" i="1"/>
  <c r="AK2016" i="1" l="1"/>
  <c r="AM2015" i="1"/>
  <c r="AN2015" i="1"/>
  <c r="AL2012" i="1"/>
  <c r="AK2017" i="1" l="1"/>
  <c r="AM2016" i="1"/>
  <c r="AN2016" i="1"/>
  <c r="AL2013" i="1"/>
  <c r="AK2018" i="1" l="1"/>
  <c r="AM2017" i="1"/>
  <c r="AN2017" i="1"/>
  <c r="AL2014" i="1"/>
  <c r="AK2019" i="1" l="1"/>
  <c r="AM2018" i="1"/>
  <c r="AN2018" i="1"/>
  <c r="AL2015" i="1"/>
  <c r="AK2020" i="1" l="1"/>
  <c r="AN2019" i="1"/>
  <c r="AM2019" i="1"/>
  <c r="AL2016" i="1"/>
  <c r="AK2021" i="1" l="1"/>
  <c r="AN2020" i="1"/>
  <c r="AM2020" i="1"/>
  <c r="AL2017" i="1"/>
  <c r="AK2022" i="1" l="1"/>
  <c r="AM2021" i="1"/>
  <c r="AN2021" i="1"/>
  <c r="AL2018" i="1"/>
  <c r="AK2023" i="1" l="1"/>
  <c r="AN2022" i="1"/>
  <c r="AM2022" i="1"/>
  <c r="AL2019" i="1"/>
  <c r="AK2024" i="1" l="1"/>
  <c r="AN2023" i="1"/>
  <c r="AM2023" i="1"/>
  <c r="AL2020" i="1"/>
  <c r="AK2025" i="1" l="1"/>
  <c r="AN2024" i="1"/>
  <c r="AM2024" i="1"/>
  <c r="AL2021" i="1"/>
  <c r="AK2026" i="1" l="1"/>
  <c r="AN2025" i="1"/>
  <c r="AM2025" i="1"/>
  <c r="AL2022" i="1"/>
  <c r="AK2027" i="1" l="1"/>
  <c r="AN2026" i="1"/>
  <c r="AM2026" i="1"/>
  <c r="AL2023" i="1"/>
  <c r="AK2028" i="1" l="1"/>
  <c r="AM2027" i="1"/>
  <c r="AN2027" i="1"/>
  <c r="AL2024" i="1"/>
  <c r="AK2029" i="1" l="1"/>
  <c r="AN2028" i="1"/>
  <c r="AM2028" i="1"/>
  <c r="AL2025" i="1"/>
  <c r="AK2030" i="1" l="1"/>
  <c r="AM2029" i="1"/>
  <c r="AN2029" i="1"/>
  <c r="AL2026" i="1"/>
  <c r="AK2031" i="1" l="1"/>
  <c r="AN2030" i="1"/>
  <c r="AM2030" i="1"/>
  <c r="AL2027" i="1"/>
  <c r="AK2032" i="1" l="1"/>
  <c r="AM2031" i="1"/>
  <c r="AN2031" i="1"/>
  <c r="AL2028" i="1"/>
  <c r="AK2033" i="1" l="1"/>
  <c r="AM2032" i="1"/>
  <c r="AN2032" i="1"/>
  <c r="AL2029" i="1"/>
  <c r="AK2034" i="1" l="1"/>
  <c r="AM2033" i="1"/>
  <c r="AN2033" i="1"/>
  <c r="AL2030" i="1"/>
  <c r="AK2035" i="1" l="1"/>
  <c r="AM2034" i="1"/>
  <c r="AN2034" i="1"/>
  <c r="AL2031" i="1"/>
  <c r="AK2036" i="1" l="1"/>
  <c r="AM2035" i="1"/>
  <c r="AN2035" i="1"/>
  <c r="AL2032" i="1"/>
  <c r="AK2037" i="1" l="1"/>
  <c r="AN2036" i="1"/>
  <c r="AM2036" i="1"/>
  <c r="AL2033" i="1"/>
  <c r="AK2038" i="1" l="1"/>
  <c r="AN2037" i="1"/>
  <c r="AM2037" i="1"/>
  <c r="AL2034" i="1"/>
  <c r="AK2039" i="1" l="1"/>
  <c r="AN2038" i="1"/>
  <c r="AM2038" i="1"/>
  <c r="AL2035" i="1"/>
  <c r="AK2040" i="1" l="1"/>
  <c r="AN2039" i="1"/>
  <c r="AM2039" i="1"/>
  <c r="AL2036" i="1"/>
  <c r="AK2041" i="1" l="1"/>
  <c r="AN2040" i="1"/>
  <c r="AM2040" i="1"/>
  <c r="AL2037" i="1"/>
  <c r="AK2042" i="1" l="1"/>
  <c r="AN2041" i="1"/>
  <c r="AM2041" i="1"/>
  <c r="AL2038" i="1"/>
  <c r="AK2043" i="1" l="1"/>
  <c r="AN2042" i="1"/>
  <c r="AM2042" i="1"/>
  <c r="AL2039" i="1"/>
  <c r="AK2044" i="1" l="1"/>
  <c r="AN2043" i="1"/>
  <c r="AM2043" i="1"/>
  <c r="AL2040" i="1"/>
  <c r="AK2045" i="1" l="1"/>
  <c r="AM2044" i="1"/>
  <c r="AN2044" i="1"/>
  <c r="AL2041" i="1"/>
  <c r="AK2046" i="1" l="1"/>
  <c r="AM2045" i="1"/>
  <c r="AN2045" i="1"/>
  <c r="AL2042" i="1"/>
  <c r="AK2047" i="1" l="1"/>
  <c r="AM2046" i="1"/>
  <c r="AN2046" i="1"/>
  <c r="AL2043" i="1"/>
  <c r="AK2048" i="1" l="1"/>
  <c r="AN2047" i="1"/>
  <c r="AM2047" i="1"/>
  <c r="AL2044" i="1"/>
  <c r="AK2049" i="1" l="1"/>
  <c r="AN2048" i="1"/>
  <c r="AM2048" i="1"/>
  <c r="AL2045" i="1"/>
  <c r="AK2050" i="1" l="1"/>
  <c r="AN2049" i="1"/>
  <c r="AM2049" i="1"/>
  <c r="AL2046" i="1"/>
  <c r="AK2051" i="1" l="1"/>
  <c r="AN2050" i="1"/>
  <c r="AM2050" i="1"/>
  <c r="AL2047" i="1"/>
  <c r="AK2052" i="1" l="1"/>
  <c r="AN2051" i="1"/>
  <c r="AM2051" i="1"/>
  <c r="AL2048" i="1"/>
  <c r="AK2053" i="1" l="1"/>
  <c r="AN2052" i="1"/>
  <c r="AM2052" i="1"/>
  <c r="AL2049" i="1"/>
  <c r="AK2054" i="1" l="1"/>
  <c r="AN2053" i="1"/>
  <c r="AM2053" i="1"/>
  <c r="AL2050" i="1"/>
  <c r="AK2055" i="1" l="1"/>
  <c r="AM2054" i="1"/>
  <c r="AN2054" i="1"/>
  <c r="AL2051" i="1"/>
  <c r="AK2056" i="1" l="1"/>
  <c r="AM2055" i="1"/>
  <c r="AN2055" i="1"/>
  <c r="AL2052" i="1"/>
  <c r="AK2057" i="1" l="1"/>
  <c r="AN2056" i="1"/>
  <c r="AM2056" i="1"/>
  <c r="AL2053" i="1"/>
  <c r="AK2058" i="1" l="1"/>
  <c r="AN2057" i="1"/>
  <c r="AM2057" i="1"/>
  <c r="AL2054" i="1"/>
  <c r="AK2059" i="1" l="1"/>
  <c r="AM2058" i="1"/>
  <c r="AN2058" i="1"/>
  <c r="AL2055" i="1"/>
  <c r="AK2060" i="1" l="1"/>
  <c r="AN2059" i="1"/>
  <c r="AM2059" i="1"/>
  <c r="AL2056" i="1"/>
  <c r="AK2061" i="1" l="1"/>
  <c r="AN2060" i="1"/>
  <c r="AM2060" i="1"/>
  <c r="AL2057" i="1"/>
  <c r="AK2062" i="1" l="1"/>
  <c r="AM2061" i="1"/>
  <c r="AN2061" i="1"/>
  <c r="AL2058" i="1"/>
  <c r="AK2063" i="1" l="1"/>
  <c r="AM2062" i="1"/>
  <c r="AN2062" i="1"/>
  <c r="AL2059" i="1"/>
  <c r="AK2064" i="1" l="1"/>
  <c r="AN2063" i="1"/>
  <c r="AM2063" i="1"/>
  <c r="AL2060" i="1"/>
  <c r="AK2065" i="1" l="1"/>
  <c r="AN2064" i="1"/>
  <c r="AM2064" i="1"/>
  <c r="AL2061" i="1"/>
  <c r="AK2066" i="1" l="1"/>
  <c r="AN2065" i="1"/>
  <c r="AM2065" i="1"/>
  <c r="AL2062" i="1"/>
  <c r="AK2067" i="1" l="1"/>
  <c r="AN2066" i="1"/>
  <c r="AM2066" i="1"/>
  <c r="AL2063" i="1"/>
  <c r="AK2068" i="1" l="1"/>
  <c r="AN2067" i="1"/>
  <c r="AM2067" i="1"/>
  <c r="AL2064" i="1"/>
  <c r="AK2069" i="1" l="1"/>
  <c r="AM2068" i="1"/>
  <c r="AN2068" i="1"/>
  <c r="AL2065" i="1"/>
  <c r="AK2070" i="1" l="1"/>
  <c r="AN2069" i="1"/>
  <c r="AM2069" i="1"/>
  <c r="AL2066" i="1"/>
  <c r="AK2071" i="1" l="1"/>
  <c r="AN2070" i="1"/>
  <c r="AM2070" i="1"/>
  <c r="AL2067" i="1"/>
  <c r="AK2072" i="1" l="1"/>
  <c r="AN2071" i="1"/>
  <c r="AM2071" i="1"/>
  <c r="AL2068" i="1"/>
  <c r="AK2073" i="1" l="1"/>
  <c r="AM2072" i="1"/>
  <c r="AN2072" i="1"/>
  <c r="AL2069" i="1"/>
  <c r="AK2074" i="1" l="1"/>
  <c r="AM2073" i="1"/>
  <c r="AN2073" i="1"/>
  <c r="AL2070" i="1"/>
  <c r="AK2075" i="1" l="1"/>
  <c r="AN2074" i="1"/>
  <c r="AM2074" i="1"/>
  <c r="AL2071" i="1"/>
  <c r="AK2076" i="1" l="1"/>
  <c r="AM2075" i="1"/>
  <c r="AN2075" i="1"/>
  <c r="AL2072" i="1"/>
  <c r="AK2077" i="1" l="1"/>
  <c r="AN2076" i="1"/>
  <c r="AM2076" i="1"/>
  <c r="AL2073" i="1"/>
  <c r="AK2078" i="1" l="1"/>
  <c r="AN2077" i="1"/>
  <c r="AM2077" i="1"/>
  <c r="AL2074" i="1"/>
  <c r="AK2079" i="1" l="1"/>
  <c r="AN2078" i="1"/>
  <c r="AM2078" i="1"/>
  <c r="AL2075" i="1"/>
  <c r="AK2080" i="1" l="1"/>
  <c r="AN2079" i="1"/>
  <c r="AM2079" i="1"/>
  <c r="AL2076" i="1"/>
  <c r="AK2081" i="1" l="1"/>
  <c r="AM2080" i="1"/>
  <c r="AN2080" i="1"/>
  <c r="AL2077" i="1"/>
  <c r="AN2081" i="1" l="1"/>
  <c r="AM2081" i="1"/>
  <c r="AL2078" i="1"/>
  <c r="AL2079" i="1" l="1"/>
  <c r="AL2080" i="1" l="1"/>
  <c r="AL2081" i="1" l="1"/>
</calcChain>
</file>

<file path=xl/sharedStrings.xml><?xml version="1.0" encoding="utf-8"?>
<sst xmlns="http://schemas.openxmlformats.org/spreadsheetml/2006/main" count="72" uniqueCount="55">
  <si>
    <t>0st_vol</t>
  </si>
  <si>
    <t>0capacity</t>
  </si>
  <si>
    <t>0net_inf</t>
  </si>
  <si>
    <t>0st_rof</t>
  </si>
  <si>
    <t>0lt_rof</t>
  </si>
  <si>
    <t>0rest_demand</t>
  </si>
  <si>
    <t>0unrest_demand</t>
  </si>
  <si>
    <t>0unfulf_demand</t>
  </si>
  <si>
    <t>0wastewater</t>
  </si>
  <si>
    <t>0treat_capacity</t>
  </si>
  <si>
    <t>0cont_fund</t>
  </si>
  <si>
    <t>0ins_pout</t>
  </si>
  <si>
    <t>0ins_price</t>
  </si>
  <si>
    <t>0infra_npv</t>
  </si>
  <si>
    <t>0debt_serv</t>
  </si>
  <si>
    <t>0gross_rev</t>
  </si>
  <si>
    <t>0cont_contrib</t>
  </si>
  <si>
    <t>0drought_cost</t>
  </si>
  <si>
    <t>1st_vol</t>
  </si>
  <si>
    <t>1capacity</t>
  </si>
  <si>
    <t>1net_inf</t>
  </si>
  <si>
    <t>1st_rof</t>
  </si>
  <si>
    <t>1lt_rof</t>
  </si>
  <si>
    <t>1rest_demand</t>
  </si>
  <si>
    <t>1unrest_demand</t>
  </si>
  <si>
    <t>1unfulf_demand</t>
  </si>
  <si>
    <t>1wastewater</t>
  </si>
  <si>
    <t>1treat_capacity</t>
  </si>
  <si>
    <t>1cont_fund</t>
  </si>
  <si>
    <t>1ins_pout</t>
  </si>
  <si>
    <t>1ins_price</t>
  </si>
  <si>
    <t>1infra_npv</t>
  </si>
  <si>
    <t>1debt_serv</t>
  </si>
  <si>
    <t>1gross_rev</t>
  </si>
  <si>
    <t>1cont_contrib</t>
  </si>
  <si>
    <t>1drought_cost</t>
  </si>
  <si>
    <t>WeekNo</t>
  </si>
  <si>
    <t>Year</t>
  </si>
  <si>
    <t>Row Labels</t>
  </si>
  <si>
    <t>Grand Total</t>
  </si>
  <si>
    <t>Sum of 1cont_contrib</t>
  </si>
  <si>
    <t>Sum of 1gross_rev</t>
  </si>
  <si>
    <t>Sum of 1drought_cost</t>
  </si>
  <si>
    <t>Sum of 1debt_serv</t>
  </si>
  <si>
    <t>Sum of 1ins_price</t>
  </si>
  <si>
    <t>Sum of 0ins_price</t>
  </si>
  <si>
    <t>Sum of 0debt_serv</t>
  </si>
  <si>
    <t>Sum of 0gross_rev</t>
  </si>
  <si>
    <t>Sum of 0cont_contrib</t>
  </si>
  <si>
    <t>Descoberto</t>
  </si>
  <si>
    <t>Torto/Santa Maria</t>
  </si>
  <si>
    <t>Sum of 0drought_cost</t>
  </si>
  <si>
    <t>Sum of 0cont_fund</t>
  </si>
  <si>
    <t>Sum of 1cont_fund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</si>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</sst>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9" tint="0.79998168889431442"/>
        <bgColor theme="4" tint="0.79998168889431442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0" fontId="0" fillId="33" borderId="10" xfId="0" applyFill="1" applyBorder="1" applyAlignment="1">
      <alignment horizontal="center" vertical="center"/>
    </xf>
    <xf numFmtId="11" fontId="0" fillId="33" borderId="10" xfId="0" applyNumberFormat="1" applyFill="1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34" borderId="10" xfId="0" applyFont="1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35" borderId="11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34" borderId="12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34" borderId="15" xfId="0" applyFill="1" applyBorder="1" applyAlignment="1">
      <alignment horizontal="center" vertical="center"/>
    </xf>
    <xf numFmtId="0" fontId="18" fillId="34" borderId="13" xfId="0" applyFont="1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0" fillId="34" borderId="14" xfId="0" applyFill="1" applyBorder="1" applyAlignment="1">
      <alignment horizontal="center" vertical="center"/>
    </xf>
    <xf numFmtId="0" fontId="0" fillId="34" borderId="16" xfId="0" applyFill="1" applyBorder="1" applyAlignment="1">
      <alignment horizontal="center" vertical="center"/>
    </xf>
    <xf numFmtId="0" fontId="0" fillId="33" borderId="15" xfId="0" applyFill="1" applyBorder="1" applyAlignment="1">
      <alignment horizontal="center" vertical="center"/>
    </xf>
    <xf numFmtId="0" fontId="18" fillId="33" borderId="13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16" fillId="36" borderId="10" xfId="0" applyFont="1" applyFill="1" applyBorder="1" applyAlignment="1">
      <alignment horizontal="center" vertical="center"/>
    </xf>
    <xf numFmtId="0" fontId="16" fillId="36" borderId="16" xfId="0" applyFont="1" applyFill="1" applyBorder="1" applyAlignment="1">
      <alignment horizontal="center" vertical="center"/>
    </xf>
    <xf numFmtId="0" fontId="16" fillId="37" borderId="10" xfId="0" applyFont="1" applyFill="1" applyBorder="1" applyAlignment="1">
      <alignment horizontal="center" vertical="center"/>
    </xf>
    <xf numFmtId="11" fontId="0" fillId="34" borderId="10" xfId="0" applyNumberFormat="1" applyFill="1" applyBorder="1" applyAlignment="1">
      <alignment horizontal="center" vertical="center"/>
    </xf>
    <xf numFmtId="11" fontId="0" fillId="33" borderId="16" xfId="0" applyNumberFormat="1" applyFill="1" applyBorder="1" applyAlignment="1">
      <alignment horizontal="center"/>
    </xf>
    <xf numFmtId="11" fontId="0" fillId="34" borderId="10" xfId="0" applyNumberFormat="1" applyFill="1" applyBorder="1" applyAlignment="1">
      <alignment horizontal="center"/>
    </xf>
    <xf numFmtId="11" fontId="0" fillId="34" borderId="12" xfId="0" applyNumberFormat="1" applyFill="1" applyBorder="1" applyAlignment="1">
      <alignment horizontal="center"/>
    </xf>
    <xf numFmtId="0" fontId="0" fillId="0" borderId="0" xfId="0" applyFill="1" applyAlignment="1">
      <alignment horizontal="center" vertical="center"/>
    </xf>
    <xf numFmtId="0" fontId="16" fillId="0" borderId="10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16" fillId="0" borderId="14" xfId="0" applyFont="1" applyFill="1" applyBorder="1" applyAlignment="1">
      <alignment horizontal="center" vertical="center"/>
    </xf>
    <xf numFmtId="0" fontId="16" fillId="0" borderId="17" xfId="0" applyFont="1" applyFill="1" applyBorder="1" applyAlignment="1">
      <alignment horizontal="center" vertical="center"/>
    </xf>
    <xf numFmtId="11" fontId="18" fillId="33" borderId="13" xfId="0" applyNumberFormat="1" applyFont="1" applyFill="1" applyBorder="1" applyAlignment="1">
      <alignment horizontal="center"/>
    </xf>
    <xf numFmtId="11" fontId="18" fillId="34" borderId="13" xfId="0" applyNumberFormat="1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ed, A.A.A. (Aseel)" refreshedDate="45994.398429629633" createdVersion="8" refreshedVersion="8" minRefreshableVersion="3" recordCount="2080" xr:uid="{00000000-000A-0000-FFFF-FFFF10000000}">
  <cacheSource type="worksheet">
    <worksheetSource ref="A1:AL2081" sheet="Utilities_s0_r0"/>
  </cacheSource>
  <cacheFields count="40">
    <cacheField name="0st_vol" numFmtId="0">
      <sharedItems containsSemiMixedTypes="0" containsString="0" containsNumber="1" minValue="17.468699999999998" maxValue="85.138999999999996"/>
    </cacheField>
    <cacheField name="0capacity" numFmtId="0">
      <sharedItems containsSemiMixedTypes="0" containsString="0" containsNumber="1" minValue="72.290000000000006" maxValue="85.138999999999996"/>
    </cacheField>
    <cacheField name="0net_inf" numFmtId="0">
      <sharedItems containsSemiMixedTypes="0" containsString="0" containsNumber="1" minValue="0.50108699999999995" maxValue="18.153400000000001"/>
    </cacheField>
    <cacheField name="0st_rof" numFmtId="0">
      <sharedItems containsSemiMixedTypes="0" containsString="0" containsNumber="1" minValue="0" maxValue="0.54"/>
    </cacheField>
    <cacheField name="0lt_rof" numFmtId="0">
      <sharedItems containsSemiMixedTypes="0" containsString="0" containsNumber="1" minValue="0" maxValue="1"/>
    </cacheField>
    <cacheField name="0rest_demand" numFmtId="0">
      <sharedItems containsSemiMixedTypes="0" containsString="0" containsNumber="1" minValue="2.07009" maxValue="3.4672200000000002"/>
    </cacheField>
    <cacheField name="0unrest_demand" numFmtId="0">
      <sharedItems containsSemiMixedTypes="0" containsString="0" containsNumber="1" minValue="2.3718900000000001" maxValue="3.4693299999999998"/>
    </cacheField>
    <cacheField name="0unfulf_demand" numFmtId="0">
      <sharedItems containsSemiMixedTypes="0" containsString="0" containsNumber="1" containsInteger="1" minValue="0" maxValue="0"/>
    </cacheField>
    <cacheField name="0wastewater" numFmtId="0">
      <sharedItems containsSemiMixedTypes="0" containsString="0" containsNumber="1" minValue="0" maxValue="0.64975700000000003"/>
    </cacheField>
    <cacheField name="0treat_capacity" numFmtId="0">
      <sharedItems containsSemiMixedTypes="0" containsString="0" containsNumber="1" minValue="3.6288" maxValue="5.3222399999999999"/>
    </cacheField>
    <cacheField name="0cont_fund" numFmtId="0">
      <sharedItems containsSemiMixedTypes="0" containsString="0" containsNumber="1" minValue="0" maxValue="231391000"/>
    </cacheField>
    <cacheField name="0ins_pout" numFmtId="0">
      <sharedItems containsSemiMixedTypes="0" containsString="0" containsNumber="1" containsInteger="1" minValue="0" maxValue="0"/>
    </cacheField>
    <cacheField name="0ins_price" numFmtId="0">
      <sharedItems containsSemiMixedTypes="0" containsString="0" containsNumber="1" containsInteger="1" minValue="0" maxValue="0"/>
    </cacheField>
    <cacheField name="0infra_npv" numFmtId="0">
      <sharedItems containsSemiMixedTypes="0" containsString="0" containsNumber="1" containsInteger="1" minValue="0" maxValue="206348000"/>
    </cacheField>
    <cacheField name="0debt_serv" numFmtId="0">
      <sharedItems containsSemiMixedTypes="0" containsString="0" containsNumber="1" containsInteger="1" minValue="0" maxValue="29016000"/>
    </cacheField>
    <cacheField name="0gross_rev" numFmtId="11">
      <sharedItems containsSemiMixedTypes="0" containsString="0" containsNumber="1" containsInteger="1" minValue="3094730" maxValue="5183410"/>
    </cacheField>
    <cacheField name="0cont_contrib" numFmtId="0">
      <sharedItems containsSemiMixedTypes="0" containsString="0" containsNumber="1" minValue="-164642" maxValue="1026660"/>
    </cacheField>
    <cacheField name="0drought_cost" numFmtId="0">
      <sharedItems containsSemiMixedTypes="0" containsString="0" containsNumber="1" minValue="0" maxValue="408539"/>
    </cacheField>
    <cacheField name="1st_vol" numFmtId="0">
      <sharedItems containsSemiMixedTypes="0" containsString="0" containsNumber="1" minValue="81.658000000000001" maxValue="99.302199999999999"/>
    </cacheField>
    <cacheField name="1capacity" numFmtId="0">
      <sharedItems containsSemiMixedTypes="0" containsString="0" containsNumber="1" minValue="98.274000000000001" maxValue="98.274000000000001"/>
    </cacheField>
    <cacheField name="1net_inf" numFmtId="0">
      <sharedItems containsSemiMixedTypes="0" containsString="0" containsNumber="1" minValue="0.79110199999999997" maxValue="24.535"/>
    </cacheField>
    <cacheField name="1st_rof" numFmtId="0">
      <sharedItems containsSemiMixedTypes="0" containsString="0" containsNumber="1" containsInteger="1" minValue="0" maxValue="0"/>
    </cacheField>
    <cacheField name="1lt_rof" numFmtId="0">
      <sharedItems containsSemiMixedTypes="0" containsString="0" containsNumber="1" containsInteger="1" minValue="0" maxValue="1"/>
    </cacheField>
    <cacheField name="1rest_demand" numFmtId="0">
      <sharedItems containsSemiMixedTypes="0" containsString="0" containsNumber="1" minValue="1.4765200000000001" maxValue="2.4517699999999998"/>
    </cacheField>
    <cacheField name="1unrest_demand" numFmtId="0">
      <sharedItems containsSemiMixedTypes="0" containsString="0" containsNumber="1" minValue="1.3777999999999999" maxValue="2.1493699999999998"/>
    </cacheField>
    <cacheField name="1unfulf_demand" numFmtId="0">
      <sharedItems containsSemiMixedTypes="0" containsString="0" containsNumber="1" containsInteger="1" minValue="0" maxValue="0"/>
    </cacheField>
    <cacheField name="1wastewater" numFmtId="0">
      <sharedItems containsSemiMixedTypes="0" containsString="0" containsNumber="1" minValue="0" maxValue="1.8942399999999999"/>
    </cacheField>
    <cacheField name="1treat_capacity" numFmtId="0">
      <sharedItems containsSemiMixedTypes="0" containsString="0" containsNumber="1" minValue="2.1168" maxValue="3.3868800000000001"/>
    </cacheField>
    <cacheField name="1cont_fund" numFmtId="0">
      <sharedItems containsSemiMixedTypes="0" containsString="0" containsNumber="1" containsInteger="1" minValue="903199" maxValue="1102560000"/>
    </cacheField>
    <cacheField name="1ins_pout" numFmtId="0">
      <sharedItems containsSemiMixedTypes="0" containsString="0" containsNumber="1" containsInteger="1" minValue="0" maxValue="0"/>
    </cacheField>
    <cacheField name="1ins_price" numFmtId="0">
      <sharedItems containsSemiMixedTypes="0" containsString="0" containsNumber="1" containsInteger="1" minValue="0" maxValue="0"/>
    </cacheField>
    <cacheField name="1infra_npv" numFmtId="0">
      <sharedItems containsSemiMixedTypes="0" containsString="0" containsNumber="1" containsInteger="1" minValue="0" maxValue="56061500"/>
    </cacheField>
    <cacheField name="1debt_serv" numFmtId="0">
      <sharedItems containsSemiMixedTypes="0" containsString="0" containsNumber="1" containsInteger="1" minValue="0" maxValue="7883220"/>
    </cacheField>
    <cacheField name="1gross_rev" numFmtId="11">
      <sharedItems containsSemiMixedTypes="0" containsString="0" containsNumber="1" containsInteger="1" minValue="3820120" maxValue="6343320"/>
    </cacheField>
    <cacheField name="1cont_contrib" numFmtId="0">
      <sharedItems containsSemiMixedTypes="0" containsString="0" containsNumber="1" containsInteger="1" minValue="125031" maxValue="963646"/>
    </cacheField>
    <cacheField name="1drought_cost" numFmtId="0">
      <sharedItems containsSemiMixedTypes="0" containsString="0" containsNumber="1" containsInteger="1" minValue="0" maxValue="0"/>
    </cacheField>
    <cacheField name="WeekNo" numFmtId="0">
      <sharedItems containsSemiMixedTypes="0" containsString="0" containsNumber="1" containsInteger="1" minValue="1" maxValue="52"/>
    </cacheField>
    <cacheField name="Year" numFmtId="0">
      <sharedItems containsSemiMixedTypes="0" containsString="0" containsNumber="1" containsInteger="1" minValue="0" maxValue="39" count="40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</sharedItems>
    </cacheField>
    <cacheField name="1year_cost" numFmtId="11">
      <sharedItems containsSemiMixedTypes="0" containsString="0" containsNumber="1" minValue="3.6533044264873672E-14" maxValue="0.10333579424055712"/>
    </cacheField>
    <cacheField name="0year_cost" numFmtId="11">
      <sharedItems containsSemiMixedTypes="0" containsString="0" containsNumber="1" minValue="-2.6600381939619933E-2" maxValue="0.117319880489734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80">
  <r>
    <n v="71.586200000000005"/>
    <n v="72.290000000000006"/>
    <n v="2.1292900000000001"/>
    <n v="0.05"/>
    <n v="1"/>
    <n v="2.16737"/>
    <n v="2.46977"/>
    <n v="0"/>
    <n v="0"/>
    <n v="3.6288"/>
    <n v="0"/>
    <n v="0"/>
    <n v="0"/>
    <n v="0"/>
    <n v="0"/>
    <n v="3240170"/>
    <n v="-154641"/>
    <n v="408539"/>
    <n v="99.302199999999999"/>
    <n v="98.274000000000001"/>
    <n v="2.6552600000000002"/>
    <n v="0"/>
    <n v="1"/>
    <n v="1.73502"/>
    <n v="1.43262"/>
    <n v="0"/>
    <n v="0"/>
    <n v="2.1168"/>
    <n v="903199"/>
    <n v="0"/>
    <n v="0"/>
    <n v="0"/>
    <n v="0"/>
    <n v="4488900"/>
    <n v="903199"/>
    <n v="0"/>
    <n v="1"/>
    <x v="0"/>
    <n v="0.10060359999108913"/>
    <n v="-2.3863099775629056E-2"/>
  </r>
  <r>
    <n v="72.290000000000006"/>
    <n v="72.290000000000006"/>
    <n v="6.00352"/>
    <n v="7.0000000000000007E-2"/>
    <n v="1"/>
    <n v="2.1887400000000001"/>
    <n v="2.4704000000000002"/>
    <n v="0"/>
    <n v="0.40616600000000003"/>
    <n v="3.6288"/>
    <n v="0"/>
    <n v="0"/>
    <n v="0"/>
    <n v="0"/>
    <n v="0"/>
    <n v="3272100"/>
    <n v="-126562"/>
    <n v="380524"/>
    <n v="99.302199999999999"/>
    <n v="98.274000000000001"/>
    <n v="4.1706300000000001"/>
    <n v="0"/>
    <n v="1"/>
    <n v="1.7146399999999999"/>
    <n v="1.4329799999999999"/>
    <n v="0"/>
    <n v="1.3404700000000001"/>
    <n v="2.1168"/>
    <n v="1752780"/>
    <n v="0"/>
    <n v="0"/>
    <n v="0"/>
    <n v="0"/>
    <n v="4436190"/>
    <n v="849579"/>
    <n v="0"/>
    <n v="2"/>
    <x v="0"/>
    <n v="9.5755479364048879E-2"/>
    <n v="-1.9339567861617921E-2"/>
  </r>
  <r>
    <n v="72.290000000000006"/>
    <n v="72.290000000000006"/>
    <n v="14.325100000000001"/>
    <n v="0.05"/>
    <n v="1"/>
    <n v="2.18973"/>
    <n v="2.4710299999999998"/>
    <n v="0"/>
    <n v="0.41016900000000001"/>
    <n v="3.6288"/>
    <n v="0"/>
    <n v="0"/>
    <n v="0"/>
    <n v="0"/>
    <n v="0"/>
    <n v="3273590"/>
    <n v="-126006"/>
    <n v="380032"/>
    <n v="99.302199999999999"/>
    <n v="98.274000000000001"/>
    <n v="7.3181399999999996"/>
    <n v="0"/>
    <n v="1"/>
    <n v="1.7146399999999999"/>
    <n v="1.4333400000000001"/>
    <n v="0"/>
    <n v="1.32473"/>
    <n v="2.1168"/>
    <n v="2601450"/>
    <n v="0"/>
    <n v="0"/>
    <n v="0"/>
    <n v="0"/>
    <n v="4436190"/>
    <n v="848669"/>
    <n v="0"/>
    <n v="3"/>
    <x v="0"/>
    <n v="9.5652913874293033E-2"/>
    <n v="-1.924584324854365E-2"/>
  </r>
  <r>
    <n v="72.290000000000006"/>
    <n v="72.290000000000006"/>
    <n v="6.3771699999999996"/>
    <n v="0.05"/>
    <n v="1"/>
    <n v="2.1907199999999998"/>
    <n v="2.4716499999999999"/>
    <n v="0"/>
    <n v="0.41035500000000003"/>
    <n v="3.6288"/>
    <n v="0"/>
    <n v="0"/>
    <n v="0"/>
    <n v="0"/>
    <n v="0"/>
    <n v="3275070"/>
    <n v="-125450"/>
    <n v="379541"/>
    <n v="99.302199999999999"/>
    <n v="98.274000000000001"/>
    <n v="4.6779999999999999"/>
    <n v="0"/>
    <n v="1"/>
    <n v="1.7146399999999999"/>
    <n v="1.43371"/>
    <n v="0"/>
    <n v="1.32473"/>
    <n v="2.1168"/>
    <n v="3449210"/>
    <n v="0"/>
    <n v="0"/>
    <n v="0"/>
    <n v="0"/>
    <n v="4436190"/>
    <n v="847759"/>
    <n v="0"/>
    <n v="4"/>
    <x v="0"/>
    <n v="9.5550348384537187E-2"/>
    <n v="-1.9152262394391571E-2"/>
  </r>
  <r>
    <n v="72.290000000000006"/>
    <n v="72.290000000000006"/>
    <n v="5.1424200000000004"/>
    <n v="0.05"/>
    <n v="1"/>
    <n v="2.4328500000000002"/>
    <n v="2.7134200000000002"/>
    <n v="0"/>
    <n v="0.41054099999999999"/>
    <n v="3.6288"/>
    <n v="0"/>
    <n v="0"/>
    <n v="0"/>
    <n v="0"/>
    <n v="0"/>
    <n v="3637050"/>
    <n v="-100104"/>
    <n v="379049"/>
    <n v="99.302199999999999"/>
    <n v="98.274000000000001"/>
    <n v="3.83765"/>
    <n v="0"/>
    <n v="1"/>
    <n v="1.8832599999999999"/>
    <n v="1.6026899999999999"/>
    <n v="0"/>
    <n v="1.32473"/>
    <n v="2.1168"/>
    <n v="4310270"/>
    <n v="0"/>
    <n v="0"/>
    <n v="0"/>
    <n v="0"/>
    <n v="4872440"/>
    <n v="861068"/>
    <n v="0"/>
    <n v="5"/>
    <x v="0"/>
    <n v="8.8361067555475292E-2"/>
    <n v="-1.3761702478657153E-2"/>
  </r>
  <r>
    <n v="72.290000000000006"/>
    <n v="72.290000000000006"/>
    <n v="7.3306899999999997"/>
    <n v="0.05"/>
    <n v="1"/>
    <n v="2.6025200000000002"/>
    <n v="2.7141099999999998"/>
    <n v="0"/>
    <n v="0.45591599999999999"/>
    <n v="3.6288"/>
    <n v="128257"/>
    <n v="0"/>
    <n v="0"/>
    <n v="0"/>
    <n v="0"/>
    <n v="3890700"/>
    <n v="128257"/>
    <n v="150759"/>
    <n v="99.302199999999999"/>
    <n v="98.274000000000001"/>
    <n v="5.40191"/>
    <n v="0"/>
    <n v="1"/>
    <n v="1.71469"/>
    <n v="1.6030899999999999"/>
    <n v="0"/>
    <n v="1.4550099999999999"/>
    <n v="2.1168"/>
    <n v="4734180"/>
    <n v="0"/>
    <n v="0"/>
    <n v="0"/>
    <n v="0"/>
    <n v="4436300"/>
    <n v="423910"/>
    <n v="0"/>
    <n v="6"/>
    <x v="0"/>
    <n v="4.77774271352253E-2"/>
    <n v="1.6482509574112628E-2"/>
  </r>
  <r>
    <n v="72.290000000000006"/>
    <n v="72.290000000000006"/>
    <n v="6.92638"/>
    <n v="0.05"/>
    <n v="1"/>
    <n v="2.6036100000000002"/>
    <n v="2.7147999999999999"/>
    <n v="0"/>
    <n v="0.48771199999999998"/>
    <n v="3.6288"/>
    <n v="257134"/>
    <n v="0"/>
    <n v="0"/>
    <n v="0"/>
    <n v="0"/>
    <n v="3892340"/>
    <n v="128877"/>
    <n v="150210"/>
    <n v="99.302199999999999"/>
    <n v="98.274000000000001"/>
    <n v="4.3779300000000001"/>
    <n v="0"/>
    <n v="1"/>
    <n v="1.71469"/>
    <n v="1.6034999999999999"/>
    <n v="0"/>
    <n v="1.32477"/>
    <n v="2.1168"/>
    <n v="5157080"/>
    <n v="0"/>
    <n v="0"/>
    <n v="0"/>
    <n v="0"/>
    <n v="4436300"/>
    <n v="422892"/>
    <n v="0"/>
    <n v="7"/>
    <x v="0"/>
    <n v="4.766269188287537E-2"/>
    <n v="1.65552084350288E-2"/>
  </r>
  <r>
    <n v="72.290000000000006"/>
    <n v="72.290000000000006"/>
    <n v="11.178900000000001"/>
    <n v="0.05"/>
    <n v="1"/>
    <n v="2.6047099999999999"/>
    <n v="2.71549"/>
    <n v="0"/>
    <n v="0.48791699999999999"/>
    <n v="3.6288"/>
    <n v="386632"/>
    <n v="0"/>
    <n v="0"/>
    <n v="0"/>
    <n v="0"/>
    <n v="3893980"/>
    <n v="129498"/>
    <n v="149660"/>
    <n v="99.302199999999999"/>
    <n v="98.274000000000001"/>
    <n v="4.8376599999999996"/>
    <n v="0"/>
    <n v="1"/>
    <n v="1.71469"/>
    <n v="1.6039099999999999"/>
    <n v="0"/>
    <n v="1.32477"/>
    <n v="2.1168"/>
    <n v="5578950"/>
    <n v="0"/>
    <n v="0"/>
    <n v="0"/>
    <n v="0"/>
    <n v="4436300"/>
    <n v="421873"/>
    <n v="0"/>
    <n v="8"/>
    <x v="0"/>
    <n v="4.754784392399071E-2"/>
    <n v="1.6627974463145675E-2"/>
  </r>
  <r>
    <n v="72.290000000000006"/>
    <n v="72.290000000000006"/>
    <n v="7.1620299999999997"/>
    <n v="0.05"/>
    <n v="1"/>
    <n v="2.2615099999999999"/>
    <n v="2.3718900000000001"/>
    <n v="0"/>
    <n v="0.48812299999999997"/>
    <n v="3.6288"/>
    <n v="481356"/>
    <n v="0"/>
    <n v="0"/>
    <n v="0"/>
    <n v="0"/>
    <n v="3380910"/>
    <n v="94724.4"/>
    <n v="149110"/>
    <n v="99.302199999999999"/>
    <n v="98.274000000000001"/>
    <n v="8.0455500000000004"/>
    <n v="0"/>
    <n v="1"/>
    <n v="1.48817"/>
    <n v="1.3777999999999999"/>
    <n v="0"/>
    <n v="1.32477"/>
    <n v="2.1168"/>
    <n v="5980700"/>
    <n v="0"/>
    <n v="0"/>
    <n v="0"/>
    <n v="0"/>
    <n v="3850260"/>
    <n v="401752"/>
    <n v="0"/>
    <n v="9"/>
    <x v="0"/>
    <n v="5.217206110756157E-2"/>
    <n v="1.4008713630353957E-2"/>
  </r>
  <r>
    <n v="72.290000000000006"/>
    <n v="72.290000000000006"/>
    <n v="7.1474700000000002"/>
    <n v="0.05"/>
    <n v="1"/>
    <n v="2.07009"/>
    <n v="2.37249"/>
    <n v="0"/>
    <n v="0.42380800000000002"/>
    <n v="3.6288"/>
    <n v="316714"/>
    <n v="0"/>
    <n v="0"/>
    <n v="0"/>
    <n v="0"/>
    <n v="3094730"/>
    <n v="-164642"/>
    <n v="408539"/>
    <n v="99.302199999999999"/>
    <n v="98.274000000000001"/>
    <n v="7.6155400000000002"/>
    <n v="0"/>
    <n v="1"/>
    <n v="1.68055"/>
    <n v="1.37815"/>
    <n v="0"/>
    <n v="1.1497599999999999"/>
    <n v="2.1168"/>
    <n v="6879310"/>
    <n v="0"/>
    <n v="0"/>
    <n v="0"/>
    <n v="0"/>
    <n v="4347990"/>
    <n v="898606"/>
    <n v="0"/>
    <n v="10"/>
    <x v="0"/>
    <n v="0.10333579424055712"/>
    <n v="-2.6600381939619933E-2"/>
  </r>
  <r>
    <n v="72.290000000000006"/>
    <n v="72.290000000000006"/>
    <n v="5.6828000000000003"/>
    <n v="0.05"/>
    <n v="1"/>
    <n v="2.0706899999999999"/>
    <n v="2.3730899999999999"/>
    <n v="0"/>
    <n v="0.387934"/>
    <n v="3.6288"/>
    <n v="152133"/>
    <n v="0"/>
    <n v="0"/>
    <n v="0"/>
    <n v="0"/>
    <n v="3095630"/>
    <n v="-164580"/>
    <n v="408539"/>
    <n v="99.302199999999999"/>
    <n v="98.274000000000001"/>
    <n v="5.4377399999999998"/>
    <n v="0"/>
    <n v="1"/>
    <n v="1.6809000000000001"/>
    <n v="1.3785000000000001"/>
    <n v="0"/>
    <n v="1.2983899999999999"/>
    <n v="2.1168"/>
    <n v="7777940"/>
    <n v="0"/>
    <n v="0"/>
    <n v="0"/>
    <n v="0"/>
    <n v="4348890"/>
    <n v="898635"/>
    <n v="0"/>
    <n v="11"/>
    <x v="0"/>
    <n v="0.10331774314825162"/>
    <n v="-2.6582634229542938E-2"/>
  </r>
  <r>
    <n v="72.290000000000006"/>
    <n v="72.290000000000006"/>
    <n v="3.8504"/>
    <n v="0.05"/>
    <n v="1"/>
    <n v="2.0712899999999999"/>
    <n v="2.3736899999999999"/>
    <n v="0"/>
    <n v="0.38804699999999998"/>
    <n v="3.6288"/>
    <n v="0"/>
    <n v="0"/>
    <n v="0"/>
    <n v="0"/>
    <n v="0"/>
    <n v="3096530"/>
    <n v="-164518"/>
    <n v="408539"/>
    <n v="99.302199999999999"/>
    <n v="98.274000000000001"/>
    <n v="4.3604000000000003"/>
    <n v="0"/>
    <n v="1"/>
    <n v="1.6812499999999999"/>
    <n v="1.3788499999999999"/>
    <n v="0"/>
    <n v="1.2986599999999999"/>
    <n v="2.1168"/>
    <n v="8676610"/>
    <n v="0"/>
    <n v="0"/>
    <n v="0"/>
    <n v="0"/>
    <n v="4349800"/>
    <n v="898665"/>
    <n v="0"/>
    <n v="12"/>
    <x v="0"/>
    <n v="0.10329957699204562"/>
    <n v="-2.6564896836135932E-2"/>
  </r>
  <r>
    <n v="72.290000000000006"/>
    <n v="72.290000000000006"/>
    <n v="5.3824199999999998"/>
    <n v="0.05"/>
    <n v="1"/>
    <n v="2.0718899999999998"/>
    <n v="2.3742899999999998"/>
    <n v="0"/>
    <n v="0.38816000000000001"/>
    <n v="3.6288"/>
    <n v="0"/>
    <n v="0"/>
    <n v="0"/>
    <n v="0"/>
    <n v="0"/>
    <n v="3097430"/>
    <n v="-164456"/>
    <n v="408539"/>
    <n v="99.302199999999999"/>
    <n v="98.274000000000001"/>
    <n v="5.0574500000000002"/>
    <n v="0"/>
    <n v="1"/>
    <n v="1.6816"/>
    <n v="1.3792"/>
    <n v="0"/>
    <n v="1.2989299999999999"/>
    <n v="2.1168"/>
    <n v="9575300"/>
    <n v="0"/>
    <n v="0"/>
    <n v="0"/>
    <n v="0"/>
    <n v="4350700"/>
    <n v="898694"/>
    <n v="0"/>
    <n v="13"/>
    <x v="0"/>
    <n v="0.10328154090146413"/>
    <n v="-2.6547169750405983E-2"/>
  </r>
  <r>
    <n v="72.290000000000006"/>
    <n v="72.290000000000006"/>
    <n v="6.6389199999999997"/>
    <n v="0.05"/>
    <n v="1"/>
    <n v="2.1592699999999998"/>
    <n v="2.4616699999999998"/>
    <n v="0"/>
    <n v="0.38827299999999998"/>
    <n v="3.6288"/>
    <n v="0"/>
    <n v="0"/>
    <n v="0"/>
    <n v="0"/>
    <n v="0"/>
    <n v="3228050"/>
    <n v="-155474"/>
    <n v="408539"/>
    <n v="99.302199999999999"/>
    <n v="98.274000000000001"/>
    <n v="4.9381899999999996"/>
    <n v="0"/>
    <n v="1"/>
    <n v="1.7374400000000001"/>
    <n v="1.4350400000000001"/>
    <n v="0"/>
    <n v="1.2991999999999999"/>
    <n v="2.1168"/>
    <n v="10478700"/>
    <n v="0"/>
    <n v="0"/>
    <n v="0"/>
    <n v="0"/>
    <n v="4495160"/>
    <n v="903403"/>
    <n v="0"/>
    <n v="14"/>
    <x v="0"/>
    <n v="0.10048618959058186"/>
    <n v="-2.4081721162931183E-2"/>
  </r>
  <r>
    <n v="72.290000000000006"/>
    <n v="72.290000000000006"/>
    <n v="4.61043"/>
    <n v="0.05"/>
    <n v="1"/>
    <n v="2.1830500000000002"/>
    <n v="2.4622999999999999"/>
    <n v="0"/>
    <n v="0.40464699999999998"/>
    <n v="3.6288"/>
    <n v="0"/>
    <n v="0"/>
    <n v="0"/>
    <n v="0"/>
    <n v="0"/>
    <n v="3263610"/>
    <n v="-124128"/>
    <n v="377256"/>
    <n v="99.302199999999999"/>
    <n v="98.274000000000001"/>
    <n v="4.4763500000000001"/>
    <n v="0"/>
    <n v="1"/>
    <n v="1.7146399999999999"/>
    <n v="1.4354"/>
    <n v="0"/>
    <n v="1.3423400000000001"/>
    <n v="2.1168"/>
    <n v="11322200"/>
    <n v="0"/>
    <n v="0"/>
    <n v="0"/>
    <n v="0"/>
    <n v="4436190"/>
    <n v="843526"/>
    <n v="0"/>
    <n v="15"/>
    <x v="0"/>
    <n v="9.5073249793178383E-2"/>
    <n v="-1.9016978131578221E-2"/>
  </r>
  <r>
    <n v="72.290000000000006"/>
    <n v="72.290000000000006"/>
    <n v="3.60188"/>
    <n v="0.05"/>
    <n v="1"/>
    <n v="2.18404"/>
    <n v="2.46292"/>
    <n v="0"/>
    <n v="0.40910400000000002"/>
    <n v="3.6288"/>
    <n v="0"/>
    <n v="0"/>
    <n v="0"/>
    <n v="0"/>
    <n v="0"/>
    <n v="3265080"/>
    <n v="-123571"/>
    <n v="376764"/>
    <n v="99.302199999999999"/>
    <n v="98.274000000000001"/>
    <n v="3.5867"/>
    <n v="0"/>
    <n v="1"/>
    <n v="1.7146399999999999"/>
    <n v="1.4357599999999999"/>
    <n v="0"/>
    <n v="1.32473"/>
    <n v="2.1168"/>
    <n v="12164800"/>
    <n v="0"/>
    <n v="0"/>
    <n v="0"/>
    <n v="0"/>
    <n v="4436190"/>
    <n v="842614"/>
    <n v="0"/>
    <n v="16"/>
    <x v="0"/>
    <n v="9.4970458884763728E-2"/>
    <n v="-1.8923119801046221E-2"/>
  </r>
  <r>
    <n v="72.290000000000006"/>
    <n v="72.290000000000006"/>
    <n v="3.34416"/>
    <n v="0.05"/>
    <n v="1"/>
    <n v="2.1850299999999998"/>
    <n v="2.4635500000000001"/>
    <n v="0"/>
    <n v="0.40928900000000001"/>
    <n v="3.6288"/>
    <n v="0"/>
    <n v="0"/>
    <n v="0"/>
    <n v="0"/>
    <n v="0"/>
    <n v="3266560"/>
    <n v="-123015"/>
    <n v="376272"/>
    <n v="99.302199999999999"/>
    <n v="98.274000000000001"/>
    <n v="3.5726599999999999"/>
    <n v="0"/>
    <n v="1"/>
    <n v="1.7146399999999999"/>
    <n v="1.4361299999999999"/>
    <n v="0"/>
    <n v="1.32473"/>
    <n v="2.1168"/>
    <n v="13006500"/>
    <n v="0"/>
    <n v="0"/>
    <n v="0"/>
    <n v="0"/>
    <n v="4436190"/>
    <n v="841702"/>
    <n v="0"/>
    <n v="17"/>
    <x v="0"/>
    <n v="9.4867667976349074E-2"/>
    <n v="-1.8829441369514106E-2"/>
  </r>
  <r>
    <n v="72.290000000000006"/>
    <n v="72.290000000000006"/>
    <n v="3.68492"/>
    <n v="0.05"/>
    <n v="1"/>
    <n v="2.1520600000000001"/>
    <n v="2.4302100000000002"/>
    <n v="0"/>
    <n v="0.40947499999999998"/>
    <n v="3.6288"/>
    <n v="0"/>
    <n v="0"/>
    <n v="0"/>
    <n v="0"/>
    <n v="0"/>
    <n v="3217270"/>
    <n v="-125949"/>
    <n v="375780"/>
    <n v="99.302199999999999"/>
    <n v="98.274000000000001"/>
    <n v="3.14723"/>
    <n v="0"/>
    <n v="1"/>
    <n v="1.6930700000000001"/>
    <n v="1.41492"/>
    <n v="0"/>
    <n v="1.32473"/>
    <n v="2.1168"/>
    <n v="13845500"/>
    <n v="0"/>
    <n v="0"/>
    <n v="0"/>
    <n v="0"/>
    <n v="4380380"/>
    <n v="838971"/>
    <n v="0"/>
    <n v="18"/>
    <x v="0"/>
    <n v="9.5764636857989485E-2"/>
    <n v="-1.9573893394088777E-2"/>
  </r>
  <r>
    <n v="72.290000000000006"/>
    <n v="72.290000000000006"/>
    <n v="3.3841999999999999"/>
    <n v="0.05"/>
    <n v="1"/>
    <n v="2.1314700000000002"/>
    <n v="2.4308299999999998"/>
    <n v="0"/>
    <n v="0.40329500000000001"/>
    <n v="3.6288"/>
    <n v="0"/>
    <n v="0"/>
    <n v="0"/>
    <n v="0"/>
    <n v="0"/>
    <n v="3186490"/>
    <n v="-154536"/>
    <n v="404430"/>
    <n v="99.302199999999999"/>
    <n v="98.274000000000001"/>
    <n v="2.9582299999999999"/>
    <n v="0"/>
    <n v="1"/>
    <n v="1.7146399999999999"/>
    <n v="1.4152800000000001"/>
    <n v="0"/>
    <n v="1.3080700000000001"/>
    <n v="2.1168"/>
    <n v="14739400"/>
    <n v="0"/>
    <n v="0"/>
    <n v="0"/>
    <n v="0"/>
    <n v="4436180"/>
    <n v="893869"/>
    <n v="0"/>
    <n v="19"/>
    <x v="0"/>
    <n v="0.10074760266715958"/>
    <n v="-2.4248624662245921E-2"/>
  </r>
  <r>
    <n v="72.290000000000006"/>
    <n v="72.290000000000006"/>
    <n v="2.98481"/>
    <n v="0.05"/>
    <n v="1"/>
    <n v="2.1324399999999999"/>
    <n v="2.4314399999999998"/>
    <n v="0"/>
    <n v="0.39943699999999999"/>
    <n v="3.6288"/>
    <n v="0"/>
    <n v="0"/>
    <n v="0"/>
    <n v="0"/>
    <n v="0"/>
    <n v="3187950"/>
    <n v="-153988"/>
    <n v="403945"/>
    <n v="99.302199999999999"/>
    <n v="98.274000000000001"/>
    <n v="3.1795300000000002"/>
    <n v="0"/>
    <n v="1"/>
    <n v="1.7146399999999999"/>
    <n v="1.41564"/>
    <n v="0"/>
    <n v="1.32473"/>
    <n v="2.1168"/>
    <n v="15632400"/>
    <n v="0"/>
    <n v="0"/>
    <n v="0"/>
    <n v="0"/>
    <n v="4436180"/>
    <n v="892970"/>
    <n v="0"/>
    <n v="20"/>
    <x v="0"/>
    <n v="0.10064627675161963"/>
    <n v="-2.4151570758637997E-2"/>
  </r>
  <r>
    <n v="72.290000000000006"/>
    <n v="72.290000000000006"/>
    <n v="3.0459999999999998"/>
    <n v="0.04"/>
    <n v="1"/>
    <n v="2.1334200000000001"/>
    <n v="2.4320599999999999"/>
    <n v="0"/>
    <n v="0.39961999999999998"/>
    <n v="3.6288"/>
    <n v="0"/>
    <n v="0"/>
    <n v="0"/>
    <n v="0"/>
    <n v="0"/>
    <n v="3189410"/>
    <n v="-153439"/>
    <n v="403459"/>
    <n v="99.302199999999999"/>
    <n v="98.274000000000001"/>
    <n v="2.71753"/>
    <n v="0"/>
    <n v="1"/>
    <n v="1.7146399999999999"/>
    <n v="1.4159999999999999"/>
    <n v="0"/>
    <n v="1.32473"/>
    <n v="2.1168"/>
    <n v="16524400"/>
    <n v="0"/>
    <n v="0"/>
    <n v="0"/>
    <n v="0"/>
    <n v="4436180"/>
    <n v="892071"/>
    <n v="0"/>
    <n v="21"/>
    <x v="0"/>
    <n v="0.10054495083607969"/>
    <n v="-2.4054448941967323E-2"/>
  </r>
  <r>
    <n v="72.290000000000006"/>
    <n v="72.290000000000006"/>
    <n v="3.1656399999999998"/>
    <n v="0.04"/>
    <n v="1"/>
    <n v="2.24979"/>
    <n v="2.5480800000000001"/>
    <n v="0"/>
    <n v="0.39980300000000002"/>
    <n v="3.6288"/>
    <n v="0"/>
    <n v="0"/>
    <n v="0"/>
    <n v="0"/>
    <n v="0"/>
    <n v="3363390"/>
    <n v="-141027"/>
    <n v="402974"/>
    <n v="99.302199999999999"/>
    <n v="98.274000000000001"/>
    <n v="2.8777699999999999"/>
    <n v="0"/>
    <n v="1"/>
    <n v="1.79122"/>
    <n v="1.4929300000000001"/>
    <n v="0"/>
    <n v="1.32473"/>
    <n v="2.1168"/>
    <n v="17422100"/>
    <n v="0"/>
    <n v="0"/>
    <n v="0"/>
    <n v="0"/>
    <n v="4634300"/>
    <n v="897629"/>
    <n v="0"/>
    <n v="22"/>
    <x v="0"/>
    <n v="9.6846233519625402E-2"/>
    <n v="-2.0965008518191469E-2"/>
  </r>
  <r>
    <n v="72.290000000000006"/>
    <n v="72.290000000000006"/>
    <n v="2.9220700000000002"/>
    <n v="0.02"/>
    <n v="1"/>
    <n v="2.3273799999999998"/>
    <n v="2.5487199999999999"/>
    <n v="0"/>
    <n v="0.42161199999999999"/>
    <n v="3.6288"/>
    <n v="0"/>
    <n v="0"/>
    <n v="0"/>
    <n v="0"/>
    <n v="0"/>
    <n v="3479370"/>
    <n v="-37021.699999999997"/>
    <n v="299035"/>
    <n v="99.302199999999999"/>
    <n v="98.274000000000001"/>
    <n v="2.5978599999999998"/>
    <n v="0"/>
    <n v="1"/>
    <n v="1.7146600000000001"/>
    <n v="1.4933099999999999"/>
    <n v="0"/>
    <n v="1.3838900000000001"/>
    <n v="2.1168"/>
    <n v="18120700"/>
    <n v="0"/>
    <n v="0"/>
    <n v="0"/>
    <n v="0"/>
    <n v="4436230"/>
    <n v="698611"/>
    <n v="0"/>
    <n v="23"/>
    <x v="0"/>
    <n v="7.873926735088127E-2"/>
    <n v="-5.3201729048649605E-3"/>
  </r>
  <r>
    <n v="72.048400000000001"/>
    <n v="72.290000000000006"/>
    <n v="2.6005099999999999"/>
    <n v="0.01"/>
    <n v="1"/>
    <n v="2.3283999999999998"/>
    <n v="2.5493700000000001"/>
    <n v="0"/>
    <n v="0.43614999999999998"/>
    <n v="3.6288"/>
    <n v="0"/>
    <n v="0"/>
    <n v="0"/>
    <n v="0"/>
    <n v="0"/>
    <n v="3480900"/>
    <n v="-36443.199999999997"/>
    <n v="298523"/>
    <n v="99.292000000000002"/>
    <n v="98.274000000000001"/>
    <n v="2.3903099999999999"/>
    <n v="0"/>
    <n v="1"/>
    <n v="1.7146600000000001"/>
    <n v="1.49369"/>
    <n v="0"/>
    <n v="1.3247500000000001"/>
    <n v="2.1168"/>
    <n v="18818300"/>
    <n v="0"/>
    <n v="0"/>
    <n v="0"/>
    <n v="0"/>
    <n v="4436230"/>
    <n v="697663"/>
    <n v="0"/>
    <n v="24"/>
    <x v="0"/>
    <n v="7.863241987002477E-2"/>
    <n v="-5.2347381424344272E-3"/>
  </r>
  <r>
    <n v="71.7119"/>
    <n v="72.290000000000006"/>
    <n v="2.4561299999999999"/>
    <n v="0.04"/>
    <n v="1"/>
    <n v="2.3294299999999999"/>
    <n v="2.55002"/>
    <n v="0"/>
    <n v="0.43634299999999998"/>
    <n v="3.6288"/>
    <n v="0"/>
    <n v="0"/>
    <n v="0"/>
    <n v="0"/>
    <n v="0"/>
    <n v="3482440"/>
    <n v="-35864.5"/>
    <n v="298011"/>
    <n v="99.145099999999999"/>
    <n v="98.274000000000001"/>
    <n v="2.29562"/>
    <n v="0"/>
    <n v="1"/>
    <n v="1.7146600000000001"/>
    <n v="1.49407"/>
    <n v="0"/>
    <n v="1.3247500000000001"/>
    <n v="2.1168"/>
    <n v="19515000"/>
    <n v="0"/>
    <n v="0"/>
    <n v="0"/>
    <n v="0"/>
    <n v="4436230"/>
    <n v="696714"/>
    <n v="0"/>
    <n v="25"/>
    <x v="0"/>
    <n v="7.8525459680855142E-2"/>
    <n v="-5.149334949058706E-3"/>
  </r>
  <r>
    <n v="71.2119"/>
    <n v="72.290000000000006"/>
    <n v="2.2956699999999999"/>
    <n v="0.04"/>
    <n v="1"/>
    <n v="2.33046"/>
    <n v="2.5506600000000001"/>
    <n v="0"/>
    <n v="0.43653500000000001"/>
    <n v="3.6288"/>
    <n v="0"/>
    <n v="0"/>
    <n v="0"/>
    <n v="0"/>
    <n v="0"/>
    <n v="3483970"/>
    <n v="-35285.699999999997"/>
    <n v="297499"/>
    <n v="99.027600000000007"/>
    <n v="98.274000000000001"/>
    <n v="2.1637300000000002"/>
    <n v="0"/>
    <n v="1"/>
    <n v="1.7146600000000001"/>
    <n v="1.4944500000000001"/>
    <n v="0"/>
    <n v="1.3247500000000001"/>
    <n v="2.1168"/>
    <n v="20210800"/>
    <n v="0"/>
    <n v="0"/>
    <n v="0"/>
    <n v="0"/>
    <n v="4436230"/>
    <n v="695765"/>
    <n v="0"/>
    <n v="26"/>
    <x v="0"/>
    <n v="7.8418499491685514E-2"/>
    <n v="-5.0640074397885169E-3"/>
  </r>
  <r>
    <n v="70.441599999999994"/>
    <n v="72.290000000000006"/>
    <n v="2.01675"/>
    <n v="0.02"/>
    <n v="1"/>
    <n v="2.30863"/>
    <n v="2.5284599999999999"/>
    <n v="0"/>
    <n v="0.43672699999999998"/>
    <n v="3.6288"/>
    <n v="0"/>
    <n v="0"/>
    <n v="0"/>
    <n v="0"/>
    <n v="0"/>
    <n v="3451350"/>
    <n v="-37055.9"/>
    <n v="296987"/>
    <n v="98.685299999999998"/>
    <n v="98.274000000000001"/>
    <n v="2.0867200000000001"/>
    <n v="0"/>
    <n v="1"/>
    <n v="1.7567999999999999"/>
    <n v="1.5369699999999999"/>
    <n v="0"/>
    <n v="1.3247500000000001"/>
    <n v="2.1168"/>
    <n v="20909200"/>
    <n v="0"/>
    <n v="0"/>
    <n v="0"/>
    <n v="0"/>
    <n v="4545260"/>
    <n v="698370"/>
    <n v="0"/>
    <n v="27"/>
    <x v="0"/>
    <n v="7.6823988066689261E-2"/>
    <n v="-5.3683196430382319E-3"/>
  </r>
  <r>
    <n v="69.455299999999994"/>
    <n v="72.290000000000006"/>
    <n v="1.8431599999999999"/>
    <n v="0.02"/>
    <n v="1"/>
    <n v="2.3517899999999998"/>
    <n v="2.5291000000000001"/>
    <n v="0"/>
    <n v="0.43263800000000002"/>
    <n v="3.6288"/>
    <n v="20454.099999999999"/>
    <n v="0"/>
    <n v="0"/>
    <n v="0"/>
    <n v="0"/>
    <n v="3515870"/>
    <n v="20454.099999999999"/>
    <n v="239543"/>
    <n v="98.391900000000007"/>
    <n v="98.274000000000001"/>
    <n v="1.8523000000000001"/>
    <n v="0"/>
    <n v="1"/>
    <n v="1.7146699999999999"/>
    <n v="1.5373600000000001"/>
    <n v="0"/>
    <n v="1.3573"/>
    <n v="2.1168"/>
    <n v="21497600"/>
    <n v="0"/>
    <n v="0"/>
    <n v="0"/>
    <n v="0"/>
    <n v="4436260"/>
    <n v="588393"/>
    <n v="0"/>
    <n v="28"/>
    <x v="0"/>
    <n v="6.6316334029114618E-2"/>
    <n v="2.9088248427842894E-3"/>
  </r>
  <r>
    <n v="68.339100000000002"/>
    <n v="72.290000000000006"/>
    <n v="1.6948300000000001"/>
    <n v="0.02"/>
    <n v="1"/>
    <n v="2.35283"/>
    <n v="2.5297499999999999"/>
    <n v="0"/>
    <n v="0.44072600000000001"/>
    <n v="3.6288"/>
    <n v="41501.4"/>
    <n v="0"/>
    <n v="0"/>
    <n v="0"/>
    <n v="0"/>
    <n v="3517420"/>
    <n v="21047.3"/>
    <n v="239015"/>
    <n v="98.002899999999997"/>
    <n v="98.274000000000001"/>
    <n v="1.81471"/>
    <n v="0"/>
    <n v="1"/>
    <n v="1.7146699999999999"/>
    <n v="1.53775"/>
    <n v="0"/>
    <n v="1.3247500000000001"/>
    <n v="2.1168"/>
    <n v="22085000"/>
    <n v="0"/>
    <n v="0"/>
    <n v="0"/>
    <n v="0"/>
    <n v="4436260"/>
    <n v="587417"/>
    <n v="0"/>
    <n v="29"/>
    <x v="0"/>
    <n v="6.6206331459382456E-2"/>
    <n v="2.9918661973833091E-3"/>
  </r>
  <r>
    <n v="67.130799999999994"/>
    <n v="72.290000000000006"/>
    <n v="1.5890899999999999"/>
    <n v="0.03"/>
    <n v="1"/>
    <n v="2.3538600000000001"/>
    <n v="2.5303900000000001"/>
    <n v="0"/>
    <n v="0.44091999999999998"/>
    <n v="3.6288"/>
    <n v="63142"/>
    <n v="0"/>
    <n v="0"/>
    <n v="0"/>
    <n v="0"/>
    <n v="3518960"/>
    <n v="21640.6"/>
    <n v="238488"/>
    <n v="97.4572"/>
    <n v="98.274000000000001"/>
    <n v="1.74986"/>
    <n v="0"/>
    <n v="1"/>
    <n v="1.7146699999999999"/>
    <n v="1.5381400000000001"/>
    <n v="0"/>
    <n v="1.3247500000000001"/>
    <n v="2.1168"/>
    <n v="22671400"/>
    <n v="0"/>
    <n v="0"/>
    <n v="0"/>
    <n v="0"/>
    <n v="4436260"/>
    <n v="586440"/>
    <n v="0"/>
    <n v="30"/>
    <x v="0"/>
    <n v="6.6096216182099335E-2"/>
    <n v="3.0748573442153362E-3"/>
  </r>
  <r>
    <n v="65.814099999999996"/>
    <n v="72.290000000000006"/>
    <n v="1.5383800000000001"/>
    <n v="0.04"/>
    <n v="1"/>
    <n v="2.4139599999999999"/>
    <n v="2.5901000000000001"/>
    <n v="0"/>
    <n v="0.44111299999999998"/>
    <n v="3.6288"/>
    <n v="91448.3"/>
    <n v="0"/>
    <n v="0"/>
    <n v="0"/>
    <n v="0"/>
    <n v="3608810"/>
    <n v="28306.3"/>
    <n v="237961"/>
    <n v="96.882999999999996"/>
    <n v="98.274000000000001"/>
    <n v="1.6021300000000001"/>
    <n v="0"/>
    <n v="1"/>
    <n v="1.75227"/>
    <n v="1.57613"/>
    <n v="0"/>
    <n v="1.3247500000000001"/>
    <n v="2.1168"/>
    <n v="23260100"/>
    <n v="0"/>
    <n v="0"/>
    <n v="0"/>
    <n v="0"/>
    <n v="4533530"/>
    <n v="588633"/>
    <n v="0"/>
    <n v="31"/>
    <x v="0"/>
    <n v="6.491994097314896E-2"/>
    <n v="3.9218329587869683E-3"/>
  </r>
  <r>
    <n v="64.452299999999994"/>
    <n v="72.290000000000006"/>
    <n v="1.5303899999999999"/>
    <n v="0.04"/>
    <n v="1"/>
    <n v="2.4525999999999999"/>
    <n v="2.59076"/>
    <n v="0"/>
    <n v="0.452376"/>
    <n v="3.6288"/>
    <n v="171140"/>
    <n v="0"/>
    <n v="0"/>
    <n v="0"/>
    <n v="0"/>
    <n v="3666580"/>
    <n v="79691.600000000006"/>
    <n v="186643"/>
    <n v="96.299899999999994"/>
    <n v="98.274000000000001"/>
    <n v="1.58809"/>
    <n v="0"/>
    <n v="1"/>
    <n v="1.71468"/>
    <n v="1.57653"/>
    <n v="0"/>
    <n v="1.3537999999999999"/>
    <n v="2.1168"/>
    <n v="23750500"/>
    <n v="0"/>
    <n v="0"/>
    <n v="0"/>
    <n v="0"/>
    <n v="4436290"/>
    <n v="490390"/>
    <n v="0"/>
    <n v="32"/>
    <x v="0"/>
    <n v="5.5270282150175036E-2"/>
    <n v="1.086729322693082E-2"/>
  </r>
  <r>
    <n v="62.915100000000002"/>
    <n v="72.290000000000006"/>
    <n v="1.35524"/>
    <n v="0.04"/>
    <n v="1"/>
    <n v="2.4536600000000002"/>
    <n v="2.5914100000000002"/>
    <n v="0"/>
    <n v="0.45961800000000003"/>
    <n v="3.6288"/>
    <n v="251439"/>
    <n v="0"/>
    <n v="0"/>
    <n v="0"/>
    <n v="0"/>
    <n v="3668160"/>
    <n v="80299.7"/>
    <n v="186103"/>
    <n v="95.650400000000005"/>
    <n v="98.274000000000001"/>
    <n v="1.49532"/>
    <n v="0"/>
    <n v="1"/>
    <n v="1.71468"/>
    <n v="1.5769299999999999"/>
    <n v="0"/>
    <n v="1.3247599999999999"/>
    <n v="2.1168"/>
    <n v="24239800"/>
    <n v="0"/>
    <n v="0"/>
    <n v="0"/>
    <n v="0"/>
    <n v="4436290"/>
    <n v="489389"/>
    <n v="0"/>
    <n v="33"/>
    <x v="0"/>
    <n v="5.5157462654605541E-2"/>
    <n v="1.094550128674867E-2"/>
  </r>
  <r>
    <n v="61.253599999999999"/>
    <n v="72.290000000000006"/>
    <n v="1.2311000000000001"/>
    <n v="0.04"/>
    <n v="1"/>
    <n v="2.45472"/>
    <n v="2.5920700000000001"/>
    <n v="0"/>
    <n v="0.459816"/>
    <n v="3.6288"/>
    <n v="332347"/>
    <n v="0"/>
    <n v="0"/>
    <n v="0"/>
    <n v="0"/>
    <n v="3669740"/>
    <n v="80907.899999999994"/>
    <n v="185562"/>
    <n v="94.931700000000006"/>
    <n v="98.274000000000001"/>
    <n v="1.41957"/>
    <n v="0"/>
    <n v="1"/>
    <n v="1.71468"/>
    <n v="1.5773299999999999"/>
    <n v="0"/>
    <n v="1.3247599999999999"/>
    <n v="2.1168"/>
    <n v="24728200"/>
    <n v="0"/>
    <n v="0"/>
    <n v="0"/>
    <n v="0"/>
    <n v="4436290"/>
    <n v="488387"/>
    <n v="0"/>
    <n v="34"/>
    <x v="0"/>
    <n v="5.5044530452247262E-2"/>
    <n v="1.1023655626829148E-2"/>
  </r>
  <r>
    <n v="59.341299999999997"/>
    <n v="72.290000000000006"/>
    <n v="1.1436200000000001"/>
    <n v="0.04"/>
    <n v="1"/>
    <n v="2.62893"/>
    <n v="2.7658900000000002"/>
    <n v="0"/>
    <n v="0.46001399999999998"/>
    <n v="3.6288"/>
    <n v="431665"/>
    <n v="0"/>
    <n v="0"/>
    <n v="0"/>
    <n v="0"/>
    <n v="3930190"/>
    <n v="99317.3"/>
    <n v="185021"/>
    <n v="93.8553"/>
    <n v="98.274000000000001"/>
    <n v="1.3146500000000001"/>
    <n v="0"/>
    <n v="1"/>
    <n v="1.8505199999999999"/>
    <n v="1.71356"/>
    <n v="0"/>
    <n v="1.3247599999999999"/>
    <n v="2.1168"/>
    <n v="25227100"/>
    <n v="0"/>
    <n v="0"/>
    <n v="0"/>
    <n v="0"/>
    <n v="4787730"/>
    <n v="498841"/>
    <n v="0"/>
    <n v="35"/>
    <x v="0"/>
    <n v="5.2095773988925856E-2"/>
    <n v="1.26351779430511E-2"/>
  </r>
  <r>
    <n v="57.384399999999999"/>
    <n v="72.290000000000006"/>
    <n v="1.2679199999999999"/>
    <n v="0.04"/>
    <n v="1"/>
    <n v="2.7658700000000001"/>
    <n v="2.7665899999999999"/>
    <n v="0"/>
    <n v="0.49266199999999999"/>
    <n v="3.6288"/>
    <n v="715107"/>
    <n v="0"/>
    <n v="0"/>
    <n v="0"/>
    <n v="0"/>
    <n v="4134910"/>
    <n v="283443"/>
    <n v="968.221"/>
    <n v="93.1267"/>
    <n v="98.274000000000001"/>
    <n v="1.05409"/>
    <n v="0"/>
    <n v="1"/>
    <n v="1.71471"/>
    <n v="1.714"/>
    <n v="0"/>
    <n v="1.42971"/>
    <n v="2.1168"/>
    <n v="25373500"/>
    <n v="0"/>
    <n v="0"/>
    <n v="0"/>
    <n v="0"/>
    <n v="4436380"/>
    <n v="146403"/>
    <n v="0"/>
    <n v="36"/>
    <x v="0"/>
    <n v="1.6500277253075707E-2"/>
    <n v="3.4274385657728945E-2"/>
  </r>
  <r>
    <n v="55.3446"/>
    <n v="72.290000000000006"/>
    <n v="1.18909"/>
    <n v="7.0000000000000007E-2"/>
    <n v="1"/>
    <n v="2.76701"/>
    <n v="2.76729"/>
    <n v="0"/>
    <n v="0.51832400000000001"/>
    <n v="3.6288"/>
    <n v="999210"/>
    <n v="0"/>
    <n v="0"/>
    <n v="0"/>
    <n v="0"/>
    <n v="4136610"/>
    <n v="284102"/>
    <n v="380.54899999999998"/>
    <n v="92.519400000000005"/>
    <n v="98.274000000000001"/>
    <n v="1.29938"/>
    <n v="0"/>
    <n v="1"/>
    <n v="1.71472"/>
    <n v="1.7144299999999999"/>
    <n v="0"/>
    <n v="1.3247899999999999"/>
    <n v="2.1168"/>
    <n v="25518800"/>
    <n v="0"/>
    <n v="0"/>
    <n v="0"/>
    <n v="0"/>
    <n v="4436380"/>
    <n v="145314"/>
    <n v="0"/>
    <n v="37"/>
    <x v="0"/>
    <n v="1.6377542050049817E-2"/>
    <n v="3.4339954697203752E-2"/>
  </r>
  <r>
    <n v="53.235399999999998"/>
    <n v="72.290000000000006"/>
    <n v="1.1186100000000001"/>
    <n v="7.0000000000000007E-2"/>
    <n v="1"/>
    <n v="2.7679900000000002"/>
    <n v="2.7679900000000002"/>
    <n v="0"/>
    <n v="0.51853800000000005"/>
    <n v="3.6288"/>
    <n v="1283760"/>
    <n v="0"/>
    <n v="0"/>
    <n v="0"/>
    <n v="0"/>
    <n v="4138080"/>
    <n v="284555"/>
    <n v="0"/>
    <n v="91.877099999999999"/>
    <n v="98.274000000000001"/>
    <n v="1.3813599999999999"/>
    <n v="0"/>
    <n v="1"/>
    <n v="1.7148699999999999"/>
    <n v="1.7148699999999999"/>
    <n v="0"/>
    <n v="1.3247899999999999"/>
    <n v="2.1168"/>
    <n v="25663400"/>
    <n v="0"/>
    <n v="0"/>
    <n v="0"/>
    <n v="0"/>
    <n v="4436770"/>
    <n v="144622"/>
    <n v="0"/>
    <n v="38"/>
    <x v="0"/>
    <n v="1.6298117774867754E-2"/>
    <n v="3.4382491396976377E-2"/>
  </r>
  <r>
    <n v="51.097999999999999"/>
    <n v="72.290000000000006"/>
    <n v="1.0891900000000001"/>
    <n v="7.0000000000000007E-2"/>
    <n v="1"/>
    <n v="2.7686999999999999"/>
    <n v="2.7686999999999999"/>
    <n v="0"/>
    <n v="0.51872200000000002"/>
    <n v="3.6288"/>
    <n v="1568390"/>
    <n v="0"/>
    <n v="0"/>
    <n v="0"/>
    <n v="0"/>
    <n v="4139130"/>
    <n v="284627"/>
    <n v="0"/>
    <n v="90.958100000000002"/>
    <n v="98.274000000000001"/>
    <n v="1.36886"/>
    <n v="0"/>
    <n v="1"/>
    <n v="1.7153"/>
    <n v="1.7153"/>
    <n v="0"/>
    <n v="1.32491"/>
    <n v="2.1168"/>
    <n v="25808100"/>
    <n v="0"/>
    <n v="0"/>
    <n v="0"/>
    <n v="0"/>
    <n v="4437900"/>
    <n v="144658"/>
    <n v="0"/>
    <n v="39"/>
    <x v="0"/>
    <n v="1.6298023840104554E-2"/>
    <n v="3.4382466846897781E-2"/>
  </r>
  <r>
    <n v="48.802999999999997"/>
    <n v="72.290000000000006"/>
    <n v="0.91497600000000001"/>
    <n v="0.11"/>
    <n v="1"/>
    <n v="2.6848999999999998"/>
    <n v="2.6848999999999998"/>
    <n v="0"/>
    <n v="0.51885400000000004"/>
    <n v="3.6288"/>
    <n v="1844410"/>
    <n v="0"/>
    <n v="0"/>
    <n v="0"/>
    <n v="0"/>
    <n v="4013860"/>
    <n v="276013"/>
    <n v="0"/>
    <n v="90.533600000000007"/>
    <n v="98.274000000000001"/>
    <n v="0.96164499999999997"/>
    <n v="0"/>
    <n v="1"/>
    <n v="1.6331899999999999"/>
    <n v="1.6331899999999999"/>
    <n v="0"/>
    <n v="1.32524"/>
    <n v="2.1168"/>
    <n v="25945800"/>
    <n v="0"/>
    <n v="0"/>
    <n v="0"/>
    <n v="0"/>
    <n v="4225450"/>
    <n v="137733"/>
    <n v="0"/>
    <n v="40"/>
    <x v="0"/>
    <n v="1.6298027429031227E-2"/>
    <n v="3.4382489673282078E-2"/>
  </r>
  <r>
    <n v="46.429600000000001"/>
    <n v="72.290000000000006"/>
    <n v="0.75237100000000001"/>
    <n v="0.11"/>
    <n v="1"/>
    <n v="2.6044900000000002"/>
    <n v="2.6855799999999999"/>
    <n v="0"/>
    <n v="0.50315100000000001"/>
    <n v="3.6288"/>
    <n v="2010930"/>
    <n v="0"/>
    <n v="0"/>
    <n v="0"/>
    <n v="0"/>
    <n v="3893650"/>
    <n v="166528"/>
    <n v="109555"/>
    <n v="89.593599999999995"/>
    <n v="98.274000000000001"/>
    <n v="1.5022599999999999"/>
    <n v="0"/>
    <n v="1"/>
    <n v="1.71469"/>
    <n v="1.6335999999999999"/>
    <n v="0"/>
    <n v="1.2618"/>
    <n v="2.1168"/>
    <n v="26293400"/>
    <n v="0"/>
    <n v="0"/>
    <n v="0"/>
    <n v="0"/>
    <n v="4436320"/>
    <n v="347574"/>
    <n v="0"/>
    <n v="41"/>
    <x v="0"/>
    <n v="3.9173684495257328E-2"/>
    <n v="2.1384562043326956E-2"/>
  </r>
  <r>
    <n v="43.931199999999997"/>
    <n v="72.290000000000006"/>
    <n v="0.624282"/>
    <n v="0.14000000000000001"/>
    <n v="1"/>
    <n v="2.6055899999999999"/>
    <n v="2.6862599999999999"/>
    <n v="0"/>
    <n v="0.48808200000000002"/>
    <n v="3.6288"/>
    <n v="2178090"/>
    <n v="0"/>
    <n v="0"/>
    <n v="0"/>
    <n v="0"/>
    <n v="3895290"/>
    <n v="167158"/>
    <n v="108995"/>
    <n v="88.599299999999999"/>
    <n v="98.274000000000001"/>
    <n v="0.810388"/>
    <n v="0"/>
    <n v="1"/>
    <n v="1.71469"/>
    <n v="1.63402"/>
    <n v="0"/>
    <n v="1.32477"/>
    <n v="2.1168"/>
    <n v="26639900"/>
    <n v="0"/>
    <n v="0"/>
    <n v="0"/>
    <n v="0"/>
    <n v="4436320"/>
    <n v="346536"/>
    <n v="0"/>
    <n v="42"/>
    <x v="0"/>
    <n v="3.9056695639629241E-2"/>
    <n v="2.145642558063713E-2"/>
  </r>
  <r>
    <n v="41.664400000000001"/>
    <n v="72.290000000000006"/>
    <n v="0.89789300000000005"/>
    <n v="0.14000000000000001"/>
    <n v="1"/>
    <n v="2.6066799999999999"/>
    <n v="2.6869499999999999"/>
    <n v="0"/>
    <n v="0.48828700000000003"/>
    <n v="3.6288"/>
    <n v="2345880"/>
    <n v="0"/>
    <n v="0"/>
    <n v="0"/>
    <n v="0"/>
    <n v="3896930"/>
    <n v="167789"/>
    <n v="108435"/>
    <n v="87.722999999999999"/>
    <n v="98.274000000000001"/>
    <n v="0.931531"/>
    <n v="0"/>
    <n v="1"/>
    <n v="1.71469"/>
    <n v="1.63443"/>
    <n v="0"/>
    <n v="1.32477"/>
    <n v="2.1168"/>
    <n v="26985400"/>
    <n v="0"/>
    <n v="0"/>
    <n v="0"/>
    <n v="0"/>
    <n v="4436320"/>
    <n v="345498"/>
    <n v="0"/>
    <n v="43"/>
    <x v="0"/>
    <n v="3.8939706784001153E-2"/>
    <n v="2.1528356937384044E-2"/>
  </r>
  <r>
    <n v="39.530200000000001"/>
    <n v="72.290000000000006"/>
    <n v="1.00481"/>
    <n v="0.16"/>
    <n v="1"/>
    <n v="2.5383499999999999"/>
    <n v="2.6181999999999999"/>
    <n v="0"/>
    <n v="0.48849199999999998"/>
    <n v="3.6288"/>
    <n v="2507160"/>
    <n v="0"/>
    <n v="0"/>
    <n v="0"/>
    <n v="0"/>
    <n v="3794770"/>
    <n v="161282"/>
    <n v="107874"/>
    <n v="87.054100000000005"/>
    <n v="98.274000000000001"/>
    <n v="1.0762400000000001"/>
    <n v="0"/>
    <n v="1"/>
    <n v="1.63948"/>
    <n v="1.5596300000000001"/>
    <n v="0"/>
    <n v="1.32477"/>
    <n v="2.1168"/>
    <n v="27323500"/>
    <n v="0"/>
    <n v="0"/>
    <n v="0"/>
    <n v="0"/>
    <n v="4241710"/>
    <n v="338116"/>
    <n v="0"/>
    <n v="44"/>
    <x v="0"/>
    <n v="3.9856095772695443E-2"/>
    <n v="2.1250563275244612E-2"/>
  </r>
  <r>
    <n v="37.094700000000003"/>
    <n v="72.290000000000006"/>
    <n v="0.61544200000000004"/>
    <n v="0.15"/>
    <n v="1"/>
    <n v="2.46421"/>
    <n v="2.6188699999999998"/>
    <n v="0"/>
    <n v="0.47568700000000003"/>
    <n v="3.6288"/>
    <n v="2567450"/>
    <n v="0"/>
    <n v="0"/>
    <n v="0"/>
    <n v="0"/>
    <n v="3683940"/>
    <n v="60290.6"/>
    <n v="208934"/>
    <n v="86.825400000000002"/>
    <n v="98.274000000000001"/>
    <n v="0.93325199999999997"/>
    <n v="0"/>
    <n v="1"/>
    <n v="1.71468"/>
    <n v="1.56002"/>
    <n v="0"/>
    <n v="1.2666599999999999"/>
    <n v="2.1168"/>
    <n v="27855200"/>
    <n v="0"/>
    <n v="0"/>
    <n v="0"/>
    <n v="0"/>
    <n v="4436270"/>
    <n v="531686"/>
    <n v="0"/>
    <n v="45"/>
    <x v="0"/>
    <n v="5.9924891857348631E-2"/>
    <n v="8.1828965726911951E-3"/>
  </r>
  <r>
    <n v="35.944699999999997"/>
    <n v="72.290000000000006"/>
    <n v="1.8956500000000001"/>
    <n v="0.18"/>
    <n v="1"/>
    <n v="2.4652699999999999"/>
    <n v="2.6195300000000001"/>
    <n v="0"/>
    <n v="0.46179300000000001"/>
    <n v="3.6288"/>
    <n v="2628350"/>
    <n v="0"/>
    <n v="0"/>
    <n v="0"/>
    <n v="0"/>
    <n v="3685520"/>
    <n v="60893.8"/>
    <n v="208399"/>
    <n v="86.472800000000007"/>
    <n v="98.274000000000001"/>
    <n v="2.9068200000000002"/>
    <n v="0"/>
    <n v="1"/>
    <n v="1.71468"/>
    <n v="1.5604199999999999"/>
    <n v="0"/>
    <n v="1.3247599999999999"/>
    <n v="2.1168"/>
    <n v="28385900"/>
    <n v="0"/>
    <n v="0"/>
    <n v="0"/>
    <n v="0"/>
    <n v="4436280"/>
    <n v="530695"/>
    <n v="0"/>
    <n v="46"/>
    <x v="0"/>
    <n v="5.9813064098749404E-2"/>
    <n v="8.2612222969892998E-3"/>
  </r>
  <r>
    <n v="34.433500000000002"/>
    <n v="72.290000000000006"/>
    <n v="1.55644"/>
    <n v="0.16"/>
    <n v="1"/>
    <n v="2.4663300000000001"/>
    <n v="2.6202000000000001"/>
    <n v="0"/>
    <n v="0.46199200000000001"/>
    <n v="3.6288"/>
    <n v="2689840"/>
    <n v="0"/>
    <n v="0"/>
    <n v="0"/>
    <n v="0"/>
    <n v="3687110"/>
    <n v="61497.2"/>
    <n v="207864"/>
    <n v="86.264600000000002"/>
    <n v="98.274000000000001"/>
    <n v="1.59592"/>
    <n v="0"/>
    <n v="1"/>
    <n v="1.71468"/>
    <n v="1.5608200000000001"/>
    <n v="0"/>
    <n v="1.3247599999999999"/>
    <n v="2.1168"/>
    <n v="28915600"/>
    <n v="0"/>
    <n v="0"/>
    <n v="0"/>
    <n v="0"/>
    <n v="4436280"/>
    <n v="529704"/>
    <n v="0"/>
    <n v="47"/>
    <x v="0"/>
    <n v="5.9701371419297246E-2"/>
    <n v="8.3394853964215872E-3"/>
  </r>
  <r>
    <n v="32.941400000000002"/>
    <n v="72.290000000000006"/>
    <n v="1.3624799999999999"/>
    <n v="0.16"/>
    <n v="1"/>
    <n v="2.2700100000000001"/>
    <n v="2.4234800000000001"/>
    <n v="0"/>
    <n v="0.46219100000000002"/>
    <n v="3.6288"/>
    <n v="2731650"/>
    <n v="0"/>
    <n v="0"/>
    <n v="0"/>
    <n v="0"/>
    <n v="3393610"/>
    <n v="41809.599999999999"/>
    <n v="207329"/>
    <n v="86.326700000000002"/>
    <n v="98.274000000000001"/>
    <n v="1.5216700000000001"/>
    <n v="0"/>
    <n v="1"/>
    <n v="1.55786"/>
    <n v="1.40439"/>
    <n v="0"/>
    <n v="1.3247599999999999"/>
    <n v="2.1168"/>
    <n v="29431100"/>
    <n v="0"/>
    <n v="0"/>
    <n v="0"/>
    <n v="0"/>
    <n v="4030550"/>
    <n v="515488"/>
    <n v="0"/>
    <n v="48"/>
    <x v="0"/>
    <n v="6.3947600203446184E-2"/>
    <n v="6.1600478546444638E-3"/>
  </r>
  <r>
    <n v="33.0974"/>
    <n v="72.290000000000006"/>
    <n v="2.8492700000000002"/>
    <n v="0.19"/>
    <n v="1"/>
    <n v="2.1216900000000001"/>
    <n v="2.4240900000000001"/>
    <n v="0"/>
    <n v="0.42540099999999997"/>
    <n v="3.6288"/>
    <n v="2572320"/>
    <n v="0"/>
    <n v="0"/>
    <n v="0"/>
    <n v="0"/>
    <n v="3171880"/>
    <n v="-159337"/>
    <n v="408539"/>
    <n v="85.913300000000007"/>
    <n v="98.274000000000001"/>
    <n v="2.3281800000000001"/>
    <n v="0"/>
    <n v="1"/>
    <n v="1.7071499999999999"/>
    <n v="1.4047499999999999"/>
    <n v="0"/>
    <n v="1.2036"/>
    <n v="2.1168"/>
    <n v="30331900"/>
    <n v="0"/>
    <n v="0"/>
    <n v="0"/>
    <n v="0"/>
    <n v="4416800"/>
    <n v="900849"/>
    <n v="0"/>
    <n v="49"/>
    <x v="0"/>
    <n v="0.10197982702408984"/>
    <n v="-2.5117122968082019E-2"/>
  </r>
  <r>
    <n v="32.721699999999998"/>
    <n v="72.290000000000006"/>
    <n v="2.3186499999999999"/>
    <n v="0.19"/>
    <n v="1"/>
    <n v="2.1223100000000001"/>
    <n v="2.4247100000000001"/>
    <n v="0"/>
    <n v="0.39760600000000001"/>
    <n v="3.6288"/>
    <n v="2413040"/>
    <n v="0"/>
    <n v="0"/>
    <n v="0"/>
    <n v="0"/>
    <n v="3172800"/>
    <n v="-159274"/>
    <n v="408539"/>
    <n v="85.290499999999994"/>
    <n v="98.274000000000001"/>
    <n v="1.68059"/>
    <n v="0"/>
    <n v="1"/>
    <n v="1.7075100000000001"/>
    <n v="1.4051100000000001"/>
    <n v="0"/>
    <n v="1.31894"/>
    <n v="2.1168"/>
    <n v="31232800"/>
    <n v="0"/>
    <n v="0"/>
    <n v="0"/>
    <n v="0"/>
    <n v="4417720"/>
    <n v="900879"/>
    <n v="0"/>
    <n v="50"/>
    <x v="0"/>
    <n v="0.10196198491529568"/>
    <n v="-2.5099911749873929E-2"/>
  </r>
  <r>
    <n v="31.995799999999999"/>
    <n v="72.290000000000006"/>
    <n v="1.96811"/>
    <n v="0.2"/>
    <n v="1"/>
    <n v="2.1229300000000002"/>
    <n v="2.4253300000000002"/>
    <n v="0"/>
    <n v="0.39772099999999999"/>
    <n v="3.6288"/>
    <n v="2253830"/>
    <n v="0"/>
    <n v="0"/>
    <n v="0"/>
    <n v="0"/>
    <n v="3173720"/>
    <n v="-159210"/>
    <n v="408539"/>
    <n v="85.228099999999998"/>
    <n v="98.274000000000001"/>
    <n v="1.63968"/>
    <n v="0"/>
    <n v="1"/>
    <n v="1.7078599999999999"/>
    <n v="1.4054599999999999"/>
    <n v="0"/>
    <n v="1.3192200000000001"/>
    <n v="2.1168"/>
    <n v="32133700"/>
    <n v="0"/>
    <n v="0"/>
    <n v="0"/>
    <n v="0"/>
    <n v="4418650"/>
    <n v="900909"/>
    <n v="0"/>
    <n v="51"/>
    <x v="0"/>
    <n v="0.10194391952293121"/>
    <n v="-2.5082552966235207E-2"/>
  </r>
  <r>
    <n v="33.015700000000002"/>
    <n v="72.290000000000006"/>
    <n v="3.7126299999999999"/>
    <n v="0.21"/>
    <n v="1"/>
    <n v="2.1235400000000002"/>
    <n v="2.4259400000000002"/>
    <n v="0"/>
    <n v="0.39783600000000002"/>
    <n v="3.6288"/>
    <n v="2094690"/>
    <n v="0"/>
    <n v="0"/>
    <n v="0"/>
    <n v="0"/>
    <n v="3174640"/>
    <n v="-159147"/>
    <n v="408539"/>
    <n v="85.330299999999994"/>
    <n v="98.274000000000001"/>
    <n v="2.4207900000000002"/>
    <n v="0"/>
    <n v="1"/>
    <n v="1.7082200000000001"/>
    <n v="1.4058200000000001"/>
    <n v="0"/>
    <n v="1.3194900000000001"/>
    <n v="2.1168"/>
    <n v="33034700"/>
    <n v="0"/>
    <n v="0"/>
    <n v="0"/>
    <n v="0"/>
    <n v="4419570"/>
    <n v="900939"/>
    <n v="0"/>
    <n v="52"/>
    <x v="0"/>
    <n v="0.10192609235740129"/>
    <n v="-2.5065361741803797E-2"/>
  </r>
  <r>
    <n v="31.863600000000002"/>
    <n v="72.290000000000006"/>
    <n v="1.6184499999999999"/>
    <n v="0.24"/>
    <n v="1"/>
    <n v="2.20017"/>
    <n v="2.50257"/>
    <n v="0"/>
    <n v="0.39795199999999997"/>
    <n v="3.6288"/>
    <n v="1943420"/>
    <n v="0"/>
    <n v="0"/>
    <n v="206348000"/>
    <n v="0"/>
    <n v="3289190"/>
    <n v="-151270"/>
    <n v="408539"/>
    <n v="85.375600000000006"/>
    <n v="98.274000000000001"/>
    <n v="2.51858"/>
    <n v="0"/>
    <n v="1"/>
    <n v="1.75404"/>
    <n v="1.45164"/>
    <n v="0"/>
    <n v="1.3197700000000001"/>
    <n v="2.1168"/>
    <n v="33939500"/>
    <n v="0"/>
    <n v="0"/>
    <n v="56061500"/>
    <n v="0"/>
    <n v="4538110"/>
    <n v="904803"/>
    <n v="0"/>
    <n v="1"/>
    <x v="1"/>
    <n v="6.5910606156244778E-2"/>
    <n v="-1.5203379563414075E-2"/>
  </r>
  <r>
    <n v="31.184799999999999"/>
    <n v="72.290000000000006"/>
    <n v="2.1320899999999998"/>
    <n v="0.25"/>
    <n v="1"/>
    <n v="2.2405400000000002"/>
    <n v="2.50318"/>
    <n v="0"/>
    <n v="0.41231099999999998"/>
    <n v="3.6288"/>
    <n v="1845920"/>
    <n v="0"/>
    <n v="0"/>
    <n v="0"/>
    <n v="0"/>
    <n v="3349550"/>
    <n v="-97493.9"/>
    <n v="354826"/>
    <n v="85.6066"/>
    <n v="98.274000000000001"/>
    <n v="2.7696200000000002"/>
    <n v="0"/>
    <n v="1"/>
    <n v="1.7146399999999999"/>
    <n v="1.452"/>
    <n v="0"/>
    <n v="1.35517"/>
    <n v="2.1168"/>
    <n v="34741400"/>
    <n v="0"/>
    <n v="0"/>
    <n v="0"/>
    <n v="0"/>
    <n v="4436170"/>
    <n v="801969"/>
    <n v="0"/>
    <n v="2"/>
    <x v="1"/>
    <n v="5.9762078398153284E-2"/>
    <n v="-9.6220425036479332E-3"/>
  </r>
  <r>
    <n v="32.779400000000003"/>
    <n v="72.290000000000006"/>
    <n v="4.4047599999999996"/>
    <n v="0.26"/>
    <n v="1"/>
    <n v="2.2415099999999999"/>
    <n v="2.5038"/>
    <n v="0"/>
    <n v="0.419877"/>
    <n v="3.6288"/>
    <n v="1748970"/>
    <n v="0"/>
    <n v="0"/>
    <n v="0"/>
    <n v="0"/>
    <n v="3351000"/>
    <n v="-96948"/>
    <n v="354343"/>
    <n v="86.470799999999997"/>
    <n v="98.274000000000001"/>
    <n v="4.08819"/>
    <n v="0"/>
    <n v="1"/>
    <n v="1.7146399999999999"/>
    <n v="1.45235"/>
    <n v="0"/>
    <n v="1.32473"/>
    <n v="2.1168"/>
    <n v="35542500"/>
    <n v="0"/>
    <n v="0"/>
    <n v="0"/>
    <n v="0"/>
    <n v="4436170"/>
    <n v="801075"/>
    <n v="0"/>
    <n v="3"/>
    <x v="1"/>
    <n v="5.969545824439678E-2"/>
    <n v="-9.5640253547137066E-3"/>
  </r>
  <r>
    <n v="35.276000000000003"/>
    <n v="72.290000000000006"/>
    <n v="5.3058500000000004"/>
    <n v="0.28000000000000003"/>
    <n v="1"/>
    <n v="2.24248"/>
    <n v="2.50441"/>
    <n v="0"/>
    <n v="0.42005900000000002"/>
    <n v="3.6288"/>
    <n v="1652570"/>
    <n v="0"/>
    <n v="0"/>
    <n v="0"/>
    <n v="0"/>
    <n v="3352460"/>
    <n v="-96402.2"/>
    <n v="353861"/>
    <n v="87.356200000000001"/>
    <n v="98.274000000000001"/>
    <n v="4.22743"/>
    <n v="0"/>
    <n v="1"/>
    <n v="1.7146399999999999"/>
    <n v="1.4527099999999999"/>
    <n v="0"/>
    <n v="1.32473"/>
    <n v="2.1168"/>
    <n v="36342700"/>
    <n v="0"/>
    <n v="0"/>
    <n v="0"/>
    <n v="0"/>
    <n v="4436180"/>
    <n v="800182"/>
    <n v="0"/>
    <n v="4"/>
    <x v="1"/>
    <n v="5.9628778194829854E-2"/>
    <n v="-9.5060398982167709E-3"/>
  </r>
  <r>
    <n v="39.814599999999999"/>
    <n v="72.290000000000006"/>
    <n v="7.5802899999999998"/>
    <n v="0.24"/>
    <n v="1"/>
    <n v="2.4877899999999999"/>
    <n v="2.7493599999999998"/>
    <n v="0"/>
    <n v="0.420242"/>
    <n v="3.6288"/>
    <n v="1581830"/>
    <n v="0"/>
    <n v="0"/>
    <n v="0"/>
    <n v="0"/>
    <n v="3719190"/>
    <n v="-70738.100000000006"/>
    <n v="353378"/>
    <n v="88.122100000000003"/>
    <n v="98.274000000000001"/>
    <n v="4.6214899999999997"/>
    <n v="0"/>
    <n v="1"/>
    <n v="1.8854900000000001"/>
    <n v="1.62392"/>
    <n v="0"/>
    <n v="1.32473"/>
    <n v="2.1168"/>
    <n v="37156400"/>
    <n v="0"/>
    <n v="0"/>
    <n v="0"/>
    <n v="0"/>
    <n v="4878200"/>
    <n v="813696"/>
    <n v="0"/>
    <n v="5"/>
    <x v="1"/>
    <n v="5.5141537547106559E-2"/>
    <n v="-6.2875480590047304E-3"/>
  </r>
  <r>
    <n v="40.434399999999997"/>
    <n v="72.290000000000006"/>
    <n v="3.8687200000000002"/>
    <n v="0.22"/>
    <n v="1"/>
    <n v="2.6596799999999998"/>
    <n v="2.7500399999999998"/>
    <n v="0"/>
    <n v="0.46621200000000002"/>
    <n v="3.6288"/>
    <n v="1742460"/>
    <n v="0"/>
    <n v="0"/>
    <n v="0"/>
    <n v="0"/>
    <n v="3976150"/>
    <n v="160630"/>
    <n v="122079"/>
    <n v="88.402100000000004"/>
    <n v="98.274000000000001"/>
    <n v="3.1243099999999999"/>
    <n v="0"/>
    <n v="1"/>
    <n v="1.71468"/>
    <n v="1.62432"/>
    <n v="0"/>
    <n v="1.4567300000000001"/>
    <n v="2.1168"/>
    <n v="37527200"/>
    <n v="0"/>
    <n v="0"/>
    <n v="0"/>
    <n v="0"/>
    <n v="4436280"/>
    <n v="370776"/>
    <n v="0"/>
    <n v="6"/>
    <x v="1"/>
    <n v="2.7629241219835728E-2"/>
    <n v="1.3354886211698468E-2"/>
  </r>
  <r>
    <n v="41.233499999999999"/>
    <n v="72.290000000000006"/>
    <n v="4.0654700000000004"/>
    <n v="0.23"/>
    <n v="1"/>
    <n v="2.6607500000000002"/>
    <n v="2.7507199999999998"/>
    <n v="0"/>
    <n v="0.498423"/>
    <n v="3.6288"/>
    <n v="1903700"/>
    <n v="0"/>
    <n v="0"/>
    <n v="0"/>
    <n v="0"/>
    <n v="3977760"/>
    <n v="161239"/>
    <n v="121540"/>
    <n v="89.091899999999995"/>
    <n v="98.274000000000001"/>
    <n v="2.9147599999999998"/>
    <n v="0"/>
    <n v="1"/>
    <n v="1.71468"/>
    <n v="1.6247199999999999"/>
    <n v="0"/>
    <n v="1.3247599999999999"/>
    <n v="2.1168"/>
    <n v="37896900"/>
    <n v="0"/>
    <n v="0"/>
    <n v="0"/>
    <n v="0"/>
    <n v="4436280"/>
    <n v="369776"/>
    <n v="0"/>
    <n v="7"/>
    <x v="1"/>
    <n v="2.7554723879932835E-2"/>
    <n v="1.3400092991911401E-2"/>
  </r>
  <r>
    <n v="42.119599999999998"/>
    <n v="72.290000000000006"/>
    <n v="4.1757799999999996"/>
    <n v="0.26"/>
    <n v="1"/>
    <n v="2.6618300000000001"/>
    <n v="2.7513899999999998"/>
    <n v="0"/>
    <n v="0.49862499999999998"/>
    <n v="3.6288"/>
    <n v="2065550"/>
    <n v="0"/>
    <n v="0"/>
    <n v="0"/>
    <n v="0"/>
    <n v="3979370"/>
    <n v="161849"/>
    <n v="121000"/>
    <n v="90.009600000000006"/>
    <n v="98.274000000000001"/>
    <n v="4.0993000000000004"/>
    <n v="0"/>
    <n v="1"/>
    <n v="1.71468"/>
    <n v="1.6251199999999999"/>
    <n v="0"/>
    <n v="1.3247599999999999"/>
    <n v="2.1168"/>
    <n v="38265700"/>
    <n v="0"/>
    <n v="0"/>
    <n v="0"/>
    <n v="0"/>
    <n v="4436280"/>
    <n v="368776"/>
    <n v="0"/>
    <n v="8"/>
    <x v="1"/>
    <n v="2.7480206540029941E-2"/>
    <n v="1.3445346265401503E-2"/>
  </r>
  <r>
    <n v="44.0458"/>
    <n v="72.290000000000006"/>
    <n v="4.8479000000000001"/>
    <n v="0.28000000000000003"/>
    <n v="1"/>
    <n v="2.31406"/>
    <n v="2.4032300000000002"/>
    <n v="0"/>
    <n v="0.49882700000000002"/>
    <n v="3.6288"/>
    <n v="2192150"/>
    <n v="0"/>
    <n v="0"/>
    <n v="0"/>
    <n v="0"/>
    <n v="3459470"/>
    <n v="126597"/>
    <n v="120460"/>
    <n v="90.557400000000001"/>
    <n v="98.274000000000001"/>
    <n v="3.8481900000000002"/>
    <n v="0"/>
    <n v="1"/>
    <n v="1.4851700000000001"/>
    <n v="1.39601"/>
    <n v="0"/>
    <n v="1.3247599999999999"/>
    <n v="2.1168"/>
    <n v="38614100"/>
    <n v="0"/>
    <n v="0"/>
    <n v="0"/>
    <n v="0"/>
    <n v="3842490"/>
    <n v="348420"/>
    <n v="0"/>
    <n v="9"/>
    <x v="1"/>
    <n v="2.9975512902512488E-2"/>
    <n v="1.2097346992215817E-2"/>
  </r>
  <r>
    <n v="45.059899999999999"/>
    <n v="72.290000000000006"/>
    <n v="3.6970200000000002"/>
    <n v="0.26"/>
    <n v="1"/>
    <n v="2.1014200000000001"/>
    <n v="2.4038200000000001"/>
    <n v="0"/>
    <n v="0.43365500000000001"/>
    <n v="3.6288"/>
    <n v="2030730"/>
    <n v="0"/>
    <n v="0"/>
    <n v="0"/>
    <n v="0"/>
    <n v="3141570"/>
    <n v="-161421"/>
    <n v="408539"/>
    <n v="91.365399999999994"/>
    <n v="98.274000000000001"/>
    <n v="3.1749499999999999"/>
    <n v="0"/>
    <n v="1"/>
    <n v="1.69875"/>
    <n v="1.39635"/>
    <n v="0"/>
    <n v="1.14744"/>
    <n v="2.1168"/>
    <n v="39514300"/>
    <n v="0"/>
    <n v="0"/>
    <n v="0"/>
    <n v="0"/>
    <n v="4395070"/>
    <n v="900141"/>
    <n v="0"/>
    <n v="10"/>
    <x v="1"/>
    <n v="6.7705046324088247E-2"/>
    <n v="-1.6985939966422652E-2"/>
  </r>
  <r>
    <n v="47.576999999999998"/>
    <n v="72.290000000000006"/>
    <n v="5.2031700000000001"/>
    <n v="0.27"/>
    <n v="1"/>
    <n v="2.1020099999999999"/>
    <n v="2.4044099999999999"/>
    <n v="0"/>
    <n v="0.39380599999999999"/>
    <n v="3.6288"/>
    <n v="1869370"/>
    <n v="0"/>
    <n v="0"/>
    <n v="0"/>
    <n v="0"/>
    <n v="3142450"/>
    <n v="-161361"/>
    <n v="408539"/>
    <n v="92.988299999999995"/>
    <n v="98.274000000000001"/>
    <n v="5.2267900000000003"/>
    <n v="0"/>
    <n v="1"/>
    <n v="1.69909"/>
    <n v="1.39669"/>
    <n v="0"/>
    <n v="1.3124499999999999"/>
    <n v="2.1168"/>
    <n v="40414500"/>
    <n v="0"/>
    <n v="0"/>
    <n v="0"/>
    <n v="0"/>
    <n v="4395960"/>
    <n v="900170"/>
    <n v="0"/>
    <n v="11"/>
    <x v="1"/>
    <n v="6.7693519677468811E-2"/>
    <n v="-1.6974871400733359E-2"/>
  </r>
  <r>
    <n v="49.485300000000002"/>
    <n v="72.290000000000006"/>
    <n v="4.6012899999999997"/>
    <n v="0.31"/>
    <n v="1"/>
    <n v="2.1025999999999998"/>
    <n v="2.4049999999999998"/>
    <n v="0"/>
    <n v="0.39391700000000002"/>
    <n v="3.6288"/>
    <n v="1708070"/>
    <n v="0"/>
    <n v="0"/>
    <n v="0"/>
    <n v="0"/>
    <n v="3143340"/>
    <n v="-161300"/>
    <n v="408539"/>
    <n v="93.559200000000004"/>
    <n v="98.274000000000001"/>
    <n v="3.55185"/>
    <n v="0"/>
    <n v="1"/>
    <n v="1.6994400000000001"/>
    <n v="1.3970400000000001"/>
    <n v="0"/>
    <n v="1.3127200000000001"/>
    <n v="2.1168"/>
    <n v="41314700"/>
    <n v="0"/>
    <n v="0"/>
    <n v="0"/>
    <n v="0"/>
    <n v="4396850"/>
    <n v="900199"/>
    <n v="0"/>
    <n v="12"/>
    <x v="1"/>
    <n v="6.7681997697242577E-2"/>
    <n v="-1.6963649896724511E-2"/>
  </r>
  <r>
    <n v="50.591999999999999"/>
    <n v="72.290000000000006"/>
    <n v="3.84483"/>
    <n v="0.26"/>
    <n v="1"/>
    <n v="2.1031900000000001"/>
    <n v="2.4055900000000001"/>
    <n v="0"/>
    <n v="0.39402700000000002"/>
    <n v="3.6288"/>
    <n v="1546830"/>
    <n v="0"/>
    <n v="0"/>
    <n v="0"/>
    <n v="0"/>
    <n v="3144220"/>
    <n v="-161239"/>
    <n v="408539"/>
    <n v="94.374600000000001"/>
    <n v="98.274000000000001"/>
    <n v="3.0624500000000001"/>
    <n v="0"/>
    <n v="1"/>
    <n v="1.6997800000000001"/>
    <n v="1.3973800000000001"/>
    <n v="0"/>
    <n v="1.3129900000000001"/>
    <n v="2.1168"/>
    <n v="42214900"/>
    <n v="0"/>
    <n v="0"/>
    <n v="0"/>
    <n v="0"/>
    <n v="4397740"/>
    <n v="900228"/>
    <n v="0"/>
    <n v="13"/>
    <x v="1"/>
    <n v="6.7670480380576464E-2"/>
    <n v="-1.695248866157759E-2"/>
  </r>
  <r>
    <n v="52.496200000000002"/>
    <n v="72.290000000000006"/>
    <n v="4.6961899999999996"/>
    <n v="0.28999999999999998"/>
    <n v="1"/>
    <n v="2.1917"/>
    <n v="2.4941"/>
    <n v="0"/>
    <n v="0.39413799999999999"/>
    <n v="3.6288"/>
    <n v="1394690"/>
    <n v="0"/>
    <n v="0"/>
    <n v="0"/>
    <n v="0"/>
    <n v="3276540"/>
    <n v="-152140"/>
    <n v="408539"/>
    <n v="95.173699999999997"/>
    <n v="98.274000000000001"/>
    <n v="3.8048600000000001"/>
    <n v="0"/>
    <n v="1"/>
    <n v="1.75634"/>
    <n v="1.45394"/>
    <n v="0"/>
    <n v="1.31325"/>
    <n v="2.1168"/>
    <n v="43119900"/>
    <n v="0"/>
    <n v="0"/>
    <n v="0"/>
    <n v="0"/>
    <n v="4544070"/>
    <n v="904997"/>
    <n v="0"/>
    <n v="14"/>
    <x v="1"/>
    <n v="6.5838271281459332E-2"/>
    <n v="-1.5349853332736358E-2"/>
  </r>
  <r>
    <n v="55.315800000000003"/>
    <n v="72.290000000000006"/>
    <n v="5.6589499999999999"/>
    <n v="0.32"/>
    <n v="1"/>
    <n v="2.2343799999999998"/>
    <n v="2.49471"/>
    <n v="0"/>
    <n v="0.41072500000000001"/>
    <n v="3.6288"/>
    <n v="1299430"/>
    <n v="0"/>
    <n v="0"/>
    <n v="0"/>
    <n v="0"/>
    <n v="3340330"/>
    <n v="-95253.6"/>
    <n v="351715"/>
    <n v="96.140600000000006"/>
    <n v="98.274000000000001"/>
    <n v="4.7560000000000002"/>
    <n v="0"/>
    <n v="1"/>
    <n v="1.7146399999999999"/>
    <n v="1.4542999999999999"/>
    <n v="0"/>
    <n v="1.3569500000000001"/>
    <n v="2.1168"/>
    <n v="43916100"/>
    <n v="0"/>
    <n v="0"/>
    <n v="0"/>
    <n v="0"/>
    <n v="4436180"/>
    <n v="796207"/>
    <n v="0"/>
    <n v="15"/>
    <x v="1"/>
    <n v="5.933256509165527E-2"/>
    <n v="-9.4268873364338999E-3"/>
  </r>
  <r>
    <n v="56.4407"/>
    <n v="72.290000000000006"/>
    <n v="3.9722599999999999"/>
    <n v="0.25"/>
    <n v="1"/>
    <n v="2.2353499999999999"/>
    <n v="2.49533"/>
    <n v="0"/>
    <n v="0.41872199999999998"/>
    <n v="3.6288"/>
    <n v="1204730"/>
    <n v="0"/>
    <n v="0"/>
    <n v="0"/>
    <n v="0"/>
    <n v="3341790"/>
    <n v="-94707.4"/>
    <n v="351232"/>
    <n v="96.578199999999995"/>
    <n v="98.274000000000001"/>
    <n v="3.33534"/>
    <n v="0"/>
    <n v="1"/>
    <n v="1.7146399999999999"/>
    <n v="1.4546600000000001"/>
    <n v="0"/>
    <n v="1.32473"/>
    <n v="2.1168"/>
    <n v="44711400"/>
    <n v="0"/>
    <n v="0"/>
    <n v="0"/>
    <n v="0"/>
    <n v="4436180"/>
    <n v="795312"/>
    <n v="0"/>
    <n v="16"/>
    <x v="1"/>
    <n v="5.9265870569053691E-2"/>
    <n v="-9.3687370834572327E-3"/>
  </r>
  <r>
    <n v="57.0685"/>
    <n v="72.290000000000006"/>
    <n v="3.45038"/>
    <n v="0.27"/>
    <n v="1"/>
    <n v="2.2363200000000001"/>
    <n v="2.49594"/>
    <n v="0"/>
    <n v="0.418904"/>
    <n v="3.6288"/>
    <n v="1110570"/>
    <n v="0"/>
    <n v="0"/>
    <n v="0"/>
    <n v="0"/>
    <n v="3343240"/>
    <n v="-94160.8"/>
    <n v="350749"/>
    <n v="96.643299999999996"/>
    <n v="98.274000000000001"/>
    <n v="2.84842"/>
    <n v="0"/>
    <n v="1"/>
    <n v="1.7146399999999999"/>
    <n v="1.4550099999999999"/>
    <n v="0"/>
    <n v="1.32473"/>
    <n v="2.1168"/>
    <n v="45505800"/>
    <n v="0"/>
    <n v="0"/>
    <n v="0"/>
    <n v="0"/>
    <n v="4436180"/>
    <n v="794416"/>
    <n v="0"/>
    <n v="17"/>
    <x v="1"/>
    <n v="5.9199101527432456E-2"/>
    <n v="-9.3106259161259662E-3"/>
  </r>
  <r>
    <n v="57.009900000000002"/>
    <n v="72.290000000000006"/>
    <n v="2.7666599999999999"/>
    <n v="0.28000000000000003"/>
    <n v="1"/>
    <n v="2.2028799999999999"/>
    <n v="2.4621499999999998"/>
    <n v="0"/>
    <n v="0.41908600000000001"/>
    <n v="3.6288"/>
    <n v="1013410"/>
    <n v="0"/>
    <n v="0"/>
    <n v="0"/>
    <n v="0"/>
    <n v="3293250"/>
    <n v="-97151.7"/>
    <n v="350265"/>
    <n v="96.548400000000001"/>
    <n v="98.274000000000001"/>
    <n v="2.38584"/>
    <n v="0"/>
    <n v="1"/>
    <n v="1.69278"/>
    <n v="1.4335199999999999"/>
    <n v="0"/>
    <n v="1.32473"/>
    <n v="2.1168"/>
    <n v="46297500"/>
    <n v="0"/>
    <n v="0"/>
    <n v="0"/>
    <n v="0"/>
    <n v="4379630"/>
    <n v="791677"/>
    <n v="0"/>
    <n v="18"/>
    <x v="1"/>
    <n v="5.9756740223208232E-2"/>
    <n v="-9.7521864619393526E-3"/>
  </r>
  <r>
    <n v="56.678400000000003"/>
    <n v="72.290000000000006"/>
    <n v="2.38747"/>
    <n v="0.28999999999999998"/>
    <n v="1"/>
    <n v="2.1819899999999999"/>
    <n v="2.4627500000000002"/>
    <n v="0"/>
    <n v="0.41282000000000002"/>
    <n v="3.6288"/>
    <n v="887283"/>
    <n v="0"/>
    <n v="0"/>
    <n v="0"/>
    <n v="0"/>
    <n v="3262020"/>
    <n v="-126132"/>
    <n v="379307"/>
    <n v="96.504000000000005"/>
    <n v="98.274000000000001"/>
    <n v="2.0732300000000001"/>
    <n v="0"/>
    <n v="1"/>
    <n v="1.7146300000000001"/>
    <n v="1.43387"/>
    <n v="0"/>
    <n v="1.3078399999999999"/>
    <n v="2.1168"/>
    <n v="47144800"/>
    <n v="0"/>
    <n v="0"/>
    <n v="0"/>
    <n v="0"/>
    <n v="4436160"/>
    <n v="847325"/>
    <n v="0"/>
    <n v="19"/>
    <x v="1"/>
    <n v="6.314211300782091E-2"/>
    <n v="-1.2782475091903759E-2"/>
  </r>
  <r>
    <n v="56.281599999999997"/>
    <n v="72.290000000000006"/>
    <n v="2.3225899999999999"/>
    <n v="0.27"/>
    <n v="1"/>
    <n v="2.1829499999999999"/>
    <n v="2.4633600000000002"/>
    <n v="0"/>
    <n v="0.40890500000000002"/>
    <n v="3.6288"/>
    <n v="761690"/>
    <n v="0"/>
    <n v="0"/>
    <n v="0"/>
    <n v="0"/>
    <n v="3263450"/>
    <n v="-125593"/>
    <n v="378831"/>
    <n v="96.3977"/>
    <n v="98.274000000000001"/>
    <n v="2.3107899999999999"/>
    <n v="0"/>
    <n v="1"/>
    <n v="1.7146300000000001"/>
    <n v="1.4342200000000001"/>
    <n v="0"/>
    <n v="1.32473"/>
    <n v="2.1168"/>
    <n v="47991300"/>
    <n v="0"/>
    <n v="0"/>
    <n v="0"/>
    <n v="0"/>
    <n v="4436160"/>
    <n v="846442"/>
    <n v="0"/>
    <n v="20"/>
    <x v="1"/>
    <n v="6.3076312416801048E-2"/>
    <n v="-1.2722274554645476E-2"/>
  </r>
  <r>
    <n v="55.809100000000001"/>
    <n v="72.290000000000006"/>
    <n v="2.24716"/>
    <n v="0.26"/>
    <n v="1"/>
    <n v="2.18391"/>
    <n v="2.4639700000000002"/>
    <n v="0"/>
    <n v="0.40908499999999998"/>
    <n v="3.6288"/>
    <n v="636636"/>
    <n v="0"/>
    <n v="0"/>
    <n v="0"/>
    <n v="0"/>
    <n v="3264890"/>
    <n v="-125054"/>
    <n v="378355"/>
    <n v="96.246399999999994"/>
    <n v="98.274000000000001"/>
    <n v="2.14161"/>
    <n v="0"/>
    <n v="1"/>
    <n v="1.7146300000000001"/>
    <n v="1.43458"/>
    <n v="0"/>
    <n v="1.32473"/>
    <n v="2.1168"/>
    <n v="48836800"/>
    <n v="0"/>
    <n v="0"/>
    <n v="0"/>
    <n v="0"/>
    <n v="4436160"/>
    <n v="845560"/>
    <n v="0"/>
    <n v="21"/>
    <x v="1"/>
    <n v="6.3010586345136815E-2"/>
    <n v="-1.2662087969709137E-2"/>
  </r>
  <r>
    <n v="55.0261"/>
    <n v="72.290000000000006"/>
    <n v="2.05131"/>
    <n v="0.25"/>
    <n v="1"/>
    <n v="2.3017799999999999"/>
    <n v="2.58148"/>
    <n v="0"/>
    <n v="0.40926400000000002"/>
    <n v="3.6288"/>
    <n v="524139"/>
    <n v="0"/>
    <n v="0"/>
    <n v="0"/>
    <n v="0"/>
    <n v="3441100"/>
    <n v="-112496"/>
    <n v="377878"/>
    <n v="95.746600000000001"/>
    <n v="98.274000000000001"/>
    <n v="1.8573999999999999"/>
    <n v="0"/>
    <n v="1"/>
    <n v="1.7922100000000001"/>
    <n v="1.51251"/>
    <n v="0"/>
    <n v="1.32473"/>
    <n v="2.1168"/>
    <n v="49688000"/>
    <n v="0"/>
    <n v="0"/>
    <n v="0"/>
    <n v="0"/>
    <n v="4636880"/>
    <n v="851219"/>
    <n v="0"/>
    <n v="22"/>
    <x v="1"/>
    <n v="6.0686451605876809E-2"/>
    <n v="-1.0807271935023087E-2"/>
  </r>
  <r>
    <n v="53.782499999999999"/>
    <n v="72.290000000000006"/>
    <n v="1.62473"/>
    <n v="0.24"/>
    <n v="1"/>
    <n v="2.38035"/>
    <n v="2.5821200000000002"/>
    <n v="0"/>
    <n v="0.43135299999999999"/>
    <n v="3.6288"/>
    <n v="516995"/>
    <n v="0"/>
    <n v="0"/>
    <n v="0"/>
    <n v="0"/>
    <n v="3558560"/>
    <n v="-7144.9"/>
    <n v="272592"/>
    <n v="95.3048"/>
    <n v="98.274000000000001"/>
    <n v="1.6065100000000001"/>
    <n v="0"/>
    <n v="1"/>
    <n v="1.71465"/>
    <n v="1.51288"/>
    <n v="0"/>
    <n v="1.38466"/>
    <n v="2.1168"/>
    <n v="50337700"/>
    <n v="0"/>
    <n v="0"/>
    <n v="0"/>
    <n v="0"/>
    <n v="4436210"/>
    <n v="649620"/>
    <n v="0"/>
    <n v="23"/>
    <x v="1"/>
    <n v="4.8408718188204976E-2"/>
    <n v="-6.6374024983385782E-4"/>
  </r>
  <r>
    <n v="52.475900000000003"/>
    <n v="72.290000000000006"/>
    <n v="1.5548200000000001"/>
    <n v="0.23"/>
    <n v="1"/>
    <n v="2.3813499999999999"/>
    <n v="2.5827499999999999"/>
    <n v="0"/>
    <n v="0.446077"/>
    <n v="3.6288"/>
    <n v="510418"/>
    <n v="0"/>
    <n v="0"/>
    <n v="0"/>
    <n v="0"/>
    <n v="3560060"/>
    <n v="-6576.97"/>
    <n v="272089"/>
    <n v="94.859200000000001"/>
    <n v="98.274000000000001"/>
    <n v="1.64283"/>
    <n v="0"/>
    <n v="1"/>
    <n v="1.71465"/>
    <n v="1.51325"/>
    <n v="0"/>
    <n v="1.32474"/>
    <n v="2.1168"/>
    <n v="50986300"/>
    <n v="0"/>
    <n v="0"/>
    <n v="0"/>
    <n v="0"/>
    <n v="4436210"/>
    <n v="648689"/>
    <n v="0"/>
    <n v="24"/>
    <x v="1"/>
    <n v="4.8339341450060802E-2"/>
    <n v="-6.1072378733625628E-4"/>
  </r>
  <r>
    <n v="51.100499999999997"/>
    <n v="72.290000000000006"/>
    <n v="1.4853499999999999"/>
    <n v="0.33"/>
    <n v="1"/>
    <n v="2.3823599999999998"/>
    <n v="2.5833900000000001"/>
    <n v="0"/>
    <n v="0.446266"/>
    <n v="3.6288"/>
    <n v="504409"/>
    <n v="0"/>
    <n v="0"/>
    <n v="0"/>
    <n v="0"/>
    <n v="3561570"/>
    <n v="-6008.85"/>
    <n v="271586"/>
    <n v="94.377600000000001"/>
    <n v="98.274000000000001"/>
    <n v="1.6023799999999999"/>
    <n v="0"/>
    <n v="1"/>
    <n v="1.71465"/>
    <n v="1.51362"/>
    <n v="0"/>
    <n v="1.32474"/>
    <n v="2.1168"/>
    <n v="51634100"/>
    <n v="0"/>
    <n v="0"/>
    <n v="0"/>
    <n v="0"/>
    <n v="4436210"/>
    <n v="647757"/>
    <n v="0"/>
    <n v="25"/>
    <x v="1"/>
    <n v="4.8269890193400895E-2"/>
    <n v="-5.5773278050993394E-4"/>
  </r>
  <r>
    <n v="49.628999999999998"/>
    <n v="72.290000000000006"/>
    <n v="1.3886499999999999"/>
    <n v="0.3"/>
    <n v="1"/>
    <n v="2.3833700000000002"/>
    <n v="2.5840200000000002"/>
    <n v="0"/>
    <n v="0.44645400000000002"/>
    <n v="3.6288"/>
    <n v="498968"/>
    <n v="0"/>
    <n v="0"/>
    <n v="0"/>
    <n v="0"/>
    <n v="3563080"/>
    <n v="-5440.55"/>
    <n v="271083"/>
    <n v="94.438999999999993"/>
    <n v="98.274000000000001"/>
    <n v="1.5068699999999999"/>
    <n v="0"/>
    <n v="1"/>
    <n v="1.71465"/>
    <n v="1.514"/>
    <n v="0"/>
    <n v="1.32474"/>
    <n v="2.1168"/>
    <n v="52280900"/>
    <n v="0"/>
    <n v="0"/>
    <n v="0"/>
    <n v="0"/>
    <n v="4436210"/>
    <n v="646825"/>
    <n v="0"/>
    <n v="26"/>
    <x v="1"/>
    <n v="4.8200438936740989E-2"/>
    <n v="-5.0476998761071301E-4"/>
  </r>
  <r>
    <n v="48.712800000000001"/>
    <n v="72.290000000000006"/>
    <n v="1.9051499999999999"/>
    <n v="0.28000000000000003"/>
    <n v="1"/>
    <n v="2.3612299999999999"/>
    <n v="2.5615100000000002"/>
    <n v="0"/>
    <n v="0.44664300000000001"/>
    <n v="3.6288"/>
    <n v="491716"/>
    <n v="0"/>
    <n v="0"/>
    <n v="0"/>
    <n v="0"/>
    <n v="3529980"/>
    <n v="-7252.03"/>
    <n v="270580"/>
    <n v="94.453400000000002"/>
    <n v="98.274000000000001"/>
    <n v="2.4471799999999999"/>
    <n v="0"/>
    <n v="1"/>
    <n v="1.7573399999999999"/>
    <n v="1.5570600000000001"/>
    <n v="0"/>
    <n v="1.32474"/>
    <n v="2.1168"/>
    <n v="52930400"/>
    <n v="0"/>
    <n v="0"/>
    <n v="0"/>
    <n v="0"/>
    <n v="4546670"/>
    <n v="649494"/>
    <n v="0"/>
    <n v="27"/>
    <x v="1"/>
    <n v="4.7223481506427578E-2"/>
    <n v="-6.7914677017429895E-4"/>
  </r>
  <r>
    <n v="47.641100000000002"/>
    <n v="72.290000000000006"/>
    <n v="1.79226"/>
    <n v="0.25"/>
    <n v="1"/>
    <n v="2.4049200000000002"/>
    <n v="2.5621399999999999"/>
    <n v="0"/>
    <n v="0.442494"/>
    <n v="3.6288"/>
    <n v="542708"/>
    <n v="0"/>
    <n v="0"/>
    <n v="0"/>
    <n v="0"/>
    <n v="3595300"/>
    <n v="50991.7"/>
    <n v="212401"/>
    <n v="94.467500000000001"/>
    <n v="98.274000000000001"/>
    <n v="2.33358"/>
    <n v="0"/>
    <n v="1"/>
    <n v="1.7146600000000001"/>
    <n v="1.5574399999999999"/>
    <n v="0"/>
    <n v="1.35772"/>
    <n v="2.1168"/>
    <n v="53468500"/>
    <n v="0"/>
    <n v="0"/>
    <n v="0"/>
    <n v="0"/>
    <n v="4436240"/>
    <n v="538109"/>
    <n v="0"/>
    <n v="28"/>
    <x v="1"/>
    <n v="4.0098812811295889E-2"/>
    <n v="4.6885726380753792E-3"/>
  </r>
  <r>
    <n v="46.409100000000002"/>
    <n v="72.290000000000006"/>
    <n v="1.6319699999999999"/>
    <n v="0.37"/>
    <n v="1"/>
    <n v="2.4059300000000001"/>
    <n v="2.56277"/>
    <n v="0"/>
    <n v="0.45068200000000003"/>
    <n v="3.6288"/>
    <n v="594282"/>
    <n v="0"/>
    <n v="0"/>
    <n v="0"/>
    <n v="0"/>
    <n v="3596810"/>
    <n v="51573.9"/>
    <n v="211884"/>
    <n v="94.324600000000004"/>
    <n v="98.274000000000001"/>
    <n v="2.3132299999999999"/>
    <n v="0"/>
    <n v="1"/>
    <n v="1.7146600000000001"/>
    <n v="1.55783"/>
    <n v="0"/>
    <n v="1.3247500000000001"/>
    <n v="2.1168"/>
    <n v="54005700"/>
    <n v="0"/>
    <n v="0"/>
    <n v="0"/>
    <n v="0"/>
    <n v="4436240"/>
    <n v="537151"/>
    <n v="0"/>
    <n v="29"/>
    <x v="1"/>
    <n v="4.0027424555992189E-2"/>
    <n v="4.7401138109335866E-3"/>
  </r>
  <r>
    <n v="45.021999999999998"/>
    <n v="72.290000000000006"/>
    <n v="1.47654"/>
    <n v="0.32"/>
    <n v="1"/>
    <n v="2.4069500000000001"/>
    <n v="2.5634000000000001"/>
    <n v="0"/>
    <n v="0.450872"/>
    <n v="3.6288"/>
    <n v="646438"/>
    <n v="0"/>
    <n v="0"/>
    <n v="0"/>
    <n v="0"/>
    <n v="3598330"/>
    <n v="52156.3"/>
    <n v="211366"/>
    <n v="94.128299999999996"/>
    <n v="98.274000000000001"/>
    <n v="2.09585"/>
    <n v="0"/>
    <n v="1"/>
    <n v="1.7146600000000001"/>
    <n v="1.5582100000000001"/>
    <n v="0"/>
    <n v="1.3247500000000001"/>
    <n v="2.1168"/>
    <n v="54541900"/>
    <n v="0"/>
    <n v="0"/>
    <n v="0"/>
    <n v="0"/>
    <n v="4436240"/>
    <n v="536192"/>
    <n v="0"/>
    <n v="30"/>
    <x v="1"/>
    <n v="3.9955961782676679E-2"/>
    <n v="4.7916167841450313E-3"/>
  </r>
  <r>
    <n v="43.450600000000001"/>
    <n v="72.290000000000006"/>
    <n v="1.3364799999999999"/>
    <n v="0.27"/>
    <n v="1"/>
    <n v="2.4678"/>
    <n v="2.6238700000000001"/>
    <n v="0"/>
    <n v="0.45106200000000002"/>
    <n v="3.6288"/>
    <n v="705329"/>
    <n v="0"/>
    <n v="0"/>
    <n v="0"/>
    <n v="0"/>
    <n v="3689300"/>
    <n v="58890.6"/>
    <n v="210849"/>
    <n v="93.8065"/>
    <n v="98.274000000000001"/>
    <n v="1.9136200000000001"/>
    <n v="0"/>
    <n v="1"/>
    <n v="1.75275"/>
    <n v="1.5966800000000001"/>
    <n v="0"/>
    <n v="1.3247500000000001"/>
    <n v="2.1168"/>
    <n v="55080300"/>
    <n v="0"/>
    <n v="0"/>
    <n v="0"/>
    <n v="0"/>
    <n v="4534780"/>
    <n v="538444"/>
    <n v="0"/>
    <n v="31"/>
    <x v="1"/>
    <n v="3.9251893492924871E-2"/>
    <n v="5.2768931414518081E-3"/>
  </r>
  <r>
    <n v="41.787300000000002"/>
    <n v="72.290000000000006"/>
    <n v="1.28376"/>
    <n v="0.26"/>
    <n v="1"/>
    <n v="2.50692"/>
    <n v="2.62452"/>
    <n v="0"/>
    <n v="0.46246599999999999"/>
    <n v="3.6288"/>
    <n v="816256"/>
    <n v="0"/>
    <n v="0"/>
    <n v="0"/>
    <n v="0"/>
    <n v="3747780"/>
    <n v="110927"/>
    <n v="158878"/>
    <n v="93.449200000000005"/>
    <n v="98.274000000000001"/>
    <n v="1.8303100000000001"/>
    <n v="0"/>
    <n v="1"/>
    <n v="1.7146699999999999"/>
    <n v="1.59707"/>
    <n v="0"/>
    <n v="1.3541700000000001"/>
    <n v="2.1168"/>
    <n v="55519300"/>
    <n v="0"/>
    <n v="0"/>
    <n v="0"/>
    <n v="0"/>
    <n v="4436270"/>
    <n v="438951"/>
    <n v="0"/>
    <n v="32"/>
    <x v="1"/>
    <n v="3.2709534599613933E-2"/>
    <n v="9.7845187747064872E-3"/>
  </r>
  <r>
    <n v="39.957099999999997"/>
    <n v="72.290000000000006"/>
    <n v="1.1164000000000001"/>
    <n v="0.33"/>
    <n v="1"/>
    <n v="2.5079500000000001"/>
    <n v="2.6251600000000002"/>
    <n v="0"/>
    <n v="0.46979599999999999"/>
    <n v="3.6288"/>
    <n v="927780"/>
    <n v="0"/>
    <n v="0"/>
    <n v="0"/>
    <n v="0"/>
    <n v="3749330"/>
    <n v="111524"/>
    <n v="158348"/>
    <n v="93.030900000000003"/>
    <n v="98.274000000000001"/>
    <n v="1.70526"/>
    <n v="0"/>
    <n v="1"/>
    <n v="1.7146699999999999"/>
    <n v="1.5974600000000001"/>
    <n v="0"/>
    <n v="1.3247599999999999"/>
    <n v="2.1168"/>
    <n v="55957200"/>
    <n v="0"/>
    <n v="0"/>
    <n v="0"/>
    <n v="0"/>
    <n v="4436270"/>
    <n v="437968"/>
    <n v="0"/>
    <n v="33"/>
    <x v="1"/>
    <n v="3.2636283889371967E-2"/>
    <n v="9.8331114905634166E-3"/>
  </r>
  <r>
    <n v="38.039099999999998"/>
    <n v="72.290000000000006"/>
    <n v="1.0280100000000001"/>
    <n v="0.28999999999999998"/>
    <n v="1"/>
    <n v="2.5089899999999998"/>
    <n v="2.62581"/>
    <n v="0"/>
    <n v="0.46999099999999999"/>
    <n v="3.6288"/>
    <n v="1039900"/>
    <n v="0"/>
    <n v="0"/>
    <n v="0"/>
    <n v="0"/>
    <n v="3750880"/>
    <n v="112121"/>
    <n v="157817"/>
    <n v="92.619600000000005"/>
    <n v="98.274000000000001"/>
    <n v="1.6456999999999999"/>
    <n v="0"/>
    <n v="1"/>
    <n v="1.7146699999999999"/>
    <n v="1.5978600000000001"/>
    <n v="0"/>
    <n v="1.3247599999999999"/>
    <n v="2.1168"/>
    <n v="56394200"/>
    <n v="0"/>
    <n v="0"/>
    <n v="0"/>
    <n v="0"/>
    <n v="4436270"/>
    <n v="436984"/>
    <n v="0"/>
    <n v="34"/>
    <x v="1"/>
    <n v="3.2562958661622128E-2"/>
    <n v="9.8816640458662484E-3"/>
  </r>
  <r>
    <n v="35.820099999999996"/>
    <n v="72.290000000000006"/>
    <n v="0.88929800000000003"/>
    <n v="0.39"/>
    <n v="1"/>
    <n v="2.6854399999999998"/>
    <n v="2.80186"/>
    <n v="0"/>
    <n v="0.47018500000000002"/>
    <n v="3.6288"/>
    <n v="1170650"/>
    <n v="0"/>
    <n v="0"/>
    <n v="0"/>
    <n v="0"/>
    <n v="4014670"/>
    <n v="130751"/>
    <n v="157286"/>
    <n v="92.199100000000001"/>
    <n v="98.274000000000001"/>
    <n v="1.6549199999999999"/>
    <n v="0"/>
    <n v="1"/>
    <n v="1.8522799999999999"/>
    <n v="1.7358499999999999"/>
    <n v="0"/>
    <n v="1.3247599999999999"/>
    <n v="2.1168"/>
    <n v="56841800"/>
    <n v="0"/>
    <n v="0"/>
    <n v="0"/>
    <n v="0"/>
    <n v="4792280"/>
    <n v="447605"/>
    <n v="0"/>
    <n v="35"/>
    <x v="1"/>
    <n v="3.087656908918409E-2"/>
    <n v="1.0766423497985346E-2"/>
  </r>
  <r>
    <n v="33.552599999999998"/>
    <n v="72.290000000000006"/>
    <n v="0.96731699999999998"/>
    <n v="0.32"/>
    <n v="1"/>
    <n v="2.8025500000000001"/>
    <n v="2.8025500000000001"/>
    <n v="0"/>
    <n v="0.50325200000000003"/>
    <n v="3.6288"/>
    <n v="1458760"/>
    <n v="0"/>
    <n v="0"/>
    <n v="0"/>
    <n v="0"/>
    <n v="4189750"/>
    <n v="288108"/>
    <n v="0"/>
    <n v="91.882599999999996"/>
    <n v="98.274000000000001"/>
    <n v="1.7962400000000001"/>
    <n v="0"/>
    <n v="1"/>
    <n v="1.73628"/>
    <n v="1.73628"/>
    <n v="0"/>
    <n v="1.4310700000000001"/>
    <n v="2.1168"/>
    <n v="56988300"/>
    <n v="0"/>
    <n v="0"/>
    <n v="0"/>
    <n v="0"/>
    <n v="4492170"/>
    <n v="146427"/>
    <n v="0"/>
    <n v="36"/>
    <x v="1"/>
    <n v="1.0775595342352624E-2"/>
    <n v="2.2732306366751012E-2"/>
  </r>
  <r>
    <n v="31.478000000000002"/>
    <n v="72.290000000000006"/>
    <n v="0.90344199999999997"/>
    <n v="0.45"/>
    <n v="1"/>
    <n v="2.5475699999999999"/>
    <n v="2.8032400000000002"/>
    <n v="0"/>
    <n v="0.52519899999999997"/>
    <n v="3.6288"/>
    <n v="2485420"/>
    <n v="0"/>
    <n v="0"/>
    <n v="0"/>
    <n v="0"/>
    <n v="4929260"/>
    <n v="1026660"/>
    <n v="0"/>
    <n v="91.658900000000003"/>
    <n v="98.274000000000001"/>
    <n v="1.7092499999999999"/>
    <n v="0"/>
    <n v="1"/>
    <n v="1.73671"/>
    <n v="1.73671"/>
    <n v="0"/>
    <n v="1.34145"/>
    <n v="2.1168"/>
    <n v="57134700"/>
    <n v="0"/>
    <n v="0"/>
    <n v="0"/>
    <n v="0"/>
    <n v="4493270"/>
    <n v="146463"/>
    <n v="0"/>
    <n v="37"/>
    <x v="1"/>
    <n v="1.0775605962095335E-2"/>
    <n v="6.8852736865892147E-2"/>
  </r>
  <r>
    <n v="29.368400000000001"/>
    <n v="72.290000000000006"/>
    <n v="1.123"/>
    <n v="0.36"/>
    <n v="1"/>
    <n v="2.8039299999999998"/>
    <n v="2.8039299999999998"/>
    <n v="0"/>
    <n v="0.47741499999999998"/>
    <n v="3.6288"/>
    <n v="2773670"/>
    <n v="0"/>
    <n v="0"/>
    <n v="0"/>
    <n v="0"/>
    <n v="4191810"/>
    <n v="288250"/>
    <n v="0"/>
    <n v="91.340100000000007"/>
    <n v="98.274000000000001"/>
    <n v="1.95584"/>
    <n v="0"/>
    <n v="1"/>
    <n v="1.7371300000000001"/>
    <n v="1.7371300000000001"/>
    <n v="0"/>
    <n v="1.34178"/>
    <n v="2.1168"/>
    <n v="57281200"/>
    <n v="0"/>
    <n v="0"/>
    <n v="0"/>
    <n v="0"/>
    <n v="4494380"/>
    <n v="146499"/>
    <n v="0"/>
    <n v="38"/>
    <x v="1"/>
    <n v="1.0775592600881996E-2"/>
    <n v="2.2732333509752924E-2"/>
  </r>
  <r>
    <n v="27.042100000000001"/>
    <n v="72.290000000000006"/>
    <n v="0.90522999999999998"/>
    <n v="0.3"/>
    <n v="1"/>
    <n v="2.8046199999999999"/>
    <n v="2.8046199999999999"/>
    <n v="0"/>
    <n v="0.52545699999999995"/>
    <n v="3.6288"/>
    <n v="3061990"/>
    <n v="0"/>
    <n v="0"/>
    <n v="0"/>
    <n v="0"/>
    <n v="4192840"/>
    <n v="288321"/>
    <n v="0"/>
    <n v="91.165199999999999"/>
    <n v="98.274000000000001"/>
    <n v="1.7144299999999999"/>
    <n v="0"/>
    <n v="1"/>
    <n v="1.73756"/>
    <n v="1.73756"/>
    <n v="0"/>
    <n v="1.3421099999999999"/>
    <n v="2.1168"/>
    <n v="57427800"/>
    <n v="0"/>
    <n v="0"/>
    <n v="0"/>
    <n v="0"/>
    <n v="4495490"/>
    <n v="146535"/>
    <n v="0"/>
    <n v="39"/>
    <x v="1"/>
    <n v="1.0775579246266801E-2"/>
    <n v="2.2732347071252084E-2"/>
  </r>
  <r>
    <n v="25.230599999999999"/>
    <n v="72.290000000000006"/>
    <n v="1.3501000000000001"/>
    <n v="0.41"/>
    <n v="1"/>
    <n v="2.7197200000000001"/>
    <n v="2.7197200000000001"/>
    <n v="0"/>
    <n v="0.525586"/>
    <n v="3.6288"/>
    <n v="3341580"/>
    <n v="0"/>
    <n v="0"/>
    <n v="0"/>
    <n v="0"/>
    <n v="4065910"/>
    <n v="279592"/>
    <n v="0"/>
    <n v="91.137500000000003"/>
    <n v="98.274000000000001"/>
    <n v="1.93214"/>
    <n v="0"/>
    <n v="1"/>
    <n v="1.6543699999999999"/>
    <n v="1.6543699999999999"/>
    <n v="0"/>
    <n v="1.3424400000000001"/>
    <n v="2.1168"/>
    <n v="57567300"/>
    <n v="0"/>
    <n v="0"/>
    <n v="0"/>
    <n v="0"/>
    <n v="4280240"/>
    <n v="139519"/>
    <n v="0"/>
    <n v="40"/>
    <x v="1"/>
    <n v="1.0775601596311052E-2"/>
    <n v="2.2732294407375692E-2"/>
  </r>
  <r>
    <n v="23.793099999999999"/>
    <n v="72.290000000000006"/>
    <n v="1.67113"/>
    <n v="0.32"/>
    <n v="1"/>
    <n v="2.6604700000000001"/>
    <n v="2.7203900000000001"/>
    <n v="0"/>
    <n v="0.50967499999999999"/>
    <n v="3.6288"/>
    <n v="3540300"/>
    <n v="0"/>
    <n v="0"/>
    <n v="0"/>
    <n v="0"/>
    <n v="3977340"/>
    <n v="198719"/>
    <n v="80942.399999999994"/>
    <n v="91.416700000000006"/>
    <n v="98.274000000000001"/>
    <n v="3.2326600000000001"/>
    <n v="0"/>
    <n v="1"/>
    <n v="1.71469"/>
    <n v="1.6547700000000001"/>
    <n v="0"/>
    <n v="1.27816"/>
    <n v="2.1168"/>
    <n v="57861800"/>
    <n v="0"/>
    <n v="0"/>
    <n v="0"/>
    <n v="0"/>
    <n v="4436300"/>
    <n v="294564"/>
    <n v="0"/>
    <n v="41"/>
    <x v="1"/>
    <n v="2.1950026754252082E-2"/>
    <n v="1.6516688095241476E-2"/>
  </r>
  <r>
    <n v="22.552099999999999"/>
    <n v="72.290000000000006"/>
    <n v="1.6187199999999999"/>
    <n v="0.45"/>
    <n v="1"/>
    <n v="2.4133800000000001"/>
    <n v="2.72106"/>
    <n v="0"/>
    <n v="0.49857299999999999"/>
    <n v="3.6288"/>
    <n v="4430290"/>
    <n v="0"/>
    <n v="0"/>
    <n v="0"/>
    <n v="0"/>
    <n v="4669610"/>
    <n v="889992"/>
    <n v="0"/>
    <n v="91.695700000000002"/>
    <n v="98.274000000000001"/>
    <n v="3.1980200000000001"/>
    <n v="0"/>
    <n v="1"/>
    <n v="1.71469"/>
    <n v="1.6551800000000001"/>
    <n v="0"/>
    <n v="1.32477"/>
    <n v="2.1168"/>
    <n v="58155400"/>
    <n v="0"/>
    <n v="0"/>
    <n v="0"/>
    <n v="0"/>
    <n v="4436300"/>
    <n v="293546"/>
    <n v="0"/>
    <n v="42"/>
    <x v="1"/>
    <n v="2.1874168444221569E-2"/>
    <n v="6.3005982022706686E-2"/>
  </r>
  <r>
    <n v="20.9986"/>
    <n v="72.290000000000006"/>
    <n v="1.55409"/>
    <n v="0.39"/>
    <n v="1"/>
    <n v="2.6626300000000001"/>
    <n v="2.72173"/>
    <n v="0"/>
    <n v="0.45226699999999997"/>
    <n v="3.6288"/>
    <n v="4630250"/>
    <n v="0"/>
    <n v="0"/>
    <n v="0"/>
    <n v="0"/>
    <n v="3980560"/>
    <n v="199956"/>
    <n v="79842.7"/>
    <n v="91.993399999999994"/>
    <n v="98.274000000000001"/>
    <n v="3.3816899999999999"/>
    <n v="0"/>
    <n v="1"/>
    <n v="1.71469"/>
    <n v="1.6555899999999999"/>
    <n v="0"/>
    <n v="1.32477"/>
    <n v="2.1168"/>
    <n v="58447900"/>
    <n v="0"/>
    <n v="0"/>
    <n v="0"/>
    <n v="0"/>
    <n v="4436300"/>
    <n v="292527"/>
    <n v="0"/>
    <n v="43"/>
    <x v="1"/>
    <n v="2.1798235617187092E-2"/>
    <n v="1.6606058298922165E-2"/>
  </r>
  <r>
    <n v="19.873899999999999"/>
    <n v="72.290000000000006"/>
    <n v="1.94421"/>
    <n v="0.36"/>
    <n v="1"/>
    <n v="2.5933799999999998"/>
    <n v="2.6520700000000001"/>
    <n v="0"/>
    <n v="0.49897599999999998"/>
    <n v="3.6288"/>
    <n v="4823600"/>
    <n v="0"/>
    <n v="0"/>
    <n v="0"/>
    <n v="0"/>
    <n v="3877030"/>
    <n v="193345"/>
    <n v="79292.600000000006"/>
    <n v="92.480599999999995"/>
    <n v="98.274000000000001"/>
    <n v="3.8936299999999999"/>
    <n v="0"/>
    <n v="1"/>
    <n v="1.6385000000000001"/>
    <n v="1.5798000000000001"/>
    <n v="0"/>
    <n v="1.32477"/>
    <n v="2.1168"/>
    <n v="58733000"/>
    <n v="0"/>
    <n v="0"/>
    <n v="0"/>
    <n v="0"/>
    <n v="4239180"/>
    <n v="285082"/>
    <n v="0"/>
    <n v="44"/>
    <x v="1"/>
    <n v="2.223126788003825E-2"/>
    <n v="1.6485801880805971E-2"/>
  </r>
  <r>
    <n v="18.411799999999999"/>
    <n v="72.290000000000006"/>
    <n v="1.54714"/>
    <n v="0.31"/>
    <n v="1"/>
    <n v="2.5182500000000001"/>
    <n v="2.65272"/>
    <n v="0"/>
    <n v="0.48599900000000001"/>
    <n v="3.6288"/>
    <n v="4914620"/>
    <n v="0"/>
    <n v="0"/>
    <n v="0"/>
    <n v="0"/>
    <n v="3764710"/>
    <n v="91028"/>
    <n v="181677"/>
    <n v="92.860399999999998"/>
    <n v="98.274000000000001"/>
    <n v="3.4771700000000001"/>
    <n v="0"/>
    <n v="1"/>
    <n v="1.7146699999999999"/>
    <n v="1.58019"/>
    <n v="0"/>
    <n v="1.2659"/>
    <n v="2.1168"/>
    <n v="59214200"/>
    <n v="0"/>
    <n v="0"/>
    <n v="0"/>
    <n v="0"/>
    <n v="4436260"/>
    <n v="481189"/>
    <n v="0"/>
    <n v="45"/>
    <x v="1"/>
    <n v="3.5857085924378827E-2"/>
    <n v="7.9931831770394795E-3"/>
  </r>
  <r>
    <n v="17.468699999999998"/>
    <n v="72.290000000000006"/>
    <n v="1.8226"/>
    <n v="0.54"/>
    <n v="1"/>
    <n v="2.2772899999999998"/>
    <n v="2.6533699999999998"/>
    <n v="0"/>
    <n v="0.47191899999999998"/>
    <n v="3.6288"/>
    <n v="5646260"/>
    <n v="0"/>
    <n v="0"/>
    <n v="0"/>
    <n v="0"/>
    <n v="4406280"/>
    <n v="731635"/>
    <n v="0"/>
    <n v="93.132900000000006"/>
    <n v="98.274000000000001"/>
    <n v="2.7415799999999999"/>
    <n v="0"/>
    <n v="1"/>
    <n v="1.7146699999999999"/>
    <n v="1.5805800000000001"/>
    <n v="0"/>
    <n v="1.3247500000000001"/>
    <n v="2.1168"/>
    <n v="59694400"/>
    <n v="0"/>
    <n v="0"/>
    <n v="0"/>
    <n v="0"/>
    <n v="4436260"/>
    <n v="480216"/>
    <n v="0"/>
    <n v="46"/>
    <x v="1"/>
    <n v="3.5784580225777199E-2"/>
    <n v="5.4890688007332426E-2"/>
  </r>
  <r>
    <n v="20.102699999999999"/>
    <n v="72.290000000000006"/>
    <n v="5.399"/>
    <n v="0.46"/>
    <n v="1"/>
    <n v="2.27827"/>
    <n v="2.6540300000000001"/>
    <n v="0"/>
    <n v="0.42676399999999998"/>
    <n v="3.6288"/>
    <n v="6378830"/>
    <n v="0"/>
    <n v="0"/>
    <n v="0"/>
    <n v="0"/>
    <n v="4408180"/>
    <n v="732570"/>
    <n v="0"/>
    <n v="95.354200000000006"/>
    <n v="98.274000000000001"/>
    <n v="8.2996300000000005"/>
    <n v="0"/>
    <n v="1"/>
    <n v="1.7146699999999999"/>
    <n v="1.58097"/>
    <n v="0"/>
    <n v="1.3247500000000001"/>
    <n v="2.1168"/>
    <n v="60173600"/>
    <n v="0"/>
    <n v="0"/>
    <n v="0"/>
    <n v="0"/>
    <n v="4436260"/>
    <n v="479243"/>
    <n v="0"/>
    <n v="47"/>
    <x v="1"/>
    <n v="3.5712074527175564E-2"/>
    <n v="5.4937147042908856E-2"/>
  </r>
  <r>
    <n v="21.865200000000002"/>
    <n v="72.290000000000006"/>
    <n v="4.5793600000000003"/>
    <n v="0.28000000000000003"/>
    <n v="1"/>
    <n v="2.3214399999999999"/>
    <n v="2.4547500000000002"/>
    <n v="0"/>
    <n v="0.42694799999999999"/>
    <n v="3.6288"/>
    <n v="6451080"/>
    <n v="0"/>
    <n v="0"/>
    <n v="0"/>
    <n v="0"/>
    <n v="3470500"/>
    <n v="72251.899999999994"/>
    <n v="180102"/>
    <n v="97.659300000000002"/>
    <n v="98.274000000000001"/>
    <n v="8.0828600000000002"/>
    <n v="0"/>
    <n v="1"/>
    <n v="1.55583"/>
    <n v="1.42252"/>
    <n v="0"/>
    <n v="1.3247500000000001"/>
    <n v="2.1168"/>
    <n v="60638500"/>
    <n v="0"/>
    <n v="0"/>
    <n v="0"/>
    <n v="0"/>
    <n v="4025290"/>
    <n v="464874"/>
    <n v="0"/>
    <n v="48"/>
    <x v="1"/>
    <n v="3.8178105631168163E-2"/>
    <n v="6.8822986726969565E-3"/>
  </r>
  <r>
    <n v="23.1114"/>
    <n v="72.290000000000006"/>
    <n v="3.9329999999999998"/>
    <n v="0.28999999999999998"/>
    <n v="1"/>
    <n v="2.1635900000000001"/>
    <n v="2.4553600000000002"/>
    <n v="0"/>
    <n v="0.43503799999999998"/>
    <n v="3.6288"/>
    <n v="6309330"/>
    <n v="0"/>
    <n v="0"/>
    <n v="0"/>
    <n v="0"/>
    <n v="3234520"/>
    <n v="-141754"/>
    <n v="394170"/>
    <n v="99.302199999999999"/>
    <n v="98.274000000000001"/>
    <n v="8.8619400000000006"/>
    <n v="0"/>
    <n v="1"/>
    <n v="1.7146300000000001"/>
    <n v="1.4228700000000001"/>
    <n v="0"/>
    <n v="1.2020299999999999"/>
    <n v="2.1168"/>
    <n v="61513400"/>
    <n v="0"/>
    <n v="0"/>
    <n v="0"/>
    <n v="0"/>
    <n v="4436160"/>
    <n v="874860"/>
    <n v="0"/>
    <n v="49"/>
    <x v="1"/>
    <n v="6.5194003465048472E-2"/>
    <n v="-1.4487777721368047E-2"/>
  </r>
  <r>
    <n v="26.439299999999999"/>
    <n v="72.290000000000006"/>
    <n v="6.0184899999999999"/>
    <n v="0.31"/>
    <n v="1"/>
    <n v="2.1645500000000002"/>
    <n v="2.4559600000000001"/>
    <n v="0"/>
    <n v="0.40545700000000001"/>
    <n v="3.6288"/>
    <n v="6168110"/>
    <n v="0"/>
    <n v="0"/>
    <n v="0"/>
    <n v="0"/>
    <n v="3235940"/>
    <n v="-141219"/>
    <n v="393697"/>
    <n v="99.302199999999999"/>
    <n v="98.274000000000001"/>
    <n v="9.7989499999999996"/>
    <n v="0"/>
    <n v="1"/>
    <n v="1.7146300000000001"/>
    <n v="1.4232199999999999"/>
    <n v="0"/>
    <n v="1.3247199999999999"/>
    <n v="2.1168"/>
    <n v="62387400"/>
    <n v="0"/>
    <n v="0"/>
    <n v="0"/>
    <n v="0"/>
    <n v="4436160"/>
    <n v="873984"/>
    <n v="0"/>
    <n v="50"/>
    <x v="1"/>
    <n v="6.512872450951801E-2"/>
    <n v="-1.4426765209034752E-2"/>
  </r>
  <r>
    <n v="31.588799999999999"/>
    <n v="72.290000000000006"/>
    <n v="7.8489399999999998"/>
    <n v="0.27"/>
    <n v="1"/>
    <n v="2.1655000000000002"/>
    <n v="2.4565600000000001"/>
    <n v="0"/>
    <n v="0.405636"/>
    <n v="3.6288"/>
    <n v="6027420"/>
    <n v="0"/>
    <n v="0"/>
    <n v="0"/>
    <n v="0"/>
    <n v="3237370"/>
    <n v="-140684"/>
    <n v="393224"/>
    <n v="99.302199999999999"/>
    <n v="98.274000000000001"/>
    <n v="11.748900000000001"/>
    <n v="0"/>
    <n v="1"/>
    <n v="1.7146300000000001"/>
    <n v="1.42357"/>
    <n v="0"/>
    <n v="1.3247199999999999"/>
    <n v="2.1168"/>
    <n v="63260500"/>
    <n v="0"/>
    <n v="0"/>
    <n v="0"/>
    <n v="0"/>
    <n v="4436160"/>
    <n v="873108"/>
    <n v="0"/>
    <n v="51"/>
    <x v="1"/>
    <n v="6.5063445553987548E-2"/>
    <n v="-1.4365761845488299E-2"/>
  </r>
  <r>
    <n v="35.950699999999998"/>
    <n v="72.290000000000006"/>
    <n v="7.0583299999999998"/>
    <n v="0.23"/>
    <n v="1"/>
    <n v="2.1664500000000002"/>
    <n v="2.4571700000000001"/>
    <n v="0"/>
    <n v="0.40581499999999998"/>
    <n v="3.6288"/>
    <n v="5887270"/>
    <n v="0"/>
    <n v="0"/>
    <n v="0"/>
    <n v="0"/>
    <n v="3238800"/>
    <n v="-140149"/>
    <n v="392751"/>
    <n v="99.302199999999999"/>
    <n v="98.274000000000001"/>
    <n v="20.5397"/>
    <n v="0"/>
    <n v="1"/>
    <n v="1.7146300000000001"/>
    <n v="1.4239200000000001"/>
    <n v="0"/>
    <n v="1.3247199999999999"/>
    <n v="2.1168"/>
    <n v="64132700"/>
    <n v="0"/>
    <n v="0"/>
    <n v="0"/>
    <n v="0"/>
    <n v="4436160"/>
    <n v="872231"/>
    <n v="0"/>
    <n v="52"/>
    <x v="1"/>
    <n v="6.4998092079101455E-2"/>
    <n v="-1.4304812350541247E-2"/>
  </r>
  <r>
    <n v="43.919600000000003"/>
    <n v="72.290000000000006"/>
    <n v="10.760899999999999"/>
    <n v="0.22"/>
    <n v="1"/>
    <n v="2.2444000000000002"/>
    <n v="2.5347599999999999"/>
    <n v="0"/>
    <n v="0.40599400000000002"/>
    <n v="3.6288"/>
    <n v="5755570"/>
    <n v="0"/>
    <n v="0"/>
    <n v="0"/>
    <n v="0"/>
    <n v="3355310"/>
    <n v="-131700"/>
    <n v="392278"/>
    <n v="99.302199999999999"/>
    <n v="98.274000000000001"/>
    <n v="12.1951"/>
    <n v="0"/>
    <n v="1"/>
    <n v="1.76068"/>
    <n v="1.47031"/>
    <n v="0"/>
    <n v="1.3247199999999999"/>
    <n v="2.1168"/>
    <n v="65007900"/>
    <n v="0"/>
    <n v="0"/>
    <n v="0"/>
    <n v="0"/>
    <n v="4555290"/>
    <n v="875238"/>
    <n v="0"/>
    <n v="1"/>
    <x v="2"/>
    <n v="3.7669577926660307E-2"/>
    <n v="-7.6954450813525163E-3"/>
  </r>
  <r>
    <n v="48.636800000000001"/>
    <n v="72.290000000000006"/>
    <n v="7.57918"/>
    <n v="0.17"/>
    <n v="1"/>
    <n v="2.2913899999999998"/>
    <n v="2.5353599999999998"/>
    <n v="0"/>
    <n v="0.42059999999999997"/>
    <n v="3.6288"/>
    <n v="5686620"/>
    <n v="0"/>
    <n v="0"/>
    <n v="0"/>
    <n v="0"/>
    <n v="3425580"/>
    <n v="-68956.7"/>
    <n v="329597"/>
    <n v="99.302199999999999"/>
    <n v="98.274000000000001"/>
    <n v="8.3840900000000005"/>
    <n v="0"/>
    <n v="1"/>
    <n v="1.7146300000000001"/>
    <n v="1.4706600000000001"/>
    <n v="0"/>
    <n v="1.3603000000000001"/>
    <n v="2.1168"/>
    <n v="65763200"/>
    <n v="0"/>
    <n v="0"/>
    <n v="0"/>
    <n v="0"/>
    <n v="4436160"/>
    <n v="755229"/>
    <n v="0"/>
    <n v="2"/>
    <x v="2"/>
    <n v="3.3377367145376084E-2"/>
    <n v="-3.9465987566062524E-3"/>
  </r>
  <r>
    <n v="52.106099999999998"/>
    <n v="72.290000000000006"/>
    <n v="6.3434400000000002"/>
    <n v="0.15"/>
    <n v="1"/>
    <n v="2.2923499999999999"/>
    <n v="2.5359699999999998"/>
    <n v="0"/>
    <n v="0.42940699999999998"/>
    <n v="3.6288"/>
    <n v="5618190"/>
    <n v="0"/>
    <n v="0"/>
    <n v="0"/>
    <n v="0"/>
    <n v="3427000"/>
    <n v="-68422.2"/>
    <n v="329124"/>
    <n v="99.302199999999999"/>
    <n v="98.274000000000001"/>
    <n v="6.9242800000000004"/>
    <n v="0"/>
    <n v="1"/>
    <n v="1.7146300000000001"/>
    <n v="1.4710099999999999"/>
    <n v="0"/>
    <n v="1.3247199999999999"/>
    <n v="2.1168"/>
    <n v="66517500"/>
    <n v="0"/>
    <n v="0"/>
    <n v="0"/>
    <n v="0"/>
    <n v="4436160"/>
    <n v="754353"/>
    <n v="0"/>
    <n v="3"/>
    <x v="2"/>
    <n v="3.3338652300449113E-2"/>
    <n v="-3.9143850949627549E-3"/>
  </r>
  <r>
    <n v="54.447200000000002"/>
    <n v="72.290000000000006"/>
    <n v="5.2242600000000001"/>
    <n v="0.15"/>
    <n v="1"/>
    <n v="2.2932999999999999"/>
    <n v="2.5365700000000002"/>
    <n v="0"/>
    <n v="0.42958600000000002"/>
    <n v="3.6288"/>
    <n v="5550310"/>
    <n v="0"/>
    <n v="0"/>
    <n v="0"/>
    <n v="0"/>
    <n v="3428430"/>
    <n v="-67887.5"/>
    <n v="328652"/>
    <n v="99.302199999999999"/>
    <n v="98.274000000000001"/>
    <n v="5.4079800000000002"/>
    <n v="0"/>
    <n v="1"/>
    <n v="1.7146300000000001"/>
    <n v="1.47136"/>
    <n v="0"/>
    <n v="1.3247199999999999"/>
    <n v="2.1168"/>
    <n v="67271000"/>
    <n v="0"/>
    <n v="0"/>
    <n v="0"/>
    <n v="0"/>
    <n v="4436160"/>
    <n v="753477"/>
    <n v="0"/>
    <n v="4"/>
    <x v="2"/>
    <n v="3.3299937455522143E-2"/>
    <n v="-3.8821753575181612E-3"/>
  </r>
  <r>
    <n v="61.785200000000003"/>
    <n v="72.290000000000006"/>
    <n v="10.5062"/>
    <n v="0.13"/>
    <n v="1"/>
    <n v="2.5417200000000002"/>
    <n v="2.78464"/>
    <n v="0"/>
    <n v="0.42976500000000001"/>
    <n v="3.6288"/>
    <n v="5508390"/>
    <n v="0"/>
    <n v="0"/>
    <n v="0"/>
    <n v="0"/>
    <n v="3799810"/>
    <n v="-41912.199999999997"/>
    <n v="328179"/>
    <n v="99.302199999999999"/>
    <n v="98.274000000000001"/>
    <n v="9.4335000000000004"/>
    <n v="0"/>
    <n v="1"/>
    <n v="1.88767"/>
    <n v="1.6447499999999999"/>
    <n v="0"/>
    <n v="1.3247199999999999"/>
    <n v="2.1168"/>
    <n v="68038200"/>
    <n v="0"/>
    <n v="0"/>
    <n v="0"/>
    <n v="0"/>
    <n v="4883860"/>
    <n v="767195"/>
    <n v="0"/>
    <n v="5"/>
    <x v="2"/>
    <n v="3.0798046981984257E-2"/>
    <n v="-2.1625153353170778E-3"/>
  </r>
  <r>
    <n v="69.284599999999998"/>
    <n v="72.290000000000006"/>
    <n v="10.8576"/>
    <n v="0.09"/>
    <n v="1"/>
    <n v="2.7157800000000001"/>
    <n v="2.7852999999999999"/>
    <n v="0"/>
    <n v="0.47631899999999999"/>
    <n v="3.6288"/>
    <n v="5700800"/>
    <n v="0"/>
    <n v="0"/>
    <n v="0"/>
    <n v="0"/>
    <n v="4060020"/>
    <n v="192406"/>
    <n v="93928.4"/>
    <n v="99.302199999999999"/>
    <n v="98.274000000000001"/>
    <n v="14.5649"/>
    <n v="0"/>
    <n v="1"/>
    <n v="1.7146699999999999"/>
    <n v="1.6451499999999999"/>
    <n v="0"/>
    <n v="1.45842"/>
    <n v="2.1168"/>
    <n v="68356800"/>
    <n v="0"/>
    <n v="0"/>
    <n v="0"/>
    <n v="0"/>
    <n v="4436260"/>
    <n v="318621"/>
    <n v="0"/>
    <n v="6"/>
    <x v="2"/>
    <n v="1.4081146744033938E-2"/>
    <n v="9.2911839280088605E-3"/>
  </r>
  <r>
    <n v="72.290000000000006"/>
    <n v="72.290000000000006"/>
    <n v="13.125500000000001"/>
    <n v="0.04"/>
    <n v="1"/>
    <n v="2.7168299999999999"/>
    <n v="2.7859699999999998"/>
    <n v="0"/>
    <n v="0.50893699999999997"/>
    <n v="3.6288"/>
    <n v="5893800"/>
    <n v="0"/>
    <n v="0"/>
    <n v="0"/>
    <n v="0"/>
    <n v="4061600"/>
    <n v="193003"/>
    <n v="93399.8"/>
    <n v="99.302199999999999"/>
    <n v="98.274000000000001"/>
    <n v="15.589399999999999"/>
    <n v="0"/>
    <n v="1"/>
    <n v="1.7146699999999999"/>
    <n v="1.64554"/>
    <n v="0"/>
    <n v="1.3247500000000001"/>
    <n v="2.1168"/>
    <n v="68674400"/>
    <n v="0"/>
    <n v="0"/>
    <n v="0"/>
    <n v="0"/>
    <n v="4436260"/>
    <n v="317642"/>
    <n v="0"/>
    <n v="7"/>
    <x v="2"/>
    <n v="1.4037880786478066E-2"/>
    <n v="9.3163871708691112E-3"/>
  </r>
  <r>
    <n v="72.290000000000006"/>
    <n v="72.290000000000006"/>
    <n v="10.3476"/>
    <n v="0.04"/>
    <n v="1"/>
    <n v="2.7178900000000001"/>
    <n v="2.7866300000000002"/>
    <n v="0"/>
    <n v="0.50913399999999998"/>
    <n v="3.6288"/>
    <n v="6087400"/>
    <n v="0"/>
    <n v="0"/>
    <n v="0"/>
    <n v="0"/>
    <n v="4063170"/>
    <n v="193600"/>
    <n v="92871.1"/>
    <n v="99.302199999999999"/>
    <n v="98.274000000000001"/>
    <n v="15.021100000000001"/>
    <n v="0"/>
    <n v="1"/>
    <n v="1.7146699999999999"/>
    <n v="1.6459299999999999"/>
    <n v="0"/>
    <n v="1.3247599999999999"/>
    <n v="2.1168"/>
    <n v="68991100"/>
    <n v="0"/>
    <n v="0"/>
    <n v="0"/>
    <n v="0"/>
    <n v="4436260"/>
    <n v="316662"/>
    <n v="0"/>
    <n v="8"/>
    <x v="2"/>
    <n v="1.3994570634889963E-2"/>
    <n v="9.3415938036088605E-3"/>
  </r>
  <r>
    <n v="72.290000000000006"/>
    <n v="72.290000000000006"/>
    <n v="7.1820000000000004"/>
    <n v="0.04"/>
    <n v="1"/>
    <n v="2.3656299999999999"/>
    <n v="2.4339900000000001"/>
    <n v="0"/>
    <n v="0.50933200000000001"/>
    <n v="3.6288"/>
    <n v="6245280"/>
    <n v="0"/>
    <n v="0"/>
    <n v="0"/>
    <n v="0"/>
    <n v="3536560"/>
    <n v="157876"/>
    <n v="92342.2"/>
    <n v="99.302199999999999"/>
    <n v="98.274000000000001"/>
    <n v="9.6394199999999994"/>
    <n v="0"/>
    <n v="1"/>
    <n v="1.4822299999999999"/>
    <n v="1.41387"/>
    <n v="0"/>
    <n v="1.3247599999999999"/>
    <n v="2.1168"/>
    <n v="69287200"/>
    <n v="0"/>
    <n v="0"/>
    <n v="0"/>
    <n v="0"/>
    <n v="3834870"/>
    <n v="296080"/>
    <n v="0"/>
    <n v="9"/>
    <x v="2"/>
    <n v="1.5136973315270922E-2"/>
    <n v="8.7521691653574384E-3"/>
  </r>
  <r>
    <n v="72.290000000000006"/>
    <n v="72.290000000000006"/>
    <n v="5.6158099999999997"/>
    <n v="0.05"/>
    <n v="1"/>
    <n v="2.1341600000000001"/>
    <n v="2.4345599999999998"/>
    <n v="0"/>
    <n v="0.44331999999999999"/>
    <n v="3.6288"/>
    <n v="6089710"/>
    <n v="0"/>
    <n v="0"/>
    <n v="0"/>
    <n v="0"/>
    <n v="3190510"/>
    <n v="-155566"/>
    <n v="405844"/>
    <n v="99.302199999999999"/>
    <n v="98.274000000000001"/>
    <n v="7.9489099999999997"/>
    <n v="0"/>
    <n v="1"/>
    <n v="1.71462"/>
    <n v="1.41421"/>
    <n v="0"/>
    <n v="1.14517"/>
    <n v="2.1168"/>
    <n v="70183700"/>
    <n v="0"/>
    <n v="0"/>
    <n v="0"/>
    <n v="0"/>
    <n v="4436120"/>
    <n v="896487"/>
    <n v="0"/>
    <n v="10"/>
    <x v="2"/>
    <n v="3.9620625726483533E-2"/>
    <n v="-9.5595003686452969E-3"/>
  </r>
  <r>
    <n v="72.290000000000006"/>
    <n v="72.290000000000006"/>
    <n v="5.60318"/>
    <n v="0.05"/>
    <n v="1"/>
    <n v="2.1350699999999998"/>
    <n v="2.4351400000000001"/>
    <n v="0"/>
    <n v="0.39994099999999999"/>
    <n v="3.6288"/>
    <n v="5934660"/>
    <n v="0"/>
    <n v="0"/>
    <n v="0"/>
    <n v="0"/>
    <n v="3191880"/>
    <n v="-155052"/>
    <n v="405390"/>
    <n v="99.302199999999999"/>
    <n v="98.274000000000001"/>
    <n v="6.9524400000000002"/>
    <n v="0"/>
    <n v="1"/>
    <n v="1.71462"/>
    <n v="1.41455"/>
    <n v="0"/>
    <n v="1.3247100000000001"/>
    <n v="2.1168"/>
    <n v="71079300"/>
    <n v="0"/>
    <n v="0"/>
    <n v="0"/>
    <n v="0"/>
    <n v="4436120"/>
    <n v="895645"/>
    <n v="0"/>
    <n v="11"/>
    <x v="2"/>
    <n v="3.958341317698566E-2"/>
    <n v="-9.523825653033946E-3"/>
  </r>
  <r>
    <n v="72.290000000000006"/>
    <n v="72.290000000000006"/>
    <n v="6.0346000000000002"/>
    <n v="0.05"/>
    <n v="1"/>
    <n v="2.1359900000000001"/>
    <n v="2.4357199999999999"/>
    <n v="0"/>
    <n v="0.400113"/>
    <n v="3.6288"/>
    <n v="5780120"/>
    <n v="0"/>
    <n v="0"/>
    <n v="0"/>
    <n v="0"/>
    <n v="3193250"/>
    <n v="-154538"/>
    <n v="404935"/>
    <n v="99.302199999999999"/>
    <n v="98.274000000000001"/>
    <n v="8.1857500000000005"/>
    <n v="0"/>
    <n v="1"/>
    <n v="1.71462"/>
    <n v="1.4148799999999999"/>
    <n v="0"/>
    <n v="1.3247100000000001"/>
    <n v="2.1168"/>
    <n v="71974100"/>
    <n v="0"/>
    <n v="0"/>
    <n v="0"/>
    <n v="0"/>
    <n v="4436120"/>
    <n v="894803"/>
    <n v="0"/>
    <n v="12"/>
    <x v="2"/>
    <n v="3.9546200627487788E-2"/>
    <n v="-9.4881815484680124E-3"/>
  </r>
  <r>
    <n v="72.290000000000006"/>
    <n v="72.290000000000006"/>
    <n v="7.23489"/>
    <n v="0.05"/>
    <n v="1"/>
    <n v="2.1369099999999999"/>
    <n v="2.4363000000000001"/>
    <n v="0"/>
    <n v="0.400285"/>
    <n v="3.6288"/>
    <n v="5626100"/>
    <n v="0"/>
    <n v="0"/>
    <n v="0"/>
    <n v="0"/>
    <n v="3194620"/>
    <n v="-154024"/>
    <n v="404481"/>
    <n v="99.302199999999999"/>
    <n v="98.274000000000001"/>
    <n v="10.9138"/>
    <n v="0"/>
    <n v="1"/>
    <n v="1.71462"/>
    <n v="1.4152199999999999"/>
    <n v="0"/>
    <n v="1.3247100000000001"/>
    <n v="2.1168"/>
    <n v="72868100"/>
    <n v="0"/>
    <n v="0"/>
    <n v="0"/>
    <n v="0"/>
    <n v="4436120"/>
    <n v="893961"/>
    <n v="0"/>
    <n v="13"/>
    <x v="2"/>
    <n v="3.9508988077989915E-2"/>
    <n v="-9.4525680155652225E-3"/>
  </r>
  <r>
    <n v="72.290000000000006"/>
    <n v="72.290000000000006"/>
    <n v="5.99071"/>
    <n v="0.05"/>
    <n v="1"/>
    <n v="2.2268599999999998"/>
    <n v="2.5259200000000002"/>
    <n v="0"/>
    <n v="0.40045599999999998"/>
    <n v="3.6288"/>
    <n v="5481740"/>
    <n v="0"/>
    <n v="0"/>
    <n v="0"/>
    <n v="0"/>
    <n v="3329100"/>
    <n v="-144356"/>
    <n v="404026"/>
    <n v="99.302199999999999"/>
    <n v="98.274000000000001"/>
    <n v="9.6448800000000006"/>
    <n v="0"/>
    <n v="1"/>
    <n v="1.77155"/>
    <n v="1.4724900000000001"/>
    <n v="0"/>
    <n v="1.3247100000000001"/>
    <n v="2.1168"/>
    <n v="73766000"/>
    <n v="0"/>
    <n v="0"/>
    <n v="0"/>
    <n v="0"/>
    <n v="4583420"/>
    <n v="897920"/>
    <n v="0"/>
    <n v="14"/>
    <x v="2"/>
    <n v="3.8408611638765258E-2"/>
    <n v="-8.5013641295676595E-3"/>
  </r>
  <r>
    <n v="72.290000000000006"/>
    <n v="72.290000000000006"/>
    <n v="6.0488600000000003"/>
    <n v="0.05"/>
    <n v="1"/>
    <n v="2.2847300000000001"/>
    <n v="2.5265200000000001"/>
    <n v="0"/>
    <n v="0.41731400000000002"/>
    <n v="3.6288"/>
    <n v="5414820"/>
    <n v="0"/>
    <n v="0"/>
    <n v="0"/>
    <n v="0"/>
    <n v="3415610"/>
    <n v="-66924.600000000006"/>
    <n v="326656"/>
    <n v="99.302199999999999"/>
    <n v="98.274000000000001"/>
    <n v="19.7699"/>
    <n v="0"/>
    <n v="1"/>
    <n v="1.7146300000000001"/>
    <n v="1.4728399999999999"/>
    <n v="0"/>
    <n v="1.3687"/>
    <n v="2.1168"/>
    <n v="74515800"/>
    <n v="0"/>
    <n v="0"/>
    <n v="0"/>
    <n v="0"/>
    <n v="4436160"/>
    <n v="749780"/>
    <n v="0"/>
    <n v="15"/>
    <x v="2"/>
    <n v="3.313654843532237E-2"/>
    <n v="-3.8414760260128801E-3"/>
  </r>
  <r>
    <n v="72.290000000000006"/>
    <n v="72.290000000000006"/>
    <n v="4.8774300000000004"/>
    <n v="0.05"/>
    <n v="1"/>
    <n v="2.2856800000000002"/>
    <n v="2.52712"/>
    <n v="0"/>
    <n v="0.42815900000000001"/>
    <n v="3.6288"/>
    <n v="5348430"/>
    <n v="0"/>
    <n v="0"/>
    <n v="0"/>
    <n v="0"/>
    <n v="3417040"/>
    <n v="-66389.5"/>
    <n v="326183"/>
    <n v="99.302199999999999"/>
    <n v="98.274000000000001"/>
    <n v="9.3227499999999992"/>
    <n v="0"/>
    <n v="1"/>
    <n v="1.7146300000000001"/>
    <n v="1.47319"/>
    <n v="0"/>
    <n v="1.3247199999999999"/>
    <n v="2.1168"/>
    <n v="75264700"/>
    <n v="0"/>
    <n v="0"/>
    <n v="0"/>
    <n v="0"/>
    <n v="4436160"/>
    <n v="748903"/>
    <n v="0"/>
    <n v="16"/>
    <x v="2"/>
    <n v="3.3097789395366943E-2"/>
    <n v="-3.8091664853971588E-3"/>
  </r>
  <r>
    <n v="72.290000000000006"/>
    <n v="72.290000000000006"/>
    <n v="5.59863"/>
    <n v="0.05"/>
    <n v="1"/>
    <n v="2.2866300000000002"/>
    <n v="2.52772"/>
    <n v="0"/>
    <n v="0.42833700000000002"/>
    <n v="3.6288"/>
    <n v="5282570"/>
    <n v="0"/>
    <n v="0"/>
    <n v="0"/>
    <n v="0"/>
    <n v="3418460"/>
    <n v="-65854.399999999994"/>
    <n v="325709"/>
    <n v="99.302199999999999"/>
    <n v="98.274000000000001"/>
    <n v="11.2637"/>
    <n v="0"/>
    <n v="1"/>
    <n v="1.7146300000000001"/>
    <n v="1.4735400000000001"/>
    <n v="0"/>
    <n v="1.3247199999999999"/>
    <n v="2.1168"/>
    <n v="76012700"/>
    <n v="0"/>
    <n v="0"/>
    <n v="0"/>
    <n v="0"/>
    <n v="4436160"/>
    <n v="748026"/>
    <n v="0"/>
    <n v="17"/>
    <x v="2"/>
    <n v="3.3059030355411523E-2"/>
    <n v="-3.7768950244593063E-3"/>
  </r>
  <r>
    <n v="72.290000000000006"/>
    <n v="72.290000000000006"/>
    <n v="4.1139900000000003"/>
    <n v="0.05"/>
    <n v="1"/>
    <n v="2.2527400000000002"/>
    <n v="2.4934799999999999"/>
    <n v="0"/>
    <n v="0.42851499999999998"/>
    <n v="3.6288"/>
    <n v="5213670"/>
    <n v="0"/>
    <n v="0"/>
    <n v="0"/>
    <n v="0"/>
    <n v="3367790"/>
    <n v="-68901.399999999994"/>
    <n v="325236"/>
    <n v="99.302199999999999"/>
    <n v="98.274000000000001"/>
    <n v="7.1934100000000001"/>
    <n v="0"/>
    <n v="1"/>
    <n v="1.6924999999999999"/>
    <n v="1.4517599999999999"/>
    <n v="0"/>
    <n v="1.3247199999999999"/>
    <n v="2.1168"/>
    <n v="76758000"/>
    <n v="0"/>
    <n v="0"/>
    <n v="0"/>
    <n v="0"/>
    <n v="4378890"/>
    <n v="745283"/>
    <n v="0"/>
    <n v="18"/>
    <x v="2"/>
    <n v="3.3368585622622154E-2"/>
    <n v="-4.0111016007028967E-3"/>
  </r>
  <r>
    <n v="72.290000000000006"/>
    <n v="72.290000000000006"/>
    <n v="3.6130399999999998"/>
    <n v="0.05"/>
    <n v="1"/>
    <n v="2.2315499999999999"/>
    <n v="2.4940699999999998"/>
    <n v="0"/>
    <n v="0.42216300000000001"/>
    <n v="3.6288"/>
    <n v="5115410"/>
    <n v="0"/>
    <n v="0"/>
    <n v="0"/>
    <n v="0"/>
    <n v="3336110"/>
    <n v="-98268.3"/>
    <n v="354664"/>
    <n v="99.302199999999999"/>
    <n v="98.274000000000001"/>
    <n v="5.9362700000000004"/>
    <n v="0"/>
    <n v="1"/>
    <n v="1.7146300000000001"/>
    <n v="1.4520999999999999"/>
    <n v="0"/>
    <n v="1.30762"/>
    <n v="2.1168"/>
    <n v="77559700"/>
    <n v="0"/>
    <n v="0"/>
    <n v="0"/>
    <n v="0"/>
    <n v="4436140"/>
    <n v="801668"/>
    <n v="0"/>
    <n v="19"/>
    <x v="2"/>
    <n v="3.5429899804108524E-2"/>
    <n v="-5.7750227635064303E-3"/>
  </r>
  <r>
    <n v="72.290000000000006"/>
    <n v="72.290000000000006"/>
    <n v="3.3858199999999998"/>
    <n v="0.05"/>
    <n v="1"/>
    <n v="2.2324899999999999"/>
    <n v="2.4946600000000001"/>
    <n v="0"/>
    <n v="0.41819200000000001"/>
    <n v="3.6288"/>
    <n v="5017660"/>
    <n v="0"/>
    <n v="0"/>
    <n v="0"/>
    <n v="0"/>
    <n v="3337510"/>
    <n v="-97740.7"/>
    <n v="354197"/>
    <n v="99.302199999999999"/>
    <n v="98.274000000000001"/>
    <n v="5.2801200000000001"/>
    <n v="0"/>
    <n v="1"/>
    <n v="1.7146300000000001"/>
    <n v="1.45245"/>
    <n v="0"/>
    <n v="1.3247199999999999"/>
    <n v="2.1168"/>
    <n v="78360500"/>
    <n v="0"/>
    <n v="0"/>
    <n v="0"/>
    <n v="0"/>
    <n v="4436140"/>
    <n v="800804"/>
    <n v="0"/>
    <n v="20"/>
    <x v="2"/>
    <n v="3.5391715127371083E-2"/>
    <n v="-5.7416073453694033E-3"/>
  </r>
  <r>
    <n v="72.290000000000006"/>
    <n v="72.290000000000006"/>
    <n v="3.0820699999999999"/>
    <n v="0.05"/>
    <n v="1"/>
    <n v="2.2334299999999998"/>
    <n v="2.49526"/>
    <n v="0"/>
    <n v="0.41836800000000002"/>
    <n v="3.6288"/>
    <n v="4920450"/>
    <n v="0"/>
    <n v="0"/>
    <n v="0"/>
    <n v="0"/>
    <n v="3338920"/>
    <n v="-97213.2"/>
    <n v="353731"/>
    <n v="99.302199999999999"/>
    <n v="98.274000000000001"/>
    <n v="4.9374500000000001"/>
    <n v="0"/>
    <n v="1"/>
    <n v="1.7146300000000001"/>
    <n v="1.45279"/>
    <n v="0"/>
    <n v="1.3247199999999999"/>
    <n v="2.1168"/>
    <n v="79160400"/>
    <n v="0"/>
    <n v="0"/>
    <n v="0"/>
    <n v="0"/>
    <n v="4436140"/>
    <n v="799939"/>
    <n v="0"/>
    <n v="21"/>
    <x v="2"/>
    <n v="3.5353486255405936E-2"/>
    <n v="-5.7082087251410585E-3"/>
  </r>
  <r>
    <n v="72.290000000000006"/>
    <n v="72.290000000000006"/>
    <n v="3.0029400000000002"/>
    <n v="0.04"/>
    <n v="1"/>
    <n v="2.35276"/>
    <n v="2.6142500000000002"/>
    <n v="0"/>
    <n v="0.41854400000000003"/>
    <n v="3.6288"/>
    <n v="4835940"/>
    <n v="0"/>
    <n v="0"/>
    <n v="0"/>
    <n v="0"/>
    <n v="3517320"/>
    <n v="-84514"/>
    <n v="353264"/>
    <n v="99.302199999999999"/>
    <n v="98.274000000000001"/>
    <n v="4.9561099999999998"/>
    <n v="0"/>
    <n v="1"/>
    <n v="1.7931900000000001"/>
    <n v="1.5317000000000001"/>
    <n v="0"/>
    <n v="1.3247199999999999"/>
    <n v="2.1168"/>
    <n v="79966100"/>
    <n v="0"/>
    <n v="0"/>
    <n v="0"/>
    <n v="0"/>
    <n v="4639410"/>
    <n v="805700"/>
    <n v="0"/>
    <n v="22"/>
    <x v="2"/>
    <n v="3.4047970406945592E-2"/>
    <n v="-4.7108295975697686E-3"/>
  </r>
  <r>
    <n v="72.143199999999993"/>
    <n v="72.290000000000006"/>
    <n v="2.8675000000000002"/>
    <n v="0.04"/>
    <n v="1"/>
    <n v="2.4322900000000001"/>
    <n v="2.6148699999999998"/>
    <n v="0"/>
    <n v="0.44090800000000002"/>
    <n v="3.6288"/>
    <n v="4858090"/>
    <n v="0"/>
    <n v="0"/>
    <n v="0"/>
    <n v="0"/>
    <n v="3636220"/>
    <n v="22156.400000000001"/>
    <n v="246657"/>
    <n v="99.302199999999999"/>
    <n v="98.274000000000001"/>
    <n v="3.8821500000000002"/>
    <n v="0"/>
    <n v="1"/>
    <n v="1.7146399999999999"/>
    <n v="1.53207"/>
    <n v="0"/>
    <n v="1.3854200000000001"/>
    <n v="2.1168"/>
    <n v="80567700"/>
    <n v="0"/>
    <n v="0"/>
    <n v="0"/>
    <n v="0"/>
    <n v="4436190"/>
    <n v="601572"/>
    <n v="0"/>
    <n v="23"/>
    <x v="2"/>
    <n v="2.6586311865259251E-2"/>
    <n v="1.1946196808582273E-3"/>
  </r>
  <r>
    <n v="71.846599999999995"/>
    <n v="72.290000000000006"/>
    <n v="2.6612900000000002"/>
    <n v="0.06"/>
    <n v="1"/>
    <n v="2.4332799999999999"/>
    <n v="2.6154899999999999"/>
    <n v="0"/>
    <n v="0.45581199999999999"/>
    <n v="3.6288"/>
    <n v="4880810"/>
    <n v="0"/>
    <n v="0"/>
    <n v="0"/>
    <n v="0"/>
    <n v="3637690"/>
    <n v="22712.7"/>
    <n v="246165"/>
    <n v="99.302199999999999"/>
    <n v="98.274000000000001"/>
    <n v="3.46543"/>
    <n v="0"/>
    <n v="1"/>
    <n v="1.7146399999999999"/>
    <n v="1.53243"/>
    <n v="0"/>
    <n v="1.32473"/>
    <n v="2.1168"/>
    <n v="81168300"/>
    <n v="0"/>
    <n v="0"/>
    <n v="0"/>
    <n v="0"/>
    <n v="4436190"/>
    <n v="600660"/>
    <n v="0"/>
    <n v="24"/>
    <x v="2"/>
    <n v="2.6546006271878714E-2"/>
    <n v="1.2241191661983913E-3"/>
  </r>
  <r>
    <n v="71.443700000000007"/>
    <n v="72.290000000000006"/>
    <n v="2.5557300000000001"/>
    <n v="0.05"/>
    <n v="1"/>
    <n v="2.4342700000000002"/>
    <n v="2.6161099999999999"/>
    <n v="0"/>
    <n v="0.45599699999999999"/>
    <n v="3.6288"/>
    <n v="4904080"/>
    <n v="0"/>
    <n v="0"/>
    <n v="0"/>
    <n v="0"/>
    <n v="3639170"/>
    <n v="23268.9"/>
    <n v="245673"/>
    <n v="99.302199999999999"/>
    <n v="98.274000000000001"/>
    <n v="3.4428299999999998"/>
    <n v="0"/>
    <n v="1"/>
    <n v="1.7146399999999999"/>
    <n v="1.5327999999999999"/>
    <n v="0"/>
    <n v="1.32473"/>
    <n v="2.1168"/>
    <n v="81768100"/>
    <n v="0"/>
    <n v="0"/>
    <n v="0"/>
    <n v="0"/>
    <n v="4436190"/>
    <n v="599748"/>
    <n v="0"/>
    <n v="25"/>
    <x v="2"/>
    <n v="2.6505700678498178E-2"/>
    <n v="1.2535859874159231E-3"/>
  </r>
  <r>
    <n v="70.905199999999994"/>
    <n v="72.290000000000006"/>
    <n v="2.4254799999999999"/>
    <n v="0.05"/>
    <n v="1"/>
    <n v="2.4352499999999999"/>
    <n v="2.6167400000000001"/>
    <n v="0"/>
    <n v="0.45618199999999998"/>
    <n v="3.6288"/>
    <n v="4927900"/>
    <n v="0"/>
    <n v="0"/>
    <n v="0"/>
    <n v="0"/>
    <n v="3640640"/>
    <n v="23825.4"/>
    <n v="245180"/>
    <n v="99.302199999999999"/>
    <n v="98.274000000000001"/>
    <n v="3.55281"/>
    <n v="0"/>
    <n v="1"/>
    <n v="1.7146399999999999"/>
    <n v="1.5331600000000001"/>
    <n v="0"/>
    <n v="1.32473"/>
    <n v="2.1168"/>
    <n v="82366900"/>
    <n v="0"/>
    <n v="0"/>
    <n v="0"/>
    <n v="0"/>
    <n v="4436190"/>
    <n v="598835"/>
    <n v="0"/>
    <n v="26"/>
    <x v="2"/>
    <n v="2.6465350890388057E-2"/>
    <n v="1.2830485307049895E-3"/>
  </r>
  <r>
    <n v="70.433800000000005"/>
    <n v="72.290000000000006"/>
    <n v="2.4402900000000001"/>
    <n v="0.04"/>
    <n v="1"/>
    <n v="2.4127999999999998"/>
    <n v="2.5939199999999998"/>
    <n v="0"/>
    <n v="0.45636700000000002"/>
    <n v="3.6288"/>
    <n v="4949870"/>
    <n v="0"/>
    <n v="0"/>
    <n v="0"/>
    <n v="0"/>
    <n v="3607070"/>
    <n v="21972.2"/>
    <n v="244687"/>
    <n v="99.302199999999999"/>
    <n v="98.274000000000001"/>
    <n v="2.8126600000000002"/>
    <n v="0"/>
    <n v="1"/>
    <n v="1.7578800000000001"/>
    <n v="1.5767599999999999"/>
    <n v="0"/>
    <n v="1.32473"/>
    <n v="2.1168"/>
    <n v="82968500"/>
    <n v="0"/>
    <n v="0"/>
    <n v="0"/>
    <n v="0"/>
    <n v="4548040"/>
    <n v="601569"/>
    <n v="0"/>
    <n v="27"/>
    <x v="2"/>
    <n v="2.5932345068401367E-2"/>
    <n v="1.194261941320563E-3"/>
  </r>
  <r>
    <n v="69.7714"/>
    <n v="72.290000000000006"/>
    <n v="2.2833199999999998"/>
    <n v="0.03"/>
    <n v="1"/>
    <n v="2.4570099999999999"/>
    <n v="2.5945299999999998"/>
    <n v="0"/>
    <n v="0.45215899999999998"/>
    <n v="3.6288"/>
    <n v="5030810"/>
    <n v="0"/>
    <n v="0"/>
    <n v="0"/>
    <n v="0"/>
    <n v="3673170"/>
    <n v="80933.8"/>
    <n v="185789"/>
    <n v="99.302199999999999"/>
    <n v="98.274000000000001"/>
    <n v="2.6943100000000002"/>
    <n v="0"/>
    <n v="1"/>
    <n v="1.7146600000000001"/>
    <n v="1.5771299999999999"/>
    <n v="0"/>
    <n v="1.3581399999999999"/>
    <n v="2.1168"/>
    <n v="83457300"/>
    <n v="0"/>
    <n v="0"/>
    <n v="0"/>
    <n v="0"/>
    <n v="4436220"/>
    <n v="488806"/>
    <n v="0"/>
    <n v="28"/>
    <x v="2"/>
    <n v="2.1602502900781761E-2"/>
    <n v="4.3198585119857873E-3"/>
  </r>
  <r>
    <n v="68.898099999999999"/>
    <n v="72.290000000000006"/>
    <n v="2.07287"/>
    <n v="0.03"/>
    <n v="1"/>
    <n v="2.4580000000000002"/>
    <n v="2.5951499999999998"/>
    <n v="0"/>
    <n v="0.46044400000000002"/>
    <n v="3.6288"/>
    <n v="5112310"/>
    <n v="0"/>
    <n v="0"/>
    <n v="0"/>
    <n v="0"/>
    <n v="3674650"/>
    <n v="81504.100000000006"/>
    <n v="185282"/>
    <n v="99.302199999999999"/>
    <n v="98.274000000000001"/>
    <n v="2.4767999999999999"/>
    <n v="0"/>
    <n v="1"/>
    <n v="1.7146600000000001"/>
    <n v="1.57751"/>
    <n v="0"/>
    <n v="1.32474"/>
    <n v="2.1168"/>
    <n v="83945200"/>
    <n v="0"/>
    <n v="0"/>
    <n v="0"/>
    <n v="0"/>
    <n v="4436220"/>
    <n v="487867"/>
    <n v="0"/>
    <n v="29"/>
    <x v="2"/>
    <n v="2.1561004330339018E-2"/>
    <n v="4.3485462700591391E-3"/>
  </r>
  <r>
    <n v="67.859200000000001"/>
    <n v="72.290000000000006"/>
    <n v="1.8980300000000001"/>
    <n v="0.03"/>
    <n v="1"/>
    <n v="2.4590000000000001"/>
    <n v="2.5957699999999999"/>
    <n v="0"/>
    <n v="0.46062999999999998"/>
    <n v="3.6288"/>
    <n v="5194390"/>
    <n v="0"/>
    <n v="0"/>
    <n v="0"/>
    <n v="0"/>
    <n v="3676140"/>
    <n v="82074.3"/>
    <n v="184776"/>
    <n v="99.231499999999997"/>
    <n v="98.274000000000001"/>
    <n v="2.3734199999999999"/>
    <n v="0"/>
    <n v="1"/>
    <n v="1.7146600000000001"/>
    <n v="1.5778799999999999"/>
    <n v="0"/>
    <n v="1.32474"/>
    <n v="2.1168"/>
    <n v="84432100"/>
    <n v="0"/>
    <n v="0"/>
    <n v="0"/>
    <n v="0"/>
    <n v="4436220"/>
    <n v="486928"/>
    <n v="0"/>
    <n v="30"/>
    <x v="2"/>
    <n v="2.1519505759896279E-2"/>
    <n v="4.3771936886117116E-3"/>
  </r>
  <r>
    <n v="66.744100000000003"/>
    <n v="72.290000000000006"/>
    <n v="1.85978"/>
    <n v="0.03"/>
    <n v="1"/>
    <n v="2.5205799999999998"/>
    <n v="2.6569799999999999"/>
    <n v="0"/>
    <n v="0.460816"/>
    <n v="3.6288"/>
    <n v="5283260"/>
    <n v="0"/>
    <n v="0"/>
    <n v="0"/>
    <n v="0"/>
    <n v="3768210"/>
    <n v="88874"/>
    <n v="184269"/>
    <n v="99.152900000000002"/>
    <n v="98.274000000000001"/>
    <n v="2.1756099999999998"/>
    <n v="0"/>
    <n v="1"/>
    <n v="1.75322"/>
    <n v="1.61683"/>
    <n v="0"/>
    <n v="1.32474"/>
    <n v="2.1168"/>
    <n v="84921300"/>
    <n v="0"/>
    <n v="0"/>
    <n v="0"/>
    <n v="0"/>
    <n v="4536000"/>
    <n v="489241"/>
    <n v="0"/>
    <n v="31"/>
    <x v="2"/>
    <n v="2.1146106673961503E-2"/>
    <n v="4.6240258022062324E-3"/>
  </r>
  <r>
    <n v="65.857699999999994"/>
    <n v="72.290000000000006"/>
    <n v="2.1276799999999998"/>
    <n v="0.04"/>
    <n v="1"/>
    <n v="2.5601600000000002"/>
    <n v="2.65761"/>
    <n v="0"/>
    <n v="0.472358"/>
    <n v="3.6288"/>
    <n v="5424810"/>
    <n v="0"/>
    <n v="0"/>
    <n v="0"/>
    <n v="0"/>
    <n v="3827370"/>
    <n v="141548"/>
    <n v="131660"/>
    <n v="99.302199999999999"/>
    <n v="98.274000000000001"/>
    <n v="2.48847"/>
    <n v="0"/>
    <n v="1"/>
    <n v="1.7146600000000001"/>
    <n v="1.61721"/>
    <n v="0"/>
    <n v="1.3545400000000001"/>
    <n v="2.1168"/>
    <n v="85309900"/>
    <n v="0"/>
    <n v="0"/>
    <n v="0"/>
    <n v="0"/>
    <n v="4436250"/>
    <n v="388524"/>
    <n v="0"/>
    <n v="32"/>
    <x v="2"/>
    <n v="1.7170480884057478E-2"/>
    <n v="7.2507663134716823E-3"/>
  </r>
  <r>
    <n v="64.802000000000007"/>
    <n v="72.290000000000006"/>
    <n v="1.9586399999999999"/>
    <n v="0.04"/>
    <n v="1"/>
    <n v="2.5611700000000002"/>
    <n v="2.6582400000000002"/>
    <n v="0"/>
    <n v="0.47977399999999998"/>
    <n v="3.6288"/>
    <n v="5566940"/>
    <n v="0"/>
    <n v="0"/>
    <n v="0"/>
    <n v="0"/>
    <n v="3828890"/>
    <n v="142132"/>
    <n v="131140"/>
    <n v="99.207400000000007"/>
    <n v="98.274000000000001"/>
    <n v="2.4188399999999999"/>
    <n v="0"/>
    <n v="1"/>
    <n v="1.7146600000000001"/>
    <n v="1.6175900000000001"/>
    <n v="0"/>
    <n v="1.3247500000000001"/>
    <n v="2.1168"/>
    <n v="85697400"/>
    <n v="0"/>
    <n v="0"/>
    <n v="0"/>
    <n v="0"/>
    <n v="4436250"/>
    <n v="387561"/>
    <n v="0"/>
    <n v="33"/>
    <x v="2"/>
    <n v="1.7127921935083033E-2"/>
    <n v="7.2777912909937148E-3"/>
  </r>
  <r>
    <n v="63.5807"/>
    <n v="72.290000000000006"/>
    <n v="1.79342"/>
    <n v="0.04"/>
    <n v="1"/>
    <n v="2.5621900000000002"/>
    <n v="2.6588799999999999"/>
    <n v="0"/>
    <n v="0.479964"/>
    <n v="3.6288"/>
    <n v="5709660"/>
    <n v="0"/>
    <n v="0"/>
    <n v="0"/>
    <n v="0"/>
    <n v="3830410"/>
    <n v="142717"/>
    <n v="130621"/>
    <n v="99.205200000000005"/>
    <n v="98.274000000000001"/>
    <n v="2.1293700000000002"/>
    <n v="0"/>
    <n v="1"/>
    <n v="1.7146600000000001"/>
    <n v="1.61798"/>
    <n v="0"/>
    <n v="1.3247500000000001"/>
    <n v="2.1168"/>
    <n v="86084000"/>
    <n v="0"/>
    <n v="0"/>
    <n v="0"/>
    <n v="0"/>
    <n v="4436250"/>
    <n v="386599"/>
    <n v="0"/>
    <n v="34"/>
    <x v="2"/>
    <n v="1.7085407180240441E-2"/>
    <n v="7.3048460043105496E-3"/>
  </r>
  <r>
    <n v="62.292299999999997"/>
    <n v="72.290000000000006"/>
    <n v="1.8948700000000001"/>
    <n v="0.04"/>
    <n v="1"/>
    <n v="2.7408299999999999"/>
    <n v="2.8371300000000002"/>
    <n v="0"/>
    <n v="0.480155"/>
    <n v="3.6288"/>
    <n v="5871220"/>
    <n v="0"/>
    <n v="0"/>
    <n v="0"/>
    <n v="0"/>
    <n v="4097470"/>
    <n v="161561"/>
    <n v="130101"/>
    <n v="99.180300000000003"/>
    <n v="98.274000000000001"/>
    <n v="2.5505800000000001"/>
    <n v="0"/>
    <n v="1"/>
    <n v="1.8540000000000001"/>
    <n v="1.7577"/>
    <n v="0"/>
    <n v="1.3247500000000001"/>
    <n v="2.1168"/>
    <n v="86481400"/>
    <n v="0"/>
    <n v="0"/>
    <n v="0"/>
    <n v="0"/>
    <n v="4796740"/>
    <n v="397386"/>
    <n v="0"/>
    <n v="35"/>
    <x v="2"/>
    <n v="1.6242280386427107E-2"/>
    <n v="7.7303893731196904E-3"/>
  </r>
  <r>
    <n v="61.530700000000003"/>
    <n v="72.290000000000006"/>
    <n v="2.4671500000000002"/>
    <n v="0.05"/>
    <n v="1"/>
    <n v="2.8378000000000001"/>
    <n v="2.8378000000000001"/>
    <n v="0"/>
    <n v="0.51363099999999995"/>
    <n v="3.6288"/>
    <n v="6162950"/>
    <n v="0"/>
    <n v="0"/>
    <n v="0"/>
    <n v="0"/>
    <n v="4242440"/>
    <n v="291732"/>
    <n v="0"/>
    <n v="99.302199999999999"/>
    <n v="98.274000000000001"/>
    <n v="3.50651"/>
    <n v="0"/>
    <n v="1"/>
    <n v="1.7581199999999999"/>
    <n v="1.7581199999999999"/>
    <n v="0"/>
    <n v="1.4323999999999999"/>
    <n v="2.1168"/>
    <n v="86629700"/>
    <n v="0"/>
    <n v="0"/>
    <n v="0"/>
    <n v="0"/>
    <n v="4548670"/>
    <n v="148269"/>
    <n v="0"/>
    <n v="36"/>
    <x v="2"/>
    <n v="6.3906722849884981E-3"/>
    <n v="1.3481834138876389E-2"/>
  </r>
  <r>
    <n v="60.701900000000002"/>
    <n v="72.290000000000006"/>
    <n v="2.4003899999999998"/>
    <n v="0.06"/>
    <n v="1"/>
    <n v="2.8384800000000001"/>
    <n v="2.8384800000000001"/>
    <n v="0"/>
    <n v="0.53180400000000005"/>
    <n v="3.6288"/>
    <n v="6454750"/>
    <n v="0"/>
    <n v="0"/>
    <n v="0"/>
    <n v="0"/>
    <n v="4243450"/>
    <n v="291801"/>
    <n v="0"/>
    <n v="99.302199999999999"/>
    <n v="98.274000000000001"/>
    <n v="2.8100700000000001"/>
    <n v="0"/>
    <n v="1"/>
    <n v="1.75854"/>
    <n v="1.75854"/>
    <n v="0"/>
    <n v="1.35832"/>
    <n v="2.1168"/>
    <n v="86778000"/>
    <n v="0"/>
    <n v="0"/>
    <n v="0"/>
    <n v="0"/>
    <n v="4549750"/>
    <n v="148304"/>
    <n v="0"/>
    <n v="37"/>
    <x v="2"/>
    <n v="6.3906635024273389E-3"/>
    <n v="1.3481813218757761E-2"/>
  </r>
  <r>
    <n v="59.062800000000003"/>
    <n v="72.290000000000006"/>
    <n v="1.6389"/>
    <n v="0.06"/>
    <n v="1"/>
    <n v="2.8391500000000001"/>
    <n v="2.8391500000000001"/>
    <n v="0"/>
    <n v="0.53193000000000001"/>
    <n v="3.6288"/>
    <n v="6746620"/>
    <n v="0"/>
    <n v="0"/>
    <n v="0"/>
    <n v="0"/>
    <n v="4244460"/>
    <n v="291870"/>
    <n v="0"/>
    <n v="99.278700000000001"/>
    <n v="98.274000000000001"/>
    <n v="2.3696999999999999"/>
    <n v="0"/>
    <n v="1"/>
    <n v="1.75895"/>
    <n v="1.75895"/>
    <n v="0"/>
    <n v="1.3586400000000001"/>
    <n v="2.1168"/>
    <n v="86926300"/>
    <n v="0"/>
    <n v="0"/>
    <n v="0"/>
    <n v="0"/>
    <n v="4550830"/>
    <n v="148340"/>
    <n v="0"/>
    <n v="38"/>
    <x v="2"/>
    <n v="6.3906978054544704E-3"/>
    <n v="1.3481792308595321E-2"/>
  </r>
  <r>
    <n v="57.274700000000003"/>
    <n v="72.290000000000006"/>
    <n v="1.52074"/>
    <n v="0.06"/>
    <n v="1"/>
    <n v="2.8398300000000001"/>
    <n v="2.8398300000000001"/>
    <n v="0"/>
    <n v="0.532057"/>
    <n v="3.6288"/>
    <n v="7038560"/>
    <n v="0"/>
    <n v="0"/>
    <n v="0"/>
    <n v="0"/>
    <n v="4245470"/>
    <n v="291940"/>
    <n v="0"/>
    <n v="99.270799999999994"/>
    <n v="98.274000000000001"/>
    <n v="2.38239"/>
    <n v="0"/>
    <n v="1"/>
    <n v="1.7593700000000001"/>
    <n v="1.7593700000000001"/>
    <n v="0"/>
    <n v="1.35897"/>
    <n v="2.1168"/>
    <n v="87074700"/>
    <n v="0"/>
    <n v="0"/>
    <n v="0"/>
    <n v="0"/>
    <n v="4551910"/>
    <n v="148375"/>
    <n v="0"/>
    <n v="39"/>
    <x v="2"/>
    <n v="6.3906890210058027E-3"/>
    <n v="1.3481817588479201E-2"/>
  </r>
  <r>
    <n v="55.7879"/>
    <n v="72.290000000000006"/>
    <n v="1.70617"/>
    <n v="0.11"/>
    <n v="1"/>
    <n v="2.7538399999999998"/>
    <n v="2.7538399999999998"/>
    <n v="0"/>
    <n v="0.53218399999999999"/>
    <n v="3.6288"/>
    <n v="7321660"/>
    <n v="0"/>
    <n v="0"/>
    <n v="0"/>
    <n v="0"/>
    <n v="4116910"/>
    <n v="283100"/>
    <n v="0"/>
    <n v="99.228300000000004"/>
    <n v="98.274000000000001"/>
    <n v="2.5968900000000001"/>
    <n v="0"/>
    <n v="1"/>
    <n v="1.6751199999999999"/>
    <n v="1.6751199999999999"/>
    <n v="0"/>
    <n v="1.3592900000000001"/>
    <n v="2.1168"/>
    <n v="87216000"/>
    <n v="0"/>
    <n v="0"/>
    <n v="0"/>
    <n v="0"/>
    <n v="4333930"/>
    <n v="141269"/>
    <n v="0"/>
    <n v="40"/>
    <x v="2"/>
    <n v="6.390658312554272E-3"/>
    <n v="1.3481838358199223E-2"/>
  </r>
  <r>
    <n v="55.4373"/>
    <n v="72.290000000000006"/>
    <n v="2.7916599999999998"/>
    <n v="0.11"/>
    <n v="1"/>
    <n v="2.7153299999999998"/>
    <n v="2.7544900000000001"/>
    <n v="0"/>
    <n v="0.516069"/>
    <n v="3.6288"/>
    <n v="7551920"/>
    <n v="0"/>
    <n v="0"/>
    <n v="0"/>
    <n v="0"/>
    <n v="4059350"/>
    <n v="230261"/>
    <n v="52905.8"/>
    <n v="99.302199999999999"/>
    <n v="98.274000000000001"/>
    <n v="4.1385500000000004"/>
    <n v="0"/>
    <n v="1"/>
    <n v="1.71468"/>
    <n v="1.6755199999999999"/>
    <n v="0"/>
    <n v="1.2942"/>
    <n v="2.1168"/>
    <n v="87458600"/>
    <n v="0"/>
    <n v="0"/>
    <n v="0"/>
    <n v="0"/>
    <n v="4436280"/>
    <n v="242621"/>
    <n v="0"/>
    <n v="41"/>
    <x v="2"/>
    <n v="1.0722351954743074E-2"/>
    <n v="1.1121017079659788E-2"/>
  </r>
  <r>
    <n v="54.961599999999997"/>
    <n v="72.290000000000006"/>
    <n v="2.6672699999999998"/>
    <n v="0.11"/>
    <n v="1"/>
    <n v="2.71638"/>
    <n v="2.75515"/>
    <n v="0"/>
    <n v="0.508853"/>
    <n v="3.6288"/>
    <n v="7782790"/>
    <n v="0"/>
    <n v="0"/>
    <n v="0"/>
    <n v="0"/>
    <n v="4060920"/>
    <n v="230867"/>
    <n v="52367.4"/>
    <n v="99.302199999999999"/>
    <n v="98.274000000000001"/>
    <n v="3.4643700000000002"/>
    <n v="0"/>
    <n v="1"/>
    <n v="1.71468"/>
    <n v="1.6759200000000001"/>
    <n v="0"/>
    <n v="1.3247599999999999"/>
    <n v="2.1168"/>
    <n v="87700200"/>
    <n v="0"/>
    <n v="0"/>
    <n v="0"/>
    <n v="0"/>
    <n v="4436280"/>
    <n v="241624"/>
    <n v="0"/>
    <n v="42"/>
    <x v="2"/>
    <n v="1.0678290703248442E-2"/>
    <n v="1.114597449594705E-2"/>
  </r>
  <r>
    <n v="54.140999999999998"/>
    <n v="72.290000000000006"/>
    <n v="2.3232499999999998"/>
    <n v="0.11"/>
    <n v="1"/>
    <n v="2.7174399999999999"/>
    <n v="2.7557999999999998"/>
    <n v="0"/>
    <n v="0.50905"/>
    <n v="3.6288"/>
    <n v="8014260"/>
    <n v="0"/>
    <n v="0"/>
    <n v="0"/>
    <n v="0"/>
    <n v="4062500"/>
    <n v="231473"/>
    <n v="51828.9"/>
    <n v="99.302199999999999"/>
    <n v="98.274000000000001"/>
    <n v="3.3899599999999999"/>
    <n v="0"/>
    <n v="1"/>
    <n v="1.71468"/>
    <n v="1.67631"/>
    <n v="0"/>
    <n v="1.3247599999999999"/>
    <n v="2.1168"/>
    <n v="87940800"/>
    <n v="0"/>
    <n v="0"/>
    <n v="0"/>
    <n v="0"/>
    <n v="4436280"/>
    <n v="240626"/>
    <n v="0"/>
    <n v="43"/>
    <x v="2"/>
    <n v="1.0634185257920818E-2"/>
    <n v="1.1170885124392772E-2"/>
  </r>
  <r>
    <n v="53.973500000000001"/>
    <n v="72.290000000000006"/>
    <n v="3.0072000000000001"/>
    <n v="0.11"/>
    <n v="1"/>
    <n v="2.6472899999999999"/>
    <n v="2.6852499999999999"/>
    <n v="0"/>
    <n v="0.50924800000000003"/>
    <n v="3.6288"/>
    <n v="8239020"/>
    <n v="0"/>
    <n v="0"/>
    <n v="0"/>
    <n v="0"/>
    <n v="3957630"/>
    <n v="224759"/>
    <n v="51290.3"/>
    <n v="99.302199999999999"/>
    <n v="98.274000000000001"/>
    <n v="3.8902000000000001"/>
    <n v="0"/>
    <n v="1"/>
    <n v="1.6375299999999999"/>
    <n v="1.5995699999999999"/>
    <n v="0"/>
    <n v="1.3247599999999999"/>
    <n v="2.1168"/>
    <n v="88174000"/>
    <n v="0"/>
    <n v="0"/>
    <n v="0"/>
    <n v="0"/>
    <n v="4236690"/>
    <n v="233123"/>
    <n v="0"/>
    <n v="44"/>
    <x v="2"/>
    <n v="1.0787953231558107E-2"/>
    <n v="1.1134289808294649E-2"/>
  </r>
  <r>
    <n v="54.7697"/>
    <n v="72.290000000000006"/>
    <n v="3.9148000000000001"/>
    <n v="0.11"/>
    <n v="1"/>
    <n v="2.57118"/>
    <n v="2.6858900000000001"/>
    <n v="0"/>
    <n v="0.49610100000000001"/>
    <n v="3.6288"/>
    <n v="8360160"/>
    <n v="0"/>
    <n v="0"/>
    <n v="0"/>
    <n v="0"/>
    <n v="3843850"/>
    <n v="121141"/>
    <n v="154974"/>
    <n v="99.302199999999999"/>
    <n v="98.274000000000001"/>
    <n v="5.1044499999999999"/>
    <n v="0"/>
    <n v="1"/>
    <n v="1.7146600000000001"/>
    <n v="1.59995"/>
    <n v="0"/>
    <n v="1.2651600000000001"/>
    <n v="2.1168"/>
    <n v="88605700"/>
    <n v="0"/>
    <n v="0"/>
    <n v="0"/>
    <n v="0"/>
    <n v="4436240"/>
    <n v="431716"/>
    <n v="0"/>
    <n v="45"/>
    <x v="2"/>
    <n v="1.9079356834901137E-2"/>
    <n v="6.1788171328326872E-3"/>
  </r>
  <r>
    <n v="57.711599999999997"/>
    <n v="72.290000000000006"/>
    <n v="6.0630699999999997"/>
    <n v="0.13"/>
    <n v="1"/>
    <n v="2.5722"/>
    <n v="2.6865299999999999"/>
    <n v="0"/>
    <n v="0.48183900000000002"/>
    <n v="3.6288"/>
    <n v="8481880"/>
    <n v="0"/>
    <n v="0"/>
    <n v="0"/>
    <n v="0"/>
    <n v="3845370"/>
    <n v="121721"/>
    <n v="154460"/>
    <n v="99.302199999999999"/>
    <n v="98.274000000000001"/>
    <n v="6.8582999999999998"/>
    <n v="0"/>
    <n v="1"/>
    <n v="1.7146600000000001"/>
    <n v="1.60033"/>
    <n v="0"/>
    <n v="1.3247500000000001"/>
    <n v="2.1168"/>
    <n v="89036400"/>
    <n v="0"/>
    <n v="0"/>
    <n v="0"/>
    <n v="0"/>
    <n v="4436240"/>
    <n v="430764"/>
    <n v="0"/>
    <n v="46"/>
    <x v="2"/>
    <n v="1.9037283926538171E-2"/>
    <n v="6.205946070768225E-3"/>
  </r>
  <r>
    <n v="60.066000000000003"/>
    <n v="72.290000000000006"/>
    <n v="5.4841899999999999"/>
    <n v="0.13"/>
    <n v="1"/>
    <n v="2.5732200000000001"/>
    <n v="2.6871700000000001"/>
    <n v="0"/>
    <n v="0.48203000000000001"/>
    <n v="3.6288"/>
    <n v="8604180"/>
    <n v="0"/>
    <n v="0"/>
    <n v="0"/>
    <n v="0"/>
    <n v="3846890"/>
    <n v="122300"/>
    <n v="153946"/>
    <n v="99.302199999999999"/>
    <n v="98.274000000000001"/>
    <n v="7.3390000000000004"/>
    <n v="0"/>
    <n v="1"/>
    <n v="1.7146600000000001"/>
    <n v="1.6007100000000001"/>
    <n v="0"/>
    <n v="1.3247500000000001"/>
    <n v="2.1168"/>
    <n v="89466200"/>
    <n v="0"/>
    <n v="0"/>
    <n v="0"/>
    <n v="0"/>
    <n v="4436240"/>
    <n v="429811"/>
    <n v="0"/>
    <n v="47"/>
    <x v="2"/>
    <n v="1.899516682394373E-2"/>
    <n v="6.2330026052327091E-3"/>
  </r>
  <r>
    <n v="62.030799999999999"/>
    <n v="72.290000000000006"/>
    <n v="4.9331300000000002"/>
    <n v="0.09"/>
    <n v="1"/>
    <n v="2.37181"/>
    <n v="2.4853800000000001"/>
    <n v="0"/>
    <n v="0.48222100000000001"/>
    <n v="3.6288"/>
    <n v="8706250"/>
    <n v="0"/>
    <n v="0"/>
    <n v="0"/>
    <n v="0"/>
    <n v="3545800"/>
    <n v="102071"/>
    <n v="153431"/>
    <n v="99.302199999999999"/>
    <n v="98.274000000000001"/>
    <n v="6.1156800000000002"/>
    <n v="0"/>
    <n v="1"/>
    <n v="1.5538400000000001"/>
    <n v="1.4402699999999999"/>
    <n v="0"/>
    <n v="1.3247500000000001"/>
    <n v="2.1168"/>
    <n v="89881500"/>
    <n v="0"/>
    <n v="0"/>
    <n v="0"/>
    <n v="0"/>
    <n v="4020150"/>
    <n v="415296"/>
    <n v="0"/>
    <n v="48"/>
    <x v="2"/>
    <n v="2.0253314646223049E-2"/>
    <n v="5.6437628094064872E-3"/>
  </r>
  <r>
    <n v="67.495000000000005"/>
    <n v="72.290000000000006"/>
    <n v="8.2807399999999998"/>
    <n v="0.09"/>
    <n v="1"/>
    <n v="2.2119599999999999"/>
    <n v="2.4859800000000001"/>
    <n v="0"/>
    <n v="0.44447799999999998"/>
    <n v="3.6288"/>
    <n v="8591630"/>
    <n v="0"/>
    <n v="0"/>
    <n v="0"/>
    <n v="0"/>
    <n v="3306830"/>
    <n v="-114625"/>
    <n v="370188"/>
    <n v="99.302199999999999"/>
    <n v="98.274000000000001"/>
    <n v="10.475099999999999"/>
    <n v="0"/>
    <n v="1"/>
    <n v="1.71462"/>
    <n v="1.4406099999999999"/>
    <n v="0"/>
    <n v="1.2004900000000001"/>
    <n v="2.1168"/>
    <n v="90712000"/>
    <n v="0"/>
    <n v="0"/>
    <n v="0"/>
    <n v="0"/>
    <n v="4436140"/>
    <n v="830430"/>
    <n v="0"/>
    <n v="49"/>
    <x v="2"/>
    <n v="3.6701042943370371E-2"/>
    <n v="-6.7959175171527254E-3"/>
  </r>
  <r>
    <n v="70.378500000000003"/>
    <n v="72.290000000000006"/>
    <n v="5.7119499999999999"/>
    <n v="0.03"/>
    <n v="1"/>
    <n v="2.2128999999999999"/>
    <n v="2.4865699999999999"/>
    <n v="0"/>
    <n v="0.414522"/>
    <n v="3.6288"/>
    <n v="8477530"/>
    <n v="0"/>
    <n v="0"/>
    <n v="0"/>
    <n v="0"/>
    <n v="3308220"/>
    <n v="-114102"/>
    <n v="369726"/>
    <n v="99.302199999999999"/>
    <n v="98.274000000000001"/>
    <n v="8.28721"/>
    <n v="0"/>
    <n v="1"/>
    <n v="1.71462"/>
    <n v="1.44095"/>
    <n v="0"/>
    <n v="1.3247199999999999"/>
    <n v="2.1168"/>
    <n v="91541500"/>
    <n v="0"/>
    <n v="0"/>
    <n v="0"/>
    <n v="0"/>
    <n v="4436140"/>
    <n v="829572"/>
    <n v="0"/>
    <n v="50"/>
    <x v="2"/>
    <n v="3.6663123437999164E-2"/>
    <n v="-6.7620673720395694E-3"/>
  </r>
  <r>
    <n v="72.290000000000006"/>
    <n v="72.290000000000006"/>
    <n v="5.3723299999999998"/>
    <n v="0.04"/>
    <n v="1"/>
    <n v="2.2138300000000002"/>
    <n v="2.4871599999999998"/>
    <n v="0"/>
    <n v="0.41469699999999998"/>
    <n v="3.6288"/>
    <n v="8363950"/>
    <n v="0"/>
    <n v="0"/>
    <n v="0"/>
    <n v="0"/>
    <n v="3309620"/>
    <n v="-113578"/>
    <n v="369263"/>
    <n v="99.302199999999999"/>
    <n v="98.274000000000001"/>
    <n v="10.291499999999999"/>
    <n v="0"/>
    <n v="1"/>
    <n v="1.71462"/>
    <n v="1.44129"/>
    <n v="0"/>
    <n v="1.3247199999999999"/>
    <n v="2.1168"/>
    <n v="92370300"/>
    <n v="0"/>
    <n v="0"/>
    <n v="0"/>
    <n v="0"/>
    <n v="4436140"/>
    <n v="828715"/>
    <n v="0"/>
    <n v="51"/>
    <x v="2"/>
    <n v="3.6625248127855663E-2"/>
    <n v="-6.7281660926613637E-3"/>
  </r>
  <r>
    <n v="72.290000000000006"/>
    <n v="72.290000000000006"/>
    <n v="8.1997900000000001"/>
    <n v="0.04"/>
    <n v="1"/>
    <n v="2.2147700000000001"/>
    <n v="2.4877500000000001"/>
    <n v="0"/>
    <n v="0.41487200000000002"/>
    <n v="3.6288"/>
    <n v="8250890"/>
    <n v="0"/>
    <n v="0"/>
    <n v="0"/>
    <n v="0"/>
    <n v="3311020"/>
    <n v="-113054"/>
    <n v="368799"/>
    <n v="99.302199999999999"/>
    <n v="98.274000000000001"/>
    <n v="14.8012"/>
    <n v="0"/>
    <n v="1"/>
    <n v="1.71462"/>
    <n v="1.44164"/>
    <n v="0"/>
    <n v="1.3247199999999999"/>
    <n v="2.1168"/>
    <n v="93198100"/>
    <n v="0"/>
    <n v="0"/>
    <n v="0"/>
    <n v="0"/>
    <n v="4436140"/>
    <n v="827857"/>
    <n v="0"/>
    <n v="52"/>
    <x v="2"/>
    <n v="3.6587328622484455E-2"/>
    <n v="-6.6942934822680211E-3"/>
  </r>
  <r>
    <n v="72.290000000000006"/>
    <n v="72.290000000000006"/>
    <n v="8.0923200000000008"/>
    <n v="0.05"/>
    <n v="1"/>
    <n v="2.2936399999999999"/>
    <n v="2.5662799999999999"/>
    <n v="0"/>
    <n v="0.415047"/>
    <n v="3.6288"/>
    <n v="8146380"/>
    <n v="0"/>
    <n v="0"/>
    <n v="0"/>
    <n v="0"/>
    <n v="3428940"/>
    <n v="-104517"/>
    <n v="368336"/>
    <n v="99.302199999999999"/>
    <n v="98.274000000000001"/>
    <n v="9.5694800000000004"/>
    <n v="0"/>
    <n v="1"/>
    <n v="1.7612399999999999"/>
    <n v="1.4885999999999999"/>
    <n v="0"/>
    <n v="1.3247199999999999"/>
    <n v="2.1168"/>
    <n v="94029000"/>
    <n v="0"/>
    <n v="0"/>
    <n v="0"/>
    <n v="0"/>
    <n v="4556750"/>
    <n v="830930"/>
    <n v="0"/>
    <n v="1"/>
    <x v="3"/>
    <n v="1.9600049168519422E-2"/>
    <n v="-3.2762344572991554E-3"/>
  </r>
  <r>
    <n v="72.290000000000006"/>
    <n v="72.290000000000006"/>
    <n v="5.2112499999999997"/>
    <n v="0.05"/>
    <n v="1"/>
    <n v="2.3411900000000001"/>
    <n v="2.5668700000000002"/>
    <n v="0"/>
    <n v="0.42982900000000002"/>
    <n v="3.6288"/>
    <n v="8105360"/>
    <n v="0"/>
    <n v="0"/>
    <n v="0"/>
    <n v="0"/>
    <n v="3500030"/>
    <n v="-41011.800000000003"/>
    <n v="304891"/>
    <n v="99.302199999999999"/>
    <n v="98.274000000000001"/>
    <n v="7.4806499999999998"/>
    <n v="0"/>
    <n v="1"/>
    <n v="1.71462"/>
    <n v="1.4889399999999999"/>
    <n v="0"/>
    <n v="1.3607400000000001"/>
    <n v="2.1168"/>
    <n v="94738500"/>
    <n v="0"/>
    <n v="0"/>
    <n v="0"/>
    <n v="0"/>
    <n v="4436140"/>
    <n v="709457"/>
    <n v="0"/>
    <n v="2"/>
    <x v="3"/>
    <n v="1.7189718255823393E-2"/>
    <n v="-1.2594617659185683E-3"/>
  </r>
  <r>
    <n v="72.290000000000006"/>
    <n v="72.290000000000006"/>
    <n v="8.0519200000000009"/>
    <n v="0.05"/>
    <n v="1"/>
    <n v="2.34213"/>
    <n v="2.5674600000000001"/>
    <n v="0"/>
    <n v="0.43874000000000002"/>
    <n v="3.6288"/>
    <n v="8064880"/>
    <n v="0"/>
    <n v="0"/>
    <n v="0"/>
    <n v="0"/>
    <n v="3501420"/>
    <n v="-40489.300000000003"/>
    <n v="304430"/>
    <n v="99.302199999999999"/>
    <n v="98.274000000000001"/>
    <n v="8.5141500000000008"/>
    <n v="0"/>
    <n v="1"/>
    <n v="1.71462"/>
    <n v="1.4892799999999999"/>
    <n v="0"/>
    <n v="1.3247199999999999"/>
    <n v="2.1168"/>
    <n v="95447100"/>
    <n v="0"/>
    <n v="0"/>
    <n v="0"/>
    <n v="0"/>
    <n v="4436140"/>
    <n v="708602"/>
    <n v="0"/>
    <n v="3"/>
    <x v="3"/>
    <n v="1.7169002117835144E-2"/>
    <n v="-1.2429223126315151E-3"/>
  </r>
  <r>
    <n v="72.290000000000006"/>
    <n v="72.290000000000006"/>
    <n v="12.143700000000001"/>
    <n v="0.05"/>
    <n v="1"/>
    <n v="2.3430599999999999"/>
    <n v="2.5680499999999999"/>
    <n v="0"/>
    <n v="0.43891400000000003"/>
    <n v="3.6288"/>
    <n v="8024910"/>
    <n v="0"/>
    <n v="0"/>
    <n v="0"/>
    <n v="0"/>
    <n v="3502810"/>
    <n v="-39966.6"/>
    <n v="303967"/>
    <n v="99.302199999999999"/>
    <n v="98.274000000000001"/>
    <n v="11.221500000000001"/>
    <n v="0"/>
    <n v="1"/>
    <n v="1.71462"/>
    <n v="1.48963"/>
    <n v="0"/>
    <n v="1.3247199999999999"/>
    <n v="2.1168"/>
    <n v="96154900"/>
    <n v="0"/>
    <n v="0"/>
    <n v="0"/>
    <n v="0"/>
    <n v="4436140"/>
    <n v="707746"/>
    <n v="0"/>
    <n v="4"/>
    <x v="3"/>
    <n v="1.7148261750445738E-2"/>
    <n v="-1.2263898487835146E-3"/>
  </r>
  <r>
    <n v="72.290000000000006"/>
    <n v="72.290000000000006"/>
    <n v="16.480499999999999"/>
    <n v="0.05"/>
    <n v="1"/>
    <n v="2.5945299999999998"/>
    <n v="2.8191799999999998"/>
    <n v="0"/>
    <n v="0.43908900000000001"/>
    <n v="3.6288"/>
    <n v="8011220"/>
    <n v="0"/>
    <n v="0"/>
    <n v="0"/>
    <n v="0"/>
    <n v="3878750"/>
    <n v="-13688"/>
    <n v="303505"/>
    <n v="99.302199999999999"/>
    <n v="98.274000000000001"/>
    <n v="13.3973"/>
    <n v="0"/>
    <n v="1"/>
    <n v="1.88981"/>
    <n v="1.66516"/>
    <n v="0"/>
    <n v="1.3247199999999999"/>
    <n v="2.1168"/>
    <n v="96876500"/>
    <n v="0"/>
    <n v="0"/>
    <n v="0"/>
    <n v="0"/>
    <n v="4889390"/>
    <n v="721664"/>
    <n v="0"/>
    <n v="5"/>
    <x v="3"/>
    <n v="1.5864569267198678E-2"/>
    <n v="-3.7931160660733117E-4"/>
  </r>
  <r>
    <n v="72.290000000000006"/>
    <n v="72.290000000000006"/>
    <n v="11.214700000000001"/>
    <n v="0.05"/>
    <n v="1"/>
    <n v="2.7707099999999998"/>
    <n v="2.8198300000000001"/>
    <n v="0"/>
    <n v="0.48621500000000001"/>
    <n v="3.6288"/>
    <n v="8234740"/>
    <n v="0"/>
    <n v="0"/>
    <n v="0"/>
    <n v="0"/>
    <n v="4142140"/>
    <n v="223518"/>
    <n v="66365.899999999994"/>
    <n v="99.302199999999999"/>
    <n v="98.274000000000001"/>
    <n v="9.7781800000000008"/>
    <n v="0"/>
    <n v="1"/>
    <n v="1.7146600000000001"/>
    <n v="1.66554"/>
    <n v="0"/>
    <n v="1.46007"/>
    <n v="2.1168"/>
    <n v="97144100"/>
    <n v="0"/>
    <n v="0"/>
    <n v="0"/>
    <n v="0"/>
    <n v="4436240"/>
    <n v="267557"/>
    <n v="0"/>
    <n v="6"/>
    <x v="3"/>
    <n v="6.4825997535135835E-3"/>
    <n v="5.8001022965431257E-3"/>
  </r>
  <r>
    <n v="72.290000000000006"/>
    <n v="72.290000000000006"/>
    <n v="7.2092200000000002"/>
    <n v="0.05"/>
    <n v="1"/>
    <n v="2.7717399999999999"/>
    <n v="2.8204799999999999"/>
    <n v="0"/>
    <n v="0.51922999999999997"/>
    <n v="3.6288"/>
    <n v="8458840"/>
    <n v="0"/>
    <n v="0"/>
    <n v="0"/>
    <n v="0"/>
    <n v="4143680"/>
    <n v="224102"/>
    <n v="65849.100000000006"/>
    <n v="99.302199999999999"/>
    <n v="98.274000000000001"/>
    <n v="6.1602499999999996"/>
    <n v="0"/>
    <n v="1"/>
    <n v="1.7146600000000001"/>
    <n v="1.6659200000000001"/>
    <n v="0"/>
    <n v="1.3247500000000001"/>
    <n v="2.1168"/>
    <n v="97410700"/>
    <n v="0"/>
    <n v="0"/>
    <n v="0"/>
    <n v="0"/>
    <n v="4436240"/>
    <n v="266599"/>
    <n v="0"/>
    <n v="7"/>
    <x v="3"/>
    <n v="6.4593885104369088E-3"/>
    <n v="5.8130953586519579E-3"/>
  </r>
  <r>
    <n v="72.290000000000006"/>
    <n v="72.290000000000006"/>
    <n v="5.8888699999999998"/>
    <n v="0.05"/>
    <n v="1"/>
    <n v="2.77277"/>
    <n v="2.8211300000000001"/>
    <n v="0"/>
    <n v="0.51942299999999997"/>
    <n v="3.6288"/>
    <n v="8683530"/>
    <n v="0"/>
    <n v="0"/>
    <n v="0"/>
    <n v="0"/>
    <n v="4145220"/>
    <n v="224685"/>
    <n v="65332.4"/>
    <n v="99.302199999999999"/>
    <n v="98.274000000000001"/>
    <n v="6.5852700000000004"/>
    <n v="0"/>
    <n v="1"/>
    <n v="1.7146600000000001"/>
    <n v="1.6662999999999999"/>
    <n v="0"/>
    <n v="1.3247500000000001"/>
    <n v="2.1168"/>
    <n v="97676300"/>
    <n v="0"/>
    <n v="0"/>
    <n v="0"/>
    <n v="0"/>
    <n v="4436240"/>
    <n v="265642"/>
    <n v="0"/>
    <n v="8"/>
    <x v="3"/>
    <n v="6.436201496215219E-3"/>
    <n v="5.826052836727387E-3"/>
  </r>
  <r>
    <n v="72.290000000000006"/>
    <n v="72.290000000000006"/>
    <n v="5.98895"/>
    <n v="0.05"/>
    <n v="1"/>
    <n v="2.4161199999999998"/>
    <n v="2.4641000000000002"/>
    <n v="0"/>
    <n v="0.51961599999999997"/>
    <n v="3.6288"/>
    <n v="8872020"/>
    <n v="0"/>
    <n v="0"/>
    <n v="0"/>
    <n v="0"/>
    <n v="3612040"/>
    <n v="188498"/>
    <n v="64815.5"/>
    <n v="99.302199999999999"/>
    <n v="98.274000000000001"/>
    <n v="5.9005099999999997"/>
    <n v="0"/>
    <n v="1"/>
    <n v="1.4793400000000001"/>
    <n v="1.43137"/>
    <n v="0"/>
    <n v="1.3247500000000001"/>
    <n v="2.1168"/>
    <n v="97921200"/>
    <n v="0"/>
    <n v="0"/>
    <n v="0"/>
    <n v="0"/>
    <n v="3827410"/>
    <n v="244839"/>
    <n v="0"/>
    <n v="9"/>
    <x v="3"/>
    <n v="6.8758047204606088E-3"/>
    <n v="5.6092154236298273E-3"/>
  </r>
  <r>
    <n v="72.290000000000006"/>
    <n v="72.290000000000006"/>
    <n v="11.6015"/>
    <n v="0.05"/>
    <n v="1"/>
    <n v="2.1817500000000001"/>
    <n v="2.4646599999999999"/>
    <n v="0"/>
    <n v="0.45278099999999999"/>
    <n v="3.6288"/>
    <n v="8743180"/>
    <n v="0"/>
    <n v="0"/>
    <n v="0"/>
    <n v="0"/>
    <n v="3261660"/>
    <n v="-128842"/>
    <n v="382214"/>
    <n v="99.302199999999999"/>
    <n v="98.274000000000001"/>
    <n v="11.3475"/>
    <n v="0"/>
    <n v="1"/>
    <n v="1.71461"/>
    <n v="1.4316899999999999"/>
    <n v="0"/>
    <n v="1.1429400000000001"/>
    <n v="2.1168"/>
    <n v="98773900"/>
    <n v="0"/>
    <n v="0"/>
    <n v="0"/>
    <n v="0"/>
    <n v="4436100"/>
    <n v="852708"/>
    <n v="0"/>
    <n v="10"/>
    <x v="3"/>
    <n v="2.066079049600662E-2"/>
    <n v="-4.2458700126743526E-3"/>
  </r>
  <r>
    <n v="72.290000000000006"/>
    <n v="72.290000000000006"/>
    <n v="8.7588899999999992"/>
    <n v="0.05"/>
    <n v="1"/>
    <n v="2.1826400000000001"/>
    <n v="2.46523"/>
    <n v="0"/>
    <n v="0.40885899999999997"/>
    <n v="3.6288"/>
    <n v="8614840"/>
    <n v="0"/>
    <n v="0"/>
    <n v="0"/>
    <n v="0"/>
    <n v="3262990"/>
    <n v="-128340"/>
    <n v="381770"/>
    <n v="99.302199999999999"/>
    <n v="98.274000000000001"/>
    <n v="8.98902"/>
    <n v="0"/>
    <n v="1"/>
    <n v="1.71461"/>
    <n v="1.4320200000000001"/>
    <n v="0"/>
    <n v="1.3247100000000001"/>
    <n v="2.1168"/>
    <n v="99625700"/>
    <n v="0"/>
    <n v="0"/>
    <n v="0"/>
    <n v="0"/>
    <n v="4436100"/>
    <n v="851885"/>
    <n v="0"/>
    <n v="11"/>
    <x v="3"/>
    <n v="2.06408495190506E-2"/>
    <n v="-4.2276031822611757E-3"/>
  </r>
  <r>
    <n v="72.290000000000006"/>
    <n v="72.290000000000006"/>
    <n v="8.8773400000000002"/>
    <n v="0.05"/>
    <n v="1"/>
    <n v="2.1835399999999998"/>
    <n v="2.4657900000000001"/>
    <n v="0"/>
    <n v="0.40902699999999997"/>
    <n v="3.6288"/>
    <n v="8487000"/>
    <n v="0"/>
    <n v="0"/>
    <n v="0"/>
    <n v="0"/>
    <n v="3264330"/>
    <n v="-127837"/>
    <n v="381326"/>
    <n v="99.302199999999999"/>
    <n v="98.274000000000001"/>
    <n v="6.5747999999999998"/>
    <n v="0"/>
    <n v="1"/>
    <n v="1.71461"/>
    <n v="1.43235"/>
    <n v="0"/>
    <n v="1.3247100000000001"/>
    <n v="2.1168"/>
    <n v="100477000"/>
    <n v="0"/>
    <n v="0"/>
    <n v="0"/>
    <n v="0"/>
    <n v="4436100"/>
    <n v="851062"/>
    <n v="0"/>
    <n v="12"/>
    <x v="3"/>
    <n v="2.0620908542094581E-2"/>
    <n v="-4.2093054148378724E-3"/>
  </r>
  <r>
    <n v="72.290000000000006"/>
    <n v="72.290000000000006"/>
    <n v="6.1588599999999998"/>
    <n v="0.05"/>
    <n v="1"/>
    <n v="2.1844299999999999"/>
    <n v="2.4663599999999999"/>
    <n v="0"/>
    <n v="0.40919499999999998"/>
    <n v="3.6288"/>
    <n v="8359670"/>
    <n v="0"/>
    <n v="0"/>
    <n v="0"/>
    <n v="0"/>
    <n v="3265670"/>
    <n v="-127335"/>
    <n v="380882"/>
    <n v="99.302199999999999"/>
    <n v="98.274000000000001"/>
    <n v="4.5642500000000004"/>
    <n v="0"/>
    <n v="1"/>
    <n v="1.71461"/>
    <n v="1.43268"/>
    <n v="0"/>
    <n v="1.3247100000000001"/>
    <n v="2.1168"/>
    <n v="101327000"/>
    <n v="0"/>
    <n v="0"/>
    <n v="0"/>
    <n v="0"/>
    <n v="4436100"/>
    <n v="850239"/>
    <n v="0"/>
    <n v="13"/>
    <x v="3"/>
    <n v="2.0600967565138559E-2"/>
    <n v="-4.1910555772520421E-3"/>
  </r>
  <r>
    <n v="72.290000000000006"/>
    <n v="72.290000000000006"/>
    <n v="7.7290799999999997"/>
    <n v="0.05"/>
    <n v="1"/>
    <n v="2.2754599999999998"/>
    <n v="2.5570599999999999"/>
    <n v="0"/>
    <n v="0.40936299999999998"/>
    <n v="3.6288"/>
    <n v="8242100"/>
    <n v="0"/>
    <n v="0"/>
    <n v="0"/>
    <n v="0"/>
    <n v="3401760"/>
    <n v="-117566"/>
    <n v="380437"/>
    <n v="99.302199999999999"/>
    <n v="98.274000000000001"/>
    <n v="7.9395699999999998"/>
    <n v="0"/>
    <n v="1"/>
    <n v="1.77224"/>
    <n v="1.49064"/>
    <n v="0"/>
    <n v="1.3247100000000001"/>
    <n v="2.1168"/>
    <n v="102181000"/>
    <n v="0"/>
    <n v="0"/>
    <n v="0"/>
    <n v="0"/>
    <n v="4585220"/>
    <n v="854276"/>
    <n v="0"/>
    <n v="14"/>
    <x v="3"/>
    <n v="2.0025619103088612E-2"/>
    <n v="-3.7147192480196595E-3"/>
  </r>
  <r>
    <n v="72.290000000000006"/>
    <n v="72.290000000000006"/>
    <n v="9.1717899999999997"/>
    <n v="0.05"/>
    <n v="1"/>
    <n v="2.3340100000000001"/>
    <n v="2.5576500000000002"/>
    <n v="0"/>
    <n v="0.42642200000000002"/>
    <n v="3.6288"/>
    <n v="8202910"/>
    <n v="0"/>
    <n v="0"/>
    <n v="0"/>
    <n v="0"/>
    <n v="3489290"/>
    <n v="-39197.699999999997"/>
    <n v="302129"/>
    <n v="99.302199999999999"/>
    <n v="98.274000000000001"/>
    <n v="9.2325999999999997"/>
    <n v="0"/>
    <n v="1"/>
    <n v="1.71462"/>
    <n v="1.49099"/>
    <n v="0"/>
    <n v="1.36924"/>
    <n v="2.1168"/>
    <n v="102886000"/>
    <n v="0"/>
    <n v="0"/>
    <n v="0"/>
    <n v="0"/>
    <n v="4436140"/>
    <n v="704340"/>
    <n v="0"/>
    <n v="15"/>
    <x v="3"/>
    <n v="1.7065736410108924E-2"/>
    <n v="-1.2074563586543677E-3"/>
  </r>
  <r>
    <n v="72.290000000000006"/>
    <n v="72.290000000000006"/>
    <n v="7.6414799999999996"/>
    <n v="0.05"/>
    <n v="1"/>
    <n v="2.33494"/>
    <n v="2.5582400000000001"/>
    <n v="0"/>
    <n v="0.43739400000000001"/>
    <n v="3.6288"/>
    <n v="8164230"/>
    <n v="0"/>
    <n v="0"/>
    <n v="0"/>
    <n v="0"/>
    <n v="3490680"/>
    <n v="-38674.699999999997"/>
    <n v="301667"/>
    <n v="99.302199999999999"/>
    <n v="98.274000000000001"/>
    <n v="8.5619599999999991"/>
    <n v="0"/>
    <n v="1"/>
    <n v="1.71462"/>
    <n v="1.49133"/>
    <n v="0"/>
    <n v="1.3247199999999999"/>
    <n v="2.1168"/>
    <n v="103589000"/>
    <n v="0"/>
    <n v="0"/>
    <n v="0"/>
    <n v="0"/>
    <n v="4436140"/>
    <n v="703483"/>
    <n v="0"/>
    <n v="16"/>
    <x v="3"/>
    <n v="1.7044971813318363E-2"/>
    <n v="-1.1908713300868455E-3"/>
  </r>
  <r>
    <n v="72.290000000000006"/>
    <n v="72.290000000000006"/>
    <n v="6.1142300000000001"/>
    <n v="0.05"/>
    <n v="1"/>
    <n v="2.3358699999999999"/>
    <n v="2.5588299999999999"/>
    <n v="0"/>
    <n v="0.43756899999999999"/>
    <n v="3.6288"/>
    <n v="8126080"/>
    <n v="0"/>
    <n v="0"/>
    <n v="0"/>
    <n v="0"/>
    <n v="3492070"/>
    <n v="-38151.800000000003"/>
    <n v="301204"/>
    <n v="99.302199999999999"/>
    <n v="98.274000000000001"/>
    <n v="5.9106699999999996"/>
    <n v="0"/>
    <n v="1"/>
    <n v="1.71462"/>
    <n v="1.4916700000000001"/>
    <n v="0"/>
    <n v="1.3247199999999999"/>
    <n v="2.1168"/>
    <n v="104292000"/>
    <n v="0"/>
    <n v="0"/>
    <n v="0"/>
    <n v="0"/>
    <n v="4436140"/>
    <n v="702626"/>
    <n v="0"/>
    <n v="17"/>
    <x v="3"/>
    <n v="1.7024207216527806E-2"/>
    <n v="-1.1743025826594442E-3"/>
  </r>
  <r>
    <n v="72.290000000000006"/>
    <n v="72.290000000000006"/>
    <n v="5.76816"/>
    <n v="0.05"/>
    <n v="1"/>
    <n v="2.3015300000000001"/>
    <n v="2.5241400000000001"/>
    <n v="0"/>
    <n v="0.43774299999999999"/>
    <n v="3.6288"/>
    <n v="8084820"/>
    <n v="0"/>
    <n v="0"/>
    <n v="0"/>
    <n v="0"/>
    <n v="3440730"/>
    <n v="-41255.1"/>
    <n v="300741"/>
    <n v="99.302199999999999"/>
    <n v="98.274000000000001"/>
    <n v="5.1135299999999999"/>
    <n v="0"/>
    <n v="1"/>
    <n v="1.6922200000000001"/>
    <n v="1.4696100000000001"/>
    <n v="0"/>
    <n v="1.3247199999999999"/>
    <n v="2.1168"/>
    <n v="104992000"/>
    <n v="0"/>
    <n v="0"/>
    <n v="0"/>
    <n v="0"/>
    <n v="4378170"/>
    <n v="699879"/>
    <n v="0"/>
    <n v="18"/>
    <x v="3"/>
    <n v="1.7182180057776414E-2"/>
    <n v="-1.2887686824813423E-3"/>
  </r>
  <r>
    <n v="72.290000000000006"/>
    <n v="72.290000000000006"/>
    <n v="5.2395399999999999"/>
    <n v="0.05"/>
    <n v="1"/>
    <n v="2.2800500000000001"/>
    <n v="2.5247199999999999"/>
    <n v="0"/>
    <n v="0.431307"/>
    <n v="3.6288"/>
    <n v="8013820"/>
    <n v="0"/>
    <n v="0"/>
    <n v="0"/>
    <n v="0"/>
    <n v="3408610"/>
    <n v="-71001.7"/>
    <n v="330548"/>
    <n v="99.302199999999999"/>
    <n v="98.274000000000001"/>
    <n v="4.3103100000000003"/>
    <n v="0"/>
    <n v="1"/>
    <n v="1.71462"/>
    <n v="1.4699500000000001"/>
    <n v="0"/>
    <n v="1.30741"/>
    <n v="2.1168"/>
    <n v="105749000"/>
    <n v="0"/>
    <n v="0"/>
    <n v="0"/>
    <n v="0"/>
    <n v="4436120"/>
    <n v="756989"/>
    <n v="0"/>
    <n v="19"/>
    <x v="3"/>
    <n v="1.8341472842699269E-2"/>
    <n v="-2.2389240292127505E-3"/>
  </r>
  <r>
    <n v="72.290000000000006"/>
    <n v="72.290000000000006"/>
    <n v="4.5310699999999997"/>
    <n v="0.05"/>
    <n v="1"/>
    <n v="2.2809599999999999"/>
    <n v="2.5253000000000001"/>
    <n v="0"/>
    <n v="0.42728100000000002"/>
    <n v="3.6288"/>
    <n v="7943340"/>
    <n v="0"/>
    <n v="0"/>
    <n v="0"/>
    <n v="0"/>
    <n v="3409980"/>
    <n v="-70486.100000000006"/>
    <n v="330092"/>
    <n v="99.302199999999999"/>
    <n v="98.274000000000001"/>
    <n v="3.9217300000000002"/>
    <n v="0"/>
    <n v="1"/>
    <n v="1.71462"/>
    <n v="1.47028"/>
    <n v="0"/>
    <n v="1.3247100000000001"/>
    <n v="2.1168"/>
    <n v="106505000"/>
    <n v="0"/>
    <n v="0"/>
    <n v="0"/>
    <n v="0"/>
    <n v="4436120"/>
    <n v="756144"/>
    <n v="0"/>
    <n v="20"/>
    <x v="3"/>
    <n v="1.8320998906417394E-2"/>
    <n v="-2.2217724330198677E-3"/>
  </r>
  <r>
    <n v="72.290000000000006"/>
    <n v="72.290000000000006"/>
    <n v="4.0420800000000003"/>
    <n v="0.05"/>
    <n v="1"/>
    <n v="2.2818800000000001"/>
    <n v="2.5258799999999999"/>
    <n v="0"/>
    <n v="0.42745300000000003"/>
    <n v="3.6288"/>
    <n v="7873370"/>
    <n v="0"/>
    <n v="0"/>
    <n v="0"/>
    <n v="0"/>
    <n v="3411360"/>
    <n v="-69970.399999999994"/>
    <n v="329636"/>
    <n v="99.302199999999999"/>
    <n v="98.274000000000001"/>
    <n v="3.43282"/>
    <n v="0"/>
    <n v="1"/>
    <n v="1.71462"/>
    <n v="1.47062"/>
    <n v="0"/>
    <n v="1.3247100000000001"/>
    <n v="2.1168"/>
    <n v="107260000"/>
    <n v="0"/>
    <n v="0"/>
    <n v="0"/>
    <n v="0"/>
    <n v="4436120"/>
    <n v="755299"/>
    <n v="0"/>
    <n v="21"/>
    <x v="3"/>
    <n v="1.8300524970135516E-2"/>
    <n v="-2.2046249995842523E-3"/>
  </r>
  <r>
    <n v="72.290000000000006"/>
    <n v="72.290000000000006"/>
    <n v="3.72451"/>
    <n v="0.05"/>
    <n v="1"/>
    <n v="2.40265"/>
    <n v="2.6463100000000002"/>
    <n v="0"/>
    <n v="0.42762499999999998"/>
    <n v="3.6288"/>
    <n v="7816230"/>
    <n v="0"/>
    <n v="0"/>
    <n v="0"/>
    <n v="0"/>
    <n v="3591900"/>
    <n v="-57134"/>
    <n v="329179"/>
    <n v="99.302199999999999"/>
    <n v="98.274000000000001"/>
    <n v="3.1865199999999998"/>
    <n v="0"/>
    <n v="1"/>
    <n v="1.7941499999999999"/>
    <n v="1.5504899999999999"/>
    <n v="0"/>
    <n v="1.3247100000000001"/>
    <n v="2.1168"/>
    <n v="108021000"/>
    <n v="0"/>
    <n v="0"/>
    <n v="0"/>
    <n v="0"/>
    <n v="4641880"/>
    <n v="761161"/>
    <n v="0"/>
    <n v="22"/>
    <x v="3"/>
    <n v="1.7625057518121913E-2"/>
    <n v="-1.709693723036708E-3"/>
  </r>
  <r>
    <n v="72.290000000000006"/>
    <n v="72.290000000000006"/>
    <n v="4.1029499999999999"/>
    <n v="0.04"/>
    <n v="1"/>
    <n v="2.48312"/>
    <n v="2.6469100000000001"/>
    <n v="0"/>
    <n v="0.45025599999999999"/>
    <n v="3.6288"/>
    <n v="7867060"/>
    <n v="0"/>
    <n v="0"/>
    <n v="0"/>
    <n v="0"/>
    <n v="3712200"/>
    <n v="50825.9"/>
    <n v="221282"/>
    <n v="99.302199999999999"/>
    <n v="98.274000000000001"/>
    <n v="3.5247099999999998"/>
    <n v="0"/>
    <n v="1"/>
    <n v="1.7146399999999999"/>
    <n v="1.55084"/>
    <n v="0"/>
    <n v="1.3861600000000001"/>
    <n v="2.1168"/>
    <n v="108576000"/>
    <n v="0"/>
    <n v="0"/>
    <n v="0"/>
    <n v="0"/>
    <n v="4436170"/>
    <n v="554560"/>
    <n v="0"/>
    <n v="23"/>
    <x v="3"/>
    <n v="1.3436565838382578E-2"/>
    <n v="1.4716401747197911E-3"/>
  </r>
  <r>
    <n v="72.290000000000006"/>
    <n v="72.290000000000006"/>
    <n v="3.8922699999999999"/>
    <n v="0.04"/>
    <n v="1"/>
    <n v="2.4840800000000001"/>
    <n v="2.6475200000000001"/>
    <n v="0"/>
    <n v="0.465337"/>
    <n v="3.6288"/>
    <n v="7918430"/>
    <n v="0"/>
    <n v="0"/>
    <n v="0"/>
    <n v="0"/>
    <n v="3713640"/>
    <n v="51369.5"/>
    <n v="220801"/>
    <n v="99.302199999999999"/>
    <n v="98.274000000000001"/>
    <n v="3.0326900000000001"/>
    <n v="0"/>
    <n v="1"/>
    <n v="1.7146399999999999"/>
    <n v="1.5511999999999999"/>
    <n v="0"/>
    <n v="1.32473"/>
    <n v="2.1168"/>
    <n v="109129000"/>
    <n v="0"/>
    <n v="0"/>
    <n v="0"/>
    <n v="0"/>
    <n v="4436170"/>
    <n v="553668"/>
    <n v="0"/>
    <n v="24"/>
    <x v="3"/>
    <n v="1.3414953358708894E-2"/>
    <n v="1.4868031126061261E-3"/>
  </r>
  <r>
    <n v="72.290000000000006"/>
    <n v="72.290000000000006"/>
    <n v="3.61991"/>
    <n v="0.02"/>
    <n v="1"/>
    <n v="2.4850500000000002"/>
    <n v="2.6481300000000001"/>
    <n v="0"/>
    <n v="0.46551700000000001"/>
    <n v="3.6288"/>
    <n v="7970340"/>
    <n v="0"/>
    <n v="0"/>
    <n v="0"/>
    <n v="0"/>
    <n v="3715080"/>
    <n v="51913.2"/>
    <n v="220320"/>
    <n v="99.302199999999999"/>
    <n v="98.274000000000001"/>
    <n v="2.7108400000000001"/>
    <n v="0"/>
    <n v="1"/>
    <n v="1.7146399999999999"/>
    <n v="1.5515600000000001"/>
    <n v="0"/>
    <n v="1.32473"/>
    <n v="2.1168"/>
    <n v="109682000"/>
    <n v="0"/>
    <n v="0"/>
    <n v="0"/>
    <n v="0"/>
    <n v="4436170"/>
    <n v="552777"/>
    <n v="0"/>
    <n v="25"/>
    <x v="3"/>
    <n v="1.3393365108272515E-2"/>
    <n v="1.5019571891060175E-3"/>
  </r>
  <r>
    <n v="72.290000000000006"/>
    <n v="72.290000000000006"/>
    <n v="3.4229400000000001"/>
    <n v="0.02"/>
    <n v="1"/>
    <n v="2.4860099999999998"/>
    <n v="2.6487400000000001"/>
    <n v="0"/>
    <n v="0.465698"/>
    <n v="3.6288"/>
    <n v="8022800"/>
    <n v="0"/>
    <n v="0"/>
    <n v="0"/>
    <n v="0"/>
    <n v="3716530"/>
    <n v="52457.1"/>
    <n v="219838"/>
    <n v="99.302199999999999"/>
    <n v="98.274000000000001"/>
    <n v="2.45953"/>
    <n v="0"/>
    <n v="1"/>
    <n v="1.7146399999999999"/>
    <n v="1.5519099999999999"/>
    <n v="0"/>
    <n v="1.32473"/>
    <n v="2.1168"/>
    <n v="110234000"/>
    <n v="0"/>
    <n v="0"/>
    <n v="0"/>
    <n v="0"/>
    <n v="4436170"/>
    <n v="551885"/>
    <n v="0"/>
    <n v="26"/>
    <x v="3"/>
    <n v="1.3371752628598833E-2"/>
    <n v="1.5171012245595976E-3"/>
  </r>
  <r>
    <n v="71.949100000000001"/>
    <n v="72.290000000000006"/>
    <n v="2.59334"/>
    <n v="0.02"/>
    <n v="1"/>
    <n v="2.4632499999999999"/>
    <n v="2.6256200000000001"/>
    <n v="0"/>
    <n v="0.46587899999999999"/>
    <n v="3.6288"/>
    <n v="8073360"/>
    <n v="0"/>
    <n v="0"/>
    <n v="0"/>
    <n v="0"/>
    <n v="3682490"/>
    <n v="50561.7"/>
    <n v="219357"/>
    <n v="99.150599999999997"/>
    <n v="98.274000000000001"/>
    <n v="2.1806299999999998"/>
    <n v="0"/>
    <n v="1"/>
    <n v="1.7584"/>
    <n v="1.5960300000000001"/>
    <n v="0"/>
    <n v="1.32473"/>
    <n v="2.1168"/>
    <n v="110789000"/>
    <n v="0"/>
    <n v="0"/>
    <n v="0"/>
    <n v="0"/>
    <n v="4549390"/>
    <n v="554684"/>
    <n v="0"/>
    <n v="27"/>
    <x v="3"/>
    <n v="1.3105101654770737E-2"/>
    <n v="1.4758017307478898E-3"/>
  </r>
  <r>
    <n v="71.211399999999998"/>
    <n v="72.290000000000006"/>
    <n v="2.2478799999999999"/>
    <n v="0.03"/>
    <n v="1"/>
    <n v="2.5079699999999998"/>
    <n v="2.62622"/>
    <n v="0"/>
    <n v="0.461613"/>
    <n v="3.6288"/>
    <n v="8183580"/>
    <n v="0"/>
    <n v="0"/>
    <n v="0"/>
    <n v="0"/>
    <n v="3749350"/>
    <n v="110224"/>
    <n v="159756"/>
    <n v="98.990700000000004"/>
    <n v="98.274000000000001"/>
    <n v="1.99749"/>
    <n v="0"/>
    <n v="1"/>
    <n v="1.71465"/>
    <n v="1.5964"/>
    <n v="0"/>
    <n v="1.3585400000000001"/>
    <n v="2.1168"/>
    <n v="111229000"/>
    <n v="0"/>
    <n v="0"/>
    <n v="0"/>
    <n v="0"/>
    <n v="4436200"/>
    <n v="440575"/>
    <n v="0"/>
    <n v="28"/>
    <x v="3"/>
    <n v="1.0674724035691278E-2"/>
    <n v="3.1598619398799264E-3"/>
  </r>
  <r>
    <n v="70.291200000000003"/>
    <n v="72.290000000000006"/>
    <n v="2.06575"/>
    <n v="0.03"/>
    <n v="1"/>
    <n v="2.5089399999999999"/>
    <n v="2.6268199999999999"/>
    <n v="0"/>
    <n v="0.46999299999999999"/>
    <n v="3.6288"/>
    <n v="8294370"/>
    <n v="0"/>
    <n v="0"/>
    <n v="0"/>
    <n v="0"/>
    <n v="3750800"/>
    <n v="110782"/>
    <n v="159261"/>
    <n v="98.647800000000004"/>
    <n v="98.274000000000001"/>
    <n v="1.9841299999999999"/>
    <n v="0"/>
    <n v="1"/>
    <n v="1.71465"/>
    <n v="1.59676"/>
    <n v="0"/>
    <n v="1.32474"/>
    <n v="2.1168"/>
    <n v="111669000"/>
    <n v="0"/>
    <n v="0"/>
    <n v="0"/>
    <n v="0"/>
    <n v="4436200"/>
    <n v="439658"/>
    <n v="0"/>
    <n v="29"/>
    <x v="3"/>
    <n v="1.0652505975336676E-2"/>
    <n v="3.1746307462455674E-3"/>
  </r>
  <r>
    <n v="69.185500000000005"/>
    <n v="72.290000000000006"/>
    <n v="1.8803300000000001"/>
    <n v="0.03"/>
    <n v="1"/>
    <n v="2.5099100000000001"/>
    <n v="2.6274299999999999"/>
    <n v="0"/>
    <n v="0.47017500000000001"/>
    <n v="3.6288"/>
    <n v="8405700"/>
    <n v="0"/>
    <n v="0"/>
    <n v="0"/>
    <n v="0"/>
    <n v="3752250"/>
    <n v="111339"/>
    <n v="158766"/>
    <n v="98.324799999999996"/>
    <n v="98.274000000000001"/>
    <n v="1.7699499999999999"/>
    <n v="0"/>
    <n v="1"/>
    <n v="1.71465"/>
    <n v="1.5971299999999999"/>
    <n v="0"/>
    <n v="1.32474"/>
    <n v="2.1168"/>
    <n v="112108000"/>
    <n v="0"/>
    <n v="0"/>
    <n v="0"/>
    <n v="0"/>
    <n v="4436200"/>
    <n v="438740"/>
    <n v="0"/>
    <n v="30"/>
    <x v="3"/>
    <n v="1.0630263685908622E-2"/>
    <n v="3.1893594927660208E-3"/>
  </r>
  <r>
    <n v="67.963999999999999"/>
    <n v="72.290000000000006"/>
    <n v="1.81413"/>
    <n v="0.04"/>
    <n v="1"/>
    <n v="2.5722100000000001"/>
    <n v="2.6893600000000002"/>
    <n v="0"/>
    <n v="0.47035700000000003"/>
    <n v="3.6288"/>
    <n v="8523910"/>
    <n v="0"/>
    <n v="0"/>
    <n v="0"/>
    <n v="0"/>
    <n v="3845390"/>
    <n v="118202"/>
    <n v="158270"/>
    <n v="98.151300000000006"/>
    <n v="98.274000000000001"/>
    <n v="1.78653"/>
    <n v="0"/>
    <n v="1"/>
    <n v="1.7536799999999999"/>
    <n v="1.63653"/>
    <n v="0"/>
    <n v="1.32474"/>
    <n v="2.1168"/>
    <n v="112549000"/>
    <n v="0"/>
    <n v="0"/>
    <n v="0"/>
    <n v="0"/>
    <n v="4537190"/>
    <n v="441114"/>
    <n v="0"/>
    <n v="31"/>
    <x v="3"/>
    <n v="1.0449891935441427E-2"/>
    <n v="3.3039415557570544E-3"/>
  </r>
  <r>
    <n v="66.759500000000003"/>
    <n v="72.290000000000006"/>
    <n v="1.8571200000000001"/>
    <n v="0.04"/>
    <n v="1"/>
    <n v="2.6122299999999998"/>
    <n v="2.6899799999999998"/>
    <n v="0"/>
    <n v="0.48203200000000002"/>
    <n v="3.6288"/>
    <n v="8695400"/>
    <n v="0"/>
    <n v="0"/>
    <n v="0"/>
    <n v="0"/>
    <n v="3905220"/>
    <n v="171497"/>
    <n v="105038"/>
    <n v="97.9619"/>
    <n v="98.274000000000001"/>
    <n v="2.0036399999999999"/>
    <n v="0"/>
    <n v="1"/>
    <n v="1.7146600000000001"/>
    <n v="1.6369100000000001"/>
    <n v="0"/>
    <n v="1.3549"/>
    <n v="2.1168"/>
    <n v="112888000"/>
    <n v="0"/>
    <n v="0"/>
    <n v="0"/>
    <n v="0"/>
    <n v="4436220"/>
    <n v="339202"/>
    <n v="0"/>
    <n v="32"/>
    <x v="3"/>
    <n v="8.2185131206985763E-3"/>
    <n v="4.7201841964890044E-3"/>
  </r>
  <r>
    <n v="65.429699999999997"/>
    <n v="72.290000000000006"/>
    <n v="1.7320500000000001"/>
    <n v="0.04"/>
    <n v="1"/>
    <n v="2.6132300000000002"/>
    <n v="2.6905999999999999"/>
    <n v="0"/>
    <n v="0.48953200000000002"/>
    <n v="3.6288"/>
    <n v="8867470"/>
    <n v="0"/>
    <n v="0"/>
    <n v="0"/>
    <n v="0"/>
    <n v="3906710"/>
    <n v="172069"/>
    <n v="104530"/>
    <n v="97.509299999999996"/>
    <n v="98.274000000000001"/>
    <n v="1.90585"/>
    <n v="0"/>
    <n v="1"/>
    <n v="1.7146600000000001"/>
    <n v="1.6372800000000001"/>
    <n v="0"/>
    <n v="1.32474"/>
    <n v="2.1168"/>
    <n v="113226000"/>
    <n v="0"/>
    <n v="0"/>
    <n v="0"/>
    <n v="0"/>
    <n v="4436220"/>
    <n v="338261"/>
    <n v="0"/>
    <n v="33"/>
    <x v="3"/>
    <n v="8.1957136653693693E-3"/>
    <n v="4.7341213340024897E-3"/>
  </r>
  <r>
    <n v="63.943199999999997"/>
    <n v="72.290000000000006"/>
    <n v="1.5754699999999999"/>
    <n v="0.04"/>
    <n v="1"/>
    <n v="2.61422"/>
    <n v="2.6912199999999999"/>
    <n v="0"/>
    <n v="0.48971799999999999"/>
    <n v="3.6288"/>
    <n v="9040110"/>
    <n v="0"/>
    <n v="0"/>
    <n v="0"/>
    <n v="0"/>
    <n v="3908190"/>
    <n v="172640"/>
    <n v="104022"/>
    <n v="97.320599999999999"/>
    <n v="98.274000000000001"/>
    <n v="1.66845"/>
    <n v="0"/>
    <n v="1"/>
    <n v="1.7146600000000001"/>
    <n v="1.6376599999999999"/>
    <n v="0"/>
    <n v="1.32474"/>
    <n v="2.1168"/>
    <n v="113564000"/>
    <n v="0"/>
    <n v="0"/>
    <n v="0"/>
    <n v="0"/>
    <n v="4436220"/>
    <n v="337320"/>
    <n v="0"/>
    <n v="34"/>
    <x v="3"/>
    <n v="8.172914210040164E-3"/>
    <n v="4.7480324909211944E-3"/>
  </r>
  <r>
    <n v="62.493400000000001"/>
    <n v="72.290000000000006"/>
    <n v="1.7824800000000001"/>
    <n v="0.04"/>
    <n v="1"/>
    <n v="2.7949899999999999"/>
    <n v="2.87161"/>
    <n v="0"/>
    <n v="0.48990499999999998"/>
    <n v="3.6288"/>
    <n v="9231800"/>
    <n v="0"/>
    <n v="0"/>
    <n v="0"/>
    <n v="0"/>
    <n v="4178440"/>
    <n v="191693"/>
    <n v="103514"/>
    <n v="97.026799999999994"/>
    <n v="98.274000000000001"/>
    <n v="2.2092700000000001"/>
    <n v="0"/>
    <n v="1"/>
    <n v="1.85568"/>
    <n v="1.7790600000000001"/>
    <n v="0"/>
    <n v="1.32474"/>
    <n v="2.1168"/>
    <n v="113912000"/>
    <n v="0"/>
    <n v="0"/>
    <n v="0"/>
    <n v="0"/>
    <n v="4801100"/>
    <n v="348273"/>
    <n v="0"/>
    <n v="35"/>
    <x v="3"/>
    <n v="7.7969900342020788E-3"/>
    <n v="4.9310568307188449E-3"/>
  </r>
  <r>
    <n v="60.7"/>
    <n v="72.290000000000006"/>
    <n v="1.51051"/>
    <n v="7.0000000000000007E-2"/>
    <n v="1"/>
    <n v="2.8722699999999999"/>
    <n v="2.8722699999999999"/>
    <n v="0"/>
    <n v="0.52378100000000005"/>
    <n v="3.6288"/>
    <n v="9527080"/>
    <n v="0"/>
    <n v="0"/>
    <n v="0"/>
    <n v="0"/>
    <n v="4293970"/>
    <n v="295275"/>
    <n v="0"/>
    <n v="96.619500000000002"/>
    <n v="98.274000000000001"/>
    <n v="1.8958699999999999"/>
    <n v="0"/>
    <n v="1"/>
    <n v="1.7794700000000001"/>
    <n v="1.7794700000000001"/>
    <n v="0"/>
    <n v="1.4337"/>
    <n v="2.1168"/>
    <n v="114062000"/>
    <n v="0"/>
    <n v="0"/>
    <n v="0"/>
    <n v="0"/>
    <n v="4603920"/>
    <n v="150070"/>
    <n v="0"/>
    <n v="36"/>
    <x v="3"/>
    <n v="3.5035961306060007E-3"/>
    <n v="7.3912109293109984E-3"/>
  </r>
  <r>
    <n v="58.667900000000003"/>
    <n v="72.290000000000006"/>
    <n v="1.27183"/>
    <n v="7.0000000000000007E-2"/>
    <n v="1"/>
    <n v="2.8729300000000002"/>
    <n v="2.8729300000000002"/>
    <n v="0"/>
    <n v="0.53826300000000005"/>
    <n v="3.6288"/>
    <n v="9822420"/>
    <n v="0"/>
    <n v="0"/>
    <n v="0"/>
    <n v="0"/>
    <n v="4294960"/>
    <n v="295343"/>
    <n v="0"/>
    <n v="96.268799999999999"/>
    <n v="98.274000000000001"/>
    <n v="1.7419500000000001"/>
    <n v="0"/>
    <n v="1"/>
    <n v="1.7798799999999999"/>
    <n v="1.7798799999999999"/>
    <n v="0"/>
    <n v="1.3748199999999999"/>
    <n v="2.1168"/>
    <n v="114212000"/>
    <n v="0"/>
    <n v="0"/>
    <n v="0"/>
    <n v="0"/>
    <n v="4604970"/>
    <n v="150104"/>
    <n v="0"/>
    <n v="37"/>
    <x v="3"/>
    <n v="3.5035908568680054E-3"/>
    <n v="7.3912089926791644E-3"/>
  </r>
  <r>
    <n v="56.663499999999999"/>
    <n v="72.290000000000006"/>
    <n v="1.2989299999999999"/>
    <n v="7.0000000000000007E-2"/>
    <n v="1"/>
    <n v="2.8735900000000001"/>
    <n v="2.8735900000000001"/>
    <n v="0"/>
    <n v="0.53838699999999995"/>
    <n v="3.6288"/>
    <n v="10117800"/>
    <n v="0"/>
    <n v="0"/>
    <n v="0"/>
    <n v="0"/>
    <n v="4295940"/>
    <n v="295411"/>
    <n v="0"/>
    <n v="96.031599999999997"/>
    <n v="98.274000000000001"/>
    <n v="1.87923"/>
    <n v="0"/>
    <n v="1"/>
    <n v="1.7802899999999999"/>
    <n v="1.7802899999999999"/>
    <n v="0"/>
    <n v="1.37514"/>
    <n v="2.1168"/>
    <n v="114362000"/>
    <n v="0"/>
    <n v="0"/>
    <n v="0"/>
    <n v="0"/>
    <n v="4606030"/>
    <n v="150139"/>
    <n v="0"/>
    <n v="38"/>
    <x v="3"/>
    <n v="3.5036013147328568E-3"/>
    <n v="7.3912242620383581E-3"/>
  </r>
  <r>
    <n v="54.670299999999997"/>
    <n v="72.290000000000006"/>
    <n v="1.3106100000000001"/>
    <n v="0.12"/>
    <n v="1"/>
    <n v="2.87425"/>
    <n v="2.87425"/>
    <n v="0"/>
    <n v="0.53851099999999996"/>
    <n v="3.6288"/>
    <n v="10413300"/>
    <n v="0"/>
    <n v="0"/>
    <n v="0"/>
    <n v="0"/>
    <n v="4296930"/>
    <n v="295478"/>
    <n v="0"/>
    <n v="95.780299999999997"/>
    <n v="98.274000000000001"/>
    <n v="2.2193000000000001"/>
    <n v="0"/>
    <n v="1"/>
    <n v="1.7806999999999999"/>
    <n v="1.7806999999999999"/>
    <n v="0"/>
    <n v="1.3754500000000001"/>
    <n v="2.1168"/>
    <n v="114512000"/>
    <n v="0"/>
    <n v="0"/>
    <n v="0"/>
    <n v="0"/>
    <n v="4607090"/>
    <n v="150173"/>
    <n v="0"/>
    <n v="39"/>
    <x v="3"/>
    <n v="3.5035884374368335E-3"/>
    <n v="7.3911973088482182E-3"/>
  </r>
  <r>
    <n v="53.495899999999999"/>
    <n v="72.290000000000006"/>
    <n v="1.9882200000000001"/>
    <n v="0.12"/>
    <n v="1"/>
    <n v="2.7871899999999998"/>
    <n v="2.7871899999999998"/>
    <n v="0"/>
    <n v="0.53863399999999995"/>
    <n v="3.6288"/>
    <n v="10699800"/>
    <n v="0"/>
    <n v="0"/>
    <n v="0"/>
    <n v="0"/>
    <n v="4166780"/>
    <n v="286529"/>
    <n v="0"/>
    <n v="95.678799999999995"/>
    <n v="98.274000000000001"/>
    <n v="2.3462800000000001"/>
    <n v="0"/>
    <n v="1"/>
    <n v="1.6954100000000001"/>
    <n v="1.6954100000000001"/>
    <n v="0"/>
    <n v="1.3757699999999999"/>
    <n v="2.1168"/>
    <n v="114655000"/>
    <n v="0"/>
    <n v="0"/>
    <n v="0"/>
    <n v="0"/>
    <n v="4386430"/>
    <n v="142981"/>
    <n v="0"/>
    <n v="40"/>
    <x v="3"/>
    <n v="3.5036043027525418E-3"/>
    <n v="7.3912167302606635E-3"/>
  </r>
  <r>
    <n v="52.744999999999997"/>
    <n v="72.290000000000006"/>
    <n v="2.4273799999999999"/>
    <n v="0.12"/>
    <n v="1"/>
    <n v="2.7689599999999999"/>
    <n v="2.78783"/>
    <n v="0"/>
    <n v="0.52232000000000001"/>
    <n v="3.6288"/>
    <n v="10960900"/>
    <n v="0"/>
    <n v="0"/>
    <n v="0"/>
    <n v="0"/>
    <n v="4139530"/>
    <n v="261101"/>
    <n v="25493.4"/>
    <n v="95.759900000000002"/>
    <n v="98.274000000000001"/>
    <n v="2.7286199999999998"/>
    <n v="0"/>
    <n v="1"/>
    <n v="1.7146699999999999"/>
    <n v="1.6958"/>
    <n v="0"/>
    <n v="1.3098700000000001"/>
    <n v="2.1168"/>
    <n v="114847000"/>
    <n v="0"/>
    <n v="0"/>
    <n v="0"/>
    <n v="0"/>
    <n v="4436260"/>
    <n v="191835"/>
    <n v="0"/>
    <n v="41"/>
    <x v="3"/>
    <n v="4.6479214419286128E-3"/>
    <n v="6.7796211332041764E-3"/>
  </r>
  <r>
    <n v="52.279800000000002"/>
    <n v="72.290000000000006"/>
    <n v="2.7629800000000002"/>
    <n v="0.15"/>
    <n v="1"/>
    <n v="2.76999"/>
    <n v="2.7884699999999998"/>
    <n v="0"/>
    <n v="0.51890400000000003"/>
    <n v="3.6288"/>
    <n v="11222600"/>
    <n v="0"/>
    <n v="0"/>
    <n v="0"/>
    <n v="0"/>
    <n v="4141070"/>
    <n v="261693"/>
    <n v="24967.3"/>
    <n v="96.213700000000003"/>
    <n v="98.274000000000001"/>
    <n v="3.7883300000000002"/>
    <n v="0"/>
    <n v="1"/>
    <n v="1.7146699999999999"/>
    <n v="1.6961900000000001"/>
    <n v="0"/>
    <n v="1.3247500000000001"/>
    <n v="2.1168"/>
    <n v="115038000"/>
    <n v="0"/>
    <n v="0"/>
    <n v="0"/>
    <n v="0"/>
    <n v="4436260"/>
    <n v="190860"/>
    <n v="0"/>
    <n v="42"/>
    <x v="3"/>
    <n v="4.6242984148173955E-3"/>
    <n v="6.7924657633881185E-3"/>
  </r>
  <r>
    <n v="51.681100000000001"/>
    <n v="72.290000000000006"/>
    <n v="2.6301100000000002"/>
    <n v="0.15"/>
    <n v="1"/>
    <n v="2.77102"/>
    <n v="2.78911"/>
    <n v="0"/>
    <n v="0.51909700000000003"/>
    <n v="3.6288"/>
    <n v="11484900"/>
    <n v="0"/>
    <n v="0"/>
    <n v="0"/>
    <n v="0"/>
    <n v="4142610"/>
    <n v="262285"/>
    <n v="24441.1"/>
    <n v="96.634399999999999"/>
    <n v="98.274000000000001"/>
    <n v="3.6223299999999998"/>
    <n v="0"/>
    <n v="1"/>
    <n v="1.7146699999999999"/>
    <n v="1.69658"/>
    <n v="0"/>
    <n v="1.3247500000000001"/>
    <n v="2.1168"/>
    <n v="115228000"/>
    <n v="0"/>
    <n v="0"/>
    <n v="0"/>
    <n v="0"/>
    <n v="4436260"/>
    <n v="189886"/>
    <n v="0"/>
    <n v="43"/>
    <x v="3"/>
    <n v="4.6006996164519327E-3"/>
    <n v="6.8053008436841948E-3"/>
  </r>
  <r>
    <n v="51.7607"/>
    <n v="72.290000000000006"/>
    <n v="3.24302"/>
    <n v="0.15"/>
    <n v="1"/>
    <n v="2.6999900000000001"/>
    <n v="2.7176900000000002"/>
    <n v="0"/>
    <n v="0.51929000000000003"/>
    <n v="3.6288"/>
    <n v="11740400"/>
    <n v="0"/>
    <n v="0"/>
    <n v="0"/>
    <n v="0"/>
    <n v="4036410"/>
    <n v="255469"/>
    <n v="23914.799999999999"/>
    <n v="97.471299999999999"/>
    <n v="98.274000000000001"/>
    <n v="4.79589"/>
    <n v="0"/>
    <n v="1"/>
    <n v="1.63659"/>
    <n v="1.6188899999999999"/>
    <n v="0"/>
    <n v="1.3247500000000001"/>
    <n v="2.1168"/>
    <n v="115410000"/>
    <n v="0"/>
    <n v="0"/>
    <n v="0"/>
    <n v="0"/>
    <n v="4234250"/>
    <n v="182326"/>
    <n v="0"/>
    <n v="44"/>
    <x v="3"/>
    <n v="4.6282843389540565E-3"/>
    <n v="6.8028494284348004E-3"/>
  </r>
  <r>
    <n v="52.966900000000003"/>
    <n v="72.290000000000006"/>
    <n v="4.3300700000000001"/>
    <n v="0.15"/>
    <n v="1"/>
    <n v="2.6229200000000001"/>
    <n v="2.7183099999999998"/>
    <n v="0"/>
    <n v="0.50597700000000001"/>
    <n v="3.6288"/>
    <n v="11891000"/>
    <n v="0"/>
    <n v="0"/>
    <n v="0"/>
    <n v="0"/>
    <n v="3921200"/>
    <n v="150578"/>
    <n v="128870"/>
    <n v="98.366699999999994"/>
    <n v="98.274000000000001"/>
    <n v="5.5586700000000002"/>
    <n v="0"/>
    <n v="1"/>
    <n v="1.71465"/>
    <n v="1.6192599999999999"/>
    <n v="0"/>
    <n v="1.2644299999999999"/>
    <n v="2.1168"/>
    <n v="115794000"/>
    <n v="0"/>
    <n v="0"/>
    <n v="0"/>
    <n v="0"/>
    <n v="4436210"/>
    <n v="383354"/>
    <n v="0"/>
    <n v="45"/>
    <x v="3"/>
    <n v="9.2882912862549596E-3"/>
    <n v="4.1275320528324179E-3"/>
  </r>
  <r>
    <n v="54.843699999999998"/>
    <n v="72.290000000000006"/>
    <n v="5.0033899999999996"/>
    <n v="0.15"/>
    <n v="1"/>
    <n v="2.62392"/>
    <n v="2.7189399999999999"/>
    <n v="0"/>
    <n v="0.49153599999999997"/>
    <n v="3.6288"/>
    <n v="12042100"/>
    <n v="0"/>
    <n v="0"/>
    <n v="0"/>
    <n v="0"/>
    <n v="3922690"/>
    <n v="151144"/>
    <n v="128367"/>
    <n v="99.302199999999999"/>
    <n v="98.274000000000001"/>
    <n v="5.9444299999999997"/>
    <n v="0"/>
    <n v="1"/>
    <n v="1.71465"/>
    <n v="1.6196299999999999"/>
    <n v="0"/>
    <n v="1.32474"/>
    <n v="2.1168"/>
    <n v="116176000"/>
    <n v="0"/>
    <n v="0"/>
    <n v="0"/>
    <n v="0"/>
    <n v="4436210"/>
    <n v="382423"/>
    <n v="0"/>
    <n v="46"/>
    <x v="3"/>
    <n v="9.2657340697201024E-3"/>
    <n v="4.1414731228877882E-3"/>
  </r>
  <r>
    <n v="57.424900000000001"/>
    <n v="72.290000000000006"/>
    <n v="5.7115200000000002"/>
    <n v="0.13"/>
    <n v="1"/>
    <n v="2.6249199999999999"/>
    <n v="2.71956"/>
    <n v="0"/>
    <n v="0.49172199999999999"/>
    <n v="3.6288"/>
    <n v="12193800"/>
    <n v="0"/>
    <n v="0"/>
    <n v="0"/>
    <n v="0"/>
    <n v="3924180"/>
    <n v="151711"/>
    <n v="127865"/>
    <n v="99.302199999999999"/>
    <n v="98.274000000000001"/>
    <n v="7.1136200000000001"/>
    <n v="0"/>
    <n v="1"/>
    <n v="1.71465"/>
    <n v="1.62001"/>
    <n v="0"/>
    <n v="1.32474"/>
    <n v="2.1168"/>
    <n v="116558000"/>
    <n v="0"/>
    <n v="0"/>
    <n v="0"/>
    <n v="0"/>
    <n v="4436210"/>
    <n v="381493"/>
    <n v="0"/>
    <n v="47"/>
    <x v="3"/>
    <n v="9.2432010822040816E-3"/>
    <n v="4.1554309966134479E-3"/>
  </r>
  <r>
    <n v="59.462400000000002"/>
    <n v="72.290000000000006"/>
    <n v="5.0065600000000003"/>
    <n v="0.13"/>
    <n v="1"/>
    <n v="2.4210500000000001"/>
    <n v="2.51532"/>
    <n v="0"/>
    <n v="0.49190899999999999"/>
    <n v="3.6288"/>
    <n v="12325000"/>
    <n v="0"/>
    <n v="0"/>
    <n v="0"/>
    <n v="0"/>
    <n v="3619410"/>
    <n v="131218"/>
    <n v="127363"/>
    <n v="99.302199999999999"/>
    <n v="98.274000000000001"/>
    <n v="6.1345400000000003"/>
    <n v="0"/>
    <n v="1"/>
    <n v="1.55189"/>
    <n v="1.4576199999999999"/>
    <n v="0"/>
    <n v="1.32474"/>
    <n v="2.1168"/>
    <n v="116924000"/>
    <n v="0"/>
    <n v="0"/>
    <n v="0"/>
    <n v="0"/>
    <n v="4015110"/>
    <n v="366835"/>
    <n v="0"/>
    <n v="48"/>
    <x v="3"/>
    <n v="9.8202205452857291E-3"/>
    <n v="3.8967590802667768E-3"/>
  </r>
  <r>
    <n v="61.0124"/>
    <n v="72.290000000000006"/>
    <n v="4.3893899999999997"/>
    <n v="0.09"/>
    <n v="1"/>
    <n v="2.2592400000000001"/>
    <n v="2.5158999999999998"/>
    <n v="0"/>
    <n v="0.45370500000000002"/>
    <n v="3.6288"/>
    <n v="12236900"/>
    <n v="0"/>
    <n v="0"/>
    <n v="0"/>
    <n v="0"/>
    <n v="3377510"/>
    <n v="-88109.1"/>
    <n v="346749"/>
    <n v="99.302199999999999"/>
    <n v="98.274000000000001"/>
    <n v="6.5836899999999998"/>
    <n v="0"/>
    <n v="1"/>
    <n v="1.71461"/>
    <n v="1.4579500000000001"/>
    <n v="0"/>
    <n v="1.19899"/>
    <n v="2.1168"/>
    <n v="117711000"/>
    <n v="0"/>
    <n v="0"/>
    <n v="0"/>
    <n v="0"/>
    <n v="4436120"/>
    <n v="787004"/>
    <n v="0"/>
    <n v="49"/>
    <x v="3"/>
    <n v="1.9068721597137732E-2"/>
    <n v="-2.8039614958458845E-3"/>
  </r>
  <r>
    <n v="65.315100000000001"/>
    <n v="72.290000000000006"/>
    <n v="7.1533199999999999"/>
    <n v="0.11"/>
    <n v="1"/>
    <n v="2.2601499999999999"/>
    <n v="2.5164800000000001"/>
    <n v="0"/>
    <n v="0.42338100000000001"/>
    <n v="3.6288"/>
    <n v="12149300"/>
    <n v="0"/>
    <n v="0"/>
    <n v="0"/>
    <n v="0"/>
    <n v="3378870"/>
    <n v="-87597.4"/>
    <n v="346296"/>
    <n v="99.302199999999999"/>
    <n v="98.274000000000001"/>
    <n v="7.3003999999999998"/>
    <n v="0"/>
    <n v="1"/>
    <n v="1.71461"/>
    <n v="1.4582900000000001"/>
    <n v="0"/>
    <n v="1.3247100000000001"/>
    <n v="2.1168"/>
    <n v="118498000"/>
    <n v="0"/>
    <n v="0"/>
    <n v="0"/>
    <n v="0"/>
    <n v="4436120"/>
    <n v="786166"/>
    <n v="0"/>
    <n v="50"/>
    <x v="3"/>
    <n v="1.9048417267428605E-2"/>
    <n v="-2.7865552416428139E-3"/>
  </r>
  <r>
    <n v="72.290000000000006"/>
    <n v="72.290000000000006"/>
    <n v="13.0015"/>
    <n v="7.0000000000000007E-2"/>
    <n v="1"/>
    <n v="2.2610600000000001"/>
    <n v="2.5170599999999999"/>
    <n v="0"/>
    <n v="0.42355199999999998"/>
    <n v="3.6288"/>
    <n v="12062200"/>
    <n v="0"/>
    <n v="0"/>
    <n v="0"/>
    <n v="0"/>
    <n v="3380230"/>
    <n v="-87085.6"/>
    <n v="345844"/>
    <n v="99.302199999999999"/>
    <n v="98.274000000000001"/>
    <n v="20.042200000000001"/>
    <n v="0"/>
    <n v="1"/>
    <n v="1.71461"/>
    <n v="1.45862"/>
    <n v="0"/>
    <n v="1.3247100000000001"/>
    <n v="2.1168"/>
    <n v="119283000"/>
    <n v="0"/>
    <n v="0"/>
    <n v="0"/>
    <n v="0"/>
    <n v="4436120"/>
    <n v="785328"/>
    <n v="0"/>
    <n v="51"/>
    <x v="3"/>
    <n v="1.9028112937719478E-2"/>
    <n v="-2.7691598140728037E-3"/>
  </r>
  <r>
    <n v="72.290000000000006"/>
    <n v="72.290000000000006"/>
    <n v="8.0793800000000005"/>
    <n v="0.06"/>
    <n v="1"/>
    <n v="2.2619799999999999"/>
    <n v="2.5176400000000001"/>
    <n v="0"/>
    <n v="0.42372300000000002"/>
    <n v="3.6288"/>
    <n v="11975700"/>
    <n v="0"/>
    <n v="0"/>
    <n v="0"/>
    <n v="0"/>
    <n v="3381600"/>
    <n v="-86573.8"/>
    <n v="345392"/>
    <n v="99.302199999999999"/>
    <n v="98.274000000000001"/>
    <n v="11.7638"/>
    <n v="0"/>
    <n v="1"/>
    <n v="1.71462"/>
    <n v="1.45896"/>
    <n v="0"/>
    <n v="1.3247100000000001"/>
    <n v="2.1168"/>
    <n v="120067000"/>
    <n v="0"/>
    <n v="0"/>
    <n v="0"/>
    <n v="0"/>
    <n v="4436120"/>
    <n v="784490"/>
    <n v="0"/>
    <n v="52"/>
    <x v="3"/>
    <n v="1.9007808608010351E-2"/>
    <n v="-2.7517702411039074E-3"/>
  </r>
  <r>
    <n v="72.290000000000006"/>
    <n v="72.290000000000006"/>
    <n v="4.7595000000000001"/>
    <n v="7.0000000000000007E-2"/>
    <n v="1"/>
    <n v="2.3417699999999999"/>
    <n v="2.5970900000000001"/>
    <n v="0"/>
    <n v="0.42389500000000002"/>
    <n v="3.6288"/>
    <n v="11897700"/>
    <n v="0"/>
    <n v="0"/>
    <n v="0"/>
    <n v="0"/>
    <n v="3500890"/>
    <n v="-77952.800000000003"/>
    <n v="344939"/>
    <n v="99.302199999999999"/>
    <n v="98.274000000000001"/>
    <n v="8.0028900000000007"/>
    <n v="0"/>
    <n v="1"/>
    <n v="1.76179"/>
    <n v="1.50647"/>
    <n v="0"/>
    <n v="1.3247100000000001"/>
    <n v="2.1168"/>
    <n v="120855000"/>
    <n v="0"/>
    <n v="0"/>
    <n v="0"/>
    <n v="0"/>
    <n v="4558180"/>
    <n v="787630"/>
    <n v="0"/>
    <n v="1"/>
    <x v="4"/>
    <n v="9.6995440923993252E-3"/>
    <n v="-1.2498957672844719E-3"/>
  </r>
  <r>
    <n v="72.290000000000006"/>
    <n v="72.290000000000006"/>
    <n v="4.7957200000000002"/>
    <n v="7.0000000000000007E-2"/>
    <n v="1"/>
    <n v="2.3898600000000001"/>
    <n v="2.5976699999999999"/>
    <n v="0"/>
    <n v="0.43884800000000002"/>
    <n v="3.6288"/>
    <n v="11884000"/>
    <n v="0"/>
    <n v="0"/>
    <n v="0"/>
    <n v="0"/>
    <n v="3572780"/>
    <n v="-13703.6"/>
    <n v="280749"/>
    <n v="99.302199999999999"/>
    <n v="98.274000000000001"/>
    <n v="7.8692700000000002"/>
    <n v="0"/>
    <n v="1"/>
    <n v="1.71461"/>
    <n v="1.5067999999999999"/>
    <n v="0"/>
    <n v="1.3611599999999999"/>
    <n v="2.1168"/>
    <n v="121520000"/>
    <n v="0"/>
    <n v="0"/>
    <n v="0"/>
    <n v="0"/>
    <n v="4436110"/>
    <n v="664729"/>
    <n v="0"/>
    <n v="2"/>
    <x v="4"/>
    <n v="8.4112949600507244E-3"/>
    <n v="-2.153024351947551E-4"/>
  </r>
  <r>
    <n v="72.290000000000006"/>
    <n v="72.290000000000006"/>
    <n v="4.3751899999999999"/>
    <n v="7.0000000000000007E-2"/>
    <n v="1"/>
    <n v="2.3907699999999998"/>
    <n v="2.5982400000000001"/>
    <n v="0"/>
    <n v="0.44785900000000001"/>
    <n v="3.6288"/>
    <n v="11870800"/>
    <n v="0"/>
    <n v="0"/>
    <n v="0"/>
    <n v="0"/>
    <n v="3574140"/>
    <n v="-13193.7"/>
    <n v="280298"/>
    <n v="99.302199999999999"/>
    <n v="98.274000000000001"/>
    <n v="7.94278"/>
    <n v="0"/>
    <n v="1"/>
    <n v="1.71461"/>
    <n v="1.5071399999999999"/>
    <n v="0"/>
    <n v="1.3247100000000001"/>
    <n v="2.1168"/>
    <n v="122184000"/>
    <n v="0"/>
    <n v="0"/>
    <n v="0"/>
    <n v="0"/>
    <n v="4436110"/>
    <n v="663894"/>
    <n v="0"/>
    <n v="3"/>
    <x v="4"/>
    <n v="8.4007291034510542E-3"/>
    <n v="-2.072123271077577E-4"/>
  </r>
  <r>
    <n v="72.290000000000006"/>
    <n v="72.290000000000006"/>
    <n v="3.1777799999999998"/>
    <n v="0.06"/>
    <n v="1"/>
    <n v="2.39168"/>
    <n v="2.5988199999999999"/>
    <n v="0"/>
    <n v="0.44802999999999998"/>
    <n v="3.6288"/>
    <n v="11858100"/>
    <n v="0"/>
    <n v="0"/>
    <n v="0"/>
    <n v="0"/>
    <n v="3575490"/>
    <n v="-12683.7"/>
    <n v="279847"/>
    <n v="99.302199999999999"/>
    <n v="98.274000000000001"/>
    <n v="6.1091899999999999"/>
    <n v="0"/>
    <n v="1"/>
    <n v="1.71461"/>
    <n v="1.5074700000000001"/>
    <n v="0"/>
    <n v="1.3247100000000001"/>
    <n v="2.1168"/>
    <n v="122847000"/>
    <n v="0"/>
    <n v="0"/>
    <n v="0"/>
    <n v="0"/>
    <n v="4436110"/>
    <n v="663059"/>
    <n v="0"/>
    <n v="4"/>
    <x v="4"/>
    <n v="8.3901632468513839E-3"/>
    <n v="-1.9912736041021784E-4"/>
  </r>
  <r>
    <n v="71.608699999999999"/>
    <n v="72.290000000000006"/>
    <n v="2.6647699999999999"/>
    <n v="0.06"/>
    <n v="1"/>
    <n v="2.6461199999999998"/>
    <n v="2.8529300000000002"/>
    <n v="0"/>
    <n v="0.44819999999999999"/>
    <n v="3.6288"/>
    <n v="11872000"/>
    <n v="0"/>
    <n v="0"/>
    <n v="0"/>
    <n v="0"/>
    <n v="3955890"/>
    <n v="13890.7"/>
    <n v="279396"/>
    <n v="99.302199999999999"/>
    <n v="98.274000000000001"/>
    <n v="6.2688199999999998"/>
    <n v="0"/>
    <n v="1"/>
    <n v="1.8918999999999999"/>
    <n v="1.68509"/>
    <n v="0"/>
    <n v="1.3247100000000001"/>
    <n v="2.1168"/>
    <n v="123524000"/>
    <n v="0"/>
    <n v="0"/>
    <n v="0"/>
    <n v="0"/>
    <n v="4894790"/>
    <n v="677175"/>
    <n v="0"/>
    <n v="5"/>
    <x v="4"/>
    <n v="7.7658213501816909E-3"/>
    <n v="1.9710628305838533E-4"/>
  </r>
  <r>
    <n v="72.290000000000006"/>
    <n v="72.290000000000006"/>
    <n v="6.3599500000000004"/>
    <n v="0.09"/>
    <n v="1"/>
    <n v="2.8243800000000001"/>
    <n v="2.8535599999999999"/>
    <n v="0"/>
    <n v="0.49588399999999999"/>
    <n v="3.6288"/>
    <n v="12125900"/>
    <n v="0"/>
    <n v="0"/>
    <n v="0"/>
    <n v="0"/>
    <n v="4222370"/>
    <n v="253917"/>
    <n v="39434.6"/>
    <n v="99.302199999999999"/>
    <n v="98.274000000000001"/>
    <n v="13.696"/>
    <n v="0"/>
    <n v="1"/>
    <n v="1.71465"/>
    <n v="1.68546"/>
    <n v="0"/>
    <n v="1.4616800000000001"/>
    <n v="2.1168"/>
    <n v="123742000"/>
    <n v="0"/>
    <n v="0"/>
    <n v="0"/>
    <n v="0"/>
    <n v="4436220"/>
    <n v="217662"/>
    <n v="0"/>
    <n v="6"/>
    <x v="4"/>
    <n v="2.7541658131517406E-3"/>
    <n v="3.3756392993458798E-3"/>
  </r>
  <r>
    <n v="72.290000000000006"/>
    <n v="72.290000000000006"/>
    <n v="5.0494899999999996"/>
    <n v="0.06"/>
    <n v="1"/>
    <n v="2.82538"/>
    <n v="2.8542000000000001"/>
    <n v="0"/>
    <n v="0.52928799999999998"/>
    <n v="3.6288"/>
    <n v="12380400"/>
    <n v="0"/>
    <n v="0"/>
    <n v="0"/>
    <n v="0"/>
    <n v="4223870"/>
    <n v="254486"/>
    <n v="38930.5"/>
    <n v="99.302199999999999"/>
    <n v="98.274000000000001"/>
    <n v="10.0799"/>
    <n v="0"/>
    <n v="1"/>
    <n v="1.71465"/>
    <n v="1.68584"/>
    <n v="0"/>
    <n v="1.32474"/>
    <n v="2.1168"/>
    <n v="123958000"/>
    <n v="0"/>
    <n v="0"/>
    <n v="0"/>
    <n v="0"/>
    <n v="4436220"/>
    <n v="216728"/>
    <n v="0"/>
    <n v="7"/>
    <x v="4"/>
    <n v="2.7423475312767062E-3"/>
    <n v="3.3820022760586979E-3"/>
  </r>
  <r>
    <n v="72.290000000000006"/>
    <n v="72.290000000000006"/>
    <n v="3.5136599999999998"/>
    <n v="0.06"/>
    <n v="1"/>
    <n v="2.82639"/>
    <n v="2.8548300000000002"/>
    <n v="0"/>
    <n v="0.52947599999999995"/>
    <n v="3.6288"/>
    <n v="12635500"/>
    <n v="0"/>
    <n v="0"/>
    <n v="0"/>
    <n v="0"/>
    <n v="4225370"/>
    <n v="255056"/>
    <n v="38426.300000000003"/>
    <n v="99.302199999999999"/>
    <n v="98.274000000000001"/>
    <n v="5.7344200000000001"/>
    <n v="0"/>
    <n v="1"/>
    <n v="1.71465"/>
    <n v="1.68621"/>
    <n v="0"/>
    <n v="1.32474"/>
    <n v="2.1168"/>
    <n v="124174000"/>
    <n v="0"/>
    <n v="0"/>
    <n v="0"/>
    <n v="0"/>
    <n v="4436220"/>
    <n v="215794"/>
    <n v="0"/>
    <n v="8"/>
    <x v="4"/>
    <n v="2.7305292494016718E-3"/>
    <n v="3.388374019900978E-3"/>
  </r>
  <r>
    <n v="72.290000000000006"/>
    <n v="72.290000000000006"/>
    <n v="3.3044500000000001"/>
    <n v="7.0000000000000007E-2"/>
    <n v="1"/>
    <n v="2.4654400000000001"/>
    <n v="2.4935100000000001"/>
    <n v="0"/>
    <n v="0.52966500000000005"/>
    <n v="3.6288"/>
    <n v="12853900"/>
    <n v="0"/>
    <n v="0"/>
    <n v="0"/>
    <n v="0"/>
    <n v="3685770"/>
    <n v="218416"/>
    <n v="37922"/>
    <n v="99.302199999999999"/>
    <n v="98.274000000000001"/>
    <n v="4.5750999999999999"/>
    <n v="0"/>
    <n v="1"/>
    <n v="1.4765200000000001"/>
    <n v="1.44845"/>
    <n v="0"/>
    <n v="1.32474"/>
    <n v="2.1168"/>
    <n v="124369000"/>
    <n v="0"/>
    <n v="0"/>
    <n v="0"/>
    <n v="0"/>
    <n v="3820120"/>
    <n v="194777"/>
    <n v="0"/>
    <n v="9"/>
    <x v="4"/>
    <n v="2.8620763184785611E-3"/>
    <n v="3.3264175379278207E-3"/>
  </r>
  <r>
    <n v="72.290000000000006"/>
    <n v="72.290000000000006"/>
    <n v="6.8766499999999997"/>
    <n v="7.0000000000000007E-2"/>
    <n v="1"/>
    <n v="2.22824"/>
    <n v="2.4940600000000002"/>
    <n v="0"/>
    <n v="0.46202399999999999"/>
    <n v="3.6288"/>
    <n v="12751200"/>
    <n v="0"/>
    <n v="0"/>
    <n v="0"/>
    <n v="0"/>
    <n v="3331160"/>
    <n v="-102734"/>
    <n v="359129"/>
    <n v="99.302199999999999"/>
    <n v="98.274000000000001"/>
    <n v="11.1478"/>
    <n v="0"/>
    <n v="1"/>
    <n v="1.7145999999999999"/>
    <n v="1.4487699999999999"/>
    <n v="0"/>
    <n v="1.14076"/>
    <n v="2.1168"/>
    <n v="125179000"/>
    <n v="0"/>
    <n v="0"/>
    <n v="0"/>
    <n v="0"/>
    <n v="4436080"/>
    <n v="809938"/>
    <n v="0"/>
    <n v="10"/>
    <x v="4"/>
    <n v="1.0248798366395971E-2"/>
    <n v="-1.7311681295366838E-3"/>
  </r>
  <r>
    <n v="72.290000000000006"/>
    <n v="72.290000000000006"/>
    <n v="5.1510300000000004"/>
    <n v="7.0000000000000007E-2"/>
    <n v="1"/>
    <n v="2.2291099999999999"/>
    <n v="2.4946199999999998"/>
    <n v="0"/>
    <n v="0.417572"/>
    <n v="3.6288"/>
    <n v="12648900"/>
    <n v="0"/>
    <n v="0"/>
    <n v="0"/>
    <n v="0"/>
    <n v="3332460"/>
    <n v="-102244"/>
    <n v="358695"/>
    <n v="99.302199999999999"/>
    <n v="98.274000000000001"/>
    <n v="6.1838600000000001"/>
    <n v="0"/>
    <n v="1"/>
    <n v="1.7145999999999999"/>
    <n v="1.44909"/>
    <n v="0"/>
    <n v="1.3247"/>
    <n v="2.1168"/>
    <n v="125988000"/>
    <n v="0"/>
    <n v="0"/>
    <n v="0"/>
    <n v="0"/>
    <n v="4436080"/>
    <n v="809135"/>
    <n v="0"/>
    <n v="11"/>
    <x v="4"/>
    <n v="1.0238637360135966E-2"/>
    <n v="-1.7222390400396942E-3"/>
  </r>
  <r>
    <n v="72.290000000000006"/>
    <n v="72.290000000000006"/>
    <n v="6.4988099999999998"/>
    <n v="7.0000000000000007E-2"/>
    <n v="1"/>
    <n v="2.2299799999999999"/>
    <n v="2.4951699999999999"/>
    <n v="0"/>
    <n v="0.41773500000000002"/>
    <n v="3.6288"/>
    <n v="12547200"/>
    <n v="0"/>
    <n v="0"/>
    <n v="0"/>
    <n v="0"/>
    <n v="3333770"/>
    <n v="-101754"/>
    <n v="358262"/>
    <n v="99.302199999999999"/>
    <n v="98.274000000000001"/>
    <n v="4.7962199999999999"/>
    <n v="0"/>
    <n v="1"/>
    <n v="1.7145999999999999"/>
    <n v="1.4494199999999999"/>
    <n v="0"/>
    <n v="1.3247"/>
    <n v="2.1168"/>
    <n v="126796000"/>
    <n v="0"/>
    <n v="0"/>
    <n v="0"/>
    <n v="0"/>
    <n v="4436080"/>
    <n v="808332"/>
    <n v="0"/>
    <n v="12"/>
    <x v="4"/>
    <n v="1.022847635387596E-2"/>
    <n v="-1.7133117750636482E-3"/>
  </r>
  <r>
    <n v="72.290000000000006"/>
    <n v="72.290000000000006"/>
    <n v="10.4171"/>
    <n v="7.0000000000000007E-2"/>
    <n v="1"/>
    <n v="2.2308599999999998"/>
    <n v="2.4957199999999999"/>
    <n v="0"/>
    <n v="0.41789900000000002"/>
    <n v="3.6288"/>
    <n v="12445900"/>
    <n v="0"/>
    <n v="0"/>
    <n v="0"/>
    <n v="0"/>
    <n v="3335080"/>
    <n v="-101263"/>
    <n v="357828"/>
    <n v="99.302199999999999"/>
    <n v="98.274000000000001"/>
    <n v="8.9634"/>
    <n v="0"/>
    <n v="1"/>
    <n v="1.7145999999999999"/>
    <n v="1.44974"/>
    <n v="0"/>
    <n v="1.3247"/>
    <n v="2.1168"/>
    <n v="127604000"/>
    <n v="0"/>
    <n v="0"/>
    <n v="0"/>
    <n v="0"/>
    <n v="4436080"/>
    <n v="807529"/>
    <n v="0"/>
    <n v="13"/>
    <x v="4"/>
    <n v="1.0218315347615956E-2"/>
    <n v="-1.7043746920737269E-3"/>
  </r>
  <r>
    <n v="72.290000000000006"/>
    <n v="72.290000000000006"/>
    <n v="5.6085200000000004"/>
    <n v="7.0000000000000007E-2"/>
    <n v="1"/>
    <n v="2.32294"/>
    <n v="2.5874799999999998"/>
    <n v="0"/>
    <n v="0.41806300000000002"/>
    <n v="3.6288"/>
    <n v="12354500"/>
    <n v="0"/>
    <n v="0"/>
    <n v="0"/>
    <n v="0"/>
    <n v="3472740"/>
    <n v="-91396.5"/>
    <n v="357395"/>
    <n v="99.302199999999999"/>
    <n v="98.274000000000001"/>
    <n v="7.2330399999999999"/>
    <n v="0"/>
    <n v="1"/>
    <n v="1.7729200000000001"/>
    <n v="1.5083800000000001"/>
    <n v="0"/>
    <n v="1.3247"/>
    <n v="2.1168"/>
    <n v="128415000"/>
    <n v="0"/>
    <n v="0"/>
    <n v="0"/>
    <n v="0"/>
    <n v="4586970"/>
    <n v="811644"/>
    <n v="0"/>
    <n v="14"/>
    <x v="4"/>
    <n v="9.9325377885830651E-3"/>
    <n v="-1.4773310940426258E-3"/>
  </r>
  <r>
    <n v="72.290000000000006"/>
    <n v="72.290000000000006"/>
    <n v="6.5208700000000004"/>
    <n v="7.0000000000000007E-2"/>
    <n v="1"/>
    <n v="2.3821500000000002"/>
    <n v="2.58806"/>
    <n v="0"/>
    <n v="0.43531900000000001"/>
    <n v="3.6288"/>
    <n v="12342400"/>
    <n v="0"/>
    <n v="0"/>
    <n v="0"/>
    <n v="0"/>
    <n v="3561260"/>
    <n v="-12114"/>
    <n v="278171"/>
    <n v="99.302199999999999"/>
    <n v="98.274000000000001"/>
    <n v="10.388400000000001"/>
    <n v="0"/>
    <n v="1"/>
    <n v="1.71461"/>
    <n v="1.50871"/>
    <n v="0"/>
    <n v="1.3697600000000001"/>
    <n v="2.1168"/>
    <n v="129075000"/>
    <n v="0"/>
    <n v="0"/>
    <n v="0"/>
    <n v="0"/>
    <n v="4436110"/>
    <n v="659954"/>
    <n v="0"/>
    <n v="15"/>
    <x v="4"/>
    <n v="8.3508734447651847E-3"/>
    <n v="-1.9094330297955565E-4"/>
  </r>
  <r>
    <n v="72.290000000000006"/>
    <n v="72.290000000000006"/>
    <n v="7.5956000000000001"/>
    <n v="7.0000000000000007E-2"/>
    <n v="1"/>
    <n v="2.38306"/>
    <n v="2.5886300000000002"/>
    <n v="0"/>
    <n v="0.44641599999999998"/>
    <n v="3.6288"/>
    <n v="12330800"/>
    <n v="0"/>
    <n v="0"/>
    <n v="0"/>
    <n v="0"/>
    <n v="3562620"/>
    <n v="-11603.9"/>
    <n v="277720"/>
    <n v="99.302199999999999"/>
    <n v="98.274000000000001"/>
    <n v="13.5632"/>
    <n v="0"/>
    <n v="1"/>
    <n v="1.71461"/>
    <n v="1.50905"/>
    <n v="0"/>
    <n v="1.3247100000000001"/>
    <n v="2.1168"/>
    <n v="129735000"/>
    <n v="0"/>
    <n v="0"/>
    <n v="0"/>
    <n v="0"/>
    <n v="4436120"/>
    <n v="659118"/>
    <n v="0"/>
    <n v="16"/>
    <x v="4"/>
    <n v="8.3402761335673887E-3"/>
    <n v="-1.8283318257450578E-4"/>
  </r>
  <r>
    <n v="72.290000000000006"/>
    <n v="72.290000000000006"/>
    <n v="7.1063700000000001"/>
    <n v="7.0000000000000007E-2"/>
    <n v="1"/>
    <n v="2.3839700000000001"/>
    <n v="2.5891999999999999"/>
    <n v="0"/>
    <n v="0.44658599999999998"/>
    <n v="3.6288"/>
    <n v="12319700"/>
    <n v="0"/>
    <n v="0"/>
    <n v="0"/>
    <n v="0"/>
    <n v="3563970"/>
    <n v="-11093.5"/>
    <n v="277269"/>
    <n v="99.302199999999999"/>
    <n v="98.274000000000001"/>
    <n v="14.248900000000001"/>
    <n v="0"/>
    <n v="1"/>
    <n v="1.71461"/>
    <n v="1.5093799999999999"/>
    <n v="0"/>
    <n v="1.3247100000000001"/>
    <n v="2.1168"/>
    <n v="130393000"/>
    <n v="0"/>
    <n v="0"/>
    <n v="0"/>
    <n v="0"/>
    <n v="4436120"/>
    <n v="658281"/>
    <n v="0"/>
    <n v="17"/>
    <x v="4"/>
    <n v="8.3296849934015975E-3"/>
    <n v="-1.7472501694722835E-4"/>
  </r>
  <r>
    <n v="72.290000000000006"/>
    <n v="72.290000000000006"/>
    <n v="5.5904400000000001"/>
    <n v="7.0000000000000007E-2"/>
    <n v="1"/>
    <n v="2.34918"/>
    <n v="2.5540799999999999"/>
    <n v="0"/>
    <n v="0.44675599999999999"/>
    <n v="3.6288"/>
    <n v="12305500"/>
    <n v="0"/>
    <n v="0"/>
    <n v="0"/>
    <n v="0"/>
    <n v="3511970"/>
    <n v="-14252.5"/>
    <n v="276817"/>
    <n v="99.302199999999999"/>
    <n v="98.274000000000001"/>
    <n v="9.5617599999999996"/>
    <n v="0"/>
    <n v="1"/>
    <n v="1.69194"/>
    <n v="1.4870399999999999"/>
    <n v="0"/>
    <n v="1.3247100000000001"/>
    <n v="2.1168"/>
    <n v="131048000"/>
    <n v="0"/>
    <n v="0"/>
    <n v="0"/>
    <n v="0"/>
    <n v="4377460"/>
    <n v="655533"/>
    <n v="0"/>
    <n v="18"/>
    <x v="4"/>
    <n v="8.4060683354390767E-3"/>
    <n v="-2.2780371146776936E-4"/>
  </r>
  <r>
    <n v="72.290000000000006"/>
    <n v="72.290000000000006"/>
    <n v="5.0769200000000003"/>
    <n v="7.0000000000000007E-2"/>
    <n v="1"/>
    <n v="2.32741"/>
    <n v="2.5546500000000001"/>
    <n v="0"/>
    <n v="0.44023699999999999"/>
    <n v="3.6288"/>
    <n v="12261100"/>
    <n v="0"/>
    <n v="0"/>
    <n v="0"/>
    <n v="0"/>
    <n v="3479420"/>
    <n v="-44371.1"/>
    <n v="306994"/>
    <n v="99.302199999999999"/>
    <n v="98.274000000000001"/>
    <n v="8.0864100000000008"/>
    <n v="0"/>
    <n v="1"/>
    <n v="1.71461"/>
    <n v="1.4873700000000001"/>
    <n v="0"/>
    <n v="1.3071999999999999"/>
    <n v="2.1168"/>
    <n v="131762000"/>
    <n v="0"/>
    <n v="0"/>
    <n v="0"/>
    <n v="0"/>
    <n v="4436100"/>
    <n v="713352"/>
    <n v="0"/>
    <n v="19"/>
    <x v="4"/>
    <n v="9.0265771588401034E-3"/>
    <n v="-7.1583657277344821E-4"/>
  </r>
  <r>
    <n v="72.290000000000006"/>
    <n v="72.290000000000006"/>
    <n v="4.6180300000000001"/>
    <n v="0.06"/>
    <n v="1"/>
    <n v="2.3283100000000001"/>
    <n v="2.5552100000000002"/>
    <n v="0"/>
    <n v="0.43615700000000002"/>
    <n v="3.6288"/>
    <n v="12217200"/>
    <n v="0"/>
    <n v="0"/>
    <n v="0"/>
    <n v="0"/>
    <n v="3480760"/>
    <n v="-43868"/>
    <n v="306549"/>
    <n v="99.302199999999999"/>
    <n v="98.274000000000001"/>
    <n v="7.1860900000000001"/>
    <n v="0"/>
    <n v="1"/>
    <n v="1.71461"/>
    <n v="1.4877"/>
    <n v="0"/>
    <n v="1.3247100000000001"/>
    <n v="2.1168"/>
    <n v="132474000"/>
    <n v="0"/>
    <n v="0"/>
    <n v="0"/>
    <n v="0"/>
    <n v="4436100"/>
    <n v="712527"/>
    <n v="0"/>
    <n v="20"/>
    <x v="4"/>
    <n v="9.0161378159125689E-3"/>
    <n v="-7.0744763409303496E-4"/>
  </r>
  <r>
    <n v="72.290000000000006"/>
    <n v="72.290000000000006"/>
    <n v="3.6979500000000001"/>
    <n v="0.05"/>
    <n v="1"/>
    <n v="2.3292000000000002"/>
    <n v="2.5557799999999999"/>
    <n v="0"/>
    <n v="0.43632500000000002"/>
    <n v="3.6288"/>
    <n v="12173800"/>
    <n v="0"/>
    <n v="0"/>
    <n v="0"/>
    <n v="0"/>
    <n v="3482100"/>
    <n v="-43364.9"/>
    <n v="306104"/>
    <n v="99.302199999999999"/>
    <n v="98.274000000000001"/>
    <n v="6.1484100000000002"/>
    <n v="0"/>
    <n v="1"/>
    <n v="1.71461"/>
    <n v="1.48803"/>
    <n v="0"/>
    <n v="1.3247100000000001"/>
    <n v="2.1168"/>
    <n v="133186000"/>
    <n v="0"/>
    <n v="0"/>
    <n v="0"/>
    <n v="0"/>
    <n v="4436100"/>
    <n v="711703"/>
    <n v="0"/>
    <n v="21"/>
    <x v="4"/>
    <n v="9.005711126734036E-3"/>
    <n v="-6.9906515196345703E-4"/>
  </r>
  <r>
    <n v="72.290000000000006"/>
    <n v="72.290000000000006"/>
    <n v="3.27982"/>
    <n v="0.05"/>
    <n v="1"/>
    <n v="2.4513600000000002"/>
    <n v="2.67761"/>
    <n v="0"/>
    <n v="0.43649199999999999"/>
    <n v="3.6288"/>
    <n v="12143500"/>
    <n v="0"/>
    <n v="0"/>
    <n v="0"/>
    <n v="0"/>
    <n v="3664720"/>
    <n v="-30395.4"/>
    <n v="305659"/>
    <n v="99.302199999999999"/>
    <n v="98.274000000000001"/>
    <n v="5.6085900000000004"/>
    <n v="0"/>
    <n v="1"/>
    <n v="1.79508"/>
    <n v="1.5688299999999999"/>
    <n v="0"/>
    <n v="1.3247100000000001"/>
    <n v="2.1168"/>
    <n v="133904000"/>
    <n v="0"/>
    <n v="0"/>
    <n v="0"/>
    <n v="0"/>
    <n v="4644290"/>
    <n v="717665"/>
    <n v="0"/>
    <n v="22"/>
    <x v="4"/>
    <n v="8.6740711367666225E-3"/>
    <n v="-4.655728087809138E-4"/>
  </r>
  <r>
    <n v="72.290000000000006"/>
    <n v="72.290000000000006"/>
    <n v="3.7003699999999999"/>
    <n v="0.04"/>
    <n v="1"/>
    <n v="2.5327500000000001"/>
    <n v="2.6781999999999999"/>
    <n v="0"/>
    <n v="0.45938499999999999"/>
    <n v="3.6288"/>
    <n v="12222300"/>
    <n v="0"/>
    <n v="0"/>
    <n v="0"/>
    <n v="0"/>
    <n v="3786400"/>
    <n v="78822.8"/>
    <n v="196502"/>
    <n v="99.302199999999999"/>
    <n v="98.274000000000001"/>
    <n v="5.5664899999999999"/>
    <n v="0"/>
    <n v="1"/>
    <n v="1.7146300000000001"/>
    <n v="1.56918"/>
    <n v="0"/>
    <n v="1.3868799999999999"/>
    <n v="2.1168"/>
    <n v="134412000"/>
    <n v="0"/>
    <n v="0"/>
    <n v="0"/>
    <n v="0"/>
    <n v="4436150"/>
    <n v="508650"/>
    <n v="0"/>
    <n v="23"/>
    <x v="4"/>
    <n v="6.43625688632156E-3"/>
    <n v="1.1685462603547531E-3"/>
  </r>
  <r>
    <n v="72.290000000000006"/>
    <n v="72.290000000000006"/>
    <n v="3.4955699999999998"/>
    <n v="0.04"/>
    <n v="1"/>
    <n v="2.53369"/>
    <n v="2.6787999999999998"/>
    <n v="0"/>
    <n v="0.474638"/>
    <n v="3.6288"/>
    <n v="12301600"/>
    <n v="0"/>
    <n v="0"/>
    <n v="0"/>
    <n v="0"/>
    <n v="3787810"/>
    <n v="79353.3"/>
    <n v="196032"/>
    <n v="99.302199999999999"/>
    <n v="98.274000000000001"/>
    <n v="5.3258400000000004"/>
    <n v="0"/>
    <n v="1"/>
    <n v="1.7146300000000001"/>
    <n v="1.56952"/>
    <n v="0"/>
    <n v="1.3247199999999999"/>
    <n v="2.1168"/>
    <n v="134920000"/>
    <n v="0"/>
    <n v="0"/>
    <n v="0"/>
    <n v="0"/>
    <n v="4436150"/>
    <n v="507780"/>
    <n v="0"/>
    <n v="24"/>
    <x v="4"/>
    <n v="6.4252482487690199E-3"/>
    <n v="1.1759729959290607E-3"/>
  </r>
  <r>
    <n v="72.290000000000006"/>
    <n v="72.290000000000006"/>
    <n v="3.2992499999999998"/>
    <n v="0.04"/>
    <n v="1"/>
    <n v="2.5346299999999999"/>
    <n v="2.6793900000000002"/>
    <n v="0"/>
    <n v="0.47481400000000001"/>
    <n v="3.6288"/>
    <n v="12381500"/>
    <n v="0"/>
    <n v="0"/>
    <n v="0"/>
    <n v="0"/>
    <n v="3789210"/>
    <n v="79883.7"/>
    <n v="195563"/>
    <n v="99.302199999999999"/>
    <n v="98.274000000000001"/>
    <n v="5.1156699999999997"/>
    <n v="0"/>
    <n v="1"/>
    <n v="1.7146300000000001"/>
    <n v="1.5698700000000001"/>
    <n v="0"/>
    <n v="1.3247199999999999"/>
    <n v="2.1168"/>
    <n v="135427000"/>
    <n v="0"/>
    <n v="0"/>
    <n v="0"/>
    <n v="0"/>
    <n v="4436150"/>
    <n v="506910"/>
    <n v="0"/>
    <n v="25"/>
    <x v="4"/>
    <n v="6.4142396112164789E-3"/>
    <n v="1.1833958460690428E-3"/>
  </r>
  <r>
    <n v="72.290000000000006"/>
    <n v="72.290000000000006"/>
    <n v="3.1185299999999998"/>
    <n v="0.02"/>
    <n v="1"/>
    <n v="2.5355799999999999"/>
    <n v="2.67998"/>
    <n v="0"/>
    <n v="0.474991"/>
    <n v="3.6288"/>
    <n v="12461900"/>
    <n v="0"/>
    <n v="0"/>
    <n v="0"/>
    <n v="0"/>
    <n v="3790620"/>
    <n v="80414.2"/>
    <n v="195093"/>
    <n v="99.302199999999999"/>
    <n v="98.274000000000001"/>
    <n v="4.9169200000000002"/>
    <n v="0"/>
    <n v="1"/>
    <n v="1.7146300000000001"/>
    <n v="1.5702199999999999"/>
    <n v="0"/>
    <n v="1.3247199999999999"/>
    <n v="2.1168"/>
    <n v="135933000"/>
    <n v="0"/>
    <n v="0"/>
    <n v="0"/>
    <n v="0"/>
    <n v="4436150"/>
    <n v="506041"/>
    <n v="0"/>
    <n v="26"/>
    <x v="4"/>
    <n v="6.4032436272703211E-3"/>
    <n v="1.1908115525655688E-3"/>
  </r>
  <r>
    <n v="71.868300000000005"/>
    <n v="72.290000000000006"/>
    <n v="2.6095700000000002"/>
    <n v="0.03"/>
    <n v="1"/>
    <n v="2.5125099999999998"/>
    <n v="2.6565699999999999"/>
    <n v="0"/>
    <n v="0.47516700000000001"/>
    <n v="3.6288"/>
    <n v="12540400"/>
    <n v="0"/>
    <n v="0"/>
    <n v="0"/>
    <n v="0"/>
    <n v="3756140"/>
    <n v="78476.7"/>
    <n v="194624"/>
    <n v="99.302199999999999"/>
    <n v="98.274000000000001"/>
    <n v="4.1605100000000004"/>
    <n v="0"/>
    <n v="1"/>
    <n v="1.7588999999999999"/>
    <n v="1.6148400000000001"/>
    <n v="0"/>
    <n v="1.3247199999999999"/>
    <n v="2.1168"/>
    <n v="136442000"/>
    <n v="0"/>
    <n v="0"/>
    <n v="0"/>
    <n v="0"/>
    <n v="4550700"/>
    <n v="508905"/>
    <n v="0"/>
    <n v="27"/>
    <x v="4"/>
    <n v="6.2773891877564514E-3"/>
    <n v="1.1727879755488522E-3"/>
  </r>
  <r>
    <n v="71.107900000000001"/>
    <n v="72.290000000000006"/>
    <n v="2.3047599999999999"/>
    <n v="0.05"/>
    <n v="1"/>
    <n v="2.5577200000000002"/>
    <n v="2.6571600000000002"/>
    <n v="0"/>
    <n v="0.47084399999999998"/>
    <n v="3.6288"/>
    <n v="12679200"/>
    <n v="0"/>
    <n v="0"/>
    <n v="0"/>
    <n v="0"/>
    <n v="3823730"/>
    <n v="138823"/>
    <n v="134338"/>
    <n v="99.302199999999999"/>
    <n v="98.274000000000001"/>
    <n v="3.7060300000000002"/>
    <n v="0"/>
    <n v="1"/>
    <n v="1.7146399999999999"/>
    <n v="1.6152"/>
    <n v="0"/>
    <n v="1.35893"/>
    <n v="2.1168"/>
    <n v="136835000"/>
    <n v="0"/>
    <n v="0"/>
    <n v="0"/>
    <n v="0"/>
    <n v="4436180"/>
    <n v="393483"/>
    <n v="0"/>
    <n v="28"/>
    <x v="4"/>
    <n v="4.9789453293802638E-3"/>
    <n v="2.0379557510646269E-3"/>
  </r>
  <r>
    <n v="70.148899999999998"/>
    <n v="72.290000000000006"/>
    <n v="2.1063800000000001"/>
    <n v="0.04"/>
    <n v="1"/>
    <n v="2.5586700000000002"/>
    <n v="2.6577500000000001"/>
    <n v="0"/>
    <n v="0.47931699999999999"/>
    <n v="3.6288"/>
    <n v="12818600"/>
    <n v="0"/>
    <n v="0"/>
    <n v="0"/>
    <n v="0"/>
    <n v="3825140"/>
    <n v="139367"/>
    <n v="133855"/>
    <n v="99.302199999999999"/>
    <n v="98.274000000000001"/>
    <n v="3.2997200000000002"/>
    <n v="0"/>
    <n v="1"/>
    <n v="1.7146399999999999"/>
    <n v="1.6155600000000001"/>
    <n v="0"/>
    <n v="1.32473"/>
    <n v="2.1168"/>
    <n v="137228000"/>
    <n v="0"/>
    <n v="0"/>
    <n v="0"/>
    <n v="0"/>
    <n v="4436180"/>
    <n v="392588"/>
    <n v="0"/>
    <n v="29"/>
    <x v="4"/>
    <n v="4.9676204282541785E-3"/>
    <n v="2.0451876420252654E-3"/>
  </r>
  <r>
    <n v="69.039400000000001"/>
    <n v="72.290000000000006"/>
    <n v="1.9368799999999999"/>
    <n v="0.04"/>
    <n v="1"/>
    <n v="2.5596100000000002"/>
    <n v="2.6583299999999999"/>
    <n v="0"/>
    <n v="0.47949399999999998"/>
    <n v="3.6288"/>
    <n v="12958500"/>
    <n v="0"/>
    <n v="0"/>
    <n v="0"/>
    <n v="0"/>
    <n v="3826560"/>
    <n v="139910"/>
    <n v="133371"/>
    <n v="99.302199999999999"/>
    <n v="98.274000000000001"/>
    <n v="3.22777"/>
    <n v="0"/>
    <n v="1"/>
    <n v="1.7146399999999999"/>
    <n v="1.61592"/>
    <n v="0"/>
    <n v="1.32473"/>
    <n v="2.1168"/>
    <n v="137620000"/>
    <n v="0"/>
    <n v="0"/>
    <n v="0"/>
    <n v="0"/>
    <n v="4436180"/>
    <n v="391693"/>
    <n v="0"/>
    <n v="30"/>
    <x v="4"/>
    <n v="4.9562955271280941E-3"/>
    <n v="2.0523941704086042E-3"/>
  </r>
  <r>
    <n v="67.728700000000003"/>
    <n v="72.290000000000006"/>
    <n v="1.78807"/>
    <n v="0.04"/>
    <n v="1"/>
    <n v="2.6226099999999999"/>
    <n v="2.72098"/>
    <n v="0"/>
    <n v="0.47967100000000001"/>
    <n v="3.6288"/>
    <n v="13105300"/>
    <n v="0"/>
    <n v="0"/>
    <n v="0"/>
    <n v="0"/>
    <n v="3920740"/>
    <n v="146834"/>
    <n v="132888"/>
    <n v="99.302199999999999"/>
    <n v="98.274000000000001"/>
    <n v="3.01281"/>
    <n v="0"/>
    <n v="1"/>
    <n v="1.75413"/>
    <n v="1.65577"/>
    <n v="0"/>
    <n v="1.32473"/>
    <n v="2.1168"/>
    <n v="138014000"/>
    <n v="0"/>
    <n v="0"/>
    <n v="0"/>
    <n v="0"/>
    <n v="4538360"/>
    <n v="394128"/>
    <n v="0"/>
    <n v="31"/>
    <x v="4"/>
    <n v="4.8748234311908976E-3"/>
    <n v="2.1022246764371214E-3"/>
  </r>
  <r>
    <n v="66.249399999999994"/>
    <n v="72.290000000000006"/>
    <n v="1.64886"/>
    <n v="0.04"/>
    <n v="1"/>
    <n v="2.6630699999999998"/>
    <n v="2.7215799999999999"/>
    <n v="0"/>
    <n v="0.49147800000000003"/>
    <n v="3.6288"/>
    <n v="13306100"/>
    <n v="0"/>
    <n v="0"/>
    <n v="0"/>
    <n v="0"/>
    <n v="3981220"/>
    <n v="200736"/>
    <n v="79048.100000000006"/>
    <n v="99.302199999999999"/>
    <n v="98.274000000000001"/>
    <n v="2.7766500000000001"/>
    <n v="0"/>
    <n v="1"/>
    <n v="1.71465"/>
    <n v="1.6561399999999999"/>
    <n v="0"/>
    <n v="1.35524"/>
    <n v="2.1168"/>
    <n v="138305000"/>
    <n v="0"/>
    <n v="0"/>
    <n v="0"/>
    <n v="0"/>
    <n v="4436200"/>
    <n v="291051"/>
    <n v="0"/>
    <n v="32"/>
    <x v="4"/>
    <n v="3.6828032821514772E-3"/>
    <n v="2.8302814957041956E-3"/>
  </r>
  <r>
    <n v="64.729699999999994"/>
    <n v="72.290000000000006"/>
    <n v="1.60836"/>
    <n v="0.04"/>
    <n v="1"/>
    <n v="2.66404"/>
    <n v="2.7221799999999998"/>
    <n v="0"/>
    <n v="0.49905899999999997"/>
    <n v="3.6288"/>
    <n v="13507400"/>
    <n v="0"/>
    <n v="0"/>
    <n v="0"/>
    <n v="0"/>
    <n v="3982670"/>
    <n v="201293"/>
    <n v="78552.7"/>
    <n v="99.278400000000005"/>
    <n v="98.274000000000001"/>
    <n v="2.88462"/>
    <n v="0"/>
    <n v="1"/>
    <n v="1.71465"/>
    <n v="1.6565000000000001"/>
    <n v="0"/>
    <n v="1.32474"/>
    <n v="2.1168"/>
    <n v="138595000"/>
    <n v="0"/>
    <n v="0"/>
    <n v="0"/>
    <n v="0"/>
    <n v="4436200"/>
    <n v="290134"/>
    <n v="0"/>
    <n v="33"/>
    <x v="4"/>
    <n v="3.6712000558793362E-3"/>
    <n v="2.8371016283480731E-3"/>
  </r>
  <r>
    <n v="63.107100000000003"/>
    <n v="72.290000000000006"/>
    <n v="1.5050600000000001"/>
    <n v="0.04"/>
    <n v="1"/>
    <n v="2.6650100000000001"/>
    <n v="2.7227800000000002"/>
    <n v="0"/>
    <n v="0.49924099999999999"/>
    <n v="3.6288"/>
    <n v="13709200"/>
    <n v="0"/>
    <n v="0"/>
    <n v="0"/>
    <n v="0"/>
    <n v="3984120"/>
    <n v="201850"/>
    <n v="78057.3"/>
    <n v="99.200800000000001"/>
    <n v="98.274000000000001"/>
    <n v="2.7085599999999999"/>
    <n v="0"/>
    <n v="1"/>
    <n v="1.71465"/>
    <n v="1.6568700000000001"/>
    <n v="0"/>
    <n v="1.32474"/>
    <n v="2.1168"/>
    <n v="138884000"/>
    <n v="0"/>
    <n v="0"/>
    <n v="0"/>
    <n v="0"/>
    <n v="4436200"/>
    <n v="289216"/>
    <n v="0"/>
    <n v="34"/>
    <x v="4"/>
    <n v="3.6595841761434306E-3"/>
    <n v="2.8439167966874943E-3"/>
  </r>
  <r>
    <n v="61.179499999999997"/>
    <n v="72.290000000000006"/>
    <n v="1.3817200000000001"/>
    <n v="0.04"/>
    <n v="1"/>
    <n v="2.8478599999999998"/>
    <n v="2.9052699999999998"/>
    <n v="0"/>
    <n v="0.49942199999999998"/>
    <n v="3.6288"/>
    <n v="13930300"/>
    <n v="0"/>
    <n v="0"/>
    <n v="0"/>
    <n v="0"/>
    <n v="4257480"/>
    <n v="221106"/>
    <n v="77561.8"/>
    <n v="99.027299999999997"/>
    <n v="98.274000000000001"/>
    <n v="2.5583800000000001"/>
    <n v="0"/>
    <n v="1"/>
    <n v="1.8573299999999999"/>
    <n v="1.79992"/>
    <n v="0"/>
    <n v="1.32474"/>
    <n v="2.1168"/>
    <n v="139184000"/>
    <n v="0"/>
    <n v="0"/>
    <n v="0"/>
    <n v="0"/>
    <n v="4805350"/>
    <n v="300331"/>
    <n v="0"/>
    <n v="35"/>
    <x v="4"/>
    <n v="3.5082915722517358E-3"/>
    <n v="2.9152006667983255E-3"/>
  </r>
  <r>
    <n v="59.389000000000003"/>
    <n v="72.290000000000006"/>
    <n v="1.5330600000000001"/>
    <n v="0.06"/>
    <n v="1"/>
    <n v="2.90591"/>
    <n v="2.90591"/>
    <n v="0"/>
    <n v="0.53368899999999997"/>
    <n v="3.6288"/>
    <n v="14229100"/>
    <n v="0"/>
    <n v="0"/>
    <n v="0"/>
    <n v="0"/>
    <n v="4344270"/>
    <n v="298734"/>
    <n v="0"/>
    <n v="99.010999999999996"/>
    <n v="98.274000000000001"/>
    <n v="3.1103900000000002"/>
    <n v="0"/>
    <n v="1"/>
    <n v="1.8003199999999999"/>
    <n v="1.8003199999999999"/>
    <n v="0"/>
    <n v="1.4349700000000001"/>
    <n v="2.1168"/>
    <n v="139336000"/>
    <n v="0"/>
    <n v="0"/>
    <n v="0"/>
    <n v="0"/>
    <n v="4657840"/>
    <n v="151828"/>
    <n v="0"/>
    <n v="36"/>
    <x v="4"/>
    <n v="1.8297335369787337E-3"/>
    <n v="3.8600096294852042E-3"/>
  </r>
  <r>
    <n v="57.883499999999998"/>
    <n v="72.290000000000006"/>
    <n v="1.8073399999999999"/>
    <n v="0.06"/>
    <n v="1"/>
    <n v="2.9065599999999998"/>
    <n v="2.9065599999999998"/>
    <n v="0"/>
    <n v="0.54456800000000005"/>
    <n v="3.6288"/>
    <n v="14527900"/>
    <n v="0"/>
    <n v="0"/>
    <n v="0"/>
    <n v="0"/>
    <n v="4345230"/>
    <n v="298800"/>
    <n v="0"/>
    <n v="98.93"/>
    <n v="98.274000000000001"/>
    <n v="2.9144999999999999"/>
    <n v="0"/>
    <n v="1"/>
    <n v="1.80071"/>
    <n v="1.80071"/>
    <n v="0"/>
    <n v="1.3909199999999999"/>
    <n v="2.1168"/>
    <n v="139488000"/>
    <n v="0"/>
    <n v="0"/>
    <n v="0"/>
    <n v="0"/>
    <n v="4658880"/>
    <n v="151861"/>
    <n v="0"/>
    <n v="37"/>
    <x v="4"/>
    <n v="1.8297226922881589E-3"/>
    <n v="3.8600094426800317E-3"/>
  </r>
  <r>
    <n v="55.745399999999997"/>
    <n v="72.290000000000006"/>
    <n v="1.1994800000000001"/>
    <n v="0.06"/>
    <n v="1"/>
    <n v="2.9072"/>
    <n v="2.9072"/>
    <n v="0"/>
    <n v="0.54468899999999998"/>
    <n v="3.6288"/>
    <n v="14826700"/>
    <n v="0"/>
    <n v="0"/>
    <n v="0"/>
    <n v="0"/>
    <n v="4346190"/>
    <n v="298866"/>
    <n v="0"/>
    <n v="98.647800000000004"/>
    <n v="98.274000000000001"/>
    <n v="2.1500699999999999"/>
    <n v="0"/>
    <n v="1"/>
    <n v="1.80111"/>
    <n v="1.80111"/>
    <n v="0"/>
    <n v="1.39123"/>
    <n v="2.1168"/>
    <n v="139640000"/>
    <n v="0"/>
    <n v="0"/>
    <n v="0"/>
    <n v="0"/>
    <n v="4659910"/>
    <n v="151895"/>
    <n v="0"/>
    <n v="38"/>
    <x v="4"/>
    <n v="1.8297278249386456E-3"/>
    <n v="3.8600092559573839E-3"/>
  </r>
  <r>
    <n v="53.365000000000002"/>
    <n v="72.290000000000006"/>
    <n v="1.00858"/>
    <n v="0.1"/>
    <n v="1"/>
    <n v="2.9078499999999998"/>
    <n v="2.9078499999999998"/>
    <n v="0"/>
    <n v="0.54481000000000002"/>
    <n v="3.6288"/>
    <n v="15125700"/>
    <n v="0"/>
    <n v="0"/>
    <n v="0"/>
    <n v="0"/>
    <n v="4347160"/>
    <n v="298932"/>
    <n v="0"/>
    <n v="98.380099999999999"/>
    <n v="98.274000000000001"/>
    <n v="2.1553300000000002"/>
    <n v="0"/>
    <n v="1"/>
    <n v="1.8015099999999999"/>
    <n v="1.8015099999999999"/>
    <n v="0"/>
    <n v="1.39154"/>
    <n v="2.1168"/>
    <n v="139792000"/>
    <n v="0"/>
    <n v="0"/>
    <n v="0"/>
    <n v="0"/>
    <n v="4660940"/>
    <n v="151929"/>
    <n v="0"/>
    <n v="39"/>
    <x v="4"/>
    <n v="1.82973295532065E-3"/>
    <n v="3.8600001899360245E-3"/>
  </r>
  <r>
    <n v="51.133600000000001"/>
    <n v="72.290000000000006"/>
    <n v="1.0454699999999999"/>
    <n v="0.11"/>
    <n v="1"/>
    <n v="2.81975"/>
    <n v="2.81975"/>
    <n v="0"/>
    <n v="0.54493000000000003"/>
    <n v="3.6288"/>
    <n v="15415500"/>
    <n v="0"/>
    <n v="0"/>
    <n v="0"/>
    <n v="0"/>
    <n v="4215450"/>
    <n v="289876"/>
    <n v="0"/>
    <n v="98.090699999999998"/>
    <n v="98.274000000000001"/>
    <n v="2.0393699999999999"/>
    <n v="0"/>
    <n v="1"/>
    <n v="1.7152099999999999"/>
    <n v="1.7152099999999999"/>
    <n v="0"/>
    <n v="1.39185"/>
    <n v="2.1168"/>
    <n v="139937000"/>
    <n v="0"/>
    <n v="0"/>
    <n v="0"/>
    <n v="0"/>
    <n v="4437660"/>
    <n v="144651"/>
    <n v="0"/>
    <n v="40"/>
    <x v="4"/>
    <n v="1.8297340023412569E-3"/>
    <n v="3.8600138294929746E-3"/>
  </r>
  <r>
    <n v="49.2014"/>
    <n v="72.290000000000006"/>
    <n v="1.33203"/>
    <n v="0.15"/>
    <n v="1"/>
    <n v="2.82037"/>
    <n v="2.82037"/>
    <n v="0"/>
    <n v="0.52842100000000003"/>
    <n v="3.6288"/>
    <n v="15705500"/>
    <n v="0"/>
    <n v="0"/>
    <n v="0"/>
    <n v="0"/>
    <n v="4216390"/>
    <n v="289940"/>
    <n v="0"/>
    <n v="97.851500000000001"/>
    <n v="98.274000000000001"/>
    <n v="2.0966800000000001"/>
    <n v="0"/>
    <n v="1"/>
    <n v="1.7155899999999999"/>
    <n v="1.7155899999999999"/>
    <n v="0"/>
    <n v="1.32517"/>
    <n v="2.1168"/>
    <n v="140081000"/>
    <n v="0"/>
    <n v="0"/>
    <n v="0"/>
    <n v="0"/>
    <n v="4438650"/>
    <n v="144683"/>
    <n v="0"/>
    <n v="41"/>
    <x v="4"/>
    <n v="1.8297305843669096E-3"/>
    <n v="3.8600053193554489E-3"/>
  </r>
  <r>
    <n v="47.515099999999997"/>
    <n v="72.290000000000006"/>
    <n v="1.6174200000000001"/>
    <n v="0.15"/>
    <n v="1"/>
    <n v="2.8210000000000002"/>
    <n v="2.8210000000000002"/>
    <n v="0"/>
    <n v="0.52853799999999995"/>
    <n v="3.6288"/>
    <n v="15995500"/>
    <n v="0"/>
    <n v="0"/>
    <n v="0"/>
    <n v="0"/>
    <n v="4217320"/>
    <n v="290004"/>
    <n v="0"/>
    <n v="97.674199999999999"/>
    <n v="98.274000000000001"/>
    <n v="2.0271699999999999"/>
    <n v="0"/>
    <n v="1"/>
    <n v="1.71597"/>
    <n v="1.71597"/>
    <n v="0"/>
    <n v="1.3254699999999999"/>
    <n v="2.1168"/>
    <n v="140226000"/>
    <n v="0"/>
    <n v="0"/>
    <n v="0"/>
    <n v="0"/>
    <n v="4439630"/>
    <n v="144715"/>
    <n v="0"/>
    <n v="42"/>
    <x v="4"/>
    <n v="1.8297312892674984E-3"/>
    <n v="3.8600059657360798E-3"/>
  </r>
  <r>
    <n v="46.699100000000001"/>
    <n v="72.290000000000006"/>
    <n v="2.4862500000000001"/>
    <n v="0.16"/>
    <n v="1"/>
    <n v="2.8216199999999998"/>
    <n v="2.8216199999999998"/>
    <n v="0"/>
    <n v="0.52865499999999999"/>
    <n v="3.6288"/>
    <n v="16285500"/>
    <n v="0"/>
    <n v="0"/>
    <n v="0"/>
    <n v="0"/>
    <n v="4218250"/>
    <n v="290068"/>
    <n v="0"/>
    <n v="97.855599999999995"/>
    <n v="98.274000000000001"/>
    <n v="3.5569700000000002"/>
    <n v="0"/>
    <n v="1"/>
    <n v="1.71635"/>
    <n v="1.71635"/>
    <n v="0"/>
    <n v="1.32576"/>
    <n v="2.1168"/>
    <n v="140371000"/>
    <n v="0"/>
    <n v="0"/>
    <n v="0"/>
    <n v="0"/>
    <n v="4440610"/>
    <n v="144747"/>
    <n v="0"/>
    <n v="43"/>
    <x v="4"/>
    <n v="1.8297319938569577E-3"/>
    <n v="3.8600066118316938E-3"/>
  </r>
  <r>
    <n v="45.540599999999998"/>
    <n v="72.290000000000006"/>
    <n v="2.07037"/>
    <n v="0.16"/>
    <n v="1"/>
    <n v="2.7493400000000001"/>
    <n v="2.7493400000000001"/>
    <n v="0"/>
    <n v="0.52877200000000002"/>
    <n v="3.6288"/>
    <n v="16568200"/>
    <n v="0"/>
    <n v="0"/>
    <n v="0"/>
    <n v="0"/>
    <n v="4110200"/>
    <n v="282638"/>
    <n v="0"/>
    <n v="97.184100000000001"/>
    <n v="98.274000000000001"/>
    <n v="2.7679499999999999"/>
    <n v="0"/>
    <n v="1"/>
    <n v="1.63775"/>
    <n v="1.63775"/>
    <n v="0"/>
    <n v="1.32605"/>
    <n v="2.1168"/>
    <n v="140509000"/>
    <n v="0"/>
    <n v="0"/>
    <n v="0"/>
    <n v="0"/>
    <n v="4237240"/>
    <n v="138118"/>
    <n v="0"/>
    <n v="44"/>
    <x v="4"/>
    <n v="1.8297331683765404E-3"/>
    <n v="3.8600074209118123E-3"/>
  </r>
  <r>
    <n v="43.514499999999998"/>
    <n v="72.290000000000006"/>
    <n v="1.2124999999999999"/>
    <n v="0.16"/>
    <n v="1"/>
    <n v="2.6734200000000001"/>
    <n v="2.7499500000000001"/>
    <n v="0"/>
    <n v="0.51522699999999999"/>
    <n v="3.6288"/>
    <n v="16747500"/>
    <n v="0"/>
    <n v="0"/>
    <n v="0"/>
    <n v="0"/>
    <n v="3996690"/>
    <n v="179303"/>
    <n v="103397"/>
    <n v="96.938199999999995"/>
    <n v="98.274000000000001"/>
    <n v="0.97905299999999995"/>
    <n v="0"/>
    <n v="1"/>
    <n v="1.7146399999999999"/>
    <n v="1.63811"/>
    <n v="0"/>
    <n v="1.26532"/>
    <n v="2.1168"/>
    <n v="140845000"/>
    <n v="0"/>
    <n v="0"/>
    <n v="0"/>
    <n v="0"/>
    <n v="4436190"/>
    <n v="336161"/>
    <n v="0"/>
    <n v="45"/>
    <x v="4"/>
    <n v="4.2536106209831188E-3"/>
    <n v="2.518300985109388E-3"/>
  </r>
  <r>
    <n v="42.104599999999998"/>
    <n v="72.290000000000006"/>
    <n v="1.8251200000000001"/>
    <n v="0.15"/>
    <n v="1"/>
    <n v="2.6743899999999998"/>
    <n v="2.7505600000000001"/>
    <n v="0"/>
    <n v="0.50099800000000005"/>
    <n v="3.6288"/>
    <n v="16927300"/>
    <n v="0"/>
    <n v="0"/>
    <n v="0"/>
    <n v="0"/>
    <n v="3998140"/>
    <n v="179856"/>
    <n v="102907"/>
    <n v="96.866"/>
    <n v="98.274000000000001"/>
    <n v="2.5336799999999999"/>
    <n v="0"/>
    <n v="1"/>
    <n v="1.7146399999999999"/>
    <n v="1.6384700000000001"/>
    <n v="0"/>
    <n v="1.32473"/>
    <n v="2.1168"/>
    <n v="141180000"/>
    <n v="0"/>
    <n v="0"/>
    <n v="0"/>
    <n v="0"/>
    <n v="4436190"/>
    <n v="335253"/>
    <n v="0"/>
    <n v="46"/>
    <x v="4"/>
    <n v="4.2421212499857315E-3"/>
    <n v="2.5251517147570094E-3"/>
  </r>
  <r>
    <n v="43.290399999999998"/>
    <n v="72.290000000000006"/>
    <n v="4.4185499999999998"/>
    <n v="0.18"/>
    <n v="1"/>
    <n v="2.67536"/>
    <n v="2.7511700000000001"/>
    <n v="0"/>
    <n v="0.50117999999999996"/>
    <n v="3.6288"/>
    <n v="17107700"/>
    <n v="0"/>
    <n v="0"/>
    <n v="0"/>
    <n v="0"/>
    <n v="3999590"/>
    <n v="180409"/>
    <n v="102417"/>
    <n v="97.273899999999998"/>
    <n v="98.274000000000001"/>
    <n v="4.3359800000000002"/>
    <n v="0"/>
    <n v="1"/>
    <n v="1.7146399999999999"/>
    <n v="1.63883"/>
    <n v="0"/>
    <n v="1.32473"/>
    <n v="2.1168"/>
    <n v="141515000"/>
    <n v="0"/>
    <n v="0"/>
    <n v="0"/>
    <n v="0"/>
    <n v="4436190"/>
    <n v="334345"/>
    <n v="0"/>
    <n v="47"/>
    <x v="4"/>
    <n v="4.2306318789883442E-3"/>
    <n v="2.5319974771164898E-3"/>
  </r>
  <r>
    <n v="42.808199999999999"/>
    <n v="72.290000000000006"/>
    <n v="2.5839599999999998"/>
    <n v="0.16"/>
    <n v="1"/>
    <n v="2.46909"/>
    <n v="2.54454"/>
    <n v="0"/>
    <n v="0.50136199999999997"/>
    <n v="3.6288"/>
    <n v="17267400"/>
    <n v="0"/>
    <n v="0"/>
    <n v="0"/>
    <n v="0"/>
    <n v="3691230"/>
    <n v="159657"/>
    <n v="101927"/>
    <n v="97.5471"/>
    <n v="98.274000000000001"/>
    <n v="2.19739"/>
    <n v="0"/>
    <n v="1"/>
    <n v="1.54999"/>
    <n v="1.47455"/>
    <n v="0"/>
    <n v="1.32473"/>
    <n v="2.1168"/>
    <n v="141834000"/>
    <n v="0"/>
    <n v="0"/>
    <n v="0"/>
    <n v="0"/>
    <n v="4010200"/>
    <n v="319551"/>
    <n v="0"/>
    <n v="48"/>
    <x v="4"/>
    <n v="4.4729566742126433E-3"/>
    <n v="2.4279369293957291E-3"/>
  </r>
  <r>
    <n v="46.119300000000003"/>
    <n v="72.290000000000006"/>
    <n v="6.1991100000000001"/>
    <n v="0.16"/>
    <n v="1"/>
    <n v="2.3053699999999999"/>
    <n v="2.5451000000000001"/>
    <n v="0"/>
    <n v="0.46270800000000001"/>
    <n v="3.6288"/>
    <n v="17205200"/>
    <n v="0"/>
    <n v="0"/>
    <n v="0"/>
    <n v="0"/>
    <n v="3446460"/>
    <n v="-62237.7"/>
    <n v="323879"/>
    <n v="98.009299999999996"/>
    <n v="98.274000000000001"/>
    <n v="4.5588300000000004"/>
    <n v="0"/>
    <n v="1"/>
    <n v="1.71461"/>
    <n v="1.4748699999999999"/>
    <n v="0"/>
    <n v="1.1975199999999999"/>
    <n v="2.1168"/>
    <n v="142579000"/>
    <n v="0"/>
    <n v="0"/>
    <n v="0"/>
    <n v="0"/>
    <n v="4436100"/>
    <n v="744633"/>
    <n v="0"/>
    <n v="49"/>
    <x v="4"/>
    <n v="9.4223990814052295E-3"/>
    <n v="-1.0136799015525782E-3"/>
  </r>
  <r>
    <n v="46.925899999999999"/>
    <n v="72.290000000000006"/>
    <n v="3.70885"/>
    <n v="0.15"/>
    <n v="1"/>
    <n v="2.30626"/>
    <n v="2.5456599999999998"/>
    <n v="0"/>
    <n v="0.43202499999999999"/>
    <n v="3.6288"/>
    <n v="17143400"/>
    <n v="0"/>
    <n v="0"/>
    <n v="0"/>
    <n v="0"/>
    <n v="3447790"/>
    <n v="-61738.5"/>
    <n v="323438"/>
    <n v="98.092299999999994"/>
    <n v="98.274000000000001"/>
    <n v="3.3662200000000002"/>
    <n v="0"/>
    <n v="1"/>
    <n v="1.71461"/>
    <n v="1.4752000000000001"/>
    <n v="0"/>
    <n v="1.3247100000000001"/>
    <n v="2.1168"/>
    <n v="143323000"/>
    <n v="0"/>
    <n v="0"/>
    <n v="0"/>
    <n v="0"/>
    <n v="4436100"/>
    <n v="743816"/>
    <n v="0"/>
    <n v="50"/>
    <x v="4"/>
    <n v="9.4120609684697192E-3"/>
    <n v="-1.0051614199720386E-3"/>
  </r>
  <r>
    <n v="47.861600000000003"/>
    <n v="72.290000000000006"/>
    <n v="3.8409900000000001"/>
    <n v="0.16"/>
    <n v="1"/>
    <n v="2.30715"/>
    <n v="2.54623"/>
    <n v="0"/>
    <n v="0.43219200000000002"/>
    <n v="3.6288"/>
    <n v="17082200"/>
    <n v="0"/>
    <n v="0"/>
    <n v="0"/>
    <n v="0"/>
    <n v="3449120"/>
    <n v="-61239.4"/>
    <n v="322997"/>
    <n v="98.382599999999996"/>
    <n v="98.274000000000001"/>
    <n v="3.7409599999999998"/>
    <n v="0"/>
    <n v="1"/>
    <n v="1.71461"/>
    <n v="1.4755199999999999"/>
    <n v="0"/>
    <n v="1.3247"/>
    <n v="2.1168"/>
    <n v="144066000"/>
    <n v="0"/>
    <n v="0"/>
    <n v="0"/>
    <n v="0"/>
    <n v="4436100"/>
    <n v="742999"/>
    <n v="0"/>
    <n v="51"/>
    <x v="4"/>
    <n v="9.4017228555342072E-3"/>
    <n v="-9.9665113540714349E-4"/>
  </r>
  <r>
    <n v="52.582099999999997"/>
    <n v="72.290000000000006"/>
    <n v="7.6296400000000002"/>
    <n v="0.17"/>
    <n v="1"/>
    <n v="2.3080400000000001"/>
    <n v="2.5467900000000001"/>
    <n v="0"/>
    <n v="0.43235899999999999"/>
    <n v="3.6288"/>
    <n v="17021400"/>
    <n v="0"/>
    <n v="0"/>
    <n v="0"/>
    <n v="0"/>
    <n v="3450460"/>
    <n v="-60740"/>
    <n v="322555"/>
    <n v="99.299300000000002"/>
    <n v="98.274000000000001"/>
    <n v="6.0536000000000003"/>
    <n v="0"/>
    <n v="1"/>
    <n v="1.71461"/>
    <n v="1.4758500000000001"/>
    <n v="0"/>
    <n v="1.3247100000000001"/>
    <n v="2.1168"/>
    <n v="144808000"/>
    <n v="0"/>
    <n v="0"/>
    <n v="0"/>
    <n v="0"/>
    <n v="4436100"/>
    <n v="742181"/>
    <n v="0"/>
    <n v="52"/>
    <x v="4"/>
    <n v="9.3913720888496935E-3"/>
    <n v="-9.8813966722025243E-4"/>
  </r>
  <r>
    <n v="55.868099999999998"/>
    <n v="72.290000000000006"/>
    <n v="6.2737499999999997"/>
    <n v="0.15"/>
    <n v="1"/>
    <n v="2.3887200000000002"/>
    <n v="2.6271499999999999"/>
    <n v="0"/>
    <n v="0.43252600000000002"/>
    <n v="3.6288"/>
    <n v="16969400"/>
    <n v="0"/>
    <n v="0"/>
    <n v="0"/>
    <n v="0"/>
    <n v="3571070"/>
    <n v="-52037.9"/>
    <n v="322114"/>
    <n v="99.302199999999999"/>
    <n v="98.274000000000001"/>
    <n v="4.7623199999999999"/>
    <n v="0"/>
    <n v="1"/>
    <n v="1.76233"/>
    <n v="1.5239"/>
    <n v="0"/>
    <n v="1.3247100000000001"/>
    <n v="2.1168"/>
    <n v="145553000"/>
    <n v="0"/>
    <n v="0"/>
    <n v="0"/>
    <n v="0"/>
    <n v="4559570"/>
    <n v="745388"/>
    <n v="0"/>
    <n v="1"/>
    <x v="5"/>
    <n v="4.6641748436151466E-3"/>
    <n v="-4.157552211486599E-4"/>
  </r>
  <r>
    <n v="57.293700000000001"/>
    <n v="85.138999999999996"/>
    <n v="4.3331099999999996"/>
    <n v="0.13"/>
    <n v="1"/>
    <n v="2.32531"/>
    <n v="2.62771"/>
    <n v="0"/>
    <n v="0.44764599999999999"/>
    <n v="5.3222399999999999"/>
    <n v="16831000"/>
    <n v="0"/>
    <n v="0"/>
    <n v="0"/>
    <n v="0"/>
    <n v="3476280"/>
    <n v="-138405"/>
    <n v="408539"/>
    <n v="99.302199999999999"/>
    <n v="98.274000000000001"/>
    <n v="5.1128200000000001"/>
    <n v="0"/>
    <n v="1"/>
    <n v="1.82663"/>
    <n v="1.52423"/>
    <n v="0"/>
    <n v="1.36158"/>
    <n v="2.9635199999999999"/>
    <n v="146464000"/>
    <n v="0"/>
    <n v="0"/>
    <n v="0"/>
    <n v="0"/>
    <n v="4725920"/>
    <n v="910925"/>
    <n v="0"/>
    <n v="2"/>
    <x v="5"/>
    <n v="5.4993652950795138E-3"/>
    <n v="-1.1359346384800975E-3"/>
  </r>
  <r>
    <n v="58.7121"/>
    <n v="85.138999999999996"/>
    <n v="4.35494"/>
    <n v="0.13"/>
    <n v="1"/>
    <n v="2.3258700000000001"/>
    <n v="2.6282700000000001"/>
    <n v="0"/>
    <n v="0.43576300000000001"/>
    <n v="5.3222399999999999"/>
    <n v="16692700"/>
    <n v="0"/>
    <n v="0"/>
    <n v="0"/>
    <n v="0"/>
    <n v="3477110"/>
    <n v="-138348"/>
    <n v="408539"/>
    <n v="99.302199999999999"/>
    <n v="98.274000000000001"/>
    <n v="4.76694"/>
    <n v="0"/>
    <n v="1"/>
    <n v="1.8269500000000001"/>
    <n v="1.5245500000000001"/>
    <n v="0"/>
    <n v="1.4112499999999999"/>
    <n v="2.9635199999999999"/>
    <n v="147375000"/>
    <n v="0"/>
    <n v="0"/>
    <n v="0"/>
    <n v="0"/>
    <n v="4726760"/>
    <n v="910952"/>
    <n v="0"/>
    <n v="3"/>
    <x v="5"/>
    <n v="5.4985509674945728E-3"/>
    <n v="-1.1351957805777867E-3"/>
  </r>
  <r>
    <n v="60.060299999999998"/>
    <n v="85.138999999999996"/>
    <n v="4.2879199999999997"/>
    <n v="0.13"/>
    <n v="1"/>
    <n v="2.3264300000000002"/>
    <n v="2.6288299999999998"/>
    <n v="0"/>
    <n v="0.43586799999999998"/>
    <n v="5.3222399999999999"/>
    <n v="16554400"/>
    <n v="0"/>
    <n v="0"/>
    <n v="0"/>
    <n v="0"/>
    <n v="3477950"/>
    <n v="-138290"/>
    <n v="408539"/>
    <n v="99.302199999999999"/>
    <n v="98.274000000000001"/>
    <n v="5.0474300000000003"/>
    <n v="0"/>
    <n v="1"/>
    <n v="1.82728"/>
    <n v="1.52488"/>
    <n v="0"/>
    <n v="1.4115"/>
    <n v="2.9635199999999999"/>
    <n v="148286000"/>
    <n v="0"/>
    <n v="0"/>
    <n v="0"/>
    <n v="0"/>
    <n v="4727600"/>
    <n v="910980"/>
    <n v="0"/>
    <n v="4"/>
    <x v="5"/>
    <n v="5.4977429642656716E-3"/>
    <n v="-1.1344458100889278E-3"/>
  </r>
  <r>
    <n v="60.956499999999998"/>
    <n v="85.138999999999996"/>
    <n v="4.0951899999999997"/>
    <n v="0.13"/>
    <n v="1"/>
    <n v="2.58345"/>
    <n v="2.88585"/>
    <n v="0"/>
    <n v="0.435973"/>
    <n v="5.3222399999999999"/>
    <n v="16442500"/>
    <n v="0"/>
    <n v="0"/>
    <n v="0"/>
    <n v="0"/>
    <n v="3862200"/>
    <n v="-111867"/>
    <n v="408539"/>
    <n v="99.302199999999999"/>
    <n v="98.274000000000001"/>
    <n v="5.2683299999999997"/>
    <n v="0"/>
    <n v="1"/>
    <n v="2.0069400000000002"/>
    <n v="1.7045399999999999"/>
    <n v="0"/>
    <n v="1.4117599999999999"/>
    <n v="2.9635199999999999"/>
    <n v="149212000"/>
    <n v="0"/>
    <n v="0"/>
    <n v="0"/>
    <n v="0"/>
    <n v="5192420"/>
    <n v="926131"/>
    <n v="0"/>
    <n v="5"/>
    <x v="5"/>
    <n v="5.0888414537456359E-3"/>
    <n v="-8.2638713011382384E-4"/>
  </r>
  <r>
    <n v="62.134700000000002"/>
    <n v="85.138999999999996"/>
    <n v="4.3625999999999996"/>
    <n v="0.11"/>
    <n v="1"/>
    <n v="2.5840700000000001"/>
    <n v="2.8864700000000001"/>
    <n v="0"/>
    <n v="0.48413899999999999"/>
    <n v="5.3222399999999999"/>
    <n v="16330700"/>
    <n v="0"/>
    <n v="0"/>
    <n v="0"/>
    <n v="0"/>
    <n v="3863120"/>
    <n v="-111804"/>
    <n v="408539"/>
    <n v="99.302199999999999"/>
    <n v="98.274000000000001"/>
    <n v="5.2438099999999999"/>
    <n v="0"/>
    <n v="1"/>
    <n v="2.0072999999999999"/>
    <n v="1.7049000000000001"/>
    <n v="0"/>
    <n v="1.5505599999999999"/>
    <n v="2.9635199999999999"/>
    <n v="150138000"/>
    <n v="0"/>
    <n v="0"/>
    <n v="0"/>
    <n v="0"/>
    <n v="5193360"/>
    <n v="926162"/>
    <n v="0"/>
    <n v="6"/>
    <x v="5"/>
    <n v="5.0880906774942404E-3"/>
    <n v="-8.2572504186853774E-4"/>
  </r>
  <r>
    <n v="63.456800000000001"/>
    <n v="85.138999999999996"/>
    <n v="4.5061"/>
    <n v="0.09"/>
    <n v="1"/>
    <n v="2.5846800000000001"/>
    <n v="2.8870800000000001"/>
    <n v="0"/>
    <n v="0.48425499999999999"/>
    <n v="5.3222399999999999"/>
    <n v="16219000"/>
    <n v="0"/>
    <n v="0"/>
    <n v="0"/>
    <n v="0"/>
    <n v="3864040"/>
    <n v="-111741"/>
    <n v="408539"/>
    <n v="99.302199999999999"/>
    <n v="98.274000000000001"/>
    <n v="5.1072899999999999"/>
    <n v="0"/>
    <n v="1"/>
    <n v="2.00766"/>
    <n v="1.70526"/>
    <n v="0"/>
    <n v="1.55084"/>
    <n v="2.9635199999999999"/>
    <n v="151065000"/>
    <n v="0"/>
    <n v="0"/>
    <n v="0"/>
    <n v="0"/>
    <n v="5194300"/>
    <n v="926192"/>
    <n v="0"/>
    <n v="7"/>
    <x v="5"/>
    <n v="5.087334680232136E-3"/>
    <n v="-8.2506326890010467E-4"/>
  </r>
  <r>
    <n v="63.432899999999997"/>
    <n v="85.138999999999996"/>
    <n v="3.1871200000000002"/>
    <n v="0.1"/>
    <n v="1"/>
    <n v="2.5853000000000002"/>
    <n v="2.8877000000000002"/>
    <n v="0"/>
    <n v="0.48437000000000002"/>
    <n v="5.3222399999999999"/>
    <n v="16107300"/>
    <n v="0"/>
    <n v="0"/>
    <n v="0"/>
    <n v="0"/>
    <n v="3864960"/>
    <n v="-111677"/>
    <n v="408539"/>
    <n v="99.302199999999999"/>
    <n v="98.274000000000001"/>
    <n v="3.8915199999999999"/>
    <n v="0"/>
    <n v="1"/>
    <n v="2.0080300000000002"/>
    <n v="1.70563"/>
    <n v="0"/>
    <n v="1.5511200000000001"/>
    <n v="2.9635199999999999"/>
    <n v="151991000"/>
    <n v="0"/>
    <n v="0"/>
    <n v="0"/>
    <n v="0"/>
    <n v="5195240"/>
    <n v="926223"/>
    <n v="0"/>
    <n v="8"/>
    <x v="5"/>
    <n v="5.0865844482917751E-3"/>
    <n v="-8.2439442902981124E-4"/>
  </r>
  <r>
    <n v="63.3566"/>
    <n v="85.138999999999996"/>
    <n v="2.77867"/>
    <n v="0.11"/>
    <n v="1"/>
    <n v="2.2198000000000002"/>
    <n v="2.5222000000000002"/>
    <n v="0"/>
    <n v="0.484485"/>
    <n v="5.3222399999999999"/>
    <n v="15958000"/>
    <n v="0"/>
    <n v="0"/>
    <n v="0"/>
    <n v="0"/>
    <n v="3318550"/>
    <n v="-149251"/>
    <n v="408539"/>
    <n v="99.302199999999999"/>
    <n v="98.274000000000001"/>
    <n v="3.6565300000000001"/>
    <n v="0"/>
    <n v="1"/>
    <n v="1.76752"/>
    <n v="1.46512"/>
    <n v="0"/>
    <n v="1.5513999999999999"/>
    <n v="2.9635199999999999"/>
    <n v="152897000"/>
    <n v="0"/>
    <n v="0"/>
    <n v="0"/>
    <n v="0"/>
    <n v="4572990"/>
    <n v="905940"/>
    <n v="0"/>
    <n v="9"/>
    <x v="5"/>
    <n v="5.6521736595243829E-3"/>
    <n v="-1.2831729538459332E-3"/>
  </r>
  <r>
    <n v="63.886699999999998"/>
    <n v="85.138999999999996"/>
    <n v="3.41309"/>
    <n v="0.11"/>
    <n v="1"/>
    <n v="2.2203400000000002"/>
    <n v="2.5227400000000002"/>
    <n v="0"/>
    <n v="0.415991"/>
    <n v="5.3222399999999999"/>
    <n v="15808800"/>
    <n v="0"/>
    <n v="0"/>
    <n v="0"/>
    <n v="0"/>
    <n v="3319360"/>
    <n v="-149196"/>
    <n v="408539"/>
    <n v="99.302199999999999"/>
    <n v="98.274000000000001"/>
    <n v="4.5715300000000001"/>
    <n v="0"/>
    <n v="1"/>
    <n v="1.76783"/>
    <n v="1.46543"/>
    <n v="0"/>
    <n v="1.3655900000000001"/>
    <n v="2.9635199999999999"/>
    <n v="153803000"/>
    <n v="0"/>
    <n v="0"/>
    <n v="0"/>
    <n v="0"/>
    <n v="4573800"/>
    <n v="905967"/>
    <n v="0"/>
    <n v="10"/>
    <x v="5"/>
    <n v="5.6513411078448726E-3"/>
    <n v="-1.2823870877052231E-3"/>
  </r>
  <r>
    <n v="64.520700000000005"/>
    <n v="85.138999999999996"/>
    <n v="3.5230399999999999"/>
    <n v="0.11"/>
    <n v="1"/>
    <n v="2.2208800000000002"/>
    <n v="2.5232800000000002"/>
    <n v="0"/>
    <n v="0.41609200000000002"/>
    <n v="5.3222399999999999"/>
    <n v="15659700"/>
    <n v="0"/>
    <n v="0"/>
    <n v="0"/>
    <n v="0"/>
    <n v="3320160"/>
    <n v="-149140"/>
    <n v="408539"/>
    <n v="99.302199999999999"/>
    <n v="98.274000000000001"/>
    <n v="4.5422000000000002"/>
    <n v="0"/>
    <n v="1"/>
    <n v="1.76814"/>
    <n v="1.46574"/>
    <n v="0"/>
    <n v="1.3658300000000001"/>
    <n v="2.9635199999999999"/>
    <n v="154709000"/>
    <n v="0"/>
    <n v="0"/>
    <n v="0"/>
    <n v="0"/>
    <n v="4574610"/>
    <n v="905993"/>
    <n v="0"/>
    <n v="11"/>
    <x v="5"/>
    <n v="5.6505026141896401E-3"/>
    <n v="-1.2815968718223583E-3"/>
  </r>
  <r>
    <n v="67.293099999999995"/>
    <n v="85.138999999999996"/>
    <n v="5.6632100000000003"/>
    <n v="0.14000000000000001"/>
    <n v="1"/>
    <n v="2.2214200000000002"/>
    <n v="2.5238200000000002"/>
    <n v="0"/>
    <n v="0.41619299999999998"/>
    <n v="5.3222399999999999"/>
    <n v="15510600"/>
    <n v="0"/>
    <n v="0"/>
    <n v="0"/>
    <n v="0"/>
    <n v="3320960"/>
    <n v="-149085"/>
    <n v="408539"/>
    <n v="99.302199999999999"/>
    <n v="98.274000000000001"/>
    <n v="6.9538000000000002"/>
    <n v="0"/>
    <n v="1"/>
    <n v="1.7684599999999999"/>
    <n v="1.4660599999999999"/>
    <n v="0"/>
    <n v="1.3660699999999999"/>
    <n v="2.9635199999999999"/>
    <n v="155615000"/>
    <n v="0"/>
    <n v="0"/>
    <n v="0"/>
    <n v="0"/>
    <n v="4575420"/>
    <n v="906019"/>
    <n v="0"/>
    <n v="12"/>
    <x v="5"/>
    <n v="5.6496644174163814E-3"/>
    <n v="-1.2808156278333702E-3"/>
  </r>
  <r>
    <n v="69.66"/>
    <n v="85.138999999999996"/>
    <n v="5.2495900000000004"/>
    <n v="0.12"/>
    <n v="1"/>
    <n v="2.2219600000000002"/>
    <n v="2.5243600000000002"/>
    <n v="0"/>
    <n v="0.416294"/>
    <n v="5.3222399999999999"/>
    <n v="15361600"/>
    <n v="0"/>
    <n v="0"/>
    <n v="0"/>
    <n v="0"/>
    <n v="3321770"/>
    <n v="-149030"/>
    <n v="408539"/>
    <n v="99.302199999999999"/>
    <n v="98.274000000000001"/>
    <n v="9.8154199999999996"/>
    <n v="0"/>
    <n v="1"/>
    <n v="1.76877"/>
    <n v="1.46637"/>
    <n v="0"/>
    <n v="1.3663099999999999"/>
    <n v="2.9635199999999999"/>
    <n v="156521000"/>
    <n v="0"/>
    <n v="0"/>
    <n v="0"/>
    <n v="0"/>
    <n v="4576230"/>
    <n v="906046"/>
    <n v="0"/>
    <n v="13"/>
    <x v="5"/>
    <n v="5.6488327519656411E-3"/>
    <n v="-1.2800309066760484E-3"/>
  </r>
  <r>
    <n v="72.014799999999994"/>
    <n v="85.138999999999996"/>
    <n v="5.32951"/>
    <n v="0.12"/>
    <n v="1"/>
    <n v="2.3147500000000001"/>
    <n v="2.6171500000000001"/>
    <n v="0"/>
    <n v="0.41639500000000002"/>
    <n v="5.3222399999999999"/>
    <n v="15222100"/>
    <n v="0"/>
    <n v="0"/>
    <n v="0"/>
    <n v="0"/>
    <n v="3460490"/>
    <n v="-139491"/>
    <n v="408539"/>
    <n v="99.302199999999999"/>
    <n v="98.274000000000001"/>
    <n v="7.11991"/>
    <n v="0"/>
    <n v="1"/>
    <n v="1.8280700000000001"/>
    <n v="1.5256700000000001"/>
    <n v="0"/>
    <n v="1.3665499999999999"/>
    <n v="2.9635199999999999"/>
    <n v="157432000"/>
    <n v="0"/>
    <n v="0"/>
    <n v="0"/>
    <n v="0"/>
    <n v="4729660"/>
    <n v="911047"/>
    <n v="0"/>
    <n v="14"/>
    <x v="5"/>
    <n v="5.4957525936041758E-3"/>
    <n v="-1.1500716610901819E-3"/>
  </r>
  <r>
    <n v="72.545599999999993"/>
    <n v="85.138999999999996"/>
    <n v="3.49498"/>
    <n v="0.08"/>
    <n v="1"/>
    <n v="2.3153100000000002"/>
    <n v="2.6177100000000002"/>
    <n v="0"/>
    <n v="0.433784"/>
    <n v="5.3222399999999999"/>
    <n v="15082700"/>
    <n v="0"/>
    <n v="0"/>
    <n v="0"/>
    <n v="0"/>
    <n v="3461330"/>
    <n v="-139433"/>
    <n v="408539"/>
    <n v="99.302199999999999"/>
    <n v="98.274000000000001"/>
    <n v="4.2629200000000003"/>
    <n v="0"/>
    <n v="1"/>
    <n v="1.8284"/>
    <n v="1.526"/>
    <n v="0"/>
    <n v="1.4123699999999999"/>
    <n v="2.9635199999999999"/>
    <n v="158343000"/>
    <n v="0"/>
    <n v="0"/>
    <n v="0"/>
    <n v="0"/>
    <n v="4730500"/>
    <n v="911074"/>
    <n v="0"/>
    <n v="15"/>
    <x v="5"/>
    <n v="5.4949395513494122E-3"/>
    <n v="-1.1493144794284052E-3"/>
  </r>
  <r>
    <n v="72.989199999999997"/>
    <n v="85.138999999999996"/>
    <n v="3.4091300000000002"/>
    <n v="0.08"/>
    <n v="1"/>
    <n v="2.3158699999999999"/>
    <n v="2.6182699999999999"/>
    <n v="0"/>
    <n v="0.43388900000000002"/>
    <n v="5.3222399999999999"/>
    <n v="14943300"/>
    <n v="0"/>
    <n v="0"/>
    <n v="0"/>
    <n v="0"/>
    <n v="3462160"/>
    <n v="-139376"/>
    <n v="408539"/>
    <n v="99.302199999999999"/>
    <n v="98.274000000000001"/>
    <n v="5.1500500000000002"/>
    <n v="0"/>
    <n v="1"/>
    <n v="1.8287199999999999"/>
    <n v="1.5263199999999999"/>
    <n v="0"/>
    <n v="1.41262"/>
    <n v="2.9635199999999999"/>
    <n v="159254000"/>
    <n v="0"/>
    <n v="0"/>
    <n v="0"/>
    <n v="0"/>
    <n v="4731340"/>
    <n v="911102"/>
    <n v="0"/>
    <n v="16"/>
    <x v="5"/>
    <n v="5.4941328279950576E-3"/>
    <n v="-1.1485692234411917E-3"/>
  </r>
  <r>
    <n v="73.188100000000006"/>
    <n v="85.138999999999996"/>
    <n v="3.16554"/>
    <n v="0.08"/>
    <n v="1"/>
    <n v="2.3164199999999999"/>
    <n v="2.6188199999999999"/>
    <n v="0"/>
    <n v="0.43399300000000002"/>
    <n v="5.3222399999999999"/>
    <n v="14804000"/>
    <n v="0"/>
    <n v="0"/>
    <n v="0"/>
    <n v="0"/>
    <n v="3463000"/>
    <n v="-139318"/>
    <n v="408539"/>
    <n v="99.302199999999999"/>
    <n v="98.274000000000001"/>
    <n v="4.9680799999999996"/>
    <n v="0"/>
    <n v="1"/>
    <n v="1.8290500000000001"/>
    <n v="1.5266500000000001"/>
    <n v="0"/>
    <n v="1.4128700000000001"/>
    <n v="2.9635199999999999"/>
    <n v="160165000"/>
    <n v="0"/>
    <n v="0"/>
    <n v="0"/>
    <n v="0"/>
    <n v="4732180"/>
    <n v="911129"/>
    <n v="0"/>
    <n v="17"/>
    <x v="5"/>
    <n v="5.4933203619047886E-3"/>
    <n v="-1.1478127713609918E-3"/>
  </r>
  <r>
    <n v="73.004599999999996"/>
    <n v="85.138999999999996"/>
    <n v="2.73325"/>
    <n v="0.08"/>
    <n v="1"/>
    <n v="2.2808799999999998"/>
    <n v="2.5832799999999998"/>
    <n v="0"/>
    <n v="0.43409799999999998"/>
    <n v="5.3222399999999999"/>
    <n v="14661000"/>
    <n v="0"/>
    <n v="0"/>
    <n v="0"/>
    <n v="0"/>
    <n v="3409860"/>
    <n v="-142972"/>
    <n v="408539"/>
    <n v="99.302199999999999"/>
    <n v="98.274000000000001"/>
    <n v="3.99918"/>
    <n v="0"/>
    <n v="1"/>
    <n v="1.80644"/>
    <n v="1.50404"/>
    <n v="0"/>
    <n v="1.4131199999999999"/>
    <n v="2.9635199999999999"/>
    <n v="161074000"/>
    <n v="0"/>
    <n v="0"/>
    <n v="0"/>
    <n v="0"/>
    <n v="4673700"/>
    <n v="909223"/>
    <n v="0"/>
    <n v="18"/>
    <x v="5"/>
    <n v="5.5504205981217096E-3"/>
    <n v="-1.196274256950066E-3"/>
  </r>
  <r>
    <n v="72.278899999999993"/>
    <n v="85.138999999999996"/>
    <n v="2.1543000000000001"/>
    <n v="0.08"/>
    <n v="1"/>
    <n v="2.2814299999999998"/>
    <n v="2.5838299999999998"/>
    <n v="0"/>
    <n v="0.42743700000000001"/>
    <n v="5.3222399999999999"/>
    <n v="14518100"/>
    <n v="0"/>
    <n v="0"/>
    <n v="0"/>
    <n v="0"/>
    <n v="3410680"/>
    <n v="-142916"/>
    <n v="408539"/>
    <n v="99.302199999999999"/>
    <n v="98.274000000000001"/>
    <n v="3.9967700000000002"/>
    <n v="0"/>
    <n v="1"/>
    <n v="1.8067599999999999"/>
    <n v="1.5043599999999999"/>
    <n v="0"/>
    <n v="1.3956599999999999"/>
    <n v="2.9635199999999999"/>
    <n v="161984000"/>
    <n v="0"/>
    <n v="0"/>
    <n v="0"/>
    <n v="0"/>
    <n v="4674530"/>
    <n v="909250"/>
    <n v="0"/>
    <n v="19"/>
    <x v="5"/>
    <n v="5.5495998710531113E-3"/>
    <n v="-1.1955181970481731E-3"/>
  </r>
  <r>
    <n v="72.491200000000006"/>
    <n v="85.138999999999996"/>
    <n v="3.0916100000000002"/>
    <n v="0.08"/>
    <n v="1"/>
    <n v="2.2819799999999999"/>
    <n v="2.5843799999999999"/>
    <n v="0"/>
    <n v="0.42753999999999998"/>
    <n v="5.3222399999999999"/>
    <n v="14375200"/>
    <n v="0"/>
    <n v="0"/>
    <n v="0"/>
    <n v="0"/>
    <n v="3411510"/>
    <n v="-142859"/>
    <n v="408539"/>
    <n v="99.302199999999999"/>
    <n v="98.274000000000001"/>
    <n v="4.3977199999999996"/>
    <n v="0"/>
    <n v="1"/>
    <n v="1.8070900000000001"/>
    <n v="1.5046900000000001"/>
    <n v="0"/>
    <n v="1.39591"/>
    <n v="2.9635199999999999"/>
    <n v="162893000"/>
    <n v="0"/>
    <n v="0"/>
    <n v="0"/>
    <n v="0"/>
    <n v="4675360"/>
    <n v="909277"/>
    <n v="0"/>
    <n v="20"/>
    <x v="5"/>
    <n v="5.5487794353860165E-3"/>
    <n v="-1.1947506353073853E-3"/>
  </r>
  <r>
    <n v="72.003900000000002"/>
    <n v="85.138999999999996"/>
    <n v="2.3568500000000001"/>
    <n v="7.0000000000000007E-2"/>
    <n v="1"/>
    <n v="2.2825299999999999"/>
    <n v="2.5849299999999999"/>
    <n v="0"/>
    <n v="0.42764400000000002"/>
    <n v="5.3222399999999999"/>
    <n v="14232400"/>
    <n v="0"/>
    <n v="0"/>
    <n v="0"/>
    <n v="0"/>
    <n v="3412330"/>
    <n v="-142802"/>
    <n v="408539"/>
    <n v="99.302199999999999"/>
    <n v="98.274000000000001"/>
    <n v="3.97384"/>
    <n v="0"/>
    <n v="1"/>
    <n v="1.80741"/>
    <n v="1.50501"/>
    <n v="0"/>
    <n v="1.39615"/>
    <n v="2.9635199999999999"/>
    <n v="163802000"/>
    <n v="0"/>
    <n v="0"/>
    <n v="0"/>
    <n v="0"/>
    <n v="4676190"/>
    <n v="909304"/>
    <n v="0"/>
    <n v="21"/>
    <x v="5"/>
    <n v="5.5479592909652596E-3"/>
    <n v="-1.1939869459890258E-3"/>
  </r>
  <r>
    <n v="70.964699999999993"/>
    <n v="85.138999999999996"/>
    <n v="1.91307"/>
    <n v="7.0000000000000007E-2"/>
    <n v="1"/>
    <n v="2.4057300000000001"/>
    <n v="2.7081300000000001"/>
    <n v="0"/>
    <n v="0.42774699999999999"/>
    <n v="5.3222399999999999"/>
    <n v="14102300"/>
    <n v="0"/>
    <n v="0"/>
    <n v="0"/>
    <n v="0"/>
    <n v="3596510"/>
    <n v="-130137"/>
    <n v="408539"/>
    <n v="99.302199999999999"/>
    <n v="98.274000000000001"/>
    <n v="3.4917799999999999"/>
    <n v="0"/>
    <n v="1"/>
    <n v="1.8891100000000001"/>
    <n v="1.5867100000000001"/>
    <n v="0"/>
    <n v="1.3964000000000001"/>
    <n v="2.9635199999999999"/>
    <n v="164718000"/>
    <n v="0"/>
    <n v="0"/>
    <n v="0"/>
    <n v="0"/>
    <n v="4887590"/>
    <n v="916195"/>
    <n v="0"/>
    <n v="22"/>
    <x v="5"/>
    <n v="5.348222451070932E-3"/>
    <n v="-1.0323710838643012E-3"/>
  </r>
  <r>
    <n v="69.835999999999999"/>
    <n v="85.138999999999996"/>
    <n v="1.8007899999999999"/>
    <n v="7.0000000000000007E-2"/>
    <n v="1"/>
    <n v="2.4063099999999999"/>
    <n v="2.70871"/>
    <n v="0"/>
    <n v="0.45083499999999999"/>
    <n v="5.3222399999999999"/>
    <n v="13972200"/>
    <n v="0"/>
    <n v="0"/>
    <n v="0"/>
    <n v="0"/>
    <n v="3597370"/>
    <n v="-130078"/>
    <n v="408539"/>
    <n v="99.302199999999999"/>
    <n v="98.274000000000001"/>
    <n v="3.2157200000000001"/>
    <n v="0"/>
    <n v="1"/>
    <n v="1.8894500000000001"/>
    <n v="1.5870500000000001"/>
    <n v="0"/>
    <n v="1.45953"/>
    <n v="2.9635199999999999"/>
    <n v="165635000"/>
    <n v="0"/>
    <n v="0"/>
    <n v="0"/>
    <n v="0"/>
    <n v="4888460"/>
    <n v="916223"/>
    <n v="0"/>
    <n v="23"/>
    <x v="5"/>
    <n v="5.3474340459730716E-3"/>
    <n v="-1.031656349073762E-3"/>
  </r>
  <r>
    <n v="68.565399999999997"/>
    <n v="85.138999999999996"/>
    <n v="1.64937"/>
    <n v="0.08"/>
    <n v="1"/>
    <n v="2.4068900000000002"/>
    <n v="2.7092900000000002"/>
    <n v="0"/>
    <n v="0.45094299999999998"/>
    <n v="5.3222399999999999"/>
    <n v="13842200"/>
    <n v="0"/>
    <n v="0"/>
    <n v="0"/>
    <n v="0"/>
    <n v="3598240"/>
    <n v="-130018"/>
    <n v="408539"/>
    <n v="99.302199999999999"/>
    <n v="98.274000000000001"/>
    <n v="3.0291000000000001"/>
    <n v="0"/>
    <n v="1"/>
    <n v="1.8897900000000001"/>
    <n v="1.5873900000000001"/>
    <n v="0"/>
    <n v="1.4597899999999999"/>
    <n v="2.9635199999999999"/>
    <n v="166551000"/>
    <n v="0"/>
    <n v="0"/>
    <n v="0"/>
    <n v="0"/>
    <n v="4889340"/>
    <n v="916252"/>
    <n v="0"/>
    <n v="24"/>
    <x v="5"/>
    <n v="5.346640821477038E-3"/>
    <n v="-1.0309311616653932E-3"/>
  </r>
  <r>
    <n v="67.157600000000002"/>
    <n v="85.138999999999996"/>
    <n v="1.5114799999999999"/>
    <n v="0.08"/>
    <n v="1"/>
    <n v="2.40747"/>
    <n v="2.70987"/>
    <n v="0"/>
    <n v="0.45105099999999998"/>
    <n v="5.3222399999999999"/>
    <n v="13712200"/>
    <n v="0"/>
    <n v="0"/>
    <n v="0"/>
    <n v="0"/>
    <n v="3599100"/>
    <n v="-129959"/>
    <n v="408539"/>
    <n v="99.302199999999999"/>
    <n v="98.274000000000001"/>
    <n v="2.8002099999999999"/>
    <n v="0"/>
    <n v="1"/>
    <n v="1.8901300000000001"/>
    <n v="1.5877300000000001"/>
    <n v="0"/>
    <n v="1.4600500000000001"/>
    <n v="2.9635199999999999"/>
    <n v="167467000"/>
    <n v="0"/>
    <n v="0"/>
    <n v="0"/>
    <n v="0"/>
    <n v="4890210"/>
    <n v="916280"/>
    <n v="0"/>
    <n v="25"/>
    <x v="5"/>
    <n v="5.345852979898264E-3"/>
    <n v="-1.0302171144979484E-3"/>
  </r>
  <r>
    <n v="65.668599999999998"/>
    <n v="85.138999999999996"/>
    <n v="1.4294500000000001"/>
    <n v="0.08"/>
    <n v="1"/>
    <n v="2.4080499999999998"/>
    <n v="2.7104499999999998"/>
    <n v="0"/>
    <n v="0.45115899999999998"/>
    <n v="5.3222399999999999"/>
    <n v="13582300"/>
    <n v="0"/>
    <n v="0"/>
    <n v="0"/>
    <n v="0"/>
    <n v="3599970"/>
    <n v="-129899"/>
    <n v="408539"/>
    <n v="99.302199999999999"/>
    <n v="98.274000000000001"/>
    <n v="2.5328300000000001"/>
    <n v="0"/>
    <n v="1"/>
    <n v="1.8904700000000001"/>
    <n v="1.5880700000000001"/>
    <n v="0"/>
    <n v="1.46031"/>
    <n v="2.9635199999999999"/>
    <n v="168383000"/>
    <n v="0"/>
    <n v="0"/>
    <n v="0"/>
    <n v="0"/>
    <n v="4891090"/>
    <n v="916309"/>
    <n v="0"/>
    <n v="26"/>
    <x v="5"/>
    <n v="5.3450603236765842E-3"/>
    <n v="-1.0294926234032426E-3"/>
  </r>
  <r>
    <n v="64.451300000000003"/>
    <n v="85.138999999999996"/>
    <n v="1.65977"/>
    <n v="0.08"/>
    <n v="1"/>
    <n v="2.3843399999999999"/>
    <n v="2.6867399999999999"/>
    <n v="0"/>
    <n v="0.451268"/>
    <n v="5.3222399999999999"/>
    <n v="13450000"/>
    <n v="0"/>
    <n v="0"/>
    <n v="0"/>
    <n v="0"/>
    <n v="3564530"/>
    <n v="-132336"/>
    <n v="408539"/>
    <n v="99.302199999999999"/>
    <n v="98.274000000000001"/>
    <n v="2.9713599999999998"/>
    <n v="0"/>
    <n v="1"/>
    <n v="1.9355899999999999"/>
    <n v="1.6331899999999999"/>
    <n v="0"/>
    <n v="1.46058"/>
    <n v="2.9635199999999999"/>
    <n v="169304000"/>
    <n v="0"/>
    <n v="0"/>
    <n v="0"/>
    <n v="0"/>
    <n v="5007820"/>
    <n v="920114"/>
    <n v="0"/>
    <n v="27"/>
    <x v="5"/>
    <n v="5.2421475578912002E-3"/>
    <n v="-1.0592343163003273E-3"/>
  </r>
  <r>
    <n v="63.6111"/>
    <n v="85.138999999999996"/>
    <n v="2.0181100000000001"/>
    <n v="0.09"/>
    <n v="1"/>
    <n v="2.3849200000000002"/>
    <n v="2.6873200000000002"/>
    <n v="0"/>
    <n v="0.446826"/>
    <n v="5.3222399999999999"/>
    <n v="13317700"/>
    <n v="0"/>
    <n v="0"/>
    <n v="0"/>
    <n v="0"/>
    <n v="3565390"/>
    <n v="-132277"/>
    <n v="408539"/>
    <n v="99.302199999999999"/>
    <n v="98.274000000000001"/>
    <n v="3.5523099999999999"/>
    <n v="0"/>
    <n v="1"/>
    <n v="1.9359299999999999"/>
    <n v="1.6335299999999999"/>
    <n v="0"/>
    <n v="1.49543"/>
    <n v="2.9635199999999999"/>
    <n v="170224000"/>
    <n v="0"/>
    <n v="0"/>
    <n v="0"/>
    <n v="0"/>
    <n v="5008720"/>
    <n v="920143"/>
    <n v="0"/>
    <n v="28"/>
    <x v="5"/>
    <n v="5.2413708055275062E-3"/>
    <n v="-1.0585066910269807E-3"/>
  </r>
  <r>
    <n v="62.665900000000001"/>
    <n v="85.138999999999996"/>
    <n v="1.91306"/>
    <n v="0.08"/>
    <n v="1"/>
    <n v="2.3854899999999999"/>
    <n v="2.6878899999999999"/>
    <n v="0"/>
    <n v="0.44693300000000002"/>
    <n v="5.3222399999999999"/>
    <n v="13185500"/>
    <n v="0"/>
    <n v="0"/>
    <n v="0"/>
    <n v="0"/>
    <n v="3566250"/>
    <n v="-132218"/>
    <n v="408539"/>
    <n v="99.302199999999999"/>
    <n v="98.274000000000001"/>
    <n v="3.41018"/>
    <n v="0"/>
    <n v="1"/>
    <n v="1.93628"/>
    <n v="1.63388"/>
    <n v="0"/>
    <n v="1.4957"/>
    <n v="2.9635199999999999"/>
    <n v="171144000"/>
    <n v="0"/>
    <n v="0"/>
    <n v="0"/>
    <n v="0"/>
    <n v="5009620"/>
    <n v="920173"/>
    <n v="0"/>
    <n v="29"/>
    <x v="5"/>
    <n v="5.2406000274911133E-3"/>
    <n v="-1.0577794166868192E-3"/>
  </r>
  <r>
    <n v="61.581800000000001"/>
    <n v="85.138999999999996"/>
    <n v="1.77383"/>
    <n v="7.0000000000000007E-2"/>
    <n v="1"/>
    <n v="2.3860600000000001"/>
    <n v="2.6884600000000001"/>
    <n v="0"/>
    <n v="0.44704100000000002"/>
    <n v="5.3222399999999999"/>
    <n v="13053300"/>
    <n v="0"/>
    <n v="0"/>
    <n v="0"/>
    <n v="0"/>
    <n v="3567100"/>
    <n v="-132159"/>
    <n v="408539"/>
    <n v="99.302199999999999"/>
    <n v="98.274000000000001"/>
    <n v="3.1725400000000001"/>
    <n v="0"/>
    <n v="1"/>
    <n v="1.9366300000000001"/>
    <n v="1.6342300000000001"/>
    <n v="0"/>
    <n v="1.49597"/>
    <n v="2.9635199999999999"/>
    <n v="172064000"/>
    <n v="0"/>
    <n v="0"/>
    <n v="0"/>
    <n v="0"/>
    <n v="5010520"/>
    <n v="920202"/>
    <n v="0"/>
    <n v="30"/>
    <x v="5"/>
    <n v="5.2398238321417828E-3"/>
    <n v="-1.057055456364568E-3"/>
  </r>
  <r>
    <n v="60.348799999999997"/>
    <n v="85.138999999999996"/>
    <n v="1.68737"/>
    <n v="0.08"/>
    <n v="1"/>
    <n v="2.4493900000000002"/>
    <n v="2.7517900000000002"/>
    <n v="0"/>
    <n v="0.44714799999999999"/>
    <n v="5.3222399999999999"/>
    <n v="12927700"/>
    <n v="0"/>
    <n v="0"/>
    <n v="0"/>
    <n v="0"/>
    <n v="3661780"/>
    <n v="-125649"/>
    <n v="408539"/>
    <n v="99.276899999999998"/>
    <n v="98.274000000000001"/>
    <n v="2.9960300000000002"/>
    <n v="0"/>
    <n v="1"/>
    <n v="1.97692"/>
    <n v="1.67452"/>
    <n v="0"/>
    <n v="1.49624"/>
    <n v="2.9635199999999999"/>
    <n v="172988000"/>
    <n v="0"/>
    <n v="0"/>
    <n v="0"/>
    <n v="0"/>
    <n v="5114760"/>
    <n v="923600"/>
    <n v="0"/>
    <n v="31"/>
    <x v="5"/>
    <n v="5.1519895935396541E-3"/>
    <n v="-9.790009229247768E-4"/>
  </r>
  <r>
    <n v="59.091700000000003"/>
    <n v="85.138999999999996"/>
    <n v="1.66429"/>
    <n v="0.1"/>
    <n v="1"/>
    <n v="2.44998"/>
    <n v="2.75238"/>
    <n v="0"/>
    <n v="0.45901599999999998"/>
    <n v="5.3222399999999999"/>
    <n v="12802100"/>
    <n v="0"/>
    <n v="0"/>
    <n v="0"/>
    <n v="0"/>
    <n v="3662660"/>
    <n v="-125589"/>
    <n v="408539"/>
    <n v="99.256900000000002"/>
    <n v="98.274000000000001"/>
    <n v="3.1133199999999999"/>
    <n v="0"/>
    <n v="1"/>
    <n v="1.9772799999999999"/>
    <n v="1.6748799999999999"/>
    <n v="0"/>
    <n v="1.5273699999999999"/>
    <n v="2.9635199999999999"/>
    <n v="173911000"/>
    <n v="0"/>
    <n v="0"/>
    <n v="0"/>
    <n v="0"/>
    <n v="5115690"/>
    <n v="923630"/>
    <n v="0"/>
    <n v="32"/>
    <x v="5"/>
    <n v="5.1512203089145708E-3"/>
    <n v="-9.7829832477786482E-4"/>
  </r>
  <r>
    <n v="57.8"/>
    <n v="85.138999999999996"/>
    <n v="1.6291199999999999"/>
    <n v="0.1"/>
    <n v="1"/>
    <n v="2.4505699999999999"/>
    <n v="2.7529699999999999"/>
    <n v="0"/>
    <n v="0.45912599999999998"/>
    <n v="5.3222399999999999"/>
    <n v="12676600"/>
    <n v="0"/>
    <n v="0"/>
    <n v="0"/>
    <n v="0"/>
    <n v="3663540"/>
    <n v="-125528"/>
    <n v="408539"/>
    <n v="99.221000000000004"/>
    <n v="98.274000000000001"/>
    <n v="3.15828"/>
    <n v="0"/>
    <n v="1"/>
    <n v="1.9776400000000001"/>
    <n v="1.6752400000000001"/>
    <n v="0"/>
    <n v="1.5276400000000001"/>
    <n v="2.9635199999999999"/>
    <n v="174835000"/>
    <n v="0"/>
    <n v="0"/>
    <n v="0"/>
    <n v="0"/>
    <n v="5116610"/>
    <n v="923660"/>
    <n v="0"/>
    <n v="33"/>
    <x v="5"/>
    <n v="5.150461370080869E-3"/>
    <n v="-9.7758827635538925E-4"/>
  </r>
  <r>
    <n v="56.304499999999997"/>
    <n v="85.138999999999996"/>
    <n v="1.42492"/>
    <n v="0.08"/>
    <n v="1"/>
    <n v="2.4511500000000002"/>
    <n v="2.7535500000000002"/>
    <n v="0"/>
    <n v="0.45923599999999998"/>
    <n v="5.3222399999999999"/>
    <n v="12551100"/>
    <n v="0"/>
    <n v="0"/>
    <n v="0"/>
    <n v="0"/>
    <n v="3664410"/>
    <n v="-125468"/>
    <n v="408539"/>
    <n v="99.131500000000003"/>
    <n v="98.274000000000001"/>
    <n v="2.93424"/>
    <n v="0"/>
    <n v="1"/>
    <n v="1.9779899999999999"/>
    <n v="1.6755899999999999"/>
    <n v="0"/>
    <n v="1.5279199999999999"/>
    <n v="2.9635199999999999"/>
    <n v="175759000"/>
    <n v="0"/>
    <n v="0"/>
    <n v="0"/>
    <n v="0"/>
    <n v="5117540"/>
    <n v="923690"/>
    <n v="0"/>
    <n v="34"/>
    <x v="5"/>
    <n v="5.1496926412744745E-3"/>
    <n v="-9.7688902078163411E-4"/>
  </r>
  <r>
    <n v="54.5152"/>
    <n v="85.138999999999996"/>
    <n v="1.3143800000000001"/>
    <n v="0.09"/>
    <n v="1"/>
    <n v="2.6356799999999998"/>
    <n v="2.9380799999999998"/>
    <n v="0"/>
    <n v="0.45934599999999998"/>
    <n v="5.3222399999999999"/>
    <n v="12444600"/>
    <n v="0"/>
    <n v="0"/>
    <n v="0"/>
    <n v="0"/>
    <n v="3940270"/>
    <n v="-106498"/>
    <n v="408539"/>
    <n v="98.952299999999994"/>
    <n v="98.274000000000001"/>
    <n v="2.8241399999999999"/>
    <n v="0"/>
    <n v="1"/>
    <n v="2.1226400000000001"/>
    <n v="1.8202400000000001"/>
    <n v="0"/>
    <n v="1.5282"/>
    <n v="2.9635199999999999"/>
    <n v="176695000"/>
    <n v="0"/>
    <n v="0"/>
    <n v="0"/>
    <n v="0"/>
    <n v="5491780"/>
    <n v="935889"/>
    <n v="0"/>
    <n v="35"/>
    <x v="5"/>
    <n v="4.8621407272044434E-3"/>
    <n v="-7.7113742841115743E-4"/>
  </r>
  <r>
    <n v="52.8504"/>
    <n v="85.138999999999996"/>
    <n v="1.4367300000000001"/>
    <n v="0.15"/>
    <n v="1"/>
    <n v="2.6363099999999999"/>
    <n v="2.9387099999999999"/>
    <n v="0"/>
    <n v="0.49392599999999998"/>
    <n v="5.3222399999999999"/>
    <n v="12338200"/>
    <n v="0"/>
    <n v="0"/>
    <n v="0"/>
    <n v="0"/>
    <n v="3941210"/>
    <n v="-106434"/>
    <n v="408539"/>
    <n v="98.775899999999993"/>
    <n v="98.274000000000001"/>
    <n v="2.9686400000000002"/>
    <n v="0"/>
    <n v="1"/>
    <n v="2.12303"/>
    <n v="1.82063"/>
    <n v="0"/>
    <n v="1.63995"/>
    <n v="2.9635199999999999"/>
    <n v="177630000"/>
    <n v="0"/>
    <n v="0"/>
    <n v="0"/>
    <n v="0"/>
    <n v="5492790"/>
    <n v="935922"/>
    <n v="0"/>
    <n v="36"/>
    <x v="5"/>
    <n v="4.8614180997946302E-3"/>
    <n v="-7.7049020323908895E-4"/>
  </r>
  <r>
    <n v="51.598799999999997"/>
    <n v="85.138999999999996"/>
    <n v="1.8677699999999999"/>
    <n v="0.15"/>
    <n v="1"/>
    <n v="2.63693"/>
    <n v="2.93933"/>
    <n v="0"/>
    <n v="0.49404399999999998"/>
    <n v="5.3222399999999999"/>
    <n v="12231800"/>
    <n v="0"/>
    <n v="0"/>
    <n v="0"/>
    <n v="0"/>
    <n v="3942150"/>
    <n v="-106369"/>
    <n v="408539"/>
    <n v="98.786299999999997"/>
    <n v="98.274000000000001"/>
    <n v="3.6457700000000002"/>
    <n v="0"/>
    <n v="1"/>
    <n v="2.1234199999999999"/>
    <n v="1.8210200000000001"/>
    <n v="0"/>
    <n v="1.64025"/>
    <n v="2.9635199999999999"/>
    <n v="178566000"/>
    <n v="0"/>
    <n v="0"/>
    <n v="0"/>
    <n v="0"/>
    <n v="5493790"/>
    <n v="935955"/>
    <n v="0"/>
    <n v="37"/>
    <x v="5"/>
    <n v="4.8607045857040534E-3"/>
    <n v="-7.6983604931698483E-4"/>
  </r>
  <r>
    <n v="49.993099999999998"/>
    <n v="85.138999999999996"/>
    <n v="1.5130300000000001"/>
    <n v="0.14000000000000001"/>
    <n v="1"/>
    <n v="2.6375600000000001"/>
    <n v="2.9399600000000001"/>
    <n v="0"/>
    <n v="0.49416100000000002"/>
    <n v="5.3222399999999999"/>
    <n v="12125500"/>
    <n v="0"/>
    <n v="0"/>
    <n v="0"/>
    <n v="0"/>
    <n v="3943080"/>
    <n v="-106305"/>
    <n v="408539"/>
    <n v="98.5441"/>
    <n v="98.274000000000001"/>
    <n v="2.762"/>
    <n v="0"/>
    <n v="1"/>
    <n v="2.1238100000000002"/>
    <n v="1.82141"/>
    <n v="0"/>
    <n v="1.64055"/>
    <n v="2.9635199999999999"/>
    <n v="179502000"/>
    <n v="0"/>
    <n v="0"/>
    <n v="0"/>
    <n v="0"/>
    <n v="5494800"/>
    <n v="935987"/>
    <n v="0"/>
    <n v="38"/>
    <x v="5"/>
    <n v="4.8599772942534624E-3"/>
    <n v="-7.6919139370168759E-4"/>
  </r>
  <r>
    <n v="48.674700000000001"/>
    <n v="85.138999999999996"/>
    <n v="1.79932"/>
    <n v="0.18"/>
    <n v="1"/>
    <n v="2.6381899999999998"/>
    <n v="2.9405899999999998"/>
    <n v="0"/>
    <n v="0.49427900000000002"/>
    <n v="5.3222399999999999"/>
    <n v="12019200"/>
    <n v="0"/>
    <n v="0"/>
    <n v="0"/>
    <n v="0"/>
    <n v="3944020"/>
    <n v="-106241"/>
    <n v="408539"/>
    <n v="98.764399999999995"/>
    <n v="98.274000000000001"/>
    <n v="4.4593600000000002"/>
    <n v="0"/>
    <n v="1"/>
    <n v="2.1242000000000001"/>
    <n v="1.8218000000000001"/>
    <n v="0"/>
    <n v="1.6408499999999999"/>
    <n v="2.9635199999999999"/>
    <n v="180438000"/>
    <n v="0"/>
    <n v="0"/>
    <n v="0"/>
    <n v="0"/>
    <n v="5495800"/>
    <n v="936020"/>
    <n v="0"/>
    <n v="39"/>
    <x v="5"/>
    <n v="4.859264303283972E-3"/>
    <n v="-7.6854509346797146E-4"/>
  </r>
  <r>
    <n v="47.090600000000002"/>
    <n v="85.138999999999996"/>
    <n v="1.4407399999999999"/>
    <n v="0.17"/>
    <n v="1"/>
    <n v="2.5490699999999999"/>
    <n v="2.8514699999999999"/>
    <n v="0"/>
    <n v="0.494396"/>
    <n v="5.3222399999999999"/>
    <n v="11903800"/>
    <n v="0"/>
    <n v="0"/>
    <n v="0"/>
    <n v="0"/>
    <n v="3810800"/>
    <n v="-115402"/>
    <n v="408539"/>
    <n v="98.684600000000003"/>
    <n v="98.274000000000001"/>
    <n v="3.35608"/>
    <n v="0"/>
    <n v="1"/>
    <n v="2.0369100000000002"/>
    <n v="1.73451"/>
    <n v="0"/>
    <n v="1.6411500000000001"/>
    <n v="2.9635199999999999"/>
    <n v="181367000"/>
    <n v="0"/>
    <n v="0"/>
    <n v="0"/>
    <n v="0"/>
    <n v="5269970"/>
    <n v="928659"/>
    <n v="0"/>
    <n v="40"/>
    <x v="5"/>
    <n v="5.0276431167913891E-3"/>
    <n v="-8.6399950163439012E-4"/>
  </r>
  <r>
    <n v="45.388100000000001"/>
    <n v="85.138999999999996"/>
    <n v="1.3127500000000001"/>
    <n v="0.15"/>
    <n v="1"/>
    <n v="2.5496799999999999"/>
    <n v="2.8520799999999999"/>
    <n v="0"/>
    <n v="0.47769600000000001"/>
    <n v="5.3222399999999999"/>
    <n v="11788500"/>
    <n v="0"/>
    <n v="0"/>
    <n v="0"/>
    <n v="0"/>
    <n v="3811710"/>
    <n v="-115339"/>
    <n v="408539"/>
    <n v="98.971199999999996"/>
    <n v="98.274000000000001"/>
    <n v="5.50528"/>
    <n v="0"/>
    <n v="1"/>
    <n v="2.03728"/>
    <n v="1.73488"/>
    <n v="0"/>
    <n v="1.57372"/>
    <n v="2.9635199999999999"/>
    <n v="182296000"/>
    <n v="0"/>
    <n v="0"/>
    <n v="0"/>
    <n v="0"/>
    <n v="5270930"/>
    <n v="928690"/>
    <n v="0"/>
    <n v="41"/>
    <x v="5"/>
    <n v="5.0268952264231727E-3"/>
    <n v="-8.6332167206999201E-4"/>
  </r>
  <r>
    <n v="43.506300000000003"/>
    <n v="85.138999999999996"/>
    <n v="1.1325099999999999"/>
    <n v="0.18"/>
    <n v="1"/>
    <n v="2.5502899999999999"/>
    <n v="2.8526899999999999"/>
    <n v="0"/>
    <n v="0.47781000000000001"/>
    <n v="5.3222399999999999"/>
    <n v="11673200"/>
    <n v="0"/>
    <n v="0"/>
    <n v="0"/>
    <n v="0"/>
    <n v="3812620"/>
    <n v="-115276"/>
    <n v="408539"/>
    <n v="98.701999999999998"/>
    <n v="98.274000000000001"/>
    <n v="3.1543700000000001"/>
    <n v="0"/>
    <n v="1"/>
    <n v="2.0376500000000002"/>
    <n v="1.73525"/>
    <n v="0"/>
    <n v="1.5740000000000001"/>
    <n v="2.9635199999999999"/>
    <n v="183224000"/>
    <n v="0"/>
    <n v="0"/>
    <n v="0"/>
    <n v="0"/>
    <n v="5271890"/>
    <n v="928721"/>
    <n v="0"/>
    <n v="42"/>
    <x v="5"/>
    <n v="5.026147608433458E-3"/>
    <n v="-8.6264416607568671E-4"/>
  </r>
  <r>
    <n v="41.6556"/>
    <n v="85.138999999999996"/>
    <n v="1.1762999999999999"/>
    <n v="0.18"/>
    <n v="1"/>
    <n v="2.5508999999999999"/>
    <n v="2.8532999999999999"/>
    <n v="0"/>
    <n v="0.47792400000000002"/>
    <n v="5.3222399999999999"/>
    <n v="11558000"/>
    <n v="0"/>
    <n v="0"/>
    <n v="0"/>
    <n v="0"/>
    <n v="3813530"/>
    <n v="-115214"/>
    <n v="408539"/>
    <n v="98.423900000000003"/>
    <n v="98.274000000000001"/>
    <n v="3.0667599999999999"/>
    <n v="0"/>
    <n v="1"/>
    <n v="2.0380199999999999"/>
    <n v="1.7356199999999999"/>
    <n v="0"/>
    <n v="1.57429"/>
    <n v="2.9635199999999999"/>
    <n v="184153000"/>
    <n v="0"/>
    <n v="0"/>
    <n v="0"/>
    <n v="0"/>
    <n v="5272850"/>
    <n v="928753"/>
    <n v="0"/>
    <n v="43"/>
    <x v="5"/>
    <n v="5.0254056735907745E-3"/>
    <n v="-8.6197446492785853E-4"/>
  </r>
  <r>
    <n v="42.042400000000001"/>
    <n v="85.138999999999996"/>
    <n v="3.4193699999999998"/>
    <n v="0.18"/>
    <n v="1"/>
    <n v="2.4777800000000001"/>
    <n v="2.7801800000000001"/>
    <n v="0"/>
    <n v="0.47803800000000002"/>
    <n v="5.3222399999999999"/>
    <n v="11435300"/>
    <n v="0"/>
    <n v="0"/>
    <n v="0"/>
    <n v="0"/>
    <n v="3704220"/>
    <n v="-122730"/>
    <n v="408539"/>
    <n v="99.179400000000001"/>
    <n v="98.274000000000001"/>
    <n v="5.6636600000000001"/>
    <n v="0"/>
    <n v="1"/>
    <n v="1.95852"/>
    <n v="1.65612"/>
    <n v="0"/>
    <n v="1.5745800000000001"/>
    <n v="2.9635199999999999"/>
    <n v="185075000"/>
    <n v="0"/>
    <n v="0"/>
    <n v="0"/>
    <n v="0"/>
    <n v="5067150"/>
    <n v="922048"/>
    <n v="0"/>
    <n v="44"/>
    <x v="5"/>
    <n v="5.1916580821297223E-3"/>
    <n v="-9.4530134308846146E-4"/>
  </r>
  <r>
    <n v="40.837400000000002"/>
    <n v="85.138999999999996"/>
    <n v="1.75091"/>
    <n v="0.18"/>
    <n v="1"/>
    <n v="2.47838"/>
    <n v="2.78078"/>
    <n v="0"/>
    <n v="0.464337"/>
    <n v="5.3222399999999999"/>
    <n v="11312600"/>
    <n v="0"/>
    <n v="0"/>
    <n v="0"/>
    <n v="0"/>
    <n v="3705110"/>
    <n v="-122669"/>
    <n v="408539"/>
    <n v="99.302199999999999"/>
    <n v="98.274000000000001"/>
    <n v="3.2917399999999999"/>
    <n v="0"/>
    <n v="1"/>
    <n v="1.9588699999999999"/>
    <n v="1.6564700000000001"/>
    <n v="0"/>
    <n v="1.51315"/>
    <n v="2.9635199999999999"/>
    <n v="185997000"/>
    <n v="0"/>
    <n v="0"/>
    <n v="0"/>
    <n v="0"/>
    <n v="5068070"/>
    <n v="922078"/>
    <n v="0"/>
    <n v="45"/>
    <x v="5"/>
    <n v="5.1908845338604079E-3"/>
    <n v="-9.4460454691581877E-4"/>
  </r>
  <r>
    <n v="39.815300000000001"/>
    <n v="85.138999999999996"/>
    <n v="2.0170499999999998"/>
    <n v="0.21"/>
    <n v="1"/>
    <n v="2.4789699999999999"/>
    <n v="2.7813699999999999"/>
    <n v="0"/>
    <n v="0.46444800000000003"/>
    <n v="5.3222399999999999"/>
    <n v="11190000"/>
    <n v="0"/>
    <n v="0"/>
    <n v="0"/>
    <n v="0"/>
    <n v="3706000"/>
    <n v="-122608"/>
    <n v="408539"/>
    <n v="99.260099999999994"/>
    <n v="98.274000000000001"/>
    <n v="2.5191699999999999"/>
    <n v="0"/>
    <n v="1"/>
    <n v="1.95923"/>
    <n v="1.65683"/>
    <n v="0"/>
    <n v="1.51342"/>
    <n v="2.9635199999999999"/>
    <n v="186919000"/>
    <n v="0"/>
    <n v="0"/>
    <n v="0"/>
    <n v="0"/>
    <n v="5068980"/>
    <n v="922107"/>
    <n v="0"/>
    <n v="46"/>
    <x v="5"/>
    <n v="5.1901158768085376E-3"/>
    <n v="-9.4390808541591948E-4"/>
  </r>
  <r>
    <n v="38.442900000000002"/>
    <n v="85.138999999999996"/>
    <n v="1.6653500000000001"/>
    <n v="0.22"/>
    <n v="1"/>
    <n v="2.4795600000000002"/>
    <n v="2.7819600000000002"/>
    <n v="0"/>
    <n v="0.464559"/>
    <n v="5.3222399999999999"/>
    <n v="11067500"/>
    <n v="0"/>
    <n v="0"/>
    <n v="0"/>
    <n v="0"/>
    <n v="3706880"/>
    <n v="-122547"/>
    <n v="408539"/>
    <n v="99.119299999999996"/>
    <n v="98.274000000000001"/>
    <n v="2.5293600000000001"/>
    <n v="0"/>
    <n v="1"/>
    <n v="1.9595800000000001"/>
    <n v="1.6571800000000001"/>
    <n v="0"/>
    <n v="1.5137"/>
    <n v="2.9635199999999999"/>
    <n v="187842000"/>
    <n v="0"/>
    <n v="0"/>
    <n v="0"/>
    <n v="0"/>
    <n v="5069900"/>
    <n v="922137"/>
    <n v="0"/>
    <n v="47"/>
    <x v="5"/>
    <n v="5.1893428876078895E-3"/>
    <n v="-9.4321450283783826E-4"/>
  </r>
  <r>
    <n v="39.869999999999997"/>
    <n v="85.138999999999996"/>
    <n v="4.2530599999999996"/>
    <n v="0.21"/>
    <n v="1"/>
    <n v="2.2706"/>
    <n v="2.573"/>
    <n v="0"/>
    <n v="0.46467000000000003"/>
    <n v="5.3222399999999999"/>
    <n v="10923400"/>
    <n v="0"/>
    <n v="0"/>
    <n v="0"/>
    <n v="0"/>
    <n v="3394490"/>
    <n v="-144029"/>
    <n v="408539"/>
    <n v="99.302199999999999"/>
    <n v="98.274000000000001"/>
    <n v="7.5252299999999996"/>
    <n v="0"/>
    <n v="1"/>
    <n v="1.7934399999999999"/>
    <n v="1.4910399999999999"/>
    <n v="0"/>
    <n v="1.51397"/>
    <n v="2.9635199999999999"/>
    <n v="188750000"/>
    <n v="0"/>
    <n v="0"/>
    <n v="0"/>
    <n v="0"/>
    <n v="4640050"/>
    <n v="908126"/>
    <n v="0"/>
    <n v="48"/>
    <x v="5"/>
    <n v="5.5839273911925565E-3"/>
    <n v="-1.2105750665139981E-3"/>
  </r>
  <r>
    <n v="41.750700000000002"/>
    <n v="85.138999999999996"/>
    <n v="4.7190000000000003"/>
    <n v="0.21"/>
    <n v="1"/>
    <n v="2.27115"/>
    <n v="2.57355"/>
    <n v="0"/>
    <n v="0.42551"/>
    <n v="5.3222399999999999"/>
    <n v="10779500"/>
    <n v="0"/>
    <n v="0"/>
    <n v="0"/>
    <n v="0"/>
    <n v="3395310"/>
    <n v="-143973"/>
    <n v="408539"/>
    <n v="99.302199999999999"/>
    <n v="98.274000000000001"/>
    <n v="7.1652800000000001"/>
    <n v="0"/>
    <n v="1"/>
    <n v="1.79376"/>
    <n v="1.49136"/>
    <n v="0"/>
    <n v="1.38561"/>
    <n v="2.9635199999999999"/>
    <n v="189658000"/>
    <n v="0"/>
    <n v="0"/>
    <n v="0"/>
    <n v="0"/>
    <n v="4640880"/>
    <n v="908153"/>
    <n v="0"/>
    <n v="49"/>
    <x v="5"/>
    <n v="5.5830947206770027E-3"/>
    <n v="-1.2098121302725267E-3"/>
  </r>
  <r>
    <n v="42.09"/>
    <n v="85.138999999999996"/>
    <n v="3.1889699999999999"/>
    <n v="0.17"/>
    <n v="1"/>
    <n v="2.2717000000000001"/>
    <n v="2.5741000000000001"/>
    <n v="0"/>
    <n v="0.42561300000000002"/>
    <n v="5.3222399999999999"/>
    <n v="10635500"/>
    <n v="0"/>
    <n v="0"/>
    <n v="0"/>
    <n v="0"/>
    <n v="3396130"/>
    <n v="-143916"/>
    <n v="408539"/>
    <n v="99.302199999999999"/>
    <n v="98.274000000000001"/>
    <n v="6.3165100000000001"/>
    <n v="0"/>
    <n v="1"/>
    <n v="1.7940700000000001"/>
    <n v="1.4916700000000001"/>
    <n v="0"/>
    <n v="1.3858600000000001"/>
    <n v="2.9635199999999999"/>
    <n v="190566000"/>
    <n v="0"/>
    <n v="0"/>
    <n v="0"/>
    <n v="0"/>
    <n v="4641700"/>
    <n v="908180"/>
    <n v="0"/>
    <n v="50"/>
    <x v="5"/>
    <n v="5.5822743742783808E-3"/>
    <n v="-1.2090411614351768E-3"/>
  </r>
  <r>
    <n v="42.756399999999999"/>
    <n v="85.138999999999996"/>
    <n v="3.5208699999999999"/>
    <n v="0.19"/>
    <n v="1"/>
    <n v="2.2722500000000001"/>
    <n v="2.5746500000000001"/>
    <n v="0"/>
    <n v="0.42571599999999998"/>
    <n v="5.3222399999999999"/>
    <n v="10491700"/>
    <n v="0"/>
    <n v="0"/>
    <n v="0"/>
    <n v="0"/>
    <n v="3396950"/>
    <n v="-143860"/>
    <n v="408539"/>
    <n v="99.302199999999999"/>
    <n v="98.274000000000001"/>
    <n v="6.4476100000000001"/>
    <n v="0"/>
    <n v="1"/>
    <n v="1.7943899999999999"/>
    <n v="1.4919899999999999"/>
    <n v="0"/>
    <n v="1.3861000000000001"/>
    <n v="2.9635199999999999"/>
    <n v="191474000"/>
    <n v="0"/>
    <n v="0"/>
    <n v="0"/>
    <n v="0"/>
    <n v="4642520"/>
    <n v="908207"/>
    <n v="0"/>
    <n v="51"/>
    <x v="5"/>
    <n v="5.5814543176723897E-3"/>
    <n v="-1.2082789638026342E-3"/>
  </r>
  <r>
    <n v="43.855600000000003"/>
    <n v="85.138999999999996"/>
    <n v="3.9839799999999999"/>
    <n v="0.19"/>
    <n v="1"/>
    <n v="2.2727900000000001"/>
    <n v="2.5751900000000001"/>
    <n v="0"/>
    <n v="0.425819"/>
    <n v="5.3222399999999999"/>
    <n v="10347900"/>
    <n v="0"/>
    <n v="0"/>
    <n v="0"/>
    <n v="0"/>
    <n v="3397770"/>
    <n v="-143804"/>
    <n v="408539"/>
    <n v="99.302199999999999"/>
    <n v="98.274000000000001"/>
    <n v="6.6906299999999996"/>
    <n v="0"/>
    <n v="1"/>
    <n v="1.79471"/>
    <n v="1.49231"/>
    <n v="0"/>
    <n v="1.38635"/>
    <n v="2.9635199999999999"/>
    <n v="192383000"/>
    <n v="0"/>
    <n v="0"/>
    <n v="0"/>
    <n v="0"/>
    <n v="4643350"/>
    <n v="908233"/>
    <n v="0"/>
    <n v="52"/>
    <x v="5"/>
    <n v="5.5806163876764873E-3"/>
    <n v="-1.2075171340596538E-3"/>
  </r>
  <r>
    <n v="48.5807"/>
    <n v="85.138999999999996"/>
    <n v="7.6086099999999997"/>
    <n v="0.22"/>
    <n v="1"/>
    <n v="2.2727900000000001"/>
    <n v="2.5751900000000001"/>
    <n v="0"/>
    <n v="0.42592200000000002"/>
    <n v="5.3222399999999999"/>
    <n v="10204100"/>
    <n v="0"/>
    <n v="0"/>
    <n v="0"/>
    <n v="0"/>
    <n v="3397770"/>
    <n v="-143804"/>
    <n v="408539"/>
    <n v="99.302199999999999"/>
    <n v="98.274000000000001"/>
    <n v="9.2109799999999993"/>
    <n v="0"/>
    <n v="1"/>
    <n v="1.79471"/>
    <n v="1.49231"/>
    <n v="0"/>
    <n v="1.38659"/>
    <n v="2.9635199999999999"/>
    <n v="193291000"/>
    <n v="0"/>
    <n v="0"/>
    <n v="0"/>
    <n v="0"/>
    <n v="4643350"/>
    <n v="908233"/>
    <n v="0"/>
    <n v="1"/>
    <x v="6"/>
    <n v="2.7962579862971801E-3"/>
    <n v="-6.0504596538140146E-4"/>
  </r>
  <r>
    <n v="48.078600000000002"/>
    <n v="85.138999999999996"/>
    <n v="2.4836100000000001"/>
    <n v="0.03"/>
    <n v="0"/>
    <n v="2.3540199999999998"/>
    <n v="2.6564199999999998"/>
    <n v="0"/>
    <n v="0.42592200000000002"/>
    <n v="5.3222399999999999"/>
    <n v="10068600"/>
    <n v="0"/>
    <n v="0"/>
    <n v="0"/>
    <n v="29016000"/>
    <n v="3519210"/>
    <n v="-135453"/>
    <n v="408539"/>
    <n v="99.302199999999999"/>
    <n v="98.274000000000001"/>
    <n v="4.2004000000000001"/>
    <n v="0"/>
    <n v="0"/>
    <n v="1.8432900000000001"/>
    <n v="1.5408900000000001"/>
    <n v="0"/>
    <n v="1.38659"/>
    <n v="2.9635199999999999"/>
    <n v="194203000"/>
    <n v="0"/>
    <n v="0"/>
    <n v="0"/>
    <n v="7883220"/>
    <n v="4769020"/>
    <n v="912330"/>
    <n v="0"/>
    <n v="2"/>
    <x v="6"/>
    <n v="2.6366060144230534E-2"/>
    <n v="0.11731988048973462"/>
  </r>
  <r>
    <n v="48.5062"/>
    <n v="85.138999999999996"/>
    <n v="3.4123000000000001"/>
    <n v="0.03"/>
    <n v="0"/>
    <n v="2.3545699999999998"/>
    <n v="2.6569699999999998"/>
    <n v="0"/>
    <n v="0.44114399999999998"/>
    <n v="5.3222399999999999"/>
    <n v="9933220"/>
    <n v="0"/>
    <n v="0"/>
    <n v="0"/>
    <n v="0"/>
    <n v="3520020"/>
    <n v="-135397"/>
    <n v="408539"/>
    <n v="99.302199999999999"/>
    <n v="98.274000000000001"/>
    <n v="4.7814500000000004"/>
    <n v="0"/>
    <n v="0"/>
    <n v="1.8435999999999999"/>
    <n v="1.5411999999999999"/>
    <n v="0"/>
    <n v="1.4241200000000001"/>
    <n v="2.9635199999999999"/>
    <n v="195115000"/>
    <n v="0"/>
    <n v="0"/>
    <n v="0"/>
    <n v="0"/>
    <n v="4769840"/>
    <n v="912357"/>
    <n v="0"/>
    <n v="3"/>
    <x v="6"/>
    <n v="2.7344650545547537E-3"/>
    <n v="-5.4988932791277768E-4"/>
  </r>
  <r>
    <n v="51.094700000000003"/>
    <n v="85.138999999999996"/>
    <n v="5.5746099999999998"/>
    <n v="0.04"/>
    <n v="0"/>
    <n v="2.3551099999999998"/>
    <n v="2.6575099999999998"/>
    <n v="0"/>
    <n v="0.44124600000000003"/>
    <n v="5.3222399999999999"/>
    <n v="9797880"/>
    <n v="0"/>
    <n v="0"/>
    <n v="0"/>
    <n v="0"/>
    <n v="3520840"/>
    <n v="-135341"/>
    <n v="408539"/>
    <n v="99.302199999999999"/>
    <n v="98.274000000000001"/>
    <n v="13.5694"/>
    <n v="0"/>
    <n v="0"/>
    <n v="1.84392"/>
    <n v="1.54152"/>
    <n v="0"/>
    <n v="1.4243699999999999"/>
    <n v="2.9635199999999999"/>
    <n v="196028000"/>
    <n v="0"/>
    <n v="0"/>
    <n v="0"/>
    <n v="0"/>
    <n v="4770660"/>
    <n v="912383"/>
    <n v="0"/>
    <n v="4"/>
    <x v="6"/>
    <n v="2.734072956176651E-3"/>
    <n v="-5.4953387880817841E-4"/>
  </r>
  <r>
    <n v="52.5197"/>
    <n v="85.138999999999996"/>
    <n v="4.39229"/>
    <n v="0.03"/>
    <n v="0"/>
    <n v="2.3556599999999999"/>
    <n v="2.6580599999999999"/>
    <n v="0"/>
    <n v="0.44134899999999999"/>
    <n v="5.3222399999999999"/>
    <n v="9662600"/>
    <n v="0"/>
    <n v="0"/>
    <n v="0"/>
    <n v="0"/>
    <n v="3521650"/>
    <n v="-135285"/>
    <n v="408539"/>
    <n v="99.302199999999999"/>
    <n v="98.274000000000001"/>
    <n v="9.2429900000000007"/>
    <n v="0"/>
    <n v="0"/>
    <n v="1.84423"/>
    <n v="1.54183"/>
    <n v="0"/>
    <n v="1.4246099999999999"/>
    <n v="2.9635199999999999"/>
    <n v="196940000"/>
    <n v="0"/>
    <n v="0"/>
    <n v="0"/>
    <n v="0"/>
    <n v="4771470"/>
    <n v="912410"/>
    <n v="0"/>
    <n v="5"/>
    <x v="6"/>
    <n v="2.7336897179078912E-3"/>
    <n v="-5.4918015466796466E-4"/>
  </r>
  <r>
    <n v="52.854999999999997"/>
    <n v="85.138999999999996"/>
    <n v="3.5796000000000001"/>
    <n v="0.02"/>
    <n v="0"/>
    <n v="2.6155200000000001"/>
    <n v="2.9179200000000001"/>
    <n v="0"/>
    <n v="0.44145099999999998"/>
    <n v="5.3222399999999999"/>
    <n v="9554030"/>
    <n v="0"/>
    <n v="0"/>
    <n v="0"/>
    <n v="0"/>
    <n v="3910140"/>
    <n v="-108571"/>
    <n v="408539"/>
    <n v="99.302199999999999"/>
    <n v="98.274000000000001"/>
    <n v="6.6186100000000003"/>
    <n v="0"/>
    <n v="0"/>
    <n v="2.0258799999999999"/>
    <n v="1.7234799999999999"/>
    <n v="0"/>
    <n v="1.42486"/>
    <n v="2.9635199999999999"/>
    <n v="197868000"/>
    <n v="0"/>
    <n v="0"/>
    <n v="0"/>
    <n v="0"/>
    <n v="5241420"/>
    <n v="927728"/>
    <n v="0"/>
    <n v="6"/>
    <x v="6"/>
    <n v="2.5303644839345359E-3"/>
    <n v="-3.9694735372148139E-4"/>
  </r>
  <r>
    <n v="54.347900000000003"/>
    <n v="85.138999999999996"/>
    <n v="4.7439999999999998"/>
    <n v="0.04"/>
    <n v="0"/>
    <n v="2.61612"/>
    <n v="2.91852"/>
    <n v="0"/>
    <n v="0.49014799999999997"/>
    <n v="5.3222399999999999"/>
    <n v="9445520"/>
    <n v="0"/>
    <n v="0"/>
    <n v="0"/>
    <n v="0"/>
    <n v="3911030"/>
    <n v="-108509"/>
    <n v="408539"/>
    <n v="99.302199999999999"/>
    <n v="98.274000000000001"/>
    <n v="6.8299099999999999"/>
    <n v="0"/>
    <n v="0"/>
    <n v="2.02623"/>
    <n v="1.72383"/>
    <n v="0"/>
    <n v="1.5651900000000001"/>
    <n v="2.9635199999999999"/>
    <n v="198796000"/>
    <n v="0"/>
    <n v="0"/>
    <n v="0"/>
    <n v="0"/>
    <n v="5242340"/>
    <n v="927758"/>
    <n v="0"/>
    <n v="7"/>
    <x v="6"/>
    <n v="2.5300022299706714E-3"/>
    <n v="-3.9663039662899677E-4"/>
  </r>
  <r>
    <n v="54.321199999999997"/>
    <n v="85.138999999999996"/>
    <n v="3.2284000000000002"/>
    <n v="0.04"/>
    <n v="0"/>
    <n v="2.6167199999999999"/>
    <n v="2.9191199999999999"/>
    <n v="0"/>
    <n v="0.490261"/>
    <n v="5.3222399999999999"/>
    <n v="9337070"/>
    <n v="0"/>
    <n v="0"/>
    <n v="0"/>
    <n v="0"/>
    <n v="3911930"/>
    <n v="-108448"/>
    <n v="408539"/>
    <n v="99.302199999999999"/>
    <n v="98.274000000000001"/>
    <n v="5.7321"/>
    <n v="0"/>
    <n v="0"/>
    <n v="2.02658"/>
    <n v="1.72418"/>
    <n v="0"/>
    <n v="1.5654600000000001"/>
    <n v="2.9635199999999999"/>
    <n v="199724000"/>
    <n v="0"/>
    <n v="0"/>
    <n v="0"/>
    <n v="0"/>
    <n v="5243250"/>
    <n v="927788"/>
    <n v="0"/>
    <n v="8"/>
    <x v="6"/>
    <n v="2.5296449276965135E-3"/>
    <n v="-3.9631622510405531E-4"/>
  </r>
  <r>
    <n v="54.786900000000003"/>
    <n v="85.138999999999996"/>
    <n v="3.6924199999999998"/>
    <n v="0.04"/>
    <n v="0"/>
    <n v="2.6173199999999999"/>
    <n v="2.9197199999999999"/>
    <n v="0"/>
    <n v="0.490373"/>
    <n v="5.3222399999999999"/>
    <n v="9228680"/>
    <n v="0"/>
    <n v="0"/>
    <n v="0"/>
    <n v="0"/>
    <n v="3912820"/>
    <n v="-108386"/>
    <n v="408539"/>
    <n v="99.302199999999999"/>
    <n v="98.274000000000001"/>
    <n v="6.0851199999999999"/>
    <n v="0"/>
    <n v="0"/>
    <n v="2.0269400000000002"/>
    <n v="1.72454"/>
    <n v="0"/>
    <n v="1.5657399999999999"/>
    <n v="2.9635199999999999"/>
    <n v="200651000"/>
    <n v="0"/>
    <n v="0"/>
    <n v="0"/>
    <n v="0"/>
    <n v="5244170"/>
    <n v="927818"/>
    <n v="0"/>
    <n v="9"/>
    <x v="6"/>
    <n v="2.5292829263782522E-3"/>
    <n v="-3.9599955656500916E-4"/>
  </r>
  <r>
    <n v="55.717100000000002"/>
    <n v="85.138999999999996"/>
    <n v="3.8027700000000002"/>
    <n v="0.02"/>
    <n v="0"/>
    <n v="2.2477499999999999"/>
    <n v="2.5501499999999999"/>
    <n v="0"/>
    <n v="0.490485"/>
    <n v="5.3222399999999999"/>
    <n v="9082310"/>
    <n v="0"/>
    <n v="0"/>
    <n v="0"/>
    <n v="0"/>
    <n v="3360320"/>
    <n v="-146378"/>
    <n v="408539"/>
    <n v="99.302199999999999"/>
    <n v="98.274000000000001"/>
    <n v="4.3038100000000004"/>
    <n v="0"/>
    <n v="0"/>
    <n v="1.7837499999999999"/>
    <n v="1.4813499999999999"/>
    <n v="0"/>
    <n v="1.5660099999999999"/>
    <n v="2.9635199999999999"/>
    <n v="201559000"/>
    <n v="0"/>
    <n v="0"/>
    <n v="0"/>
    <n v="0"/>
    <n v="4614990"/>
    <n v="907309"/>
    <n v="0"/>
    <n v="10"/>
    <x v="6"/>
    <n v="2.8105792456234904E-3"/>
    <n v="-6.227396992319785E-4"/>
  </r>
  <r>
    <n v="56.174700000000001"/>
    <n v="85.138999999999996"/>
    <n v="3.3389500000000001"/>
    <n v="0.03"/>
    <n v="0"/>
    <n v="2.2482700000000002"/>
    <n v="2.5506700000000002"/>
    <n v="0"/>
    <n v="0.42122799999999999"/>
    <n v="5.3222399999999999"/>
    <n v="8935980"/>
    <n v="0"/>
    <n v="0"/>
    <n v="0"/>
    <n v="0"/>
    <n v="3361110"/>
    <n v="-146325"/>
    <n v="408539"/>
    <n v="99.302199999999999"/>
    <n v="98.274000000000001"/>
    <n v="3.4312100000000001"/>
    <n v="0"/>
    <n v="0"/>
    <n v="1.78406"/>
    <n v="1.48166"/>
    <n v="0"/>
    <n v="1.3781300000000001"/>
    <n v="2.9635199999999999"/>
    <n v="202466000"/>
    <n v="0"/>
    <n v="0"/>
    <n v="0"/>
    <n v="0"/>
    <n v="4615780"/>
    <n v="907335"/>
    <n v="0"/>
    <n v="11"/>
    <x v="6"/>
    <n v="2.8101787360004606E-3"/>
    <n v="-6.2236790335177432E-4"/>
  </r>
  <r>
    <n v="59.007899999999999"/>
    <n v="85.138999999999996"/>
    <n v="5.7162199999999999"/>
    <n v="0.03"/>
    <n v="0"/>
    <n v="2.2487900000000001"/>
    <n v="2.5511900000000001"/>
    <n v="0"/>
    <n v="0.42132599999999998"/>
    <n v="5.3222399999999999"/>
    <n v="8789710"/>
    <n v="0"/>
    <n v="0"/>
    <n v="0"/>
    <n v="0"/>
    <n v="3361890"/>
    <n v="-146271"/>
    <n v="408539"/>
    <n v="99.302199999999999"/>
    <n v="98.274000000000001"/>
    <n v="5.5024899999999999"/>
    <n v="0"/>
    <n v="0"/>
    <n v="1.7843599999999999"/>
    <n v="1.4819599999999999"/>
    <n v="0"/>
    <n v="1.37836"/>
    <n v="2.9635199999999999"/>
    <n v="203373000"/>
    <n v="0"/>
    <n v="0"/>
    <n v="0"/>
    <n v="0"/>
    <n v="4616560"/>
    <n v="907360"/>
    <n v="0"/>
    <n v="12"/>
    <x v="6"/>
    <n v="2.8097813530976422E-3"/>
    <n v="-6.2199388000504262E-4"/>
  </r>
  <r>
    <n v="69.807599999999994"/>
    <n v="85.138999999999996"/>
    <n v="5.6706700000000003"/>
    <n v="0.03"/>
    <n v="0"/>
    <n v="2.24932"/>
    <n v="2.55172"/>
    <n v="0"/>
    <n v="0.42142400000000002"/>
    <n v="5.3222399999999999"/>
    <n v="8643490"/>
    <n v="0"/>
    <n v="0"/>
    <n v="0"/>
    <n v="0"/>
    <n v="3362670"/>
    <n v="-146217"/>
    <n v="408539"/>
    <n v="99.302199999999999"/>
    <n v="98.274000000000001"/>
    <n v="7.4461000000000004"/>
    <n v="0"/>
    <n v="0"/>
    <n v="1.7846599999999999"/>
    <n v="1.4822599999999999"/>
    <n v="0"/>
    <n v="1.3786"/>
    <n v="2.9635199999999999"/>
    <n v="204281000"/>
    <n v="0"/>
    <n v="0"/>
    <n v="0"/>
    <n v="0"/>
    <n v="4617350"/>
    <n v="907386"/>
    <n v="0"/>
    <n v="13"/>
    <x v="6"/>
    <n v="2.8093811161711167E-3"/>
    <n v="-6.2162003017412451E-4"/>
  </r>
  <r>
    <n v="71.645099999999999"/>
    <n v="85.138999999999996"/>
    <n v="5.0930600000000004"/>
    <n v="0"/>
    <n v="0"/>
    <n v="2.5522399999999998"/>
    <n v="2.5522399999999998"/>
    <n v="0"/>
    <n v="0.42152200000000001"/>
    <n v="5.3222399999999999"/>
    <n v="8905870"/>
    <n v="0"/>
    <n v="0"/>
    <n v="0"/>
    <n v="0"/>
    <n v="3815540"/>
    <n v="262375"/>
    <n v="0"/>
    <n v="99.302199999999999"/>
    <n v="98.274000000000001"/>
    <n v="5.6583899999999998"/>
    <n v="0"/>
    <n v="0"/>
    <n v="1.4825699999999999"/>
    <n v="1.4825699999999999"/>
    <n v="0"/>
    <n v="1.37883"/>
    <n v="2.9635199999999999"/>
    <n v="204406000"/>
    <n v="0"/>
    <n v="0"/>
    <n v="0"/>
    <n v="0"/>
    <n v="3835760"/>
    <n v="125031"/>
    <n v="0"/>
    <n v="14"/>
    <x v="6"/>
    <n v="4.6599113969640946E-4"/>
    <n v="9.8305501071212068E-4"/>
  </r>
  <r>
    <n v="75.451700000000002"/>
    <n v="85.138999999999996"/>
    <n v="7.3139200000000004"/>
    <n v="0"/>
    <n v="0"/>
    <n v="2.6460400000000002"/>
    <n v="2.6460400000000002"/>
    <n v="0"/>
    <n v="0.47828999999999999"/>
    <n v="5.3222399999999999"/>
    <n v="9177890"/>
    <n v="0"/>
    <n v="0"/>
    <n v="0"/>
    <n v="0"/>
    <n v="3955760"/>
    <n v="272018"/>
    <n v="0"/>
    <n v="99.302199999999999"/>
    <n v="98.274000000000001"/>
    <n v="6.9677600000000002"/>
    <n v="0"/>
    <n v="0"/>
    <n v="1.54251"/>
    <n v="1.54251"/>
    <n v="0"/>
    <n v="1.1454299999999999"/>
    <n v="2.9635199999999999"/>
    <n v="204536000"/>
    <n v="0"/>
    <n v="0"/>
    <n v="0"/>
    <n v="0"/>
    <n v="3990850"/>
    <n v="130086"/>
    <n v="0"/>
    <n v="15"/>
    <x v="6"/>
    <n v="4.6598993405702111E-4"/>
    <n v="9.8305788035549994E-4"/>
  </r>
  <r>
    <n v="78.542699999999996"/>
    <n v="85.138999999999996"/>
    <n v="6.4288699999999999"/>
    <n v="0"/>
    <n v="0"/>
    <n v="2.6465800000000002"/>
    <n v="2.6465800000000002"/>
    <n v="0"/>
    <n v="0.495867"/>
    <n v="5.3222399999999999"/>
    <n v="9449960"/>
    <n v="0"/>
    <n v="0"/>
    <n v="0"/>
    <n v="0"/>
    <n v="3956570"/>
    <n v="272074"/>
    <n v="0"/>
    <n v="99.302199999999999"/>
    <n v="98.274000000000001"/>
    <n v="6.6119500000000002"/>
    <n v="0"/>
    <n v="0"/>
    <n v="1.5428299999999999"/>
    <n v="1.5428299999999999"/>
    <n v="0"/>
    <n v="1.19174"/>
    <n v="2.9635199999999999"/>
    <n v="204666000"/>
    <n v="0"/>
    <n v="0"/>
    <n v="0"/>
    <n v="0"/>
    <n v="3991660"/>
    <n v="130113"/>
    <n v="0"/>
    <n v="16"/>
    <x v="6"/>
    <n v="4.6599207285282998E-4"/>
    <n v="9.8305896546039152E-4"/>
  </r>
  <r>
    <n v="80.0685"/>
    <n v="85.138999999999996"/>
    <n v="4.7987399999999996"/>
    <n v="0"/>
    <n v="0"/>
    <n v="2.6471200000000001"/>
    <n v="2.6471200000000001"/>
    <n v="0"/>
    <n v="0.49596899999999999"/>
    <n v="5.3222399999999999"/>
    <n v="9722090"/>
    <n v="0"/>
    <n v="0"/>
    <n v="0"/>
    <n v="0"/>
    <n v="3957380"/>
    <n v="272129"/>
    <n v="0"/>
    <n v="99.302199999999999"/>
    <n v="98.274000000000001"/>
    <n v="5.3406399999999996"/>
    <n v="0"/>
    <n v="0"/>
    <n v="1.54314"/>
    <n v="1.54314"/>
    <n v="0"/>
    <n v="1.1919900000000001"/>
    <n v="2.9635199999999999"/>
    <n v="204796000"/>
    <n v="0"/>
    <n v="0"/>
    <n v="0"/>
    <n v="0"/>
    <n v="3992480"/>
    <n v="130140"/>
    <n v="0"/>
    <n v="17"/>
    <x v="6"/>
    <n v="4.6599304360096778E-4"/>
    <n v="9.8305643765626773E-4"/>
  </r>
  <r>
    <n v="81.224500000000006"/>
    <n v="85.138999999999996"/>
    <n v="4.4051499999999999"/>
    <n v="0"/>
    <n v="0"/>
    <n v="2.6476700000000002"/>
    <n v="2.6476700000000002"/>
    <n v="0"/>
    <n v="0.49607099999999998"/>
    <n v="5.3222399999999999"/>
    <n v="9994270"/>
    <n v="0"/>
    <n v="0"/>
    <n v="0"/>
    <n v="0"/>
    <n v="3958190"/>
    <n v="272185"/>
    <n v="0"/>
    <n v="99.302199999999999"/>
    <n v="98.274000000000001"/>
    <n v="5.6041800000000004"/>
    <n v="0"/>
    <n v="0"/>
    <n v="1.5434600000000001"/>
    <n v="1.5434600000000001"/>
    <n v="0"/>
    <n v="1.1922299999999999"/>
    <n v="2.9635199999999999"/>
    <n v="204926000"/>
    <n v="0"/>
    <n v="0"/>
    <n v="0"/>
    <n v="0"/>
    <n v="3993300"/>
    <n v="130166"/>
    <n v="0"/>
    <n v="18"/>
    <x v="6"/>
    <n v="4.6599043397997826E-4"/>
    <n v="9.830575226122823E-4"/>
  </r>
  <r>
    <n v="82.079800000000006"/>
    <n v="85.138999999999996"/>
    <n v="3.9759199999999999"/>
    <n v="0"/>
    <n v="0"/>
    <n v="2.61171"/>
    <n v="2.61171"/>
    <n v="0"/>
    <n v="0.49617299999999998"/>
    <n v="5.3222399999999999"/>
    <n v="10262800"/>
    <n v="0"/>
    <n v="0"/>
    <n v="0"/>
    <n v="0"/>
    <n v="3904440"/>
    <n v="268489"/>
    <n v="0"/>
    <n v="99.302199999999999"/>
    <n v="98.274000000000001"/>
    <n v="5.0088299999999997"/>
    <n v="0"/>
    <n v="0"/>
    <n v="1.5206"/>
    <n v="1.5206"/>
    <n v="0"/>
    <n v="1.19248"/>
    <n v="2.9635199999999999"/>
    <n v="205054000"/>
    <n v="0"/>
    <n v="0"/>
    <n v="0"/>
    <n v="0"/>
    <n v="3934140"/>
    <n v="128238"/>
    <n v="0"/>
    <n v="19"/>
    <x v="6"/>
    <n v="4.6599183366767408E-4"/>
    <n v="9.8305796062341118E-4"/>
  </r>
  <r>
    <n v="82.725099999999998"/>
    <n v="85.138999999999996"/>
    <n v="3.7450899999999998"/>
    <n v="0"/>
    <n v="0"/>
    <n v="2.61225"/>
    <n v="2.61225"/>
    <n v="0"/>
    <n v="0.48943500000000001"/>
    <n v="5.3222399999999999"/>
    <n v="10531300"/>
    <n v="0"/>
    <n v="0"/>
    <n v="0"/>
    <n v="0"/>
    <n v="3905240"/>
    <n v="268544"/>
    <n v="0"/>
    <n v="99.302199999999999"/>
    <n v="98.274000000000001"/>
    <n v="4.3078399999999997"/>
    <n v="0"/>
    <n v="0"/>
    <n v="1.52091"/>
    <n v="1.52091"/>
    <n v="0"/>
    <n v="1.1748099999999999"/>
    <n v="2.9635199999999999"/>
    <n v="205183000"/>
    <n v="0"/>
    <n v="0"/>
    <n v="0"/>
    <n v="0"/>
    <n v="3934950"/>
    <n v="128264"/>
    <n v="0"/>
    <n v="20"/>
    <x v="6"/>
    <n v="4.6599036983992133E-4"/>
    <n v="9.8305791655749989E-4"/>
  </r>
  <r>
    <n v="83.109700000000004"/>
    <n v="85.138999999999996"/>
    <n v="3.4630700000000001"/>
    <n v="0"/>
    <n v="0"/>
    <n v="2.6127799999999999"/>
    <n v="2.6127799999999999"/>
    <n v="0"/>
    <n v="0.489535"/>
    <n v="5.3222399999999999"/>
    <n v="10799900"/>
    <n v="0"/>
    <n v="0"/>
    <n v="0"/>
    <n v="0"/>
    <n v="3906040"/>
    <n v="268599"/>
    <n v="0"/>
    <n v="99.302199999999999"/>
    <n v="98.274000000000001"/>
    <n v="3.9879500000000001"/>
    <n v="0"/>
    <n v="0"/>
    <n v="1.52122"/>
    <n v="1.52122"/>
    <n v="0"/>
    <n v="1.1750499999999999"/>
    <n v="2.9635199999999999"/>
    <n v="205311000"/>
    <n v="0"/>
    <n v="0"/>
    <n v="0"/>
    <n v="0"/>
    <n v="3935760"/>
    <n v="128291"/>
    <n v="0"/>
    <n v="21"/>
    <x v="6"/>
    <n v="4.6599253892357843E-4"/>
    <n v="9.8305787250963883E-4"/>
  </r>
  <r>
    <n v="83.261399999999995"/>
    <n v="85.138999999999996"/>
    <n v="3.1693500000000001"/>
    <n v="0"/>
    <n v="0"/>
    <n v="2.6133199999999999"/>
    <n v="2.6133199999999999"/>
    <n v="0"/>
    <n v="0.48963499999999999"/>
    <n v="5.3222399999999999"/>
    <n v="11068600"/>
    <n v="0"/>
    <n v="0"/>
    <n v="0"/>
    <n v="0"/>
    <n v="3906850"/>
    <n v="268654"/>
    <n v="0"/>
    <n v="99.302199999999999"/>
    <n v="98.274000000000001"/>
    <n v="3.7851499999999998"/>
    <n v="0"/>
    <n v="0"/>
    <n v="1.52153"/>
    <n v="1.52153"/>
    <n v="0"/>
    <n v="1.1752899999999999"/>
    <n v="2.9635199999999999"/>
    <n v="205439000"/>
    <n v="0"/>
    <n v="0"/>
    <n v="0"/>
    <n v="0"/>
    <n v="3936570"/>
    <n v="128317"/>
    <n v="0"/>
    <n v="22"/>
    <x v="6"/>
    <n v="4.6599107555311299E-4"/>
    <n v="9.8305531223827109E-4"/>
  </r>
  <r>
    <n v="83.487099999999998"/>
    <n v="85.138999999999996"/>
    <n v="3.38619"/>
    <n v="0"/>
    <n v="0"/>
    <n v="2.7378499999999999"/>
    <n v="2.7378499999999999"/>
    <n v="0"/>
    <n v="0.489736"/>
    <n v="5.3222399999999999"/>
    <n v="11350000"/>
    <n v="0"/>
    <n v="0"/>
    <n v="0"/>
    <n v="0"/>
    <n v="4093010"/>
    <n v="281456"/>
    <n v="0"/>
    <n v="99.302199999999999"/>
    <n v="98.274000000000001"/>
    <n v="4.0073400000000001"/>
    <n v="0"/>
    <n v="0"/>
    <n v="1.60412"/>
    <n v="1.60412"/>
    <n v="0"/>
    <n v="1.17554"/>
    <n v="2.9635199999999999"/>
    <n v="205575000"/>
    <n v="0"/>
    <n v="0"/>
    <n v="0"/>
    <n v="0"/>
    <n v="4150250"/>
    <n v="135282"/>
    <n v="0"/>
    <n v="23"/>
    <x v="6"/>
    <n v="4.6599057984420412E-4"/>
    <n v="9.8305787362738166E-4"/>
  </r>
  <r>
    <n v="83.391099999999994"/>
    <n v="85.138999999999996"/>
    <n v="2.96793"/>
    <n v="0"/>
    <n v="0"/>
    <n v="2.73841"/>
    <n v="2.73841"/>
    <n v="0"/>
    <n v="0.513073"/>
    <n v="5.3222399999999999"/>
    <n v="11631500"/>
    <n v="0"/>
    <n v="0"/>
    <n v="0"/>
    <n v="0"/>
    <n v="4093850"/>
    <n v="281514"/>
    <n v="0"/>
    <n v="99.302199999999999"/>
    <n v="98.274000000000001"/>
    <n v="3.9304299999999999"/>
    <n v="0"/>
    <n v="0"/>
    <n v="1.6044499999999999"/>
    <n v="1.6044499999999999"/>
    <n v="0"/>
    <n v="1.23935"/>
    <n v="2.9635199999999999"/>
    <n v="205710000"/>
    <n v="0"/>
    <n v="0"/>
    <n v="0"/>
    <n v="0"/>
    <n v="4151100"/>
    <n v="135310"/>
    <n v="0"/>
    <n v="24"/>
    <x v="6"/>
    <n v="4.6599158996089775E-4"/>
    <n v="9.8305870251821112E-4"/>
  </r>
  <r>
    <n v="83.174499999999995"/>
    <n v="85.138999999999996"/>
    <n v="2.7526600000000001"/>
    <n v="0"/>
    <n v="0"/>
    <n v="2.7389700000000001"/>
    <n v="2.7389700000000001"/>
    <n v="0"/>
    <n v="0.51317800000000002"/>
    <n v="5.3222399999999999"/>
    <n v="11913100"/>
    <n v="0"/>
    <n v="0"/>
    <n v="0"/>
    <n v="0"/>
    <n v="4094690"/>
    <n v="281572"/>
    <n v="0"/>
    <n v="99.302199999999999"/>
    <n v="98.274000000000001"/>
    <n v="3.5752199999999998"/>
    <n v="0"/>
    <n v="0"/>
    <n v="1.6047800000000001"/>
    <n v="1.6047800000000001"/>
    <n v="0"/>
    <n v="1.2396"/>
    <n v="2.9635199999999999"/>
    <n v="205845000"/>
    <n v="0"/>
    <n v="0"/>
    <n v="0"/>
    <n v="0"/>
    <n v="4151950"/>
    <n v="135338"/>
    <n v="0"/>
    <n v="25"/>
    <x v="6"/>
    <n v="4.65992599664003E-4"/>
    <n v="9.8305953106895693E-4"/>
  </r>
  <r>
    <n v="82.919600000000003"/>
    <n v="85.138999999999996"/>
    <n v="2.7016"/>
    <n v="0"/>
    <n v="0"/>
    <n v="2.7395299999999998"/>
    <n v="2.7395299999999998"/>
    <n v="0"/>
    <n v="0.51328300000000004"/>
    <n v="5.3222399999999999"/>
    <n v="12194700"/>
    <n v="0"/>
    <n v="0"/>
    <n v="0"/>
    <n v="0"/>
    <n v="4095530"/>
    <n v="281629"/>
    <n v="0"/>
    <n v="99.302199999999999"/>
    <n v="98.274000000000001"/>
    <n v="3.5975199999999998"/>
    <n v="0"/>
    <n v="0"/>
    <n v="1.60511"/>
    <n v="1.60511"/>
    <n v="0"/>
    <n v="1.2398499999999999"/>
    <n v="2.9635199999999999"/>
    <n v="205981000"/>
    <n v="0"/>
    <n v="0"/>
    <n v="0"/>
    <n v="0"/>
    <n v="4152800"/>
    <n v="135365"/>
    <n v="0"/>
    <n v="26"/>
    <x v="6"/>
    <n v="4.65990166482186E-4"/>
    <n v="9.8305686867030794E-4"/>
  </r>
  <r>
    <n v="82.559399999999997"/>
    <n v="85.138999999999996"/>
    <n v="2.5867200000000001"/>
    <n v="0"/>
    <n v="0"/>
    <n v="2.7401"/>
    <n v="2.7401"/>
    <n v="0"/>
    <n v="0.51338899999999998"/>
    <n v="5.3222399999999999"/>
    <n v="12476400"/>
    <n v="0"/>
    <n v="0"/>
    <n v="0"/>
    <n v="0"/>
    <n v="4096370"/>
    <n v="281687"/>
    <n v="0"/>
    <n v="99.302199999999999"/>
    <n v="98.274000000000001"/>
    <n v="3.4502799999999998"/>
    <n v="0"/>
    <n v="0"/>
    <n v="1.60544"/>
    <n v="1.60544"/>
    <n v="0"/>
    <n v="1.24011"/>
    <n v="2.9635199999999999"/>
    <n v="206116000"/>
    <n v="0"/>
    <n v="0"/>
    <n v="0"/>
    <n v="0"/>
    <n v="4153660"/>
    <n v="135393"/>
    <n v="0"/>
    <n v="27"/>
    <x v="6"/>
    <n v="4.6599005418245513E-4"/>
    <n v="9.8305769725729711E-4"/>
  </r>
  <r>
    <n v="82.493499999999997"/>
    <n v="85.138999999999996"/>
    <n v="2.8495200000000001"/>
    <n v="0"/>
    <n v="0"/>
    <n v="2.71611"/>
    <n v="2.71611"/>
    <n v="0"/>
    <n v="0.51349400000000001"/>
    <n v="5.3222399999999999"/>
    <n v="12755600"/>
    <n v="0"/>
    <n v="0"/>
    <n v="0"/>
    <n v="0"/>
    <n v="4060520"/>
    <n v="279222"/>
    <n v="0"/>
    <n v="99.302199999999999"/>
    <n v="98.274000000000001"/>
    <n v="2.8354499999999998"/>
    <n v="0"/>
    <n v="0"/>
    <n v="1.6510400000000001"/>
    <n v="1.6510400000000001"/>
    <n v="0"/>
    <n v="1.2403599999999999"/>
    <n v="2.9635199999999999"/>
    <n v="206255000"/>
    <n v="0"/>
    <n v="0"/>
    <n v="0"/>
    <n v="0"/>
    <n v="4271630"/>
    <n v="139239"/>
    <n v="0"/>
    <n v="28"/>
    <x v="6"/>
    <n v="4.6599220075456107E-4"/>
    <n v="9.8305849389972362E-4"/>
  </r>
  <r>
    <n v="82.292599999999993"/>
    <n v="85.138999999999996"/>
    <n v="2.7109899999999998"/>
    <n v="0"/>
    <n v="0"/>
    <n v="2.7166700000000001"/>
    <n v="2.7166700000000001"/>
    <n v="0"/>
    <n v="0.50899899999999998"/>
    <n v="5.3222399999999999"/>
    <n v="13034900"/>
    <n v="0"/>
    <n v="0"/>
    <n v="0"/>
    <n v="0"/>
    <n v="4061350"/>
    <n v="279279"/>
    <n v="0"/>
    <n v="99.302199999999999"/>
    <n v="98.274000000000001"/>
    <n v="2.7304900000000001"/>
    <n v="0"/>
    <n v="0"/>
    <n v="1.6513800000000001"/>
    <n v="1.6513800000000001"/>
    <n v="0"/>
    <n v="1.27559"/>
    <n v="2.9635199999999999"/>
    <n v="206395000"/>
    <n v="0"/>
    <n v="0"/>
    <n v="0"/>
    <n v="0"/>
    <n v="4272500"/>
    <n v="139267"/>
    <n v="0"/>
    <n v="29"/>
    <x v="6"/>
    <n v="4.6599100049092573E-4"/>
    <n v="9.8305822983054021E-4"/>
  </r>
  <r>
    <n v="81.982600000000005"/>
    <n v="85.138999999999996"/>
    <n v="2.57172"/>
    <n v="0"/>
    <n v="0"/>
    <n v="2.7172299999999998"/>
    <n v="2.7172299999999998"/>
    <n v="0"/>
    <n v="0.509104"/>
    <n v="5.3222399999999999"/>
    <n v="13314300"/>
    <n v="0"/>
    <n v="0"/>
    <n v="0"/>
    <n v="0"/>
    <n v="4062190"/>
    <n v="279336"/>
    <n v="0"/>
    <n v="99.302199999999999"/>
    <n v="98.274000000000001"/>
    <n v="2.6596199999999999"/>
    <n v="0"/>
    <n v="0"/>
    <n v="1.6517200000000001"/>
    <n v="1.6517200000000001"/>
    <n v="0"/>
    <n v="1.2758499999999999"/>
    <n v="2.9635199999999999"/>
    <n v="206534000"/>
    <n v="0"/>
    <n v="0"/>
    <n v="0"/>
    <n v="0"/>
    <n v="4273380"/>
    <n v="139296"/>
    <n v="0"/>
    <n v="30"/>
    <x v="6"/>
    <n v="4.6599205560510991E-4"/>
    <n v="9.8305554584960904E-4"/>
  </r>
  <r>
    <n v="81.512699999999995"/>
    <n v="85.138999999999996"/>
    <n v="2.4091999999999998"/>
    <n v="0"/>
    <n v="0"/>
    <n v="2.7177799999999999"/>
    <n v="2.7177799999999999"/>
    <n v="0"/>
    <n v="0.50920799999999999"/>
    <n v="5.3222399999999999"/>
    <n v="13593600"/>
    <n v="0"/>
    <n v="0"/>
    <n v="0"/>
    <n v="0"/>
    <n v="4063020"/>
    <n v="279394"/>
    <n v="0"/>
    <n v="99.302199999999999"/>
    <n v="98.274000000000001"/>
    <n v="2.6747000000000001"/>
    <n v="0"/>
    <n v="0"/>
    <n v="1.65205"/>
    <n v="1.65205"/>
    <n v="0"/>
    <n v="1.2761199999999999"/>
    <n v="2.9635199999999999"/>
    <n v="206673000"/>
    <n v="0"/>
    <n v="0"/>
    <n v="0"/>
    <n v="0"/>
    <n v="4274260"/>
    <n v="139324"/>
    <n v="0"/>
    <n v="31"/>
    <x v="6"/>
    <n v="4.6598976563663399E-4"/>
    <n v="9.8305880103061074E-4"/>
  </r>
  <r>
    <n v="81.0505"/>
    <n v="85.138999999999996"/>
    <n v="2.4484499999999998"/>
    <n v="0"/>
    <n v="0"/>
    <n v="2.7817799999999999"/>
    <n v="2.7817799999999999"/>
    <n v="0"/>
    <n v="0.50931300000000002"/>
    <n v="5.3222399999999999"/>
    <n v="13879600"/>
    <n v="0"/>
    <n v="0"/>
    <n v="0"/>
    <n v="0"/>
    <n v="4158700"/>
    <n v="285973"/>
    <n v="0"/>
    <n v="99.302199999999999"/>
    <n v="98.274000000000001"/>
    <n v="2.3216100000000002"/>
    <n v="0"/>
    <n v="0"/>
    <n v="1.6927700000000001"/>
    <n v="1.6927700000000001"/>
    <n v="0"/>
    <n v="1.2763800000000001"/>
    <n v="2.9635199999999999"/>
    <n v="206816000"/>
    <n v="0"/>
    <n v="0"/>
    <n v="0"/>
    <n v="0"/>
    <n v="4379600"/>
    <n v="142758"/>
    <n v="0"/>
    <n v="32"/>
    <x v="6"/>
    <n v="4.6599084906560157E-4"/>
    <n v="9.830572702074923E-4"/>
  </r>
  <r>
    <n v="80.527799999999999"/>
    <n v="85.138999999999996"/>
    <n v="2.37893"/>
    <n v="0"/>
    <n v="0"/>
    <n v="2.7823500000000001"/>
    <n v="2.7823500000000001"/>
    <n v="0"/>
    <n v="0.52130600000000005"/>
    <n v="5.3222399999999999"/>
    <n v="14165700"/>
    <n v="0"/>
    <n v="0"/>
    <n v="0"/>
    <n v="0"/>
    <n v="4159550"/>
    <n v="286031"/>
    <n v="0"/>
    <n v="99.247600000000006"/>
    <n v="98.274000000000001"/>
    <n v="2.2835299999999998"/>
    <n v="0"/>
    <n v="0"/>
    <n v="1.69312"/>
    <n v="1.69312"/>
    <n v="0"/>
    <n v="1.30783"/>
    <n v="2.9635199999999999"/>
    <n v="206959000"/>
    <n v="0"/>
    <n v="0"/>
    <n v="0"/>
    <n v="0"/>
    <n v="4380500"/>
    <n v="142787"/>
    <n v="0"/>
    <n v="33"/>
    <x v="6"/>
    <n v="4.659897508394003E-4"/>
    <n v="9.8305572275377549E-4"/>
  </r>
  <r>
    <n v="79.863900000000001"/>
    <n v="85.138999999999996"/>
    <n v="2.2214399999999999"/>
    <n v="0"/>
    <n v="0"/>
    <n v="2.7829199999999998"/>
    <n v="2.7829199999999998"/>
    <n v="0"/>
    <n v="0.52141300000000002"/>
    <n v="5.3222399999999999"/>
    <n v="14451700"/>
    <n v="0"/>
    <n v="0"/>
    <n v="0"/>
    <n v="0"/>
    <n v="4160400"/>
    <n v="286090"/>
    <n v="0"/>
    <n v="99.068299999999994"/>
    <n v="98.274000000000001"/>
    <n v="2.1480999999999999"/>
    <n v="0"/>
    <n v="0"/>
    <n v="1.69347"/>
    <n v="1.69347"/>
    <n v="0"/>
    <n v="1.3081"/>
    <n v="2.9635199999999999"/>
    <n v="207102000"/>
    <n v="0"/>
    <n v="0"/>
    <n v="0"/>
    <n v="0"/>
    <n v="4381400"/>
    <n v="142817"/>
    <n v="0"/>
    <n v="34"/>
    <x v="6"/>
    <n v="4.659919159246558E-4"/>
    <n v="9.8305761211543241E-4"/>
  </r>
  <r>
    <n v="79.0321"/>
    <n v="85.138999999999996"/>
    <n v="2.0388700000000002"/>
    <n v="0"/>
    <n v="0"/>
    <n v="2.7835000000000001"/>
    <n v="2.7835000000000001"/>
    <n v="0"/>
    <n v="0.52151999999999998"/>
    <n v="5.3222399999999999"/>
    <n v="14737900"/>
    <n v="0"/>
    <n v="0"/>
    <n v="0"/>
    <n v="0"/>
    <n v="4161260"/>
    <n v="286149"/>
    <n v="0"/>
    <n v="98.982600000000005"/>
    <n v="98.274000000000001"/>
    <n v="2.0304600000000002"/>
    <n v="0"/>
    <n v="0"/>
    <n v="1.69381"/>
    <n v="1.69381"/>
    <n v="0"/>
    <n v="1.30837"/>
    <n v="2.9635199999999999"/>
    <n v="207244000"/>
    <n v="0"/>
    <n v="0"/>
    <n v="0"/>
    <n v="0"/>
    <n v="4382300"/>
    <n v="142846"/>
    <n v="0"/>
    <n v="35"/>
    <x v="6"/>
    <n v="4.6599081793044094E-4"/>
    <n v="9.830571382969638E-4"/>
  </r>
  <r>
    <n v="78.431399999999996"/>
    <n v="85.138999999999996"/>
    <n v="2.4138799999999998"/>
    <n v="0"/>
    <n v="0"/>
    <n v="2.97"/>
    <n v="2.97"/>
    <n v="0"/>
    <n v="0.52162699999999995"/>
    <n v="5.3222399999999999"/>
    <n v="15043200"/>
    <n v="0"/>
    <n v="0"/>
    <n v="0"/>
    <n v="0"/>
    <n v="4440080"/>
    <n v="305322"/>
    <n v="0"/>
    <n v="98.845200000000006"/>
    <n v="98.274000000000001"/>
    <n v="2.4619300000000002"/>
    <n v="0"/>
    <n v="0"/>
    <n v="1.84002"/>
    <n v="1.84002"/>
    <n v="0"/>
    <n v="1.30864"/>
    <n v="2.9635199999999999"/>
    <n v="207400000"/>
    <n v="0"/>
    <n v="0"/>
    <n v="0"/>
    <n v="0"/>
    <n v="4760570"/>
    <n v="155176"/>
    <n v="0"/>
    <n v="36"/>
    <x v="6"/>
    <n v="4.6599040854718328E-4"/>
    <n v="9.8305696327670011E-4"/>
  </r>
  <r>
    <n v="77.663300000000007"/>
    <n v="85.138999999999996"/>
    <n v="2.2373699999999999"/>
    <n v="0"/>
    <n v="0"/>
    <n v="2.9706100000000002"/>
    <n v="2.9706100000000002"/>
    <n v="0"/>
    <n v="0.55657900000000005"/>
    <n v="5.3222399999999999"/>
    <n v="15348600"/>
    <n v="0"/>
    <n v="0"/>
    <n v="0"/>
    <n v="0"/>
    <n v="4440990"/>
    <n v="305385"/>
    <n v="0"/>
    <n v="98.636200000000002"/>
    <n v="98.274000000000001"/>
    <n v="2.0259399999999999"/>
    <n v="0"/>
    <n v="0"/>
    <n v="1.8404"/>
    <n v="1.8404"/>
    <n v="0"/>
    <n v="1.4216"/>
    <n v="2.9635199999999999"/>
    <n v="207555000"/>
    <n v="0"/>
    <n v="0"/>
    <n v="0"/>
    <n v="0"/>
    <n v="4761550"/>
    <n v="155208"/>
    <n v="0"/>
    <n v="37"/>
    <x v="6"/>
    <n v="4.6599057615477694E-4"/>
    <n v="9.83058327749945E-4"/>
  </r>
  <r>
    <n v="77.037400000000005"/>
    <n v="85.138999999999996"/>
    <n v="2.4059200000000001"/>
    <n v="0"/>
    <n v="0"/>
    <n v="2.9712200000000002"/>
    <n v="2.9712200000000002"/>
    <n v="0"/>
    <n v="0.55669299999999999"/>
    <n v="5.3222399999999999"/>
    <n v="15654000"/>
    <n v="0"/>
    <n v="0"/>
    <n v="0"/>
    <n v="0"/>
    <n v="4441900"/>
    <n v="305447"/>
    <n v="0"/>
    <n v="98.354100000000003"/>
    <n v="98.274000000000001"/>
    <n v="2.4723899999999999"/>
    <n v="0"/>
    <n v="0"/>
    <n v="1.8407800000000001"/>
    <n v="1.8407800000000001"/>
    <n v="0"/>
    <n v="1.4218900000000001"/>
    <n v="2.9635199999999999"/>
    <n v="207710000"/>
    <n v="0"/>
    <n v="0"/>
    <n v="0"/>
    <n v="0"/>
    <n v="4762520"/>
    <n v="155240"/>
    <n v="0"/>
    <n v="38"/>
    <x v="6"/>
    <n v="4.6599172214753786E-4"/>
    <n v="9.8305647324497072E-4"/>
  </r>
  <r>
    <n v="76.014200000000002"/>
    <n v="85.138999999999996"/>
    <n v="1.9927600000000001"/>
    <n v="0"/>
    <n v="0"/>
    <n v="2.9718300000000002"/>
    <n v="2.9718300000000002"/>
    <n v="0"/>
    <n v="0.55680700000000005"/>
    <n v="5.3222399999999999"/>
    <n v="15959600"/>
    <n v="0"/>
    <n v="0"/>
    <n v="0"/>
    <n v="0"/>
    <n v="4442810"/>
    <n v="305510"/>
    <n v="0"/>
    <n v="98.148200000000003"/>
    <n v="98.274000000000001"/>
    <n v="1.7532099999999999"/>
    <n v="0"/>
    <n v="0"/>
    <n v="1.8411500000000001"/>
    <n v="1.8411500000000001"/>
    <n v="0"/>
    <n v="1.42218"/>
    <n v="2.9635199999999999"/>
    <n v="207865000"/>
    <n v="0"/>
    <n v="0"/>
    <n v="0"/>
    <n v="0"/>
    <n v="4763500"/>
    <n v="155272"/>
    <n v="0"/>
    <n v="39"/>
    <x v="6"/>
    <n v="4.6599188941627069E-4"/>
    <n v="9.8305783725962932E-4"/>
  </r>
  <r>
    <n v="75.634799999999998"/>
    <n v="85.138999999999996"/>
    <n v="2.63009"/>
    <n v="0"/>
    <n v="0"/>
    <n v="2.9724400000000002"/>
    <n v="2.9724400000000002"/>
    <n v="0"/>
    <n v="0.556921"/>
    <n v="5.3222399999999999"/>
    <n v="16265100"/>
    <n v="0"/>
    <n v="0"/>
    <n v="0"/>
    <n v="0"/>
    <n v="4443720"/>
    <n v="305573"/>
    <n v="0"/>
    <n v="98.326700000000002"/>
    <n v="98.274000000000001"/>
    <n v="3.44909"/>
    <n v="0"/>
    <n v="0"/>
    <n v="1.8415299999999999"/>
    <n v="1.8415299999999999"/>
    <n v="0"/>
    <n v="1.42248"/>
    <n v="2.9635199999999999"/>
    <n v="208021000"/>
    <n v="0"/>
    <n v="0"/>
    <n v="0"/>
    <n v="0"/>
    <n v="4764480"/>
    <n v="155304"/>
    <n v="0"/>
    <n v="40"/>
    <x v="6"/>
    <n v="4.65992056616193E-4"/>
    <n v="9.830592007156328E-4"/>
  </r>
  <r>
    <n v="74.793300000000002"/>
    <n v="85.138999999999996"/>
    <n v="2.1458599999999999"/>
    <n v="0"/>
    <n v="0"/>
    <n v="2.8823400000000001"/>
    <n v="2.8823400000000001"/>
    <n v="0"/>
    <n v="0.55703599999999998"/>
    <n v="5.3222399999999999"/>
    <n v="16561400"/>
    <n v="0"/>
    <n v="0"/>
    <n v="0"/>
    <n v="0"/>
    <n v="4309030"/>
    <n v="296310"/>
    <n v="0"/>
    <n v="98.235399999999998"/>
    <n v="98.274000000000001"/>
    <n v="2.5045299999999999"/>
    <n v="0"/>
    <n v="0"/>
    <n v="1.75329"/>
    <n v="1.75329"/>
    <n v="0"/>
    <n v="1.4227700000000001"/>
    <n v="2.9635199999999999"/>
    <n v="208168000"/>
    <n v="0"/>
    <n v="0"/>
    <n v="0"/>
    <n v="0"/>
    <n v="4536170"/>
    <n v="147862"/>
    <n v="0"/>
    <n v="41"/>
    <x v="6"/>
    <n v="4.6599218631615487E-4"/>
    <n v="9.830558029684756E-4"/>
  </r>
  <r>
    <n v="73.602400000000003"/>
    <n v="85.138999999999996"/>
    <n v="1.71757"/>
    <n v="0"/>
    <n v="0"/>
    <n v="2.88293"/>
    <n v="2.88293"/>
    <n v="0"/>
    <n v="0.54015100000000005"/>
    <n v="5.3222399999999999"/>
    <n v="16857800"/>
    <n v="0"/>
    <n v="0"/>
    <n v="0"/>
    <n v="0"/>
    <n v="4309910"/>
    <n v="296371"/>
    <n v="0"/>
    <n v="98.270200000000003"/>
    <n v="98.274000000000001"/>
    <n v="1.89131"/>
    <n v="0"/>
    <n v="0"/>
    <n v="1.7536499999999999"/>
    <n v="1.7536499999999999"/>
    <n v="0"/>
    <n v="1.35459"/>
    <n v="2.9635199999999999"/>
    <n v="208316000"/>
    <n v="0"/>
    <n v="0"/>
    <n v="0"/>
    <n v="0"/>
    <n v="4537100"/>
    <n v="147892"/>
    <n v="0"/>
    <n v="42"/>
    <x v="6"/>
    <n v="4.6599119540720861E-4"/>
    <n v="9.8305741797899437E-4"/>
  </r>
  <r>
    <n v="74.709100000000007"/>
    <n v="85.138999999999996"/>
    <n v="4.1111800000000001"/>
    <n v="0"/>
    <n v="0"/>
    <n v="2.8835199999999999"/>
    <n v="2.8835199999999999"/>
    <n v="0"/>
    <n v="0.54026099999999999"/>
    <n v="5.3222399999999999"/>
    <n v="17154200"/>
    <n v="0"/>
    <n v="0"/>
    <n v="0"/>
    <n v="0"/>
    <n v="4310790"/>
    <n v="296432"/>
    <n v="0"/>
    <n v="98.632900000000006"/>
    <n v="98.274000000000001"/>
    <n v="3.8686799999999999"/>
    <n v="0"/>
    <n v="0"/>
    <n v="1.7540100000000001"/>
    <n v="1.7540100000000001"/>
    <n v="0"/>
    <n v="1.35487"/>
    <n v="2.9635199999999999"/>
    <n v="208464000"/>
    <n v="0"/>
    <n v="0"/>
    <n v="0"/>
    <n v="0"/>
    <n v="4538030"/>
    <n v="147922"/>
    <n v="0"/>
    <n v="43"/>
    <x v="6"/>
    <n v="4.6599020490440578E-4"/>
    <n v="9.8305903233014062E-4"/>
  </r>
  <r>
    <n v="75.3416"/>
    <n v="85.138999999999996"/>
    <n v="3.7762099999999998"/>
    <n v="0"/>
    <n v="0"/>
    <n v="2.8841100000000002"/>
    <n v="2.8841100000000002"/>
    <n v="0"/>
    <n v="0.54037199999999996"/>
    <n v="5.3222399999999999"/>
    <n v="17450700"/>
    <n v="0"/>
    <n v="0"/>
    <n v="0"/>
    <n v="0"/>
    <n v="4311680"/>
    <n v="296493"/>
    <n v="0"/>
    <n v="99.108699999999999"/>
    <n v="98.274000000000001"/>
    <n v="3.33413"/>
    <n v="0"/>
    <n v="0"/>
    <n v="1.75437"/>
    <n v="1.75437"/>
    <n v="0"/>
    <n v="1.3551500000000001"/>
    <n v="2.9635199999999999"/>
    <n v="208612000"/>
    <n v="0"/>
    <n v="0"/>
    <n v="0"/>
    <n v="0"/>
    <n v="4538960"/>
    <n v="147953"/>
    <n v="0"/>
    <n v="44"/>
    <x v="6"/>
    <n v="4.6599236440476323E-4"/>
    <n v="9.8305836602786945E-4"/>
  </r>
  <r>
    <n v="75.034199999999998"/>
    <n v="85.138999999999996"/>
    <n v="2.77698"/>
    <n v="0"/>
    <n v="0"/>
    <n v="2.81019"/>
    <n v="2.81019"/>
    <n v="0"/>
    <n v="0.54048300000000005"/>
    <n v="5.3222399999999999"/>
    <n v="17739600"/>
    <n v="0"/>
    <n v="0"/>
    <n v="0"/>
    <n v="0"/>
    <n v="4201160"/>
    <n v="288893"/>
    <n v="0"/>
    <n v="99.3005"/>
    <n v="98.274000000000001"/>
    <n v="3.04853"/>
    <n v="0"/>
    <n v="0"/>
    <n v="1.6739900000000001"/>
    <n v="1.6739900000000001"/>
    <n v="0"/>
    <n v="1.3554200000000001"/>
    <n v="2.9635199999999999"/>
    <n v="208753000"/>
    <n v="0"/>
    <n v="0"/>
    <n v="0"/>
    <n v="0"/>
    <n v="4331010"/>
    <n v="141174"/>
    <n v="0"/>
    <n v="45"/>
    <x v="6"/>
    <n v="4.6599034019505328E-4"/>
    <n v="9.8305808061595551E-4"/>
  </r>
  <r>
    <n v="76.572900000000004"/>
    <n v="85.138999999999996"/>
    <n v="4.8285200000000001"/>
    <n v="0"/>
    <n v="0"/>
    <n v="2.8107600000000001"/>
    <n v="2.8107600000000001"/>
    <n v="0"/>
    <n v="0.52662900000000001"/>
    <n v="5.3222399999999999"/>
    <n v="18028600"/>
    <n v="0"/>
    <n v="0"/>
    <n v="0"/>
    <n v="0"/>
    <n v="4202020"/>
    <n v="288952"/>
    <n v="0"/>
    <n v="99.302199999999999"/>
    <n v="98.274000000000001"/>
    <n v="4.6093200000000003"/>
    <n v="0"/>
    <n v="0"/>
    <n v="1.6743399999999999"/>
    <n v="1.6743399999999999"/>
    <n v="0"/>
    <n v="1.2933300000000001"/>
    <n v="2.9635199999999999"/>
    <n v="208895000"/>
    <n v="0"/>
    <n v="0"/>
    <n v="0"/>
    <n v="0"/>
    <n v="4331900"/>
    <n v="141203"/>
    <n v="0"/>
    <n v="46"/>
    <x v="6"/>
    <n v="4.6599030547160884E-4"/>
    <n v="9.8305761129768702E-4"/>
  </r>
  <r>
    <n v="77.673900000000003"/>
    <n v="85.138999999999996"/>
    <n v="4.3591199999999999"/>
    <n v="0"/>
    <n v="0"/>
    <n v="2.81134"/>
    <n v="2.81134"/>
    <n v="0"/>
    <n v="0.52673700000000001"/>
    <n v="5.3222399999999999"/>
    <n v="18317600"/>
    <n v="0"/>
    <n v="0"/>
    <n v="0"/>
    <n v="0"/>
    <n v="4202880"/>
    <n v="289011"/>
    <n v="0"/>
    <n v="99.302199999999999"/>
    <n v="98.274000000000001"/>
    <n v="4.9055099999999996"/>
    <n v="0"/>
    <n v="0"/>
    <n v="1.6746799999999999"/>
    <n v="1.6746799999999999"/>
    <n v="0"/>
    <n v="1.29359"/>
    <n v="2.9635199999999999"/>
    <n v="209036000"/>
    <n v="0"/>
    <n v="0"/>
    <n v="0"/>
    <n v="0"/>
    <n v="4332790"/>
    <n v="141232"/>
    <n v="0"/>
    <n v="47"/>
    <x v="6"/>
    <n v="4.6599027076242941E-4"/>
    <n v="9.8305714217148364E-4"/>
  </r>
  <r>
    <n v="78.326599999999999"/>
    <n v="85.138999999999996"/>
    <n v="3.9208599999999998"/>
    <n v="0"/>
    <n v="0"/>
    <n v="2.8119200000000002"/>
    <n v="2.8119200000000002"/>
    <n v="0"/>
    <n v="0.52684500000000001"/>
    <n v="5.3222399999999999"/>
    <n v="18606700"/>
    <n v="0"/>
    <n v="0"/>
    <n v="0"/>
    <n v="0"/>
    <n v="4203750"/>
    <n v="289071"/>
    <n v="0"/>
    <n v="99.302199999999999"/>
    <n v="98.274000000000001"/>
    <n v="4.0733899999999998"/>
    <n v="0"/>
    <n v="0"/>
    <n v="1.67502"/>
    <n v="1.67502"/>
    <n v="0"/>
    <n v="1.29386"/>
    <n v="2.9635199999999999"/>
    <n v="209177000"/>
    <n v="0"/>
    <n v="0"/>
    <n v="0"/>
    <n v="0"/>
    <n v="4333680"/>
    <n v="141261"/>
    <n v="0"/>
    <n v="48"/>
    <x v="6"/>
    <n v="4.6599023606750631E-4"/>
    <n v="9.8305773546244969E-4"/>
  </r>
  <r>
    <n v="79.575900000000004"/>
    <n v="85.138999999999996"/>
    <n v="4.4470000000000001"/>
    <n v="0"/>
    <n v="0"/>
    <n v="2.6006800000000001"/>
    <n v="2.6006800000000001"/>
    <n v="0"/>
    <n v="0.526953"/>
    <n v="5.3222399999999999"/>
    <n v="18874000"/>
    <n v="0"/>
    <n v="0"/>
    <n v="0"/>
    <n v="0"/>
    <n v="3887950"/>
    <n v="267355"/>
    <n v="0"/>
    <n v="99.302199999999999"/>
    <n v="98.274000000000001"/>
    <n v="4.0524399999999998"/>
    <n v="0"/>
    <n v="0"/>
    <n v="1.50708"/>
    <n v="1.50708"/>
    <n v="0"/>
    <n v="1.2941199999999999"/>
    <n v="2.9635199999999999"/>
    <n v="209304000"/>
    <n v="0"/>
    <n v="0"/>
    <n v="0"/>
    <n v="0"/>
    <n v="3899180"/>
    <n v="127098"/>
    <n v="0"/>
    <n v="49"/>
    <x v="6"/>
    <n v="4.6599023154975301E-4"/>
    <n v="9.8305772391655069E-4"/>
  </r>
  <r>
    <n v="82.561899999999994"/>
    <n v="85.138999999999996"/>
    <n v="6.3039800000000001"/>
    <n v="0"/>
    <n v="0"/>
    <n v="2.6012200000000001"/>
    <n v="2.6012200000000001"/>
    <n v="0"/>
    <n v="0.48736800000000002"/>
    <n v="5.3222399999999999"/>
    <n v="19141400"/>
    <n v="0"/>
    <n v="0"/>
    <n v="0"/>
    <n v="0"/>
    <n v="3888750"/>
    <n v="267410"/>
    <n v="0"/>
    <n v="99.302199999999999"/>
    <n v="98.274000000000001"/>
    <n v="5.1826699999999999"/>
    <n v="0"/>
    <n v="0"/>
    <n v="1.50739"/>
    <n v="1.50739"/>
    <n v="0"/>
    <n v="1.1643699999999999"/>
    <n v="2.9635199999999999"/>
    <n v="209431000"/>
    <n v="0"/>
    <n v="0"/>
    <n v="0"/>
    <n v="0"/>
    <n v="3899980"/>
    <n v="127124"/>
    <n v="0"/>
    <n v="50"/>
    <x v="6"/>
    <n v="4.6598994978190171E-4"/>
    <n v="9.8305767971247626E-4"/>
  </r>
  <r>
    <n v="85.138999999999996"/>
    <n v="85.138999999999996"/>
    <n v="6.2554400000000001"/>
    <n v="0"/>
    <n v="0"/>
    <n v="2.60175"/>
    <n v="2.60175"/>
    <n v="0"/>
    <n v="0.48746800000000001"/>
    <n v="5.3222399999999999"/>
    <n v="19408900"/>
    <n v="0"/>
    <n v="0"/>
    <n v="0"/>
    <n v="0"/>
    <n v="3889550"/>
    <n v="267465"/>
    <n v="0"/>
    <n v="99.302199999999999"/>
    <n v="98.274000000000001"/>
    <n v="4.7763499999999999"/>
    <n v="0"/>
    <n v="0"/>
    <n v="1.5077"/>
    <n v="1.5077"/>
    <n v="0"/>
    <n v="1.1646099999999999"/>
    <n v="2.9635199999999999"/>
    <n v="209558000"/>
    <n v="0"/>
    <n v="0"/>
    <n v="0"/>
    <n v="0"/>
    <n v="3900780"/>
    <n v="127150"/>
    <n v="0"/>
    <n v="51"/>
    <x v="6"/>
    <n v="4.6598966812962426E-4"/>
    <n v="9.8305763552658586E-4"/>
  </r>
  <r>
    <n v="85.138999999999996"/>
    <n v="85.138999999999996"/>
    <n v="6.61219"/>
    <n v="0"/>
    <n v="0"/>
    <n v="2.6022799999999999"/>
    <n v="2.6022799999999999"/>
    <n v="0"/>
    <n v="0.487568"/>
    <n v="5.3222399999999999"/>
    <n v="19676400"/>
    <n v="0"/>
    <n v="0"/>
    <n v="0"/>
    <n v="0"/>
    <n v="3890350"/>
    <n v="267520"/>
    <n v="0"/>
    <n v="99.302199999999999"/>
    <n v="98.274000000000001"/>
    <n v="6.35731"/>
    <n v="0"/>
    <n v="0"/>
    <n v="1.5080100000000001"/>
    <n v="1.5080100000000001"/>
    <n v="0"/>
    <n v="1.1648499999999999"/>
    <n v="2.9635199999999999"/>
    <n v="209686000"/>
    <n v="0"/>
    <n v="0"/>
    <n v="0"/>
    <n v="0"/>
    <n v="3901580"/>
    <n v="127176"/>
    <n v="0"/>
    <n v="52"/>
    <x v="6"/>
    <n v="4.6598938659284979E-4"/>
    <n v="9.8305759135886754E-4"/>
  </r>
  <r>
    <n v="85.138999999999996"/>
    <n v="85.138999999999996"/>
    <n v="4.9903000000000004"/>
    <n v="0"/>
    <n v="0"/>
    <n v="2.6028199999999999"/>
    <n v="2.6028199999999999"/>
    <n v="0"/>
    <n v="0.48766799999999999"/>
    <n v="5.3222399999999999"/>
    <n v="19944000"/>
    <n v="0"/>
    <n v="0"/>
    <n v="0"/>
    <n v="0"/>
    <n v="3891150"/>
    <n v="267575"/>
    <n v="0"/>
    <n v="99.302199999999999"/>
    <n v="98.274000000000001"/>
    <n v="4.3507800000000003"/>
    <n v="0"/>
    <n v="0"/>
    <n v="1.5083200000000001"/>
    <n v="1.5083200000000001"/>
    <n v="0"/>
    <n v="1.16509"/>
    <n v="2.9635199999999999"/>
    <n v="209813000"/>
    <n v="0"/>
    <n v="0"/>
    <n v="0"/>
    <n v="0"/>
    <n v="3902380"/>
    <n v="127202"/>
    <n v="0"/>
    <n v="1"/>
    <x v="7"/>
    <n v="2.3179671627922077E-4"/>
    <n v="4.8900180031624576E-4"/>
  </r>
  <r>
    <n v="85.138999999999996"/>
    <n v="85.138999999999996"/>
    <n v="6.0231500000000002"/>
    <n v="0"/>
    <n v="0"/>
    <n v="2.6848999999999998"/>
    <n v="2.6848999999999998"/>
    <n v="0"/>
    <n v="0.48776799999999998"/>
    <n v="5.3222399999999999"/>
    <n v="20220000"/>
    <n v="0"/>
    <n v="0"/>
    <n v="0"/>
    <n v="29016000"/>
    <n v="4013850"/>
    <n v="276013"/>
    <n v="0"/>
    <n v="99.302199999999999"/>
    <n v="98.274000000000001"/>
    <n v="4.3513299999999999"/>
    <n v="0"/>
    <n v="0"/>
    <n v="1.5573999999999999"/>
    <n v="1.5573999999999999"/>
    <n v="0"/>
    <n v="1.16533"/>
    <n v="2.9635199999999999"/>
    <n v="209944000"/>
    <n v="0"/>
    <n v="0"/>
    <n v="0"/>
    <n v="7883220"/>
    <n v="4029370"/>
    <n v="131342"/>
    <n v="0"/>
    <n v="2"/>
    <x v="7"/>
    <n v="1.4144432939315887E-2"/>
    <n v="5.1895652433595001E-2"/>
  </r>
  <r>
    <n v="85.138999999999996"/>
    <n v="85.138999999999996"/>
    <n v="5.4754399999999999"/>
    <n v="0"/>
    <n v="0"/>
    <n v="2.6854300000000002"/>
    <n v="2.6854300000000002"/>
    <n v="0"/>
    <n v="0.50314999999999999"/>
    <n v="5.3222399999999999"/>
    <n v="20496100"/>
    <n v="0"/>
    <n v="0"/>
    <n v="0"/>
    <n v="0"/>
    <n v="4014640"/>
    <n v="276067"/>
    <n v="0"/>
    <n v="99.302199999999999"/>
    <n v="98.274000000000001"/>
    <n v="3.9693000000000001"/>
    <n v="0"/>
    <n v="0"/>
    <n v="1.5577099999999999"/>
    <n v="1.5577099999999999"/>
    <n v="0"/>
    <n v="1.2032499999999999"/>
    <n v="2.9635199999999999"/>
    <n v="210076000"/>
    <n v="0"/>
    <n v="0"/>
    <n v="0"/>
    <n v="0"/>
    <n v="4030160"/>
    <n v="131368"/>
    <n v="0"/>
    <n v="3"/>
    <x v="7"/>
    <n v="2.3179827329731999E-4"/>
    <n v="4.8900216860942741E-4"/>
  </r>
  <r>
    <n v="85.138999999999996"/>
    <n v="85.138999999999996"/>
    <n v="5.3705999999999996"/>
    <n v="0"/>
    <n v="0"/>
    <n v="2.6859600000000001"/>
    <n v="2.6859600000000001"/>
    <n v="0"/>
    <n v="0.50324899999999995"/>
    <n v="5.3222399999999999"/>
    <n v="20772200"/>
    <n v="0"/>
    <n v="0"/>
    <n v="0"/>
    <n v="0"/>
    <n v="4015430"/>
    <n v="276121"/>
    <n v="0"/>
    <n v="99.302199999999999"/>
    <n v="98.274000000000001"/>
    <n v="4.0476900000000002"/>
    <n v="0"/>
    <n v="0"/>
    <n v="1.55802"/>
    <n v="1.55802"/>
    <n v="0"/>
    <n v="1.2034899999999999"/>
    <n v="2.9635199999999999"/>
    <n v="210207000"/>
    <n v="0"/>
    <n v="0"/>
    <n v="0"/>
    <n v="0"/>
    <n v="4030960"/>
    <n v="131394"/>
    <n v="0"/>
    <n v="4"/>
    <x v="7"/>
    <n v="2.3179813749414874E-4"/>
    <n v="4.8900159409807659E-4"/>
  </r>
  <r>
    <n v="85.138999999999996"/>
    <n v="85.138999999999996"/>
    <n v="5.3649100000000001"/>
    <n v="0"/>
    <n v="0"/>
    <n v="2.68648"/>
    <n v="2.68648"/>
    <n v="0"/>
    <n v="0.50334800000000002"/>
    <n v="5.3222399999999999"/>
    <n v="21048400"/>
    <n v="0"/>
    <n v="0"/>
    <n v="0"/>
    <n v="0"/>
    <n v="4016230"/>
    <n v="276176"/>
    <n v="0"/>
    <n v="99.302199999999999"/>
    <n v="98.274000000000001"/>
    <n v="3.9008400000000001"/>
    <n v="0"/>
    <n v="0"/>
    <n v="1.5583199999999999"/>
    <n v="1.5583199999999999"/>
    <n v="0"/>
    <n v="1.2037199999999999"/>
    <n v="2.9635199999999999"/>
    <n v="210338000"/>
    <n v="0"/>
    <n v="0"/>
    <n v="0"/>
    <n v="0"/>
    <n v="4031750"/>
    <n v="131420"/>
    <n v="0"/>
    <n v="5"/>
    <x v="7"/>
    <n v="2.3179857667635656E-4"/>
    <n v="4.8900157286619163E-4"/>
  </r>
  <r>
    <n v="85.138999999999996"/>
    <n v="85.138999999999996"/>
    <n v="5.8098000000000001"/>
    <n v="0"/>
    <n v="0"/>
    <n v="2.9491000000000001"/>
    <n v="2.9491000000000001"/>
    <n v="0"/>
    <n v="0.50344699999999998"/>
    <n v="5.3222399999999999"/>
    <n v="21351500"/>
    <n v="0"/>
    <n v="0"/>
    <n v="0"/>
    <n v="0"/>
    <n v="4408830"/>
    <n v="303173"/>
    <n v="0"/>
    <n v="99.302199999999999"/>
    <n v="98.274000000000001"/>
    <n v="4.7312700000000003"/>
    <n v="0"/>
    <n v="0"/>
    <n v="1.7418899999999999"/>
    <n v="1.7418899999999999"/>
    <n v="0"/>
    <n v="1.2039599999999999"/>
    <n v="2.9635199999999999"/>
    <n v="210485000"/>
    <n v="0"/>
    <n v="0"/>
    <n v="0"/>
    <n v="0"/>
    <n v="4506690"/>
    <n v="146901"/>
    <n v="0"/>
    <n v="6"/>
    <x v="7"/>
    <n v="2.3179814888535488E-4"/>
    <n v="4.8900135748852552E-4"/>
  </r>
  <r>
    <n v="85.138999999999996"/>
    <n v="85.138999999999996"/>
    <n v="6.9598699999999996"/>
    <n v="0"/>
    <n v="0"/>
    <n v="2.9496799999999999"/>
    <n v="2.9496799999999999"/>
    <n v="0"/>
    <n v="0.55266099999999996"/>
    <n v="5.3222399999999999"/>
    <n v="21654800"/>
    <n v="0"/>
    <n v="0"/>
    <n v="0"/>
    <n v="0"/>
    <n v="4409700"/>
    <n v="303233"/>
    <n v="0"/>
    <n v="99.302199999999999"/>
    <n v="98.274000000000001"/>
    <n v="4.3904699999999997"/>
    <n v="0"/>
    <n v="0"/>
    <n v="1.7422299999999999"/>
    <n v="1.7422299999999999"/>
    <n v="0"/>
    <n v="1.34579"/>
    <n v="2.9635199999999999"/>
    <n v="210632000"/>
    <n v="0"/>
    <n v="0"/>
    <n v="0"/>
    <n v="0"/>
    <n v="4507580"/>
    <n v="146930"/>
    <n v="0"/>
    <n v="7"/>
    <x v="7"/>
    <n v="2.3179813212450995E-4"/>
    <n v="4.8900163887329452E-4"/>
  </r>
  <r>
    <n v="85.138999999999996"/>
    <n v="85.138999999999996"/>
    <n v="5.0958500000000004"/>
    <n v="0"/>
    <n v="0"/>
    <n v="2.9502600000000001"/>
    <n v="2.9502600000000001"/>
    <n v="0"/>
    <n v="0.55276999999999998"/>
    <n v="5.3222399999999999"/>
    <n v="21958100"/>
    <n v="0"/>
    <n v="0"/>
    <n v="0"/>
    <n v="0"/>
    <n v="4410570"/>
    <n v="303293"/>
    <n v="0"/>
    <n v="99.302199999999999"/>
    <n v="98.274000000000001"/>
    <n v="3.9279099999999998"/>
    <n v="0"/>
    <n v="0"/>
    <n v="1.74258"/>
    <n v="1.74258"/>
    <n v="0"/>
    <n v="1.34605"/>
    <n v="2.9635199999999999"/>
    <n v="210779000"/>
    <n v="0"/>
    <n v="0"/>
    <n v="0"/>
    <n v="0"/>
    <n v="4508460"/>
    <n v="146959"/>
    <n v="0"/>
    <n v="8"/>
    <x v="7"/>
    <n v="2.3179862951062152E-4"/>
    <n v="4.8900192014705531E-4"/>
  </r>
  <r>
    <n v="85.138999999999996"/>
    <n v="85.138999999999996"/>
    <n v="7.5218699999999998"/>
    <n v="0"/>
    <n v="0"/>
    <n v="2.9508399999999999"/>
    <n v="2.9508399999999999"/>
    <n v="0"/>
    <n v="0.55287900000000001"/>
    <n v="5.3222399999999999"/>
    <n v="22261400"/>
    <n v="0"/>
    <n v="0"/>
    <n v="0"/>
    <n v="0"/>
    <n v="4411440"/>
    <n v="303352"/>
    <n v="0"/>
    <n v="99.302199999999999"/>
    <n v="98.274000000000001"/>
    <n v="4.5452000000000004"/>
    <n v="0"/>
    <n v="0"/>
    <n v="1.74292"/>
    <n v="1.74292"/>
    <n v="0"/>
    <n v="1.34632"/>
    <n v="2.9635199999999999"/>
    <n v="210926000"/>
    <n v="0"/>
    <n v="0"/>
    <n v="0"/>
    <n v="0"/>
    <n v="4509350"/>
    <n v="146987"/>
    <n v="0"/>
    <n v="9"/>
    <x v="7"/>
    <n v="2.3179703567145107E-4"/>
    <n v="4.8900058931921806E-4"/>
  </r>
  <r>
    <n v="85.138999999999996"/>
    <n v="85.138999999999996"/>
    <n v="7.4458900000000003"/>
    <n v="0"/>
    <n v="0"/>
    <n v="2.5773100000000002"/>
    <n v="2.5773100000000002"/>
    <n v="0"/>
    <n v="0.55298800000000004"/>
    <n v="5.3222399999999999"/>
    <n v="22526400"/>
    <n v="0"/>
    <n v="0"/>
    <n v="0"/>
    <n v="0"/>
    <n v="3853020"/>
    <n v="264953"/>
    <n v="0"/>
    <n v="99.302199999999999"/>
    <n v="98.274000000000001"/>
    <n v="5.1105099999999997"/>
    <n v="0"/>
    <n v="0"/>
    <n v="1.4971300000000001"/>
    <n v="1.4971300000000001"/>
    <n v="0"/>
    <n v="1.3465800000000001"/>
    <n v="2.9635199999999999"/>
    <n v="211052000"/>
    <n v="0"/>
    <n v="0"/>
    <n v="0"/>
    <n v="0"/>
    <n v="3873440"/>
    <n v="126259"/>
    <n v="0"/>
    <n v="10"/>
    <x v="7"/>
    <n v="2.3179731918392504E-4"/>
    <n v="4.8900181902783468E-4"/>
  </r>
  <r>
    <n v="85.138999999999996"/>
    <n v="85.138999999999996"/>
    <n v="6.5424899999999999"/>
    <n v="0"/>
    <n v="0"/>
    <n v="2.57782"/>
    <n v="2.57782"/>
    <n v="0"/>
    <n v="0.48298799999999997"/>
    <n v="5.3222399999999999"/>
    <n v="22791400"/>
    <n v="0"/>
    <n v="0"/>
    <n v="0"/>
    <n v="0"/>
    <n v="3853780"/>
    <n v="265005"/>
    <n v="0"/>
    <n v="99.302199999999999"/>
    <n v="98.274000000000001"/>
    <n v="8.1172900000000006"/>
    <n v="0"/>
    <n v="0"/>
    <n v="1.49743"/>
    <n v="1.49743"/>
    <n v="0"/>
    <n v="1.1566799999999999"/>
    <n v="2.9635199999999999"/>
    <n v="211179000"/>
    <n v="0"/>
    <n v="0"/>
    <n v="0"/>
    <n v="0"/>
    <n v="3874200"/>
    <n v="126284"/>
    <n v="0"/>
    <n v="11"/>
    <x v="7"/>
    <n v="2.3179773579609008E-4"/>
    <n v="4.8900133664962742E-4"/>
  </r>
  <r>
    <n v="85.138999999999996"/>
    <n v="85.138999999999996"/>
    <n v="5.8551399999999996"/>
    <n v="0"/>
    <n v="0"/>
    <n v="2.5783299999999998"/>
    <n v="2.5783299999999998"/>
    <n v="0"/>
    <n v="0.48308400000000001"/>
    <n v="5.3222399999999999"/>
    <n v="23056400"/>
    <n v="0"/>
    <n v="0"/>
    <n v="0"/>
    <n v="0"/>
    <n v="3854540"/>
    <n v="265057"/>
    <n v="0"/>
    <n v="99.302199999999999"/>
    <n v="98.274000000000001"/>
    <n v="5.9649799999999997"/>
    <n v="0"/>
    <n v="0"/>
    <n v="1.4977199999999999"/>
    <n v="1.4977199999999999"/>
    <n v="0"/>
    <n v="1.1569100000000001"/>
    <n v="2.9635199999999999"/>
    <n v="211305000"/>
    <n v="0"/>
    <n v="0"/>
    <n v="0"/>
    <n v="0"/>
    <n v="3874960"/>
    <n v="126309"/>
    <n v="0"/>
    <n v="12"/>
    <x v="7"/>
    <n v="2.3179815224483392E-4"/>
    <n v="4.8900085446164127E-4"/>
  </r>
  <r>
    <n v="85.138999999999996"/>
    <n v="85.138999999999996"/>
    <n v="8.4366299999999992"/>
    <n v="0"/>
    <n v="0"/>
    <n v="2.57884"/>
    <n v="2.57884"/>
    <n v="0"/>
    <n v="0.48317900000000003"/>
    <n v="5.3222399999999999"/>
    <n v="23321500"/>
    <n v="0"/>
    <n v="0"/>
    <n v="0"/>
    <n v="0"/>
    <n v="3855300"/>
    <n v="265109"/>
    <n v="0"/>
    <n v="99.302199999999999"/>
    <n v="98.274000000000001"/>
    <n v="10.1503"/>
    <n v="0"/>
    <n v="0"/>
    <n v="1.4980199999999999"/>
    <n v="1.4980199999999999"/>
    <n v="0"/>
    <n v="1.1571400000000001"/>
    <n v="2.9635199999999999"/>
    <n v="211431000"/>
    <n v="0"/>
    <n v="0"/>
    <n v="0"/>
    <n v="0"/>
    <n v="3875730"/>
    <n v="126334"/>
    <n v="0"/>
    <n v="13"/>
    <x v="7"/>
    <n v="2.3179797045306852E-4"/>
    <n v="4.8900037246376368E-4"/>
  </r>
  <r>
    <n v="85.138999999999996"/>
    <n v="85.138999999999996"/>
    <n v="9.7631200000000007"/>
    <n v="0"/>
    <n v="0"/>
    <n v="2.5793400000000002"/>
    <n v="2.5793400000000002"/>
    <n v="0"/>
    <n v="0.48327399999999998"/>
    <n v="5.3222399999999999"/>
    <n v="23586700"/>
    <n v="0"/>
    <n v="0"/>
    <n v="0"/>
    <n v="0"/>
    <n v="3856060"/>
    <n v="265162"/>
    <n v="0"/>
    <n v="99.302199999999999"/>
    <n v="98.274000000000001"/>
    <n v="11.2171"/>
    <n v="0"/>
    <n v="0"/>
    <n v="1.49831"/>
    <n v="1.49831"/>
    <n v="0"/>
    <n v="1.15737"/>
    <n v="2.9635199999999999"/>
    <n v="211558000"/>
    <n v="0"/>
    <n v="0"/>
    <n v="0"/>
    <n v="0"/>
    <n v="3876490"/>
    <n v="126359"/>
    <n v="0"/>
    <n v="14"/>
    <x v="7"/>
    <n v="2.3179838669144015E-4"/>
    <n v="4.8900173481807301E-4"/>
  </r>
  <r>
    <n v="85.138999999999996"/>
    <n v="85.138999999999996"/>
    <n v="4.9817499999999999"/>
    <n v="0"/>
    <n v="0"/>
    <n v="2.6741199999999998"/>
    <n v="2.6741199999999998"/>
    <n v="0"/>
    <n v="0.48336899999999999"/>
    <n v="5.3222399999999999"/>
    <n v="23861600"/>
    <n v="0"/>
    <n v="0"/>
    <n v="0"/>
    <n v="0"/>
    <n v="3997730"/>
    <n v="274904"/>
    <n v="0"/>
    <n v="99.302199999999999"/>
    <n v="98.274000000000001"/>
    <n v="5.0798199999999998"/>
    <n v="0"/>
    <n v="0"/>
    <n v="1.55888"/>
    <n v="1.55888"/>
    <n v="0"/>
    <n v="1.1576"/>
    <n v="2.9635199999999999"/>
    <n v="211689000"/>
    <n v="0"/>
    <n v="0"/>
    <n v="0"/>
    <n v="0"/>
    <n v="4033190"/>
    <n v="131467"/>
    <n v="0"/>
    <n v="15"/>
    <x v="7"/>
    <n v="2.3179868489150974E-4"/>
    <n v="4.8900184367619843E-4"/>
  </r>
  <r>
    <n v="85.138999999999996"/>
    <n v="85.138999999999996"/>
    <n v="5.3291399999999998"/>
    <n v="0"/>
    <n v="0"/>
    <n v="2.6746400000000001"/>
    <n v="2.6746400000000001"/>
    <n v="0"/>
    <n v="0.50112900000000005"/>
    <n v="5.3222399999999999"/>
    <n v="24136600"/>
    <n v="0"/>
    <n v="0"/>
    <n v="0"/>
    <n v="0"/>
    <n v="3998520"/>
    <n v="274958"/>
    <n v="0"/>
    <n v="99.302199999999999"/>
    <n v="98.274000000000001"/>
    <n v="6.3766100000000003"/>
    <n v="0"/>
    <n v="0"/>
    <n v="1.5591900000000001"/>
    <n v="1.5591900000000001"/>
    <n v="0"/>
    <n v="1.2043900000000001"/>
    <n v="2.9635199999999999"/>
    <n v="211821000"/>
    <n v="0"/>
    <n v="0"/>
    <n v="0"/>
    <n v="0"/>
    <n v="4033990"/>
    <n v="131492"/>
    <n v="0"/>
    <n v="16"/>
    <x v="7"/>
    <n v="2.3179678628826986E-4"/>
    <n v="4.8900126679939993E-4"/>
  </r>
  <r>
    <n v="85.138999999999996"/>
    <n v="85.138999999999996"/>
    <n v="3.8121399999999999"/>
    <n v="0"/>
    <n v="0"/>
    <n v="2.67517"/>
    <n v="2.67517"/>
    <n v="0"/>
    <n v="0.50122800000000001"/>
    <n v="5.3222399999999999"/>
    <n v="24411600"/>
    <n v="0"/>
    <n v="0"/>
    <n v="0"/>
    <n v="0"/>
    <n v="3999310"/>
    <n v="275013"/>
    <n v="0"/>
    <n v="99.302199999999999"/>
    <n v="98.274000000000001"/>
    <n v="3.9962200000000001"/>
    <n v="0"/>
    <n v="0"/>
    <n v="1.55949"/>
    <n v="1.55949"/>
    <n v="0"/>
    <n v="1.2046300000000001"/>
    <n v="2.9635199999999999"/>
    <n v="211952000"/>
    <n v="0"/>
    <n v="0"/>
    <n v="0"/>
    <n v="0"/>
    <n v="4034780"/>
    <n v="131518"/>
    <n v="0"/>
    <n v="17"/>
    <x v="7"/>
    <n v="2.3179722540522766E-4"/>
    <n v="4.8900246825724482E-4"/>
  </r>
  <r>
    <n v="85.138999999999996"/>
    <n v="85.138999999999996"/>
    <n v="3.57497"/>
    <n v="0"/>
    <n v="0"/>
    <n v="2.6757"/>
    <n v="2.6757"/>
    <n v="0"/>
    <n v="0.50132699999999997"/>
    <n v="5.3222399999999999"/>
    <n v="24686600"/>
    <n v="0"/>
    <n v="0"/>
    <n v="0"/>
    <n v="0"/>
    <n v="4000100"/>
    <n v="275067"/>
    <n v="0"/>
    <n v="99.302199999999999"/>
    <n v="98.274000000000001"/>
    <n v="4.2544700000000004"/>
    <n v="0"/>
    <n v="0"/>
    <n v="1.5598000000000001"/>
    <n v="1.5598000000000001"/>
    <n v="0"/>
    <n v="1.2048700000000001"/>
    <n v="2.9635199999999999"/>
    <n v="212084000"/>
    <n v="0"/>
    <n v="0"/>
    <n v="0"/>
    <n v="0"/>
    <n v="4035580"/>
    <n v="131544"/>
    <n v="0"/>
    <n v="18"/>
    <x v="7"/>
    <n v="2.3179708996525685E-4"/>
    <n v="4.8900189148495528E-4"/>
  </r>
  <r>
    <n v="85.138999999999996"/>
    <n v="85.138999999999996"/>
    <n v="4.0952099999999998"/>
    <n v="0"/>
    <n v="0"/>
    <n v="2.6393399999999998"/>
    <n v="2.6393399999999998"/>
    <n v="0"/>
    <n v="0.50142600000000004"/>
    <n v="5.3222399999999999"/>
    <n v="24958000"/>
    <n v="0"/>
    <n v="0"/>
    <n v="0"/>
    <n v="0"/>
    <n v="3945740"/>
    <n v="271329"/>
    <n v="0"/>
    <n v="99.302199999999999"/>
    <n v="98.274000000000001"/>
    <n v="4.1354600000000001"/>
    <n v="0"/>
    <n v="0"/>
    <n v="1.53668"/>
    <n v="1.53668"/>
    <n v="0"/>
    <n v="1.2051000000000001"/>
    <n v="2.9635199999999999"/>
    <n v="212213000"/>
    <n v="0"/>
    <n v="0"/>
    <n v="0"/>
    <n v="0"/>
    <n v="3975760"/>
    <n v="129594"/>
    <n v="0"/>
    <n v="19"/>
    <x v="7"/>
    <n v="2.3179690429263479E-4"/>
    <n v="4.8900201237669536E-4"/>
  </r>
  <r>
    <n v="85.138999999999996"/>
    <n v="85.138999999999996"/>
    <n v="3.4403299999999999"/>
    <n v="0"/>
    <n v="0"/>
    <n v="2.6398600000000001"/>
    <n v="2.6398600000000001"/>
    <n v="0"/>
    <n v="0.494612"/>
    <n v="5.3222399999999999"/>
    <n v="25229400"/>
    <n v="0"/>
    <n v="0"/>
    <n v="0"/>
    <n v="0"/>
    <n v="3946520"/>
    <n v="271383"/>
    <n v="0"/>
    <n v="99.302199999999999"/>
    <n v="98.274000000000001"/>
    <n v="3.3286600000000002"/>
    <n v="0"/>
    <n v="0"/>
    <n v="1.53698"/>
    <n v="1.53698"/>
    <n v="0"/>
    <n v="1.1872400000000001"/>
    <n v="2.9635199999999999"/>
    <n v="212343000"/>
    <n v="0"/>
    <n v="0"/>
    <n v="0"/>
    <n v="0"/>
    <n v="3976540"/>
    <n v="129620"/>
    <n v="0"/>
    <n v="20"/>
    <x v="7"/>
    <n v="2.3179793272844543E-4"/>
    <n v="4.890026669365187E-4"/>
  </r>
  <r>
    <n v="85.052599999999998"/>
    <n v="85.138999999999996"/>
    <n v="2.91255"/>
    <n v="0"/>
    <n v="0"/>
    <n v="2.6403799999999999"/>
    <n v="2.6403799999999999"/>
    <n v="0"/>
    <n v="0.49470999999999998"/>
    <n v="5.3222399999999999"/>
    <n v="25500800"/>
    <n v="0"/>
    <n v="0"/>
    <n v="0"/>
    <n v="0"/>
    <n v="3947300"/>
    <n v="271436"/>
    <n v="0"/>
    <n v="99.238600000000005"/>
    <n v="98.274000000000001"/>
    <n v="3.0143800000000001"/>
    <n v="0"/>
    <n v="0"/>
    <n v="1.53729"/>
    <n v="1.53729"/>
    <n v="0"/>
    <n v="1.18747"/>
    <n v="2.9635199999999999"/>
    <n v="212473000"/>
    <n v="0"/>
    <n v="0"/>
    <n v="0"/>
    <n v="0"/>
    <n v="3977330"/>
    <n v="129646"/>
    <n v="0"/>
    <n v="21"/>
    <x v="7"/>
    <n v="2.3179837796045568E-4"/>
    <n v="4.8900151970241443E-4"/>
  </r>
  <r>
    <n v="84.727999999999994"/>
    <n v="85.138999999999996"/>
    <n v="2.67245"/>
    <n v="0"/>
    <n v="0"/>
    <n v="2.6408999999999998"/>
    <n v="2.6408999999999998"/>
    <n v="0"/>
    <n v="0.494807"/>
    <n v="5.3222399999999999"/>
    <n v="25772300"/>
    <n v="0"/>
    <n v="0"/>
    <n v="0"/>
    <n v="0"/>
    <n v="3948080"/>
    <n v="271490"/>
    <n v="0"/>
    <n v="99.302199999999999"/>
    <n v="98.274000000000001"/>
    <n v="2.51031"/>
    <n v="0"/>
    <n v="0"/>
    <n v="1.53759"/>
    <n v="1.53759"/>
    <n v="0"/>
    <n v="1.18771"/>
    <n v="2.9635199999999999"/>
    <n v="212602000"/>
    <n v="0"/>
    <n v="0"/>
    <n v="0"/>
    <n v="0"/>
    <n v="3978110"/>
    <n v="129671"/>
    <n v="0"/>
    <n v="22"/>
    <x v="7"/>
    <n v="2.3179761811887773E-4"/>
    <n v="4.8900217410093722E-4"/>
  </r>
  <r>
    <n v="85.051199999999994"/>
    <n v="85.138999999999996"/>
    <n v="3.4523199999999998"/>
    <n v="0"/>
    <n v="0"/>
    <n v="2.7667199999999998"/>
    <n v="2.7667199999999998"/>
    <n v="0"/>
    <n v="0.49490499999999998"/>
    <n v="5.3222399999999999"/>
    <n v="26056700"/>
    <n v="0"/>
    <n v="0"/>
    <n v="0"/>
    <n v="0"/>
    <n v="4136180"/>
    <n v="284424"/>
    <n v="0"/>
    <n v="99.302199999999999"/>
    <n v="98.274000000000001"/>
    <n v="2.93879"/>
    <n v="0"/>
    <n v="0"/>
    <n v="1.62104"/>
    <n v="1.62104"/>
    <n v="0"/>
    <n v="1.18794"/>
    <n v="2.9635199999999999"/>
    <n v="212739000"/>
    <n v="0"/>
    <n v="0"/>
    <n v="0"/>
    <n v="0"/>
    <n v="4194020"/>
    <n v="136709"/>
    <n v="0"/>
    <n v="23"/>
    <x v="7"/>
    <n v="2.317979047828427E-4"/>
    <n v="4.8900095379408642E-4"/>
  </r>
  <r>
    <n v="85.118899999999996"/>
    <n v="85.138999999999996"/>
    <n v="3.1907800000000002"/>
    <n v="0"/>
    <n v="0"/>
    <n v="2.7672699999999999"/>
    <n v="2.7672699999999999"/>
    <n v="0"/>
    <n v="0.51848399999999994"/>
    <n v="5.3222399999999999"/>
    <n v="26341200"/>
    <n v="0"/>
    <n v="0"/>
    <n v="0"/>
    <n v="0"/>
    <n v="4136990"/>
    <n v="284480"/>
    <n v="0"/>
    <n v="99.302199999999999"/>
    <n v="98.274000000000001"/>
    <n v="2.9272499999999999"/>
    <n v="0"/>
    <n v="0"/>
    <n v="1.6213599999999999"/>
    <n v="1.6213599999999999"/>
    <n v="0"/>
    <n v="1.2524200000000001"/>
    <n v="2.9635199999999999"/>
    <n v="212876000"/>
    <n v="0"/>
    <n v="0"/>
    <n v="0"/>
    <n v="0"/>
    <n v="4194840"/>
    <n v="136736"/>
    <n v="0"/>
    <n v="24"/>
    <x v="7"/>
    <n v="2.3179836442364471E-4"/>
    <n v="4.8900147021559799E-4"/>
  </r>
  <r>
    <n v="84.882900000000006"/>
    <n v="85.138999999999996"/>
    <n v="2.8036500000000002"/>
    <n v="0"/>
    <n v="0"/>
    <n v="2.7678099999999999"/>
    <n v="2.7678099999999999"/>
    <n v="0"/>
    <n v="0.51858599999999999"/>
    <n v="5.3222399999999999"/>
    <n v="26625700"/>
    <n v="0"/>
    <n v="0"/>
    <n v="0"/>
    <n v="0"/>
    <n v="4137810"/>
    <n v="284536"/>
    <n v="0"/>
    <n v="99.302199999999999"/>
    <n v="98.274000000000001"/>
    <n v="2.7681800000000001"/>
    <n v="0"/>
    <n v="0"/>
    <n v="1.62168"/>
    <n v="1.62168"/>
    <n v="0"/>
    <n v="1.2526600000000001"/>
    <n v="2.9635199999999999"/>
    <n v="213012000"/>
    <n v="0"/>
    <n v="0"/>
    <n v="0"/>
    <n v="0"/>
    <n v="4195670"/>
    <n v="136763"/>
    <n v="0"/>
    <n v="25"/>
    <x v="7"/>
    <n v="2.3179827141324883E-4"/>
    <n v="4.890008046455562E-4"/>
  </r>
  <r>
    <n v="84.571200000000005"/>
    <n v="85.138999999999996"/>
    <n v="2.7180300000000002"/>
    <n v="0"/>
    <n v="0"/>
    <n v="2.7683599999999999"/>
    <n v="2.7683599999999999"/>
    <n v="0"/>
    <n v="0.51868800000000004"/>
    <n v="5.3222399999999999"/>
    <n v="26910300"/>
    <n v="0"/>
    <n v="0"/>
    <n v="0"/>
    <n v="0"/>
    <n v="4138620"/>
    <n v="284592"/>
    <n v="0"/>
    <n v="99.302199999999999"/>
    <n v="98.274000000000001"/>
    <n v="2.8201100000000001"/>
    <n v="0"/>
    <n v="0"/>
    <n v="1.6220000000000001"/>
    <n v="1.6220000000000001"/>
    <n v="0"/>
    <n v="1.25291"/>
    <n v="2.9635199999999999"/>
    <n v="213149000"/>
    <n v="0"/>
    <n v="0"/>
    <n v="0"/>
    <n v="0"/>
    <n v="4196500"/>
    <n v="136790"/>
    <n v="0"/>
    <n v="26"/>
    <x v="7"/>
    <n v="2.3179817843964486E-4"/>
    <n v="4.8900132089286553E-4"/>
  </r>
  <r>
    <n v="84.114699999999999"/>
    <n v="85.138999999999996"/>
    <n v="2.54691"/>
    <n v="0"/>
    <n v="0"/>
    <n v="2.7688999999999999"/>
    <n v="2.7688999999999999"/>
    <n v="0"/>
    <n v="0.51878999999999997"/>
    <n v="5.3222399999999999"/>
    <n v="27195000"/>
    <n v="0"/>
    <n v="0"/>
    <n v="0"/>
    <n v="0"/>
    <n v="4139440"/>
    <n v="284649"/>
    <n v="0"/>
    <n v="99.117900000000006"/>
    <n v="98.274000000000001"/>
    <n v="2.5840100000000001"/>
    <n v="0"/>
    <n v="0"/>
    <n v="1.62232"/>
    <n v="1.62232"/>
    <n v="0"/>
    <n v="1.2531600000000001"/>
    <n v="2.9635199999999999"/>
    <n v="213286000"/>
    <n v="0"/>
    <n v="0"/>
    <n v="0"/>
    <n v="0"/>
    <n v="4197320"/>
    <n v="136817"/>
    <n v="0"/>
    <n v="27"/>
    <x v="7"/>
    <n v="2.3179863775540428E-4"/>
    <n v="4.8900237352803532E-4"/>
  </r>
  <r>
    <n v="83.226100000000002"/>
    <n v="85.138999999999996"/>
    <n v="2.0018600000000002"/>
    <n v="0"/>
    <n v="0"/>
    <n v="2.74464"/>
    <n v="2.74464"/>
    <n v="0"/>
    <n v="0.51889200000000002"/>
    <n v="5.3222399999999999"/>
    <n v="27477100"/>
    <n v="0"/>
    <n v="0"/>
    <n v="0"/>
    <n v="0"/>
    <n v="4103170"/>
    <n v="282155"/>
    <n v="0"/>
    <n v="98.828000000000003"/>
    <n v="98.274000000000001"/>
    <n v="1.9920500000000001"/>
    <n v="0"/>
    <n v="0"/>
    <n v="1.66838"/>
    <n v="1.66838"/>
    <n v="0"/>
    <n v="1.2534000000000001"/>
    <n v="2.9635199999999999"/>
    <n v="213427000"/>
    <n v="0"/>
    <n v="0"/>
    <n v="0"/>
    <n v="0"/>
    <n v="4316500"/>
    <n v="140701"/>
    <n v="0"/>
    <n v="28"/>
    <x v="7"/>
    <n v="2.317972800290999E-4"/>
    <n v="4.8900256439150162E-4"/>
  </r>
  <r>
    <n v="82.154799999999994"/>
    <n v="85.138999999999996"/>
    <n v="1.80684"/>
    <n v="0"/>
    <n v="0"/>
    <n v="2.74518"/>
    <n v="2.74518"/>
    <n v="0"/>
    <n v="0.51434599999999997"/>
    <n v="5.3222399999999999"/>
    <n v="27759300"/>
    <n v="0"/>
    <n v="0"/>
    <n v="0"/>
    <n v="0"/>
    <n v="4103980"/>
    <n v="282210"/>
    <n v="0"/>
    <n v="98.527699999999996"/>
    <n v="98.274000000000001"/>
    <n v="1.794"/>
    <n v="0"/>
    <n v="0"/>
    <n v="1.6687099999999999"/>
    <n v="1.6687099999999999"/>
    <n v="0"/>
    <n v="1.2889900000000001"/>
    <n v="2.9635199999999999"/>
    <n v="213567000"/>
    <n v="0"/>
    <n v="0"/>
    <n v="0"/>
    <n v="0"/>
    <n v="4317350"/>
    <n v="140729"/>
    <n v="0"/>
    <n v="29"/>
    <x v="7"/>
    <n v="2.3179776317583953E-4"/>
    <n v="4.8900135189192508E-4"/>
  </r>
  <r>
    <n v="81.037700000000001"/>
    <n v="85.138999999999996"/>
    <n v="1.7225299999999999"/>
    <n v="0"/>
    <n v="0"/>
    <n v="2.74573"/>
    <n v="2.74573"/>
    <n v="0"/>
    <n v="0.51444800000000002"/>
    <n v="5.3222399999999999"/>
    <n v="28041600"/>
    <n v="0"/>
    <n v="0"/>
    <n v="0"/>
    <n v="0"/>
    <n v="4104790"/>
    <n v="282266"/>
    <n v="0"/>
    <n v="98.130799999999994"/>
    <n v="98.274000000000001"/>
    <n v="1.7392700000000001"/>
    <n v="0"/>
    <n v="0"/>
    <n v="1.6690400000000001"/>
    <n v="1.6690400000000001"/>
    <n v="0"/>
    <n v="1.28925"/>
    <n v="2.9635199999999999"/>
    <n v="213708000"/>
    <n v="0"/>
    <n v="0"/>
    <n v="0"/>
    <n v="0"/>
    <n v="4318200"/>
    <n v="140757"/>
    <n v="0"/>
    <n v="30"/>
    <x v="7"/>
    <n v="2.3179824613237272E-4"/>
    <n v="4.8900187228594527E-4"/>
  </r>
  <r>
    <n v="79.758200000000002"/>
    <n v="85.138999999999996"/>
    <n v="1.53685"/>
    <n v="0"/>
    <n v="0"/>
    <n v="2.74627"/>
    <n v="2.74627"/>
    <n v="0"/>
    <n v="0.51454900000000003"/>
    <n v="5.3222399999999999"/>
    <n v="28323900"/>
    <n v="0"/>
    <n v="0"/>
    <n v="0"/>
    <n v="0"/>
    <n v="4105600"/>
    <n v="282322"/>
    <n v="0"/>
    <n v="97.862300000000005"/>
    <n v="98.274000000000001"/>
    <n v="1.6806000000000001"/>
    <n v="0"/>
    <n v="0"/>
    <n v="1.66937"/>
    <n v="1.66937"/>
    <n v="0"/>
    <n v="1.2895000000000001"/>
    <n v="2.9635199999999999"/>
    <n v="213849000"/>
    <n v="0"/>
    <n v="0"/>
    <n v="0"/>
    <n v="0"/>
    <n v="4319050"/>
    <n v="140784"/>
    <n v="0"/>
    <n v="31"/>
    <x v="7"/>
    <n v="2.3179708242561576E-4"/>
    <n v="4.8900239247462668E-4"/>
  </r>
  <r>
    <n v="78.7898"/>
    <n v="85.138999999999996"/>
    <n v="1.90326"/>
    <n v="0"/>
    <n v="0"/>
    <n v="2.8109099999999998"/>
    <n v="2.8109099999999998"/>
    <n v="0"/>
    <n v="0.51465000000000005"/>
    <n v="5.3222399999999999"/>
    <n v="28612900"/>
    <n v="0"/>
    <n v="0"/>
    <n v="0"/>
    <n v="0"/>
    <n v="4202240"/>
    <n v="288967"/>
    <n v="0"/>
    <n v="97.508499999999998"/>
    <n v="98.274000000000001"/>
    <n v="1.9573400000000001"/>
    <n v="0"/>
    <n v="0"/>
    <n v="1.7104999999999999"/>
    <n v="1.7104999999999999"/>
    <n v="0"/>
    <n v="1.28975"/>
    <n v="2.9635199999999999"/>
    <n v="213993000"/>
    <n v="0"/>
    <n v="0"/>
    <n v="0"/>
    <n v="0"/>
    <n v="4425460"/>
    <n v="144253"/>
    <n v="0"/>
    <n v="32"/>
    <x v="7"/>
    <n v="2.3179781126678837E-4"/>
    <n v="4.8900161507286685E-4"/>
  </r>
  <r>
    <n v="77.791899999999998"/>
    <n v="85.138999999999996"/>
    <n v="1.8675200000000001"/>
    <n v="0"/>
    <n v="0"/>
    <n v="2.8114699999999999"/>
    <n v="2.8114699999999999"/>
    <n v="0"/>
    <n v="0.52676500000000004"/>
    <n v="5.3222399999999999"/>
    <n v="28901900"/>
    <n v="0"/>
    <n v="0"/>
    <n v="0"/>
    <n v="0"/>
    <n v="4203070"/>
    <n v="289024"/>
    <n v="0"/>
    <n v="97.113500000000002"/>
    <n v="98.274000000000001"/>
    <n v="1.9568399999999999"/>
    <n v="0"/>
    <n v="0"/>
    <n v="1.7108300000000001"/>
    <n v="1.7108300000000001"/>
    <n v="0"/>
    <n v="1.3215300000000001"/>
    <n v="2.9635199999999999"/>
    <n v="214138000"/>
    <n v="0"/>
    <n v="0"/>
    <n v="0"/>
    <n v="0"/>
    <n v="4426340"/>
    <n v="144281"/>
    <n v="0"/>
    <n v="33"/>
    <x v="7"/>
    <n v="2.3179671138012949E-4"/>
    <n v="4.8900148827572777E-4"/>
  </r>
  <r>
    <n v="76.636600000000001"/>
    <n v="85.138999999999996"/>
    <n v="1.6992400000000001"/>
    <n v="0"/>
    <n v="0"/>
    <n v="2.81202"/>
    <n v="2.81202"/>
    <n v="0"/>
    <n v="0.52686900000000003"/>
    <n v="5.3222399999999999"/>
    <n v="29191000"/>
    <n v="0"/>
    <n v="0"/>
    <n v="0"/>
    <n v="0"/>
    <n v="4203900"/>
    <n v="289081"/>
    <n v="0"/>
    <n v="96.712100000000007"/>
    <n v="98.274000000000001"/>
    <n v="1.8591200000000001"/>
    <n v="0"/>
    <n v="0"/>
    <n v="1.7111700000000001"/>
    <n v="1.7111700000000001"/>
    <n v="0"/>
    <n v="1.32179"/>
    <n v="2.9635199999999999"/>
    <n v="214282000"/>
    <n v="0"/>
    <n v="0"/>
    <n v="0"/>
    <n v="0"/>
    <n v="4427210"/>
    <n v="144310"/>
    <n v="0"/>
    <n v="34"/>
    <x v="7"/>
    <n v="2.3179774174976583E-4"/>
    <n v="4.8900136152865736E-4"/>
  </r>
  <r>
    <n v="75.256900000000002"/>
    <n v="85.138999999999996"/>
    <n v="1.4477500000000001"/>
    <n v="0"/>
    <n v="0"/>
    <n v="2.8125800000000001"/>
    <n v="2.8125800000000001"/>
    <n v="0"/>
    <n v="0.52697300000000002"/>
    <n v="5.3222399999999999"/>
    <n v="29480100"/>
    <n v="0"/>
    <n v="0"/>
    <n v="0"/>
    <n v="0"/>
    <n v="4204730"/>
    <n v="289138"/>
    <n v="0"/>
    <n v="96.278199999999998"/>
    <n v="98.274000000000001"/>
    <n v="1.8415999999999999"/>
    <n v="0"/>
    <n v="0"/>
    <n v="1.7115100000000001"/>
    <n v="1.7115100000000001"/>
    <n v="0"/>
    <n v="1.3220499999999999"/>
    <n v="2.9635199999999999"/>
    <n v="214426000"/>
    <n v="0"/>
    <n v="0"/>
    <n v="0"/>
    <n v="0"/>
    <n v="4428080"/>
    <n v="144338"/>
    <n v="0"/>
    <n v="35"/>
    <x v="7"/>
    <n v="2.3179716578146327E-4"/>
    <n v="4.890012348316258E-4"/>
  </r>
  <r>
    <n v="73.722300000000004"/>
    <n v="85.138999999999996"/>
    <n v="1.4491799999999999"/>
    <n v="0"/>
    <n v="0"/>
    <n v="3.00101"/>
    <n v="3.00101"/>
    <n v="0"/>
    <n v="0.52707700000000002"/>
    <n v="5.3222399999999999"/>
    <n v="29788600"/>
    <n v="0"/>
    <n v="0"/>
    <n v="0"/>
    <n v="0"/>
    <n v="4486430"/>
    <n v="308509"/>
    <n v="0"/>
    <n v="95.812700000000007"/>
    <n v="98.274000000000001"/>
    <n v="1.8002400000000001"/>
    <n v="0"/>
    <n v="0"/>
    <n v="1.8592299999999999"/>
    <n v="1.8592299999999999"/>
    <n v="0"/>
    <n v="1.3223100000000001"/>
    <n v="2.9635199999999999"/>
    <n v="214583000"/>
    <n v="0"/>
    <n v="0"/>
    <n v="0"/>
    <n v="0"/>
    <n v="4810270"/>
    <n v="156796"/>
    <n v="0"/>
    <n v="36"/>
    <x v="7"/>
    <n v="2.3179732617211908E-4"/>
    <n v="4.8900110297971002E-4"/>
  </r>
  <r>
    <n v="72.604100000000003"/>
    <n v="85.138999999999996"/>
    <n v="1.8663700000000001"/>
    <n v="0"/>
    <n v="0"/>
    <n v="3.0015999999999998"/>
    <n v="3.0015999999999998"/>
    <n v="0"/>
    <n v="0.56238900000000003"/>
    <n v="5.3222399999999999"/>
    <n v="30097200"/>
    <n v="0"/>
    <n v="0"/>
    <n v="0"/>
    <n v="0"/>
    <n v="4487310"/>
    <n v="308570"/>
    <n v="0"/>
    <n v="95.366900000000001"/>
    <n v="98.274000000000001"/>
    <n v="1.89219"/>
    <n v="0"/>
    <n v="0"/>
    <n v="1.8595900000000001"/>
    <n v="1.8595900000000001"/>
    <n v="0"/>
    <n v="1.4364399999999999"/>
    <n v="2.9635199999999999"/>
    <n v="214740000"/>
    <n v="0"/>
    <n v="0"/>
    <n v="0"/>
    <n v="0"/>
    <n v="4811210"/>
    <n v="156827"/>
    <n v="0"/>
    <n v="37"/>
    <x v="7"/>
    <n v="2.3179785778790196E-4"/>
    <n v="4.8900187454059302E-4"/>
  </r>
  <r>
    <n v="71.275599999999997"/>
    <n v="85.138999999999996"/>
    <n v="1.67066"/>
    <n v="0"/>
    <n v="0"/>
    <n v="3.0021900000000001"/>
    <n v="3.0021900000000001"/>
    <n v="0"/>
    <n v="0.56249899999999997"/>
    <n v="5.3222399999999999"/>
    <n v="30405800"/>
    <n v="0"/>
    <n v="0"/>
    <n v="0"/>
    <n v="0"/>
    <n v="4488200"/>
    <n v="308631"/>
    <n v="0"/>
    <n v="94.971299999999999"/>
    <n v="98.274000000000001"/>
    <n v="1.81429"/>
    <n v="0"/>
    <n v="0"/>
    <n v="1.8599600000000001"/>
    <n v="1.8599600000000001"/>
    <n v="0"/>
    <n v="1.43672"/>
    <n v="2.9635199999999999"/>
    <n v="214897000"/>
    <n v="0"/>
    <n v="0"/>
    <n v="0"/>
    <n v="0"/>
    <n v="4812160"/>
    <n v="156858"/>
    <n v="0"/>
    <n v="38"/>
    <x v="7"/>
    <n v="2.3179790750297257E-4"/>
    <n v="4.8900155626938123E-4"/>
  </r>
  <r>
    <n v="69.990700000000004"/>
    <n v="85.138999999999996"/>
    <n v="1.6898200000000001"/>
    <n v="0"/>
    <n v="0"/>
    <n v="3.00278"/>
    <n v="3.00278"/>
    <n v="0"/>
    <n v="0.56261000000000005"/>
    <n v="5.3222399999999999"/>
    <n v="30714500"/>
    <n v="0"/>
    <n v="0"/>
    <n v="0"/>
    <n v="0"/>
    <n v="4489080"/>
    <n v="308692"/>
    <n v="0"/>
    <n v="94.799800000000005"/>
    <n v="98.274000000000001"/>
    <n v="1.95764"/>
    <n v="0"/>
    <n v="0"/>
    <n v="1.86033"/>
    <n v="1.86033"/>
    <n v="0"/>
    <n v="1.4370099999999999"/>
    <n v="2.9635199999999999"/>
    <n v="215054000"/>
    <n v="0"/>
    <n v="0"/>
    <n v="0"/>
    <n v="0"/>
    <n v="4813110"/>
    <n v="156889"/>
    <n v="0"/>
    <n v="39"/>
    <x v="7"/>
    <n v="2.3179795719841792E-4"/>
    <n v="4.8900232743718641E-4"/>
  </r>
  <r>
    <n v="68.729200000000006"/>
    <n v="85.138999999999996"/>
    <n v="1.7055199999999999"/>
    <n v="0"/>
    <n v="0"/>
    <n v="3.0033699999999999"/>
    <n v="3.0033699999999999"/>
    <n v="0"/>
    <n v="0.56272100000000003"/>
    <n v="5.3222399999999999"/>
    <n v="31023300"/>
    <n v="0"/>
    <n v="0"/>
    <n v="0"/>
    <n v="0"/>
    <n v="4489970"/>
    <n v="308753"/>
    <n v="0"/>
    <n v="94.574700000000007"/>
    <n v="98.274000000000001"/>
    <n v="2.3086899999999999"/>
    <n v="0"/>
    <n v="0"/>
    <n v="1.86069"/>
    <n v="1.86069"/>
    <n v="0"/>
    <n v="1.43729"/>
    <n v="2.9635199999999999"/>
    <n v="215210000"/>
    <n v="0"/>
    <n v="0"/>
    <n v="0"/>
    <n v="0"/>
    <n v="4814060"/>
    <n v="156920"/>
    <n v="0"/>
    <n v="40"/>
    <x v="7"/>
    <n v="2.3179800687424956E-4"/>
    <n v="4.8900200920166796E-4"/>
  </r>
  <r>
    <n v="68.479399999999998"/>
    <n v="85.138999999999996"/>
    <n v="2.6353499999999999"/>
    <n v="0"/>
    <n v="0"/>
    <n v="2.9123100000000002"/>
    <n v="2.9123100000000002"/>
    <n v="0"/>
    <n v="0.562832"/>
    <n v="5.3222399999999999"/>
    <n v="31322700"/>
    <n v="0"/>
    <n v="0"/>
    <n v="0"/>
    <n v="0"/>
    <n v="4353830"/>
    <n v="299391"/>
    <n v="0"/>
    <n v="94.456599999999995"/>
    <n v="98.274000000000001"/>
    <n v="2.6312700000000002"/>
    <n v="0"/>
    <n v="0"/>
    <n v="1.77152"/>
    <n v="1.77152"/>
    <n v="0"/>
    <n v="1.43757"/>
    <n v="2.9635199999999999"/>
    <n v="215360000"/>
    <n v="0"/>
    <n v="0"/>
    <n v="0"/>
    <n v="0"/>
    <n v="4583340"/>
    <n v="149399"/>
    <n v="0"/>
    <n v="41"/>
    <x v="7"/>
    <n v="2.3179737426046976E-4"/>
    <n v="4.8900147601534105E-4"/>
  </r>
  <r>
    <n v="67.963499999999996"/>
    <n v="85.138999999999996"/>
    <n v="2.4718800000000001"/>
    <n v="0"/>
    <n v="0"/>
    <n v="2.9128799999999999"/>
    <n v="2.9128799999999999"/>
    <n v="0"/>
    <n v="0.545767"/>
    <n v="5.3222399999999999"/>
    <n v="31622100"/>
    <n v="0"/>
    <n v="0"/>
    <n v="0"/>
    <n v="0"/>
    <n v="4354690"/>
    <n v="299450"/>
    <n v="0"/>
    <n v="94.510199999999998"/>
    <n v="98.274000000000001"/>
    <n v="2.7985099999999998"/>
    <n v="0"/>
    <n v="0"/>
    <n v="1.7718700000000001"/>
    <n v="1.7718700000000001"/>
    <n v="0"/>
    <n v="1.3686700000000001"/>
    <n v="2.9635199999999999"/>
    <n v="215509000"/>
    <n v="0"/>
    <n v="0"/>
    <n v="0"/>
    <n v="0"/>
    <n v="4584240"/>
    <n v="149429"/>
    <n v="0"/>
    <n v="42"/>
    <x v="7"/>
    <n v="2.3179840351829248E-4"/>
    <n v="4.8900125086360818E-4"/>
  </r>
  <r>
    <n v="67.812799999999996"/>
    <n v="85.138999999999996"/>
    <n v="2.8525100000000001"/>
    <n v="0"/>
    <n v="0"/>
    <n v="2.9134600000000002"/>
    <n v="2.9134600000000002"/>
    <n v="0"/>
    <n v="0.545875"/>
    <n v="5.3222399999999999"/>
    <n v="31921600"/>
    <n v="0"/>
    <n v="0"/>
    <n v="0"/>
    <n v="0"/>
    <n v="4355550"/>
    <n v="299509"/>
    <n v="0"/>
    <n v="94.7791"/>
    <n v="98.274000000000001"/>
    <n v="3.53748"/>
    <n v="0"/>
    <n v="0"/>
    <n v="1.7722199999999999"/>
    <n v="1.7722199999999999"/>
    <n v="0"/>
    <n v="1.36894"/>
    <n v="2.9635199999999999"/>
    <n v="215659000"/>
    <n v="0"/>
    <n v="0"/>
    <n v="0"/>
    <n v="0"/>
    <n v="4585140"/>
    <n v="149458"/>
    <n v="0"/>
    <n v="43"/>
    <x v="7"/>
    <n v="2.3179788144884461E-4"/>
    <n v="4.8900102580078748E-4"/>
  </r>
  <r>
    <n v="67.580799999999996"/>
    <n v="85.138999999999996"/>
    <n v="2.82064"/>
    <n v="0"/>
    <n v="0"/>
    <n v="2.9140299999999999"/>
    <n v="2.9140299999999999"/>
    <n v="0"/>
    <n v="0.54598199999999997"/>
    <n v="5.3222399999999999"/>
    <n v="32221200"/>
    <n v="0"/>
    <n v="0"/>
    <n v="0"/>
    <n v="0"/>
    <n v="4356410"/>
    <n v="299568"/>
    <n v="0"/>
    <n v="95.042199999999994"/>
    <n v="98.274000000000001"/>
    <n v="3.5232100000000002"/>
    <n v="0"/>
    <n v="0"/>
    <n v="1.7725599999999999"/>
    <n v="1.7725599999999999"/>
    <n v="0"/>
    <n v="1.36921"/>
    <n v="2.9635199999999999"/>
    <n v="215808000"/>
    <n v="0"/>
    <n v="0"/>
    <n v="0"/>
    <n v="0"/>
    <n v="4586050"/>
    <n v="149487"/>
    <n v="0"/>
    <n v="44"/>
    <x v="7"/>
    <n v="2.3179685414420113E-4"/>
    <n v="4.8900080082682604E-4"/>
  </r>
  <r>
    <n v="68.838499999999996"/>
    <n v="85.138999999999996"/>
    <n v="4.09727"/>
    <n v="0.01"/>
    <n v="0"/>
    <n v="2.5369199999999998"/>
    <n v="2.8393199999999998"/>
    <n v="0"/>
    <n v="0.54608999999999996"/>
    <n v="5.3222399999999999"/>
    <n v="32104500"/>
    <n v="0"/>
    <n v="0"/>
    <n v="0"/>
    <n v="0"/>
    <n v="3792620"/>
    <n v="-116651"/>
    <n v="408539"/>
    <n v="95.4191"/>
    <n v="98.274000000000001"/>
    <n v="4.1671500000000004"/>
    <n v="0"/>
    <n v="0"/>
    <n v="1.9937400000000001"/>
    <n v="1.6913400000000001"/>
    <n v="0"/>
    <n v="1.36948"/>
    <n v="2.9635199999999999"/>
    <n v="216733000"/>
    <n v="0"/>
    <n v="0"/>
    <n v="0"/>
    <n v="0"/>
    <n v="5158290"/>
    <n v="925018"/>
    <n v="0"/>
    <n v="45"/>
    <x v="7"/>
    <n v="1.2752264906576939E-3"/>
    <n v="-2.1872178015998832E-4"/>
  </r>
  <r>
    <n v="70.889799999999994"/>
    <n v="85.138999999999996"/>
    <n v="5.2515799999999997"/>
    <n v="0"/>
    <n v="0"/>
    <n v="2.8398699999999999"/>
    <n v="2.8398699999999999"/>
    <n v="0"/>
    <n v="0.47541800000000001"/>
    <n v="5.3222399999999999"/>
    <n v="32396500"/>
    <n v="0"/>
    <n v="0"/>
    <n v="0"/>
    <n v="0"/>
    <n v="4245540"/>
    <n v="291945"/>
    <n v="0"/>
    <n v="96.544499999999999"/>
    <n v="98.274000000000001"/>
    <n v="5.4173200000000001"/>
    <n v="0"/>
    <n v="0"/>
    <n v="1.6916800000000001"/>
    <n v="1.6916800000000001"/>
    <n v="0"/>
    <n v="1.54037"/>
    <n v="2.9635199999999999"/>
    <n v="216876000"/>
    <n v="0"/>
    <n v="0"/>
    <n v="0"/>
    <n v="0"/>
    <n v="4376770"/>
    <n v="142666"/>
    <n v="0"/>
    <n v="46"/>
    <x v="7"/>
    <n v="2.3179798512555446E-4"/>
    <n v="4.8900241210637343E-4"/>
  </r>
  <r>
    <n v="72.627200000000002"/>
    <n v="85.138999999999996"/>
    <n v="4.9158299999999997"/>
    <n v="0"/>
    <n v="0"/>
    <n v="2.84043"/>
    <n v="2.84043"/>
    <n v="0"/>
    <n v="0.53219300000000003"/>
    <n v="5.3222399999999999"/>
    <n v="32688500"/>
    <n v="0"/>
    <n v="0"/>
    <n v="0"/>
    <n v="0"/>
    <n v="4246380"/>
    <n v="292002"/>
    <n v="0"/>
    <n v="97.275499999999994"/>
    <n v="98.274000000000001"/>
    <n v="6.4956699999999996"/>
    <n v="0"/>
    <n v="0"/>
    <n v="1.69201"/>
    <n v="1.69201"/>
    <n v="0"/>
    <n v="1.3069900000000001"/>
    <n v="2.9635199999999999"/>
    <n v="217019000"/>
    <n v="0"/>
    <n v="0"/>
    <n v="0"/>
    <n v="0"/>
    <n v="4377630"/>
    <n v="142694"/>
    <n v="0"/>
    <n v="47"/>
    <x v="7"/>
    <n v="2.3179793197679433E-4"/>
    <n v="4.8900113487190312E-4"/>
  </r>
  <r>
    <n v="75.305899999999994"/>
    <n v="85.138999999999996"/>
    <n v="5.9742699999999997"/>
    <n v="0"/>
    <n v="0"/>
    <n v="2.8409900000000001"/>
    <n v="2.8409900000000001"/>
    <n v="0"/>
    <n v="0.53229700000000002"/>
    <n v="5.3222399999999999"/>
    <n v="32980600"/>
    <n v="0"/>
    <n v="0"/>
    <n v="0"/>
    <n v="0"/>
    <n v="4247210"/>
    <n v="292060"/>
    <n v="0"/>
    <n v="98.119399999999999"/>
    <n v="98.274000000000001"/>
    <n v="6.2802100000000003"/>
    <n v="0"/>
    <n v="0"/>
    <n v="1.69234"/>
    <n v="1.69234"/>
    <n v="0"/>
    <n v="1.30725"/>
    <n v="2.9635199999999999"/>
    <n v="217161000"/>
    <n v="0"/>
    <n v="0"/>
    <n v="0"/>
    <n v="0"/>
    <n v="4378490"/>
    <n v="142722"/>
    <n v="0"/>
    <n v="48"/>
    <x v="7"/>
    <n v="2.3179787884891257E-4"/>
    <n v="4.8900268380905776E-4"/>
  </r>
  <r>
    <n v="80.074399999999997"/>
    <n v="85.138999999999996"/>
    <n v="8.1618999999999993"/>
    <n v="0"/>
    <n v="0"/>
    <n v="2.6275499999999998"/>
    <n v="2.6275499999999998"/>
    <n v="0"/>
    <n v="0.53240200000000004"/>
    <n v="5.3222399999999999"/>
    <n v="33250700"/>
    <n v="0"/>
    <n v="0"/>
    <n v="0"/>
    <n v="0"/>
    <n v="3928120"/>
    <n v="270118"/>
    <n v="0"/>
    <n v="99.302199999999999"/>
    <n v="98.274000000000001"/>
    <n v="7.0656800000000004"/>
    <n v="0"/>
    <n v="0"/>
    <n v="1.5226500000000001"/>
    <n v="1.5226500000000001"/>
    <n v="0"/>
    <n v="1.3075000000000001"/>
    <n v="2.9635199999999999"/>
    <n v="217290000"/>
    <n v="0"/>
    <n v="0"/>
    <n v="0"/>
    <n v="0"/>
    <n v="3939460"/>
    <n v="128411"/>
    <n v="0"/>
    <n v="49"/>
    <x v="7"/>
    <n v="2.3179733022872146E-4"/>
    <n v="4.8900317124883511E-4"/>
  </r>
  <r>
    <n v="85.138999999999996"/>
    <n v="85.138999999999996"/>
    <n v="9.55002"/>
    <n v="0"/>
    <n v="0"/>
    <n v="2.6280700000000001"/>
    <n v="2.6280700000000001"/>
    <n v="0"/>
    <n v="0.49240299999999998"/>
    <n v="5.3222399999999999"/>
    <n v="33520800"/>
    <n v="0"/>
    <n v="0"/>
    <n v="0"/>
    <n v="0"/>
    <n v="3928900"/>
    <n v="270171"/>
    <n v="0"/>
    <n v="99.302199999999999"/>
    <n v="98.274000000000001"/>
    <n v="9.5220099999999999"/>
    <n v="0"/>
    <n v="0"/>
    <n v="1.52295"/>
    <n v="1.52295"/>
    <n v="0"/>
    <n v="1.1763999999999999"/>
    <n v="2.9635199999999999"/>
    <n v="217418000"/>
    <n v="0"/>
    <n v="0"/>
    <n v="0"/>
    <n v="0"/>
    <n v="3940240"/>
    <n v="128437"/>
    <n v="0"/>
    <n v="50"/>
    <x v="7"/>
    <n v="2.3179836805482047E-4"/>
    <n v="4.8900201854183223E-4"/>
  </r>
  <r>
    <n v="85.138999999999996"/>
    <n v="85.138999999999996"/>
    <n v="11.165900000000001"/>
    <n v="0"/>
    <n v="0"/>
    <n v="2.62859"/>
    <n v="2.62859"/>
    <n v="0"/>
    <n v="0.49249999999999999"/>
    <n v="5.3222399999999999"/>
    <n v="33791100"/>
    <n v="0"/>
    <n v="0"/>
    <n v="0"/>
    <n v="0"/>
    <n v="3929670"/>
    <n v="270224"/>
    <n v="0"/>
    <n v="99.302199999999999"/>
    <n v="98.274000000000001"/>
    <n v="11.3208"/>
    <n v="0"/>
    <n v="0"/>
    <n v="1.52325"/>
    <n v="1.52325"/>
    <n v="0"/>
    <n v="1.1766300000000001"/>
    <n v="2.9635199999999999"/>
    <n v="217547000"/>
    <n v="0"/>
    <n v="0"/>
    <n v="0"/>
    <n v="0"/>
    <n v="3941020"/>
    <n v="128462"/>
    <n v="0"/>
    <n v="51"/>
    <x v="7"/>
    <n v="2.3179760106412943E-4"/>
    <n v="4.8900211067393333E-4"/>
  </r>
  <r>
    <n v="85.138999999999996"/>
    <n v="85.138999999999996"/>
    <n v="11.7593"/>
    <n v="0"/>
    <n v="0"/>
    <n v="2.6291099999999998"/>
    <n v="2.6291099999999998"/>
    <n v="0"/>
    <n v="0.49259700000000001"/>
    <n v="5.3222399999999999"/>
    <n v="34061300"/>
    <n v="0"/>
    <n v="0"/>
    <n v="0"/>
    <n v="0"/>
    <n v="3930450"/>
    <n v="270277"/>
    <n v="0"/>
    <n v="99.302199999999999"/>
    <n v="98.274000000000001"/>
    <n v="17.082999999999998"/>
    <n v="0"/>
    <n v="0"/>
    <n v="1.52355"/>
    <n v="1.52355"/>
    <n v="0"/>
    <n v="1.17686"/>
    <n v="2.9635199999999999"/>
    <n v="217675000"/>
    <n v="0"/>
    <n v="0"/>
    <n v="0"/>
    <n v="0"/>
    <n v="3941790"/>
    <n v="128487"/>
    <n v="0"/>
    <n v="52"/>
    <x v="7"/>
    <n v="2.317974224266602E-4"/>
    <n v="4.8900095863198007E-4"/>
  </r>
  <r>
    <n v="85.138999999999996"/>
    <n v="85.138999999999996"/>
    <n v="11.7036"/>
    <n v="0"/>
    <n v="0"/>
    <n v="2.6296200000000001"/>
    <n v="2.6296200000000001"/>
    <n v="0"/>
    <n v="0.49269499999999999"/>
    <n v="5.3222399999999999"/>
    <n v="34331700"/>
    <n v="0"/>
    <n v="0"/>
    <n v="0"/>
    <n v="0"/>
    <n v="3931220"/>
    <n v="270331"/>
    <n v="0"/>
    <n v="99.302199999999999"/>
    <n v="98.274000000000001"/>
    <n v="14.910399999999999"/>
    <n v="0"/>
    <n v="0"/>
    <n v="1.5238499999999999"/>
    <n v="1.5238499999999999"/>
    <n v="0"/>
    <n v="1.1771"/>
    <n v="2.9635199999999999"/>
    <n v="217804000"/>
    <n v="0"/>
    <n v="0"/>
    <n v="0"/>
    <n v="0"/>
    <n v="3942570"/>
    <n v="128513"/>
    <n v="0"/>
    <n v="1"/>
    <x v="8"/>
    <n v="1.1488255021752205E-4"/>
    <n v="2.4235663901231506E-4"/>
  </r>
  <r>
    <n v="85.138999999999996"/>
    <n v="85.138999999999996"/>
    <n v="7.7830899999999996"/>
    <n v="0"/>
    <n v="0"/>
    <n v="2.7125300000000001"/>
    <n v="2.7125300000000001"/>
    <n v="0"/>
    <n v="0.49279200000000001"/>
    <n v="5.3222399999999999"/>
    <n v="34610500"/>
    <n v="0"/>
    <n v="0"/>
    <n v="0"/>
    <n v="29016000"/>
    <n v="4055160"/>
    <n v="278853"/>
    <n v="0"/>
    <n v="99.302199999999999"/>
    <n v="98.274000000000001"/>
    <n v="6.0232099999999997"/>
    <n v="0"/>
    <n v="0"/>
    <n v="1.5734300000000001"/>
    <n v="1.5734300000000001"/>
    <n v="0"/>
    <n v="1.17733"/>
    <n v="2.9635199999999999"/>
    <n v="217936000"/>
    <n v="0"/>
    <n v="0"/>
    <n v="0"/>
    <n v="7883220"/>
    <n v="4070840"/>
    <n v="132694"/>
    <n v="0"/>
    <n v="2"/>
    <x v="8"/>
    <n v="6.939935508789955E-3"/>
    <n v="2.5460665281103665E-2"/>
  </r>
  <r>
    <n v="85.138999999999996"/>
    <n v="85.138999999999996"/>
    <n v="5.3160600000000002"/>
    <n v="0"/>
    <n v="0"/>
    <n v="2.7130399999999999"/>
    <n v="2.7130399999999999"/>
    <n v="0"/>
    <n v="0.508328"/>
    <n v="5.3222399999999999"/>
    <n v="34889400"/>
    <n v="0"/>
    <n v="0"/>
    <n v="0"/>
    <n v="0"/>
    <n v="4055930"/>
    <n v="278906"/>
    <n v="0"/>
    <n v="99.302199999999999"/>
    <n v="98.274000000000001"/>
    <n v="5.2018700000000004"/>
    <n v="0"/>
    <n v="0"/>
    <n v="1.5737300000000001"/>
    <n v="1.5737300000000001"/>
    <n v="0"/>
    <n v="1.21563"/>
    <n v="2.9635199999999999"/>
    <n v="218069000"/>
    <n v="0"/>
    <n v="0"/>
    <n v="0"/>
    <n v="0"/>
    <n v="4071610"/>
    <n v="132719"/>
    <n v="0"/>
    <n v="3"/>
    <x v="8"/>
    <n v="1.1488235962292298E-4"/>
    <n v="2.4235602728507784E-4"/>
  </r>
  <r>
    <n v="85.138999999999996"/>
    <n v="85.138999999999996"/>
    <n v="4.7439499999999999"/>
    <n v="0"/>
    <n v="0"/>
    <n v="2.7135500000000001"/>
    <n v="2.7135500000000001"/>
    <n v="0"/>
    <n v="0.50842399999999999"/>
    <n v="5.3222399999999999"/>
    <n v="35168400"/>
    <n v="0"/>
    <n v="0"/>
    <n v="0"/>
    <n v="0"/>
    <n v="4056690"/>
    <n v="278959"/>
    <n v="0"/>
    <n v="99.302199999999999"/>
    <n v="98.274000000000001"/>
    <n v="4.0043300000000004"/>
    <n v="0"/>
    <n v="0"/>
    <n v="1.57402"/>
    <n v="1.57402"/>
    <n v="0"/>
    <n v="1.2158599999999999"/>
    <n v="2.9635199999999999"/>
    <n v="218202000"/>
    <n v="0"/>
    <n v="0"/>
    <n v="0"/>
    <n v="0"/>
    <n v="4072370"/>
    <n v="132744"/>
    <n v="0"/>
    <n v="4"/>
    <x v="8"/>
    <n v="1.1488255598412232E-4"/>
    <n v="2.4235666897735831E-4"/>
  </r>
  <r>
    <n v="85.138999999999996"/>
    <n v="85.138999999999996"/>
    <n v="5.6609699999999998"/>
    <n v="0"/>
    <n v="0"/>
    <n v="2.71407"/>
    <n v="2.71407"/>
    <n v="0"/>
    <n v="0.50851999999999997"/>
    <n v="5.3222399999999999"/>
    <n v="35447400"/>
    <n v="0"/>
    <n v="0"/>
    <n v="0"/>
    <n v="0"/>
    <n v="4057460"/>
    <n v="279011"/>
    <n v="0"/>
    <n v="99.302199999999999"/>
    <n v="98.274000000000001"/>
    <n v="4.5301900000000002"/>
    <n v="0"/>
    <n v="0"/>
    <n v="1.5743199999999999"/>
    <n v="1.5743199999999999"/>
    <n v="0"/>
    <n v="1.2160899999999999"/>
    <n v="2.9635199999999999"/>
    <n v="218335000"/>
    <n v="0"/>
    <n v="0"/>
    <n v="0"/>
    <n v="0"/>
    <n v="4073140"/>
    <n v="132769"/>
    <n v="0"/>
    <n v="5"/>
    <x v="8"/>
    <n v="1.1488247022244041E-4"/>
    <n v="2.4235584449167779E-4"/>
  </r>
  <r>
    <n v="85.138999999999996"/>
    <n v="85.138999999999996"/>
    <n v="4.7920299999999996"/>
    <n v="0"/>
    <n v="0"/>
    <n v="2.9793500000000002"/>
    <n v="2.9793500000000002"/>
    <n v="0"/>
    <n v="0.50861599999999996"/>
    <n v="5.3222399999999999"/>
    <n v="35753700"/>
    <n v="0"/>
    <n v="0"/>
    <n v="0"/>
    <n v="0"/>
    <n v="4454060"/>
    <n v="306283"/>
    <n v="0"/>
    <n v="99.302199999999999"/>
    <n v="98.274000000000001"/>
    <n v="3.3585799999999999"/>
    <n v="0"/>
    <n v="0"/>
    <n v="1.75976"/>
    <n v="1.75976"/>
    <n v="0"/>
    <n v="1.2163200000000001"/>
    <n v="2.9635199999999999"/>
    <n v="218483000"/>
    <n v="0"/>
    <n v="0"/>
    <n v="0"/>
    <n v="0"/>
    <n v="4552920"/>
    <n v="148408"/>
    <n v="0"/>
    <n v="6"/>
    <x v="8"/>
    <n v="1.1488245609034885E-4"/>
    <n v="2.4235570534978328E-4"/>
  </r>
  <r>
    <n v="85.138999999999996"/>
    <n v="85.138999999999996"/>
    <n v="6.5644299999999998"/>
    <n v="0"/>
    <n v="0"/>
    <n v="2.9799199999999999"/>
    <n v="2.9799199999999999"/>
    <n v="0"/>
    <n v="0.55833100000000002"/>
    <n v="5.3222399999999999"/>
    <n v="36060000"/>
    <n v="0"/>
    <n v="0"/>
    <n v="0"/>
    <n v="0"/>
    <n v="4454900"/>
    <n v="306341"/>
    <n v="0"/>
    <n v="99.302199999999999"/>
    <n v="98.274000000000001"/>
    <n v="5.2961200000000002"/>
    <n v="0"/>
    <n v="0"/>
    <n v="1.7600899999999999"/>
    <n v="1.7600899999999999"/>
    <n v="0"/>
    <n v="1.3595900000000001"/>
    <n v="2.9635199999999999"/>
    <n v="218631000"/>
    <n v="0"/>
    <n v="0"/>
    <n v="0"/>
    <n v="0"/>
    <n v="4553780"/>
    <n v="148436"/>
    <n v="0"/>
    <n v="7"/>
    <x v="8"/>
    <n v="1.1488243074138283E-4"/>
    <n v="2.4235589322934385E-4"/>
  </r>
  <r>
    <n v="85.138999999999996"/>
    <n v="85.138999999999996"/>
    <n v="6.5146300000000004"/>
    <n v="0"/>
    <n v="0"/>
    <n v="2.98048"/>
    <n v="2.98048"/>
    <n v="0"/>
    <n v="0.55843600000000004"/>
    <n v="5.3222399999999999"/>
    <n v="36366400"/>
    <n v="0"/>
    <n v="0"/>
    <n v="0"/>
    <n v="0"/>
    <n v="4455740"/>
    <n v="306399"/>
    <n v="0"/>
    <n v="98.942599999999999"/>
    <n v="98.274000000000001"/>
    <n v="5.3462800000000001"/>
    <n v="0"/>
    <n v="0"/>
    <n v="1.7604299999999999"/>
    <n v="1.7604299999999999"/>
    <n v="0"/>
    <n v="1.35985"/>
    <n v="2.9635199999999999"/>
    <n v="218780000"/>
    <n v="0"/>
    <n v="0"/>
    <n v="0"/>
    <n v="0"/>
    <n v="4554640"/>
    <n v="148464"/>
    <n v="0"/>
    <n v="8"/>
    <x v="8"/>
    <n v="1.1488240540198954E-4"/>
    <n v="2.4235608103806596E-4"/>
  </r>
  <r>
    <n v="85.138999999999996"/>
    <n v="85.138999999999996"/>
    <n v="4.3989000000000003"/>
    <n v="0"/>
    <n v="0"/>
    <n v="2.9810400000000001"/>
    <n v="2.9810400000000001"/>
    <n v="0"/>
    <n v="0.55854199999999998"/>
    <n v="5.3222399999999999"/>
    <n v="36672900"/>
    <n v="0"/>
    <n v="0"/>
    <n v="0"/>
    <n v="0"/>
    <n v="4456580"/>
    <n v="306457"/>
    <n v="0"/>
    <n v="99.300899999999999"/>
    <n v="98.274000000000001"/>
    <n v="2.7415699999999998"/>
    <n v="0"/>
    <n v="0"/>
    <n v="1.7607600000000001"/>
    <n v="1.7607600000000001"/>
    <n v="0"/>
    <n v="1.3601099999999999"/>
    <n v="2.9635199999999999"/>
    <n v="218928000"/>
    <n v="0"/>
    <n v="0"/>
    <n v="0"/>
    <n v="0"/>
    <n v="4555500"/>
    <n v="148492"/>
    <n v="0"/>
    <n v="9"/>
    <x v="8"/>
    <n v="1.1488238007216351E-4"/>
    <n v="2.4235626877598971E-4"/>
  </r>
  <r>
    <n v="85.138999999999996"/>
    <n v="85.138999999999996"/>
    <n v="5.1865300000000003"/>
    <n v="0"/>
    <n v="0"/>
    <n v="2.6036700000000002"/>
    <n v="2.6036700000000002"/>
    <n v="0"/>
    <n v="0.558647"/>
    <n v="5.3222399999999999"/>
    <n v="36940500"/>
    <n v="0"/>
    <n v="0"/>
    <n v="0"/>
    <n v="0"/>
    <n v="3892420"/>
    <n v="267662"/>
    <n v="0"/>
    <n v="99.302199999999999"/>
    <n v="98.274000000000001"/>
    <n v="2.8620199999999998"/>
    <n v="0"/>
    <n v="0"/>
    <n v="1.51244"/>
    <n v="1.51244"/>
    <n v="0"/>
    <n v="1.36036"/>
    <n v="2.9635199999999999"/>
    <n v="219056000"/>
    <n v="0"/>
    <n v="0"/>
    <n v="0"/>
    <n v="0"/>
    <n v="3913050"/>
    <n v="127550"/>
    <n v="0"/>
    <n v="10"/>
    <x v="8"/>
    <n v="1.1488186688860249E-4"/>
    <n v="2.4235581367355687E-4"/>
  </r>
  <r>
    <n v="85.138999999999996"/>
    <n v="85.138999999999996"/>
    <n v="6.3505799999999999"/>
    <n v="0"/>
    <n v="0"/>
    <n v="2.6041599999999998"/>
    <n v="2.6041599999999998"/>
    <n v="0"/>
    <n v="0.48792799999999997"/>
    <n v="5.3222399999999999"/>
    <n v="37208300"/>
    <n v="0"/>
    <n v="0"/>
    <n v="0"/>
    <n v="0"/>
    <n v="3893150"/>
    <n v="267713"/>
    <n v="0"/>
    <n v="99.302199999999999"/>
    <n v="98.274000000000001"/>
    <n v="4.3059900000000004"/>
    <n v="0"/>
    <n v="0"/>
    <n v="1.5127299999999999"/>
    <n v="1.5127299999999999"/>
    <n v="0"/>
    <n v="1.1685099999999999"/>
    <n v="2.9635199999999999"/>
    <n v="219184000"/>
    <n v="0"/>
    <n v="0"/>
    <n v="0"/>
    <n v="0"/>
    <n v="3913790"/>
    <n v="127574"/>
    <n v="0"/>
    <n v="11"/>
    <x v="8"/>
    <n v="1.1488175785294201E-4"/>
    <n v="2.423565393490409E-4"/>
  </r>
  <r>
    <n v="85.138999999999996"/>
    <n v="85.138999999999996"/>
    <n v="6.5139500000000004"/>
    <n v="0"/>
    <n v="0"/>
    <n v="2.6046499999999999"/>
    <n v="2.6046499999999999"/>
    <n v="0"/>
    <n v="0.48802000000000001"/>
    <n v="5.3222399999999999"/>
    <n v="37476000"/>
    <n v="0"/>
    <n v="0"/>
    <n v="0"/>
    <n v="0"/>
    <n v="3893890"/>
    <n v="267763"/>
    <n v="0"/>
    <n v="99.302199999999999"/>
    <n v="98.274000000000001"/>
    <n v="7.6749900000000002"/>
    <n v="0"/>
    <n v="0"/>
    <n v="1.51301"/>
    <n v="1.51301"/>
    <n v="0"/>
    <n v="1.16873"/>
    <n v="2.9635199999999999"/>
    <n v="219311000"/>
    <n v="0"/>
    <n v="0"/>
    <n v="0"/>
    <n v="0"/>
    <n v="3914530"/>
    <n v="127598"/>
    <n v="0"/>
    <n v="12"/>
    <x v="8"/>
    <n v="1.1488164885850558E-4"/>
    <n v="2.4235573723558191E-4"/>
  </r>
  <r>
    <n v="85.138999999999996"/>
    <n v="85.138999999999996"/>
    <n v="5.9906800000000002"/>
    <n v="0"/>
    <n v="0"/>
    <n v="2.6051500000000001"/>
    <n v="2.6051500000000001"/>
    <n v="0"/>
    <n v="0.48811199999999999"/>
    <n v="5.3222399999999999"/>
    <n v="37743800"/>
    <n v="0"/>
    <n v="0"/>
    <n v="0"/>
    <n v="0"/>
    <n v="3894630"/>
    <n v="267814"/>
    <n v="0"/>
    <n v="99.302199999999999"/>
    <n v="98.274000000000001"/>
    <n v="5.2626299999999997"/>
    <n v="0"/>
    <n v="0"/>
    <n v="1.5133000000000001"/>
    <n v="1.5133000000000001"/>
    <n v="0"/>
    <n v="1.1689499999999999"/>
    <n v="2.9635199999999999"/>
    <n v="219439000"/>
    <n v="0"/>
    <n v="0"/>
    <n v="0"/>
    <n v="0"/>
    <n v="3915270"/>
    <n v="127623"/>
    <n v="0"/>
    <n v="13"/>
    <x v="8"/>
    <n v="1.1488244007561588E-4"/>
    <n v="2.4235584036782761E-4"/>
  </r>
  <r>
    <n v="85.138999999999996"/>
    <n v="85.138999999999996"/>
    <n v="8.5955600000000008"/>
    <n v="0"/>
    <n v="0"/>
    <n v="2.6056400000000002"/>
    <n v="2.6056400000000002"/>
    <n v="0"/>
    <n v="0.48820400000000003"/>
    <n v="5.3222399999999999"/>
    <n v="38011700"/>
    <n v="0"/>
    <n v="0"/>
    <n v="0"/>
    <n v="0"/>
    <n v="3895360"/>
    <n v="267865"/>
    <n v="0"/>
    <n v="99.302199999999999"/>
    <n v="98.274000000000001"/>
    <n v="10.209899999999999"/>
    <n v="0"/>
    <n v="0"/>
    <n v="1.51359"/>
    <n v="1.51359"/>
    <n v="0"/>
    <n v="1.1691800000000001"/>
    <n v="2.9635199999999999"/>
    <n v="219566000"/>
    <n v="0"/>
    <n v="0"/>
    <n v="0"/>
    <n v="0"/>
    <n v="3916010"/>
    <n v="127647"/>
    <n v="0"/>
    <n v="14"/>
    <x v="8"/>
    <n v="1.1488233099345419E-4"/>
    <n v="2.4235656562660311E-4"/>
  </r>
  <r>
    <n v="85.138999999999996"/>
    <n v="85.138999999999996"/>
    <n v="9.5305800000000005"/>
    <n v="0"/>
    <n v="0"/>
    <n v="2.7013500000000001"/>
    <n v="2.7013500000000001"/>
    <n v="0"/>
    <n v="0.48829699999999998"/>
    <n v="5.3222399999999999"/>
    <n v="38289400"/>
    <n v="0"/>
    <n v="0"/>
    <n v="0"/>
    <n v="0"/>
    <n v="4038450"/>
    <n v="277704"/>
    <n v="0"/>
    <n v="99.302199999999999"/>
    <n v="98.274000000000001"/>
    <n v="12.382899999999999"/>
    <n v="0"/>
    <n v="0"/>
    <n v="1.5747599999999999"/>
    <n v="1.5747599999999999"/>
    <n v="0"/>
    <n v="1.1694"/>
    <n v="2.9635199999999999"/>
    <n v="219699000"/>
    <n v="0"/>
    <n v="0"/>
    <n v="0"/>
    <n v="0"/>
    <n v="4074270"/>
    <n v="132806"/>
    <n v="0"/>
    <n v="15"/>
    <x v="8"/>
    <n v="1.1488261404620011E-4"/>
    <n v="2.4235603783270002E-4"/>
  </r>
  <r>
    <n v="85.138999999999996"/>
    <n v="85.138999999999996"/>
    <n v="8.0753599999999999"/>
    <n v="0"/>
    <n v="0"/>
    <n v="2.7018599999999999"/>
    <n v="2.7018599999999999"/>
    <n v="0"/>
    <n v="0.50623399999999996"/>
    <n v="5.3222399999999999"/>
    <n v="38567200"/>
    <n v="0"/>
    <n v="0"/>
    <n v="0"/>
    <n v="0"/>
    <n v="4039220"/>
    <n v="277757"/>
    <n v="0"/>
    <n v="99.302199999999999"/>
    <n v="98.274000000000001"/>
    <n v="9.9495400000000007"/>
    <n v="0"/>
    <n v="0"/>
    <n v="1.5750599999999999"/>
    <n v="1.5750599999999999"/>
    <n v="0"/>
    <n v="1.2166600000000001"/>
    <n v="2.9635199999999999"/>
    <n v="219832000"/>
    <n v="0"/>
    <n v="0"/>
    <n v="0"/>
    <n v="0"/>
    <n v="4075040"/>
    <n v="132831"/>
    <n v="0"/>
    <n v="16"/>
    <x v="8"/>
    <n v="1.1488252831353372E-4"/>
    <n v="2.4235608229134867E-4"/>
  </r>
  <r>
    <n v="85.138999999999996"/>
    <n v="85.138999999999996"/>
    <n v="6.4875699999999998"/>
    <n v="0"/>
    <n v="0"/>
    <n v="2.7023700000000002"/>
    <n v="2.7023700000000002"/>
    <n v="0"/>
    <n v="0.50632900000000003"/>
    <n v="5.3222399999999999"/>
    <n v="38845000"/>
    <n v="0"/>
    <n v="0"/>
    <n v="0"/>
    <n v="0"/>
    <n v="4039980"/>
    <n v="277809"/>
    <n v="0"/>
    <n v="99.302199999999999"/>
    <n v="98.274000000000001"/>
    <n v="7.1023899999999998"/>
    <n v="0"/>
    <n v="0"/>
    <n v="1.57535"/>
    <n v="1.57535"/>
    <n v="0"/>
    <n v="1.21689"/>
    <n v="2.9635199999999999"/>
    <n v="219965000"/>
    <n v="0"/>
    <n v="0"/>
    <n v="0"/>
    <n v="0"/>
    <n v="4075820"/>
    <n v="132856"/>
    <n v="0"/>
    <n v="17"/>
    <x v="8"/>
    <n v="1.1488216074987443E-4"/>
    <n v="2.4235585424440333E-4"/>
  </r>
  <r>
    <n v="85.138999999999996"/>
    <n v="85.138999999999996"/>
    <n v="5.6352599999999997"/>
    <n v="0"/>
    <n v="0"/>
    <n v="2.70289"/>
    <n v="2.70289"/>
    <n v="0"/>
    <n v="0.50642500000000001"/>
    <n v="5.3222399999999999"/>
    <n v="39122800"/>
    <n v="0"/>
    <n v="0"/>
    <n v="0"/>
    <n v="0"/>
    <n v="4040750"/>
    <n v="277862"/>
    <n v="0"/>
    <n v="99.302199999999999"/>
    <n v="98.274000000000001"/>
    <n v="5.7715899999999998"/>
    <n v="0"/>
    <n v="0"/>
    <n v="1.57565"/>
    <n v="1.57565"/>
    <n v="0"/>
    <n v="1.21712"/>
    <n v="2.9635199999999999"/>
    <n v="220098000"/>
    <n v="0"/>
    <n v="0"/>
    <n v="0"/>
    <n v="0"/>
    <n v="4076590"/>
    <n v="132881"/>
    <n v="0"/>
    <n v="18"/>
    <x v="8"/>
    <n v="1.1488207513542544E-4"/>
    <n v="2.4235589872120242E-4"/>
  </r>
  <r>
    <n v="85.138999999999996"/>
    <n v="85.138999999999996"/>
    <n v="4.9409400000000003"/>
    <n v="0"/>
    <n v="0"/>
    <n v="2.66614"/>
    <n v="2.66614"/>
    <n v="0"/>
    <n v="0.506521"/>
    <n v="5.3222399999999999"/>
    <n v="39396900"/>
    <n v="0"/>
    <n v="0"/>
    <n v="0"/>
    <n v="0"/>
    <n v="3985810"/>
    <n v="274084"/>
    <n v="0"/>
    <n v="99.302199999999999"/>
    <n v="98.274000000000001"/>
    <n v="4.75169"/>
    <n v="0"/>
    <n v="0"/>
    <n v="1.5522800000000001"/>
    <n v="1.5522800000000001"/>
    <n v="0"/>
    <n v="1.2173499999999999"/>
    <n v="2.9635199999999999"/>
    <n v="220229000"/>
    <n v="0"/>
    <n v="0"/>
    <n v="0"/>
    <n v="0"/>
    <n v="4016130"/>
    <n v="130910"/>
    <n v="0"/>
    <n v="19"/>
    <x v="8"/>
    <n v="1.1488186554300703E-4"/>
    <n v="2.4235585162450302E-4"/>
  </r>
  <r>
    <n v="85.138999999999996"/>
    <n v="85.138999999999996"/>
    <n v="4.7759299999999998"/>
    <n v="0"/>
    <n v="0"/>
    <n v="2.6666400000000001"/>
    <n v="2.6666400000000001"/>
    <n v="0"/>
    <n v="0.49963400000000002"/>
    <n v="5.3222399999999999"/>
    <n v="39671100"/>
    <n v="0"/>
    <n v="0"/>
    <n v="0"/>
    <n v="0"/>
    <n v="3986560"/>
    <n v="274136"/>
    <n v="0"/>
    <n v="99.302199999999999"/>
    <n v="98.274000000000001"/>
    <n v="5.0216000000000003"/>
    <n v="0"/>
    <n v="0"/>
    <n v="1.5525800000000001"/>
    <n v="1.5525800000000001"/>
    <n v="0"/>
    <n v="1.19929"/>
    <n v="2.9635199999999999"/>
    <n v="220360000"/>
    <n v="0"/>
    <n v="0"/>
    <n v="0"/>
    <n v="0"/>
    <n v="4016890"/>
    <n v="130935"/>
    <n v="0"/>
    <n v="20"/>
    <x v="8"/>
    <n v="1.1488206470976491E-4"/>
    <n v="2.4235622849797913E-4"/>
  </r>
  <r>
    <n v="85.138999999999996"/>
    <n v="85.138999999999996"/>
    <n v="4.4615499999999999"/>
    <n v="0"/>
    <n v="0"/>
    <n v="2.6671399999999998"/>
    <n v="2.6671399999999998"/>
    <n v="0"/>
    <n v="0.49972800000000001"/>
    <n v="5.3222399999999999"/>
    <n v="39945200"/>
    <n v="0"/>
    <n v="0"/>
    <n v="0"/>
    <n v="0"/>
    <n v="3987310"/>
    <n v="274188"/>
    <n v="0"/>
    <n v="99.302199999999999"/>
    <n v="98.274000000000001"/>
    <n v="4.4051799999999997"/>
    <n v="0"/>
    <n v="0"/>
    <n v="1.55287"/>
    <n v="1.55287"/>
    <n v="0"/>
    <n v="1.1995199999999999"/>
    <n v="2.9635199999999999"/>
    <n v="220491000"/>
    <n v="0"/>
    <n v="0"/>
    <n v="0"/>
    <n v="0"/>
    <n v="4017650"/>
    <n v="130960"/>
    <n v="0"/>
    <n v="21"/>
    <x v="8"/>
    <n v="1.1488226380117191E-4"/>
    <n v="2.4235660522967784E-4"/>
  </r>
  <r>
    <n v="85.138999999999996"/>
    <n v="85.138999999999996"/>
    <n v="4.0395000000000003"/>
    <n v="0"/>
    <n v="0"/>
    <n v="2.6676500000000001"/>
    <n v="2.6676500000000001"/>
    <n v="0"/>
    <n v="0.49982300000000002"/>
    <n v="5.3222399999999999"/>
    <n v="40219500"/>
    <n v="0"/>
    <n v="0"/>
    <n v="0"/>
    <n v="0"/>
    <n v="3988070"/>
    <n v="274240"/>
    <n v="0"/>
    <n v="99.302199999999999"/>
    <n v="98.274000000000001"/>
    <n v="3.82328"/>
    <n v="0"/>
    <n v="0"/>
    <n v="1.5531600000000001"/>
    <n v="1.5531600000000001"/>
    <n v="0"/>
    <n v="1.1997500000000001"/>
    <n v="2.9635199999999999"/>
    <n v="220622000"/>
    <n v="0"/>
    <n v="0"/>
    <n v="0"/>
    <n v="0"/>
    <n v="4018410"/>
    <n v="130985"/>
    <n v="0"/>
    <n v="22"/>
    <x v="8"/>
    <n v="1.1488246281727078E-4"/>
    <n v="2.4235637411474471E-4"/>
  </r>
  <r>
    <n v="85.138999999999996"/>
    <n v="85.138999999999996"/>
    <n v="3.8780199999999998"/>
    <n v="0"/>
    <n v="0"/>
    <n v="2.7947199999999999"/>
    <n v="2.7947199999999999"/>
    <n v="0"/>
    <n v="0.499917"/>
    <n v="5.3222399999999999"/>
    <n v="40506800"/>
    <n v="0"/>
    <n v="0"/>
    <n v="0"/>
    <n v="0"/>
    <n v="4178040"/>
    <n v="287303"/>
    <n v="0"/>
    <n v="99.302199999999999"/>
    <n v="98.274000000000001"/>
    <n v="3.9515199999999999"/>
    <n v="0"/>
    <n v="0"/>
    <n v="1.6374500000000001"/>
    <n v="1.6374500000000001"/>
    <n v="0"/>
    <n v="1.19997"/>
    <n v="2.9635199999999999"/>
    <n v="220760000"/>
    <n v="0"/>
    <n v="0"/>
    <n v="0"/>
    <n v="0"/>
    <n v="4236460"/>
    <n v="138092"/>
    <n v="0"/>
    <n v="23"/>
    <x v="8"/>
    <n v="1.1488195779733607E-4"/>
    <n v="2.4235611724719976E-4"/>
  </r>
  <r>
    <n v="85.138999999999996"/>
    <n v="85.138999999999996"/>
    <n v="4.0125299999999999"/>
    <n v="0"/>
    <n v="0"/>
    <n v="2.7952499999999998"/>
    <n v="2.7952499999999998"/>
    <n v="0"/>
    <n v="0.52373099999999995"/>
    <n v="5.3222399999999999"/>
    <n v="40794100"/>
    <n v="0"/>
    <n v="0"/>
    <n v="0"/>
    <n v="0"/>
    <n v="4178830"/>
    <n v="287357"/>
    <n v="0"/>
    <n v="99.302199999999999"/>
    <n v="98.274000000000001"/>
    <n v="3.7184699999999999"/>
    <n v="0"/>
    <n v="0"/>
    <n v="1.6377600000000001"/>
    <n v="1.6377600000000001"/>
    <n v="0"/>
    <n v="1.26509"/>
    <n v="2.9635199999999999"/>
    <n v="220898000"/>
    <n v="0"/>
    <n v="0"/>
    <n v="0"/>
    <n v="0"/>
    <n v="4237260"/>
    <n v="138118"/>
    <n v="0"/>
    <n v="24"/>
    <x v="8"/>
    <n v="1.1488189386273771E-4"/>
    <n v="2.4235584367893293E-4"/>
  </r>
  <r>
    <n v="85.138999999999996"/>
    <n v="85.138999999999996"/>
    <n v="3.7123499999999998"/>
    <n v="0"/>
    <n v="0"/>
    <n v="2.7957800000000002"/>
    <n v="2.7957800000000002"/>
    <n v="0"/>
    <n v="0.52383000000000002"/>
    <n v="5.3222399999999999"/>
    <n v="41081600"/>
    <n v="0"/>
    <n v="0"/>
    <n v="0"/>
    <n v="0"/>
    <n v="4179620"/>
    <n v="287412"/>
    <n v="0"/>
    <n v="99.302199999999999"/>
    <n v="98.274000000000001"/>
    <n v="3.0874000000000001"/>
    <n v="0"/>
    <n v="0"/>
    <n v="1.6380699999999999"/>
    <n v="1.6380699999999999"/>
    <n v="0"/>
    <n v="1.2653300000000001"/>
    <n v="2.9635199999999999"/>
    <n v="221036000"/>
    <n v="0"/>
    <n v="0"/>
    <n v="0"/>
    <n v="0"/>
    <n v="4238060"/>
    <n v="138145"/>
    <n v="0"/>
    <n v="25"/>
    <x v="8"/>
    <n v="1.148826615615391E-4"/>
    <n v="2.4235641345101493E-4"/>
  </r>
  <r>
    <n v="85.138999999999996"/>
    <n v="85.138999999999996"/>
    <n v="3.3440599999999998"/>
    <n v="0"/>
    <n v="0"/>
    <n v="2.7963100000000001"/>
    <n v="2.7963100000000001"/>
    <n v="0"/>
    <n v="0.52392899999999998"/>
    <n v="5.3222399999999999"/>
    <n v="41369000"/>
    <n v="0"/>
    <n v="0"/>
    <n v="0"/>
    <n v="0"/>
    <n v="4180410"/>
    <n v="287466"/>
    <n v="0"/>
    <n v="99.302199999999999"/>
    <n v="98.274000000000001"/>
    <n v="2.72275"/>
    <n v="0"/>
    <n v="0"/>
    <n v="1.6383700000000001"/>
    <n v="1.6383700000000001"/>
    <n v="0"/>
    <n v="1.2655700000000001"/>
    <n v="2.9635199999999999"/>
    <n v="221174000"/>
    <n v="0"/>
    <n v="0"/>
    <n v="0"/>
    <n v="0"/>
    <n v="4238870"/>
    <n v="138171"/>
    <n v="0"/>
    <n v="26"/>
    <x v="8"/>
    <n v="1.1488232649649979E-4"/>
    <n v="2.4235613993016852E-4"/>
  </r>
  <r>
    <n v="85.033600000000007"/>
    <n v="85.138999999999996"/>
    <n v="2.99119"/>
    <n v="0"/>
    <n v="0"/>
    <n v="2.79684"/>
    <n v="2.79684"/>
    <n v="0"/>
    <n v="0.52402800000000005"/>
    <n v="5.3222399999999999"/>
    <n v="41656500"/>
    <n v="0"/>
    <n v="0"/>
    <n v="0"/>
    <n v="0"/>
    <n v="4181200"/>
    <n v="287520"/>
    <n v="0"/>
    <n v="99.083399999999997"/>
    <n v="98.274000000000001"/>
    <n v="2.8394400000000002"/>
    <n v="0"/>
    <n v="0"/>
    <n v="1.6386799999999999"/>
    <n v="1.6386799999999999"/>
    <n v="0"/>
    <n v="1.2658100000000001"/>
    <n v="2.9635199999999999"/>
    <n v="221312000"/>
    <n v="0"/>
    <n v="0"/>
    <n v="0"/>
    <n v="0"/>
    <n v="4239670"/>
    <n v="138197"/>
    <n v="0"/>
    <n v="27"/>
    <x v="8"/>
    <n v="1.1488226252867313E-4"/>
    <n v="2.4235586651268073E-4"/>
  </r>
  <r>
    <n v="84.166399999999996"/>
    <n v="85.138999999999996"/>
    <n v="2.1085199999999999"/>
    <n v="0"/>
    <n v="0"/>
    <n v="2.7723100000000001"/>
    <n v="2.7723100000000001"/>
    <n v="0"/>
    <n v="0.52412700000000001"/>
    <n v="5.3222399999999999"/>
    <n v="41941500"/>
    <n v="0"/>
    <n v="0"/>
    <n v="0"/>
    <n v="0"/>
    <n v="4144530"/>
    <n v="284999"/>
    <n v="0"/>
    <n v="98.834100000000007"/>
    <n v="98.274000000000001"/>
    <n v="1.8494200000000001"/>
    <n v="0"/>
    <n v="0"/>
    <n v="1.6852"/>
    <n v="1.6852"/>
    <n v="0"/>
    <n v="1.2660499999999999"/>
    <n v="2.9635199999999999"/>
    <n v="221454000"/>
    <n v="0"/>
    <n v="0"/>
    <n v="0"/>
    <n v="0"/>
    <n v="4360010"/>
    <n v="142120"/>
    <n v="0"/>
    <n v="28"/>
    <x v="8"/>
    <n v="1.1488256729045303E-4"/>
    <n v="2.4235638578482403E-4"/>
  </r>
  <r>
    <n v="83.127300000000005"/>
    <n v="85.138999999999996"/>
    <n v="1.92886"/>
    <n v="0"/>
    <n v="0"/>
    <n v="2.7728299999999999"/>
    <n v="2.7728299999999999"/>
    <n v="0"/>
    <n v="0.51953099999999997"/>
    <n v="5.3222399999999999"/>
    <n v="42226600"/>
    <n v="0"/>
    <n v="0"/>
    <n v="0"/>
    <n v="0"/>
    <n v="4145320"/>
    <n v="285053"/>
    <n v="0"/>
    <n v="98.413600000000002"/>
    <n v="98.274000000000001"/>
    <n v="1.8500300000000001"/>
    <n v="0"/>
    <n v="0"/>
    <n v="1.6855199999999999"/>
    <n v="1.6855199999999999"/>
    <n v="0"/>
    <n v="1.3019799999999999"/>
    <n v="2.9635199999999999"/>
    <n v="221597000"/>
    <n v="0"/>
    <n v="0"/>
    <n v="0"/>
    <n v="0"/>
    <n v="4360840"/>
    <n v="142146"/>
    <n v="0"/>
    <n v="29"/>
    <x v="8"/>
    <n v="1.14881714731742E-4"/>
    <n v="2.42356109953905E-4"/>
  </r>
  <r>
    <n v="81.9161"/>
    <n v="85.138999999999996"/>
    <n v="1.74163"/>
    <n v="0"/>
    <n v="0"/>
    <n v="2.7733599999999998"/>
    <n v="2.7733599999999998"/>
    <n v="0"/>
    <n v="0.51962900000000001"/>
    <n v="5.3222399999999999"/>
    <n v="42511700"/>
    <n v="0"/>
    <n v="0"/>
    <n v="0"/>
    <n v="0"/>
    <n v="4146100"/>
    <n v="285107"/>
    <n v="0"/>
    <n v="98.003100000000003"/>
    <n v="98.274000000000001"/>
    <n v="1.6617999999999999"/>
    <n v="0"/>
    <n v="0"/>
    <n v="1.68584"/>
    <n v="1.68584"/>
    <n v="0"/>
    <n v="1.30223"/>
    <n v="2.9635199999999999"/>
    <n v="221739000"/>
    <n v="0"/>
    <n v="0"/>
    <n v="0"/>
    <n v="0"/>
    <n v="4361660"/>
    <n v="142173"/>
    <n v="0"/>
    <n v="30"/>
    <x v="8"/>
    <n v="1.1488193392869737E-4"/>
    <n v="2.4235641876738773E-4"/>
  </r>
  <r>
    <n v="80.664000000000001"/>
    <n v="85.138999999999996"/>
    <n v="1.65903"/>
    <n v="0"/>
    <n v="0"/>
    <n v="2.7738800000000001"/>
    <n v="2.7738800000000001"/>
    <n v="0"/>
    <n v="0.51972700000000005"/>
    <n v="5.3222399999999999"/>
    <n v="42796900"/>
    <n v="0"/>
    <n v="0"/>
    <n v="0"/>
    <n v="0"/>
    <n v="4146890"/>
    <n v="285161"/>
    <n v="0"/>
    <n v="97.426199999999994"/>
    <n v="98.274000000000001"/>
    <n v="1.6134200000000001"/>
    <n v="0"/>
    <n v="0"/>
    <n v="1.68615"/>
    <n v="1.68615"/>
    <n v="0"/>
    <n v="1.3024800000000001"/>
    <n v="2.9635199999999999"/>
    <n v="221881000"/>
    <n v="0"/>
    <n v="0"/>
    <n v="0"/>
    <n v="0"/>
    <n v="4362480"/>
    <n v="142200"/>
    <n v="0"/>
    <n v="31"/>
    <x v="8"/>
    <n v="1.1488215304324938E-4"/>
    <n v="2.423561430346142E-4"/>
  </r>
  <r>
    <n v="79.173900000000003"/>
    <n v="85.138999999999996"/>
    <n v="1.4440200000000001"/>
    <n v="0"/>
    <n v="0"/>
    <n v="2.8391600000000001"/>
    <n v="2.8391600000000001"/>
    <n v="0"/>
    <n v="0.51982600000000001"/>
    <n v="5.3222399999999999"/>
    <n v="43088700"/>
    <n v="0"/>
    <n v="0"/>
    <n v="0"/>
    <n v="0"/>
    <n v="4244470"/>
    <n v="291871"/>
    <n v="0"/>
    <n v="96.796400000000006"/>
    <n v="98.274000000000001"/>
    <n v="1.42923"/>
    <n v="0"/>
    <n v="0"/>
    <n v="1.7276800000000001"/>
    <n v="1.7276800000000001"/>
    <n v="0"/>
    <n v="1.3027200000000001"/>
    <n v="2.9635199999999999"/>
    <n v="222027000"/>
    <n v="0"/>
    <n v="0"/>
    <n v="0"/>
    <n v="0"/>
    <n v="4469930"/>
    <n v="145702"/>
    <n v="0"/>
    <n v="32"/>
    <x v="8"/>
    <n v="1.1488179426879692E-4"/>
    <n v="2.423560672495941E-4"/>
  </r>
  <r>
    <n v="77.583600000000004"/>
    <n v="85.138999999999996"/>
    <n v="1.35341"/>
    <n v="0"/>
    <n v="0"/>
    <n v="2.83969"/>
    <n v="2.83969"/>
    <n v="0"/>
    <n v="0.53205800000000003"/>
    <n v="5.3222399999999999"/>
    <n v="43380700"/>
    <n v="0"/>
    <n v="0"/>
    <n v="0"/>
    <n v="0"/>
    <n v="4245270"/>
    <n v="291926"/>
    <n v="0"/>
    <n v="96.116"/>
    <n v="98.274000000000001"/>
    <n v="1.3521700000000001"/>
    <n v="0"/>
    <n v="0"/>
    <n v="1.72801"/>
    <n v="1.72801"/>
    <n v="0"/>
    <n v="1.3348100000000001"/>
    <n v="2.9635199999999999"/>
    <n v="222172000"/>
    <n v="0"/>
    <n v="0"/>
    <n v="0"/>
    <n v="0"/>
    <n v="4470770"/>
    <n v="145730"/>
    <n v="0"/>
    <n v="33"/>
    <x v="8"/>
    <n v="1.1488228250045221E-4"/>
    <n v="2.4235605728403149E-4"/>
  </r>
  <r>
    <n v="75.923900000000003"/>
    <n v="85.138999999999996"/>
    <n v="1.2536499999999999"/>
    <n v="0"/>
    <n v="0"/>
    <n v="2.84023"/>
    <n v="2.84023"/>
    <n v="0"/>
    <n v="0.53215900000000005"/>
    <n v="5.3222399999999999"/>
    <n v="43672600"/>
    <n v="0"/>
    <n v="0"/>
    <n v="0"/>
    <n v="0"/>
    <n v="4246070"/>
    <n v="291981"/>
    <n v="0"/>
    <n v="95.280199999999994"/>
    <n v="98.274000000000001"/>
    <n v="1.29745"/>
    <n v="0"/>
    <n v="0"/>
    <n v="1.72834"/>
    <n v="1.72834"/>
    <n v="0"/>
    <n v="1.3350599999999999"/>
    <n v="2.9635199999999999"/>
    <n v="222318000"/>
    <n v="0"/>
    <n v="0"/>
    <n v="0"/>
    <n v="0"/>
    <n v="4471620"/>
    <n v="145758"/>
    <n v="0"/>
    <n v="34"/>
    <x v="8"/>
    <n v="1.1488251363335209E-4"/>
    <n v="2.423560473222241E-4"/>
  </r>
  <r>
    <n v="74.170500000000004"/>
    <n v="85.138999999999996"/>
    <n v="1.14147"/>
    <n v="0"/>
    <n v="0"/>
    <n v="2.84077"/>
    <n v="2.84077"/>
    <n v="0"/>
    <n v="0.53225900000000004"/>
    <n v="5.3222399999999999"/>
    <n v="43964700"/>
    <n v="0"/>
    <n v="0"/>
    <n v="0"/>
    <n v="0"/>
    <n v="4246880"/>
    <n v="292036"/>
    <n v="0"/>
    <n v="94.753900000000002"/>
    <n v="98.274000000000001"/>
    <n v="1.13934"/>
    <n v="0"/>
    <n v="0"/>
    <n v="1.7286600000000001"/>
    <n v="1.7286600000000001"/>
    <n v="0"/>
    <n v="1.33531"/>
    <n v="2.9635199999999999"/>
    <n v="222464000"/>
    <n v="0"/>
    <n v="0"/>
    <n v="0"/>
    <n v="0"/>
    <n v="4472460"/>
    <n v="145785"/>
    <n v="0"/>
    <n v="35"/>
    <x v="8"/>
    <n v="1.1488221352048814E-4"/>
    <n v="2.4235546669573236E-4"/>
  </r>
  <r>
    <n v="72.383600000000001"/>
    <n v="85.138999999999996"/>
    <n v="1.2434000000000001"/>
    <n v="0"/>
    <n v="0"/>
    <n v="3.0310600000000001"/>
    <n v="3.0310600000000001"/>
    <n v="0"/>
    <n v="0.53236000000000006"/>
    <n v="5.3222399999999999"/>
    <n v="44276300"/>
    <n v="0"/>
    <n v="0"/>
    <n v="0"/>
    <n v="0"/>
    <n v="4531360"/>
    <n v="311599"/>
    <n v="0"/>
    <n v="93.753799999999998"/>
    <n v="98.274000000000001"/>
    <n v="1.5283500000000001"/>
    <n v="0"/>
    <n v="0"/>
    <n v="1.87785"/>
    <n v="1.87785"/>
    <n v="0"/>
    <n v="1.3355699999999999"/>
    <n v="2.9635199999999999"/>
    <n v="222622000"/>
    <n v="0"/>
    <n v="0"/>
    <n v="0"/>
    <n v="0"/>
    <n v="4858440"/>
    <n v="158366"/>
    <n v="0"/>
    <n v="36"/>
    <x v="8"/>
    <n v="1.1488187695499841E-4"/>
    <n v="2.4235607329121307E-4"/>
  </r>
  <r>
    <n v="70.153499999999994"/>
    <n v="85.138999999999996"/>
    <n v="0.77306299999999994"/>
    <n v="0"/>
    <n v="0"/>
    <n v="3.0316399999999999"/>
    <n v="3.0316399999999999"/>
    <n v="0"/>
    <n v="0.568021"/>
    <n v="5.3222399999999999"/>
    <n v="44587900"/>
    <n v="0"/>
    <n v="0"/>
    <n v="0"/>
    <n v="0"/>
    <n v="4532220"/>
    <n v="311658"/>
    <n v="0"/>
    <n v="92.957800000000006"/>
    <n v="98.274000000000001"/>
    <n v="1.04575"/>
    <n v="0"/>
    <n v="0"/>
    <n v="1.8782000000000001"/>
    <n v="1.8782000000000001"/>
    <n v="0"/>
    <n v="1.4508300000000001"/>
    <n v="2.9635199999999999"/>
    <n v="222781000"/>
    <n v="0"/>
    <n v="0"/>
    <n v="0"/>
    <n v="0"/>
    <n v="4859360"/>
    <n v="158396"/>
    <n v="0"/>
    <n v="37"/>
    <x v="8"/>
    <n v="1.1488188538650508E-4"/>
    <n v="2.4235596605106773E-4"/>
  </r>
  <r>
    <n v="68.319500000000005"/>
    <n v="85.138999999999996"/>
    <n v="1.19794"/>
    <n v="0"/>
    <n v="0"/>
    <n v="3.0322100000000001"/>
    <n v="3.0322100000000001"/>
    <n v="0"/>
    <n v="0.568129"/>
    <n v="5.3222399999999999"/>
    <n v="44899600"/>
    <n v="0"/>
    <n v="0"/>
    <n v="0"/>
    <n v="0"/>
    <n v="4533080"/>
    <n v="311717"/>
    <n v="0"/>
    <n v="92.171999999999997"/>
    <n v="98.274000000000001"/>
    <n v="1.2277199999999999"/>
    <n v="0"/>
    <n v="0"/>
    <n v="1.87856"/>
    <n v="1.87856"/>
    <n v="0"/>
    <n v="1.4511000000000001"/>
    <n v="2.9635199999999999"/>
    <n v="222939000"/>
    <n v="0"/>
    <n v="0"/>
    <n v="0"/>
    <n v="0"/>
    <n v="4860280"/>
    <n v="158426"/>
    <n v="0"/>
    <n v="38"/>
    <x v="8"/>
    <n v="1.1488189381481978E-4"/>
    <n v="2.4235585885161285E-4"/>
  </r>
  <r>
    <n v="66.890900000000002"/>
    <n v="85.138999999999996"/>
    <n v="1.61375"/>
    <n v="0"/>
    <n v="0"/>
    <n v="3.0327799999999998"/>
    <n v="3.0327799999999998"/>
    <n v="0"/>
    <n v="0.56823599999999996"/>
    <n v="5.3222399999999999"/>
    <n v="45211400"/>
    <n v="0"/>
    <n v="0"/>
    <n v="0"/>
    <n v="0"/>
    <n v="4533930"/>
    <n v="311776"/>
    <n v="0"/>
    <n v="91.774799999999999"/>
    <n v="98.274000000000001"/>
    <n v="1.3276399999999999"/>
    <n v="0"/>
    <n v="0"/>
    <n v="1.8789100000000001"/>
    <n v="1.8789100000000001"/>
    <n v="0"/>
    <n v="1.45137"/>
    <n v="2.9635199999999999"/>
    <n v="223098000"/>
    <n v="0"/>
    <n v="0"/>
    <n v="0"/>
    <n v="0"/>
    <n v="4861200"/>
    <n v="158456"/>
    <n v="0"/>
    <n v="39"/>
    <x v="8"/>
    <n v="1.148819022399443E-4"/>
    <n v="2.4235628623074646E-4"/>
  </r>
  <r>
    <n v="65.591399999999993"/>
    <n v="85.138999999999996"/>
    <n v="1.7069700000000001"/>
    <n v="0"/>
    <n v="0"/>
    <n v="3.0333600000000001"/>
    <n v="3.0333600000000001"/>
    <n v="0"/>
    <n v="0.56834300000000004"/>
    <n v="5.3222399999999999"/>
    <n v="45523300"/>
    <n v="0"/>
    <n v="0"/>
    <n v="0"/>
    <n v="0"/>
    <n v="4534790"/>
    <n v="311835"/>
    <n v="0"/>
    <n v="91.402100000000004"/>
    <n v="98.274000000000001"/>
    <n v="1.71509"/>
    <n v="0"/>
    <n v="0"/>
    <n v="1.87927"/>
    <n v="1.87927"/>
    <n v="0"/>
    <n v="1.4516500000000001"/>
    <n v="2.9635199999999999"/>
    <n v="223256000"/>
    <n v="0"/>
    <n v="0"/>
    <n v="0"/>
    <n v="0"/>
    <n v="4862120"/>
    <n v="158486"/>
    <n v="0"/>
    <n v="40"/>
    <x v="8"/>
    <n v="1.1488191066188043E-4"/>
    <n v="2.4235617901099439E-4"/>
  </r>
  <r>
    <n v="65.054900000000004"/>
    <n v="85.138999999999996"/>
    <n v="2.35405"/>
    <n v="0"/>
    <n v="0"/>
    <n v="2.94136"/>
    <n v="2.94136"/>
    <n v="0"/>
    <n v="0.56845100000000004"/>
    <n v="5.3222399999999999"/>
    <n v="45825600"/>
    <n v="0"/>
    <n v="0"/>
    <n v="0"/>
    <n v="0"/>
    <n v="4397260"/>
    <n v="302378"/>
    <n v="0"/>
    <n v="91.218500000000006"/>
    <n v="98.274000000000001"/>
    <n v="2.55233"/>
    <n v="0"/>
    <n v="0"/>
    <n v="1.7891900000000001"/>
    <n v="1.7891900000000001"/>
    <n v="0"/>
    <n v="1.4519200000000001"/>
    <n v="2.9635199999999999"/>
    <n v="223407000"/>
    <n v="0"/>
    <n v="0"/>
    <n v="0"/>
    <n v="0"/>
    <n v="4629050"/>
    <n v="150889"/>
    <n v="0"/>
    <n v="41"/>
    <x v="8"/>
    <n v="1.1488203693433466E-4"/>
    <n v="2.4235638377359132E-4"/>
  </r>
  <r>
    <n v="64.611500000000007"/>
    <n v="85.138999999999996"/>
    <n v="2.2096100000000001"/>
    <n v="0.01"/>
    <n v="0"/>
    <n v="2.6395200000000001"/>
    <n v="2.9419200000000001"/>
    <n v="0"/>
    <n v="0.55121100000000001"/>
    <n v="5.3222399999999999"/>
    <n v="45719500"/>
    <n v="0"/>
    <n v="0"/>
    <n v="0"/>
    <n v="0"/>
    <n v="3946010"/>
    <n v="-106104"/>
    <n v="408539"/>
    <n v="90.741200000000006"/>
    <n v="98.274000000000001"/>
    <n v="2.1272199999999999"/>
    <n v="0"/>
    <n v="0"/>
    <n v="2.0919300000000001"/>
    <n v="1.7895300000000001"/>
    <n v="0"/>
    <n v="1.3823300000000001"/>
    <n v="2.9635199999999999"/>
    <n v="224340000"/>
    <n v="0"/>
    <n v="0"/>
    <n v="0"/>
    <n v="0"/>
    <n v="5412310"/>
    <n v="933299"/>
    <n v="0"/>
    <n v="42"/>
    <x v="8"/>
    <n v="6.0774942357334847E-4"/>
    <n v="-9.4767624365607904E-5"/>
  </r>
  <r>
    <n v="63.934800000000003"/>
    <n v="85.138999999999996"/>
    <n v="1.9763999999999999"/>
    <n v="0.01"/>
    <n v="0"/>
    <n v="2.6400700000000001"/>
    <n v="2.9424700000000001"/>
    <n v="0"/>
    <n v="0.494645"/>
    <n v="5.3222399999999999"/>
    <n v="45613500"/>
    <n v="0"/>
    <n v="0"/>
    <n v="0"/>
    <n v="0"/>
    <n v="3946840"/>
    <n v="-106047"/>
    <n v="408539"/>
    <n v="90.258300000000006"/>
    <n v="98.274000000000001"/>
    <n v="2.0990600000000001"/>
    <n v="0"/>
    <n v="0"/>
    <n v="2.09226"/>
    <n v="1.78986"/>
    <n v="0"/>
    <n v="1.61622"/>
    <n v="2.9635199999999999"/>
    <n v="225274000"/>
    <n v="0"/>
    <n v="0"/>
    <n v="0"/>
    <n v="0"/>
    <n v="5413190"/>
    <n v="933327"/>
    <n v="0"/>
    <n v="43"/>
    <x v="8"/>
    <n v="6.0766885444236995E-4"/>
    <n v="-9.4696795931868295E-5"/>
  </r>
  <r>
    <n v="63.153599999999997"/>
    <n v="85.138999999999996"/>
    <n v="2.0084300000000002"/>
    <n v="0.02"/>
    <n v="0"/>
    <n v="2.6406299999999998"/>
    <n v="2.9430299999999998"/>
    <n v="0"/>
    <n v="0.49475000000000002"/>
    <n v="5.3222399999999999"/>
    <n v="45507500"/>
    <n v="0"/>
    <n v="0"/>
    <n v="0"/>
    <n v="0"/>
    <n v="3947670"/>
    <n v="-105990"/>
    <n v="408539"/>
    <n v="89.787099999999995"/>
    <n v="98.274000000000001"/>
    <n v="2.1048499999999999"/>
    <n v="0"/>
    <n v="0"/>
    <n v="2.0926"/>
    <n v="1.7902"/>
    <n v="0"/>
    <n v="1.6164799999999999"/>
    <n v="2.9635199999999999"/>
    <n v="226207000"/>
    <n v="0"/>
    <n v="0"/>
    <n v="0"/>
    <n v="0"/>
    <n v="5414060"/>
    <n v="933356"/>
    <n v="0"/>
    <n v="44"/>
    <x v="8"/>
    <n v="6.075900847178396E-4"/>
    <n v="-9.4625997281570581E-5"/>
  </r>
  <r>
    <n v="62.8"/>
    <n v="85.138999999999996"/>
    <n v="2.3874"/>
    <n v="0.02"/>
    <n v="0"/>
    <n v="2.56514"/>
    <n v="2.86754"/>
    <n v="0"/>
    <n v="0.49485400000000002"/>
    <n v="5.3222399999999999"/>
    <n v="45393700"/>
    <n v="0"/>
    <n v="0"/>
    <n v="0"/>
    <n v="0"/>
    <n v="3834830"/>
    <n v="-113749"/>
    <n v="408539"/>
    <n v="89.352800000000002"/>
    <n v="98.274000000000001"/>
    <n v="2.0009700000000001"/>
    <n v="0"/>
    <n v="0"/>
    <n v="2.0105599999999999"/>
    <n v="1.7081599999999999"/>
    <n v="0"/>
    <n v="1.6167400000000001"/>
    <n v="2.9635199999999999"/>
    <n v="227133000"/>
    <n v="0"/>
    <n v="0"/>
    <n v="0"/>
    <n v="0"/>
    <n v="5201790"/>
    <n v="926437"/>
    <n v="0"/>
    <n v="45"/>
    <x v="8"/>
    <n v="6.2769619335222493E-4"/>
    <n v="-1.0454129844009578E-4"/>
  </r>
  <r>
    <n v="63.697200000000002"/>
    <n v="85.138999999999996"/>
    <n v="3.6556799999999998"/>
    <n v="0.02"/>
    <n v="0"/>
    <n v="2.56569"/>
    <n v="2.86809"/>
    <n v="0"/>
    <n v="0.48070800000000002"/>
    <n v="5.3222399999999999"/>
    <n v="45280100"/>
    <n v="0"/>
    <n v="0"/>
    <n v="0"/>
    <n v="0"/>
    <n v="3835640"/>
    <n v="-113694"/>
    <n v="408539"/>
    <n v="89.127300000000005"/>
    <n v="98.274000000000001"/>
    <n v="1.9816499999999999"/>
    <n v="0"/>
    <n v="0"/>
    <n v="2.0108799999999998"/>
    <n v="1.70848"/>
    <n v="0"/>
    <n v="1.5533600000000001"/>
    <n v="2.9635199999999999"/>
    <n v="228060000"/>
    <n v="0"/>
    <n v="0"/>
    <n v="0"/>
    <n v="0"/>
    <n v="5202630"/>
    <n v="926464"/>
    <n v="0"/>
    <n v="46"/>
    <x v="8"/>
    <n v="6.2761313810252546E-4"/>
    <n v="-1.0446868448283386E-4"/>
  </r>
  <r>
    <n v="69.5334"/>
    <n v="85.138999999999996"/>
    <n v="8.83962"/>
    <n v="0.02"/>
    <n v="0"/>
    <n v="2.56623"/>
    <n v="2.86863"/>
    <n v="0"/>
    <n v="0.48081000000000002"/>
    <n v="5.3222399999999999"/>
    <n v="45166400"/>
    <n v="0"/>
    <n v="0"/>
    <n v="0"/>
    <n v="0"/>
    <n v="3836450"/>
    <n v="-113638"/>
    <n v="408539"/>
    <n v="89.616699999999994"/>
    <n v="98.274000000000001"/>
    <n v="4.7797900000000002"/>
    <n v="0"/>
    <n v="0"/>
    <n v="2.0112000000000001"/>
    <n v="1.7088000000000001"/>
    <n v="0"/>
    <n v="1.5536099999999999"/>
    <n v="2.9635199999999999"/>
    <n v="228986000"/>
    <n v="0"/>
    <n v="0"/>
    <n v="0"/>
    <n v="0"/>
    <n v="5203460"/>
    <n v="926491"/>
    <n v="0"/>
    <n v="47"/>
    <x v="8"/>
    <n v="6.2753131565439441E-4"/>
    <n v="-1.0439518252355441E-4"/>
  </r>
  <r>
    <n v="73.1892"/>
    <n v="85.138999999999996"/>
    <n v="6.8003900000000002"/>
    <n v="0"/>
    <n v="0"/>
    <n v="2.86917"/>
    <n v="2.86917"/>
    <n v="0"/>
    <n v="0.48091099999999998"/>
    <n v="5.3222399999999999"/>
    <n v="45461400"/>
    <n v="0"/>
    <n v="0"/>
    <n v="0"/>
    <n v="0"/>
    <n v="4289340"/>
    <n v="294956"/>
    <n v="0"/>
    <n v="89.927000000000007"/>
    <n v="98.274000000000001"/>
    <n v="3.2368899999999998"/>
    <n v="0"/>
    <n v="0"/>
    <n v="1.70913"/>
    <n v="1.70913"/>
    <n v="0"/>
    <n v="1.55386"/>
    <n v="2.9635199999999999"/>
    <n v="229130000"/>
    <n v="0"/>
    <n v="0"/>
    <n v="0"/>
    <n v="0"/>
    <n v="4421920"/>
    <n v="144137"/>
    <n v="0"/>
    <n v="48"/>
    <x v="8"/>
    <n v="1.14881743017258E-4"/>
    <n v="2.4235566811145709E-4"/>
  </r>
  <r>
    <n v="75.671400000000006"/>
    <n v="85.138999999999996"/>
    <n v="5.4690399999999997"/>
    <n v="0"/>
    <n v="0"/>
    <n v="2.6535899999999999"/>
    <n v="2.6535899999999999"/>
    <n v="0"/>
    <n v="0.53768300000000002"/>
    <n v="5.3222399999999999"/>
    <n v="45734200"/>
    <n v="0"/>
    <n v="0"/>
    <n v="0"/>
    <n v="0"/>
    <n v="3967050"/>
    <n v="272794"/>
    <n v="0"/>
    <n v="90.350899999999996"/>
    <n v="98.274000000000001"/>
    <n v="3.7960699999999998"/>
    <n v="0"/>
    <n v="0"/>
    <n v="1.5377400000000001"/>
    <n v="1.5377400000000001"/>
    <n v="0"/>
    <n v="1.32047"/>
    <n v="2.9635199999999999"/>
    <n v="229260000"/>
    <n v="0"/>
    <n v="0"/>
    <n v="0"/>
    <n v="0"/>
    <n v="3978500"/>
    <n v="129684"/>
    <n v="0"/>
    <n v="49"/>
    <x v="8"/>
    <n v="1.1488238785057647E-4"/>
    <n v="2.4235587858153769E-4"/>
  </r>
  <r>
    <n v="75.612099999999998"/>
    <n v="85.138999999999996"/>
    <n v="2.9616899999999999"/>
    <n v="0"/>
    <n v="0"/>
    <n v="2.6540900000000001"/>
    <n v="2.6540900000000001"/>
    <n v="0"/>
    <n v="0.49728299999999998"/>
    <n v="5.3222399999999999"/>
    <n v="46007000"/>
    <n v="0"/>
    <n v="0"/>
    <n v="0"/>
    <n v="0"/>
    <n v="3967800"/>
    <n v="272846"/>
    <n v="0"/>
    <n v="90.508899999999997"/>
    <n v="98.274000000000001"/>
    <n v="2.9740700000000002"/>
    <n v="0"/>
    <n v="0"/>
    <n v="1.53803"/>
    <n v="1.53803"/>
    <n v="0"/>
    <n v="1.1880599999999999"/>
    <n v="2.9635199999999999"/>
    <n v="229390000"/>
    <n v="0"/>
    <n v="0"/>
    <n v="0"/>
    <n v="0"/>
    <n v="3979260"/>
    <n v="129708"/>
    <n v="0"/>
    <n v="50"/>
    <x v="8"/>
    <n v="1.1488170310619021E-4"/>
    <n v="2.4235625723179901E-4"/>
  </r>
  <r>
    <n v="76.116900000000001"/>
    <n v="85.138999999999996"/>
    <n v="3.4541300000000001"/>
    <n v="0"/>
    <n v="0"/>
    <n v="2.6545899999999998"/>
    <n v="2.6545899999999998"/>
    <n v="0"/>
    <n v="0.49737700000000001"/>
    <n v="5.3222399999999999"/>
    <n v="46279900"/>
    <n v="0"/>
    <n v="0"/>
    <n v="0"/>
    <n v="0"/>
    <n v="3968550"/>
    <n v="272898"/>
    <n v="0"/>
    <n v="90.705500000000001"/>
    <n v="98.274000000000001"/>
    <n v="3.1464599999999998"/>
    <n v="0"/>
    <n v="0"/>
    <n v="1.5383199999999999"/>
    <n v="1.5383199999999999"/>
    <n v="0"/>
    <n v="1.18828"/>
    <n v="2.9635199999999999"/>
    <n v="229520000"/>
    <n v="0"/>
    <n v="0"/>
    <n v="0"/>
    <n v="0"/>
    <n v="3980010"/>
    <n v="129733"/>
    <n v="0"/>
    <n v="51"/>
    <x v="8"/>
    <n v="1.1488219279627668E-4"/>
    <n v="2.4235663573894125E-4"/>
  </r>
  <r>
    <n v="82.317899999999995"/>
    <n v="85.138999999999996"/>
    <n v="9.3935399999999998"/>
    <n v="0"/>
    <n v="0"/>
    <n v="2.6551"/>
    <n v="2.6551"/>
    <n v="0"/>
    <n v="0.497471"/>
    <n v="5.3222399999999999"/>
    <n v="46552900"/>
    <n v="0"/>
    <n v="0"/>
    <n v="0"/>
    <n v="0"/>
    <n v="3969300"/>
    <n v="272949"/>
    <n v="0"/>
    <n v="92.053299999999993"/>
    <n v="98.274000000000001"/>
    <n v="6.7457200000000004"/>
    <n v="0"/>
    <n v="0"/>
    <n v="1.53861"/>
    <n v="1.53861"/>
    <n v="0"/>
    <n v="1.18851"/>
    <n v="2.9635199999999999"/>
    <n v="229649000"/>
    <n v="0"/>
    <n v="0"/>
    <n v="0"/>
    <n v="0"/>
    <n v="3980760"/>
    <n v="129757"/>
    <n v="0"/>
    <n v="52"/>
    <x v="8"/>
    <n v="1.1488179694076738E-4"/>
    <n v="2.423561261857929E-4"/>
  </r>
  <r>
    <n v="85.138999999999996"/>
    <n v="85.138999999999996"/>
    <n v="10.1432"/>
    <n v="0"/>
    <n v="0"/>
    <n v="2.6556000000000002"/>
    <n v="2.6556000000000002"/>
    <n v="0"/>
    <n v="0.49756499999999998"/>
    <n v="5.3222399999999999"/>
    <n v="46825900"/>
    <n v="0"/>
    <n v="0"/>
    <n v="0"/>
    <n v="0"/>
    <n v="3970050"/>
    <n v="273001"/>
    <n v="0"/>
    <n v="93.682900000000004"/>
    <n v="98.274000000000001"/>
    <n v="7.9538399999999996"/>
    <n v="0"/>
    <n v="0"/>
    <n v="1.5388999999999999"/>
    <n v="1.5388999999999999"/>
    <n v="0"/>
    <n v="1.1887300000000001"/>
    <n v="2.9635199999999999"/>
    <n v="229779000"/>
    <n v="0"/>
    <n v="0"/>
    <n v="0"/>
    <n v="0"/>
    <n v="3981510"/>
    <n v="129782"/>
    <n v="0"/>
    <n v="1"/>
    <x v="9"/>
    <n v="5.6833707986610231E-5"/>
    <n v="1.1989680252579772E-4"/>
  </r>
  <r>
    <n v="85.138999999999996"/>
    <n v="85.138999999999996"/>
    <n v="6.7229599999999996"/>
    <n v="0"/>
    <n v="0"/>
    <n v="2.7393000000000001"/>
    <n v="2.7393000000000001"/>
    <n v="0"/>
    <n v="0.49765900000000002"/>
    <n v="5.3222399999999999"/>
    <n v="47107500"/>
    <n v="0"/>
    <n v="0"/>
    <n v="0"/>
    <n v="29016000"/>
    <n v="4095180"/>
    <n v="281605"/>
    <n v="0"/>
    <n v="94.849699999999999"/>
    <n v="98.274000000000001"/>
    <n v="7.1199000000000003"/>
    <n v="0"/>
    <n v="0"/>
    <n v="1.5889599999999999"/>
    <n v="1.5889599999999999"/>
    <n v="0"/>
    <n v="1.18896"/>
    <n v="2.9635199999999999"/>
    <n v="229913000"/>
    <n v="0"/>
    <n v="0"/>
    <n v="0"/>
    <n v="7883220"/>
    <n v="4111010"/>
    <n v="134003"/>
    <n v="0"/>
    <n v="2"/>
    <x v="9"/>
    <n v="3.4002806994866087E-3"/>
    <n v="1.2473791016265171E-2"/>
  </r>
  <r>
    <n v="85.138999999999996"/>
    <n v="85.138999999999996"/>
    <n v="15.298299999999999"/>
    <n v="0"/>
    <n v="0"/>
    <n v="2.7397900000000002"/>
    <n v="2.7397900000000002"/>
    <n v="0"/>
    <n v="0.51334500000000005"/>
    <n v="5.3222399999999999"/>
    <n v="47389100"/>
    <n v="0"/>
    <n v="0"/>
    <n v="0"/>
    <n v="0"/>
    <n v="4095920"/>
    <n v="281656"/>
    <n v="0"/>
    <n v="98.412800000000004"/>
    <n v="98.274000000000001"/>
    <n v="11.514699999999999"/>
    <n v="0"/>
    <n v="0"/>
    <n v="1.5892500000000001"/>
    <n v="1.5892500000000001"/>
    <n v="0"/>
    <n v="1.22763"/>
    <n v="2.9635199999999999"/>
    <n v="230047000"/>
    <n v="0"/>
    <n v="0"/>
    <n v="0"/>
    <n v="0"/>
    <n v="4111760"/>
    <n v="134027"/>
    <n v="0"/>
    <n v="3"/>
    <x v="9"/>
    <n v="5.6833431551519857E-5"/>
    <n v="1.1989660382690768E-4"/>
  </r>
  <r>
    <n v="85.138999999999996"/>
    <n v="85.138999999999996"/>
    <n v="6.9963800000000003"/>
    <n v="0"/>
    <n v="0"/>
    <n v="2.7402899999999999"/>
    <n v="2.7402899999999999"/>
    <n v="0"/>
    <n v="0.51343799999999995"/>
    <n v="5.3222399999999999"/>
    <n v="47670800"/>
    <n v="0"/>
    <n v="0"/>
    <n v="0"/>
    <n v="0"/>
    <n v="4096670"/>
    <n v="281707"/>
    <n v="0"/>
    <n v="99.302199999999999"/>
    <n v="98.274000000000001"/>
    <n v="6.36965"/>
    <n v="0"/>
    <n v="0"/>
    <n v="1.5895300000000001"/>
    <n v="1.5895300000000001"/>
    <n v="0"/>
    <n v="1.2278500000000001"/>
    <n v="2.9635199999999999"/>
    <n v="230181000"/>
    <n v="0"/>
    <n v="0"/>
    <n v="0"/>
    <n v="0"/>
    <n v="4112500"/>
    <n v="134052"/>
    <n v="0"/>
    <n v="4"/>
    <x v="9"/>
    <n v="5.6833804197313325E-5"/>
    <n v="1.1989635963034909E-4"/>
  </r>
  <r>
    <n v="85.138999999999996"/>
    <n v="85.138999999999996"/>
    <n v="5.0223800000000001"/>
    <n v="0"/>
    <n v="0"/>
    <n v="2.7407900000000001"/>
    <n v="2.7407900000000001"/>
    <n v="0"/>
    <n v="0.51353099999999996"/>
    <n v="5.3222399999999999"/>
    <n v="47952600"/>
    <n v="0"/>
    <n v="0"/>
    <n v="0"/>
    <n v="0"/>
    <n v="4097410"/>
    <n v="281758"/>
    <n v="0"/>
    <n v="99.302199999999999"/>
    <n v="98.274000000000001"/>
    <n v="4.9359700000000002"/>
    <n v="0"/>
    <n v="0"/>
    <n v="1.58982"/>
    <n v="1.58982"/>
    <n v="0"/>
    <n v="1.22807"/>
    <n v="2.9635199999999999"/>
    <n v="230315000"/>
    <n v="0"/>
    <n v="0"/>
    <n v="0"/>
    <n v="0"/>
    <n v="4113250"/>
    <n v="134076"/>
    <n v="0"/>
    <n v="5"/>
    <x v="9"/>
    <n v="5.6833614644579804E-5"/>
    <n v="1.1989640813758367E-4"/>
  </r>
  <r>
    <n v="85.138999999999996"/>
    <n v="85.138999999999996"/>
    <n v="5.9675500000000001"/>
    <n v="0"/>
    <n v="0"/>
    <n v="3.0086599999999999"/>
    <n v="3.0086599999999999"/>
    <n v="0"/>
    <n v="0.51362399999999997"/>
    <n v="5.3222399999999999"/>
    <n v="48261900"/>
    <n v="0"/>
    <n v="0"/>
    <n v="0"/>
    <n v="0"/>
    <n v="4497870"/>
    <n v="309296"/>
    <n v="0"/>
    <n v="99.302199999999999"/>
    <n v="98.274000000000001"/>
    <n v="5.8960699999999999"/>
    <n v="0"/>
    <n v="0"/>
    <n v="1.7770699999999999"/>
    <n v="1.7770699999999999"/>
    <n v="0"/>
    <n v="1.2282999999999999"/>
    <n v="2.9635199999999999"/>
    <n v="230465000"/>
    <n v="0"/>
    <n v="0"/>
    <n v="0"/>
    <n v="0"/>
    <n v="4597710"/>
    <n v="149868"/>
    <n v="0"/>
    <n v="6"/>
    <x v="9"/>
    <n v="5.6833797657571846E-5"/>
    <n v="1.198965659325069E-4"/>
  </r>
  <r>
    <n v="85.138999999999996"/>
    <n v="85.138999999999996"/>
    <n v="16.694199999999999"/>
    <n v="0"/>
    <n v="0"/>
    <n v="3.0092099999999999"/>
    <n v="3.0092099999999999"/>
    <n v="0"/>
    <n v="0.56382299999999996"/>
    <n v="5.3222399999999999"/>
    <n v="48571200"/>
    <n v="0"/>
    <n v="0"/>
    <n v="0"/>
    <n v="0"/>
    <n v="4498690"/>
    <n v="309352"/>
    <n v="0"/>
    <n v="99.302199999999999"/>
    <n v="98.274000000000001"/>
    <n v="13.8171"/>
    <n v="0"/>
    <n v="0"/>
    <n v="1.77739"/>
    <n v="1.77739"/>
    <n v="0"/>
    <n v="1.37297"/>
    <n v="2.9635199999999999"/>
    <n v="230615000"/>
    <n v="0"/>
    <n v="0"/>
    <n v="0"/>
    <n v="0"/>
    <n v="4598540"/>
    <n v="149895"/>
    <n v="0"/>
    <n v="7"/>
    <x v="9"/>
    <n v="5.683377685373669E-5"/>
    <n v="1.1989641582772633E-4"/>
  </r>
  <r>
    <n v="85.138999999999996"/>
    <n v="85.138999999999996"/>
    <n v="8.1974"/>
    <n v="0"/>
    <n v="0"/>
    <n v="3.0097499999999999"/>
    <n v="3.0097499999999999"/>
    <n v="0"/>
    <n v="0.56392500000000001"/>
    <n v="5.3222399999999999"/>
    <n v="48880600"/>
    <n v="0"/>
    <n v="0"/>
    <n v="0"/>
    <n v="0"/>
    <n v="4499500"/>
    <n v="309408"/>
    <n v="0"/>
    <n v="99.302199999999999"/>
    <n v="98.274000000000001"/>
    <n v="7.4346699999999997"/>
    <n v="0"/>
    <n v="0"/>
    <n v="1.77772"/>
    <n v="1.77772"/>
    <n v="0"/>
    <n v="1.3732200000000001"/>
    <n v="2.9635199999999999"/>
    <n v="230765000"/>
    <n v="0"/>
    <n v="0"/>
    <n v="0"/>
    <n v="0"/>
    <n v="4599380"/>
    <n v="149922"/>
    <n v="0"/>
    <n v="8"/>
    <x v="9"/>
    <n v="5.6833632489111577E-5"/>
    <n v="1.1989653224341002E-4"/>
  </r>
  <r>
    <n v="85.138999999999996"/>
    <n v="85.138999999999996"/>
    <n v="5.6785699999999997"/>
    <n v="0"/>
    <n v="0"/>
    <n v="3.0103"/>
    <n v="3.0103"/>
    <n v="0"/>
    <n v="0.56402799999999997"/>
    <n v="5.3222399999999999"/>
    <n v="49190100"/>
    <n v="0"/>
    <n v="0"/>
    <n v="0"/>
    <n v="0"/>
    <n v="4500320"/>
    <n v="309464"/>
    <n v="0"/>
    <n v="99.302199999999999"/>
    <n v="98.274000000000001"/>
    <n v="6.0653699999999997"/>
    <n v="0"/>
    <n v="0"/>
    <n v="1.7780400000000001"/>
    <n v="1.7780400000000001"/>
    <n v="0"/>
    <n v="1.3734599999999999"/>
    <n v="2.9635199999999999"/>
    <n v="230915000"/>
    <n v="0"/>
    <n v="0"/>
    <n v="0"/>
    <n v="0"/>
    <n v="4600210"/>
    <n v="149949"/>
    <n v="0"/>
    <n v="9"/>
    <x v="9"/>
    <n v="5.6833611722629558E-5"/>
    <n v="1.1989638219913533E-4"/>
  </r>
  <r>
    <n v="85.138999999999996"/>
    <n v="85.138999999999996"/>
    <n v="5.7848699999999997"/>
    <n v="0"/>
    <n v="0"/>
    <n v="2.6292"/>
    <n v="2.6292"/>
    <n v="0"/>
    <n v="0.56413000000000002"/>
    <n v="5.3222399999999999"/>
    <n v="49460400"/>
    <n v="0"/>
    <n v="0"/>
    <n v="0"/>
    <n v="0"/>
    <n v="3930590"/>
    <n v="270287"/>
    <n v="0"/>
    <n v="99.302199999999999"/>
    <n v="98.274000000000001"/>
    <n v="8.0259699999999992"/>
    <n v="0"/>
    <n v="0"/>
    <n v="1.5272699999999999"/>
    <n v="1.5272699999999999"/>
    <n v="0"/>
    <n v="1.37371"/>
    <n v="2.9635199999999999"/>
    <n v="231044000"/>
    <n v="0"/>
    <n v="0"/>
    <n v="0"/>
    <n v="0"/>
    <n v="3951420"/>
    <n v="128801"/>
    <n v="0"/>
    <n v="10"/>
    <x v="9"/>
    <n v="5.6833628089433466E-5"/>
    <n v="1.1989656830437087E-4"/>
  </r>
  <r>
    <n v="85.138999999999996"/>
    <n v="85.138999999999996"/>
    <n v="5.9864499999999996"/>
    <n v="0"/>
    <n v="0"/>
    <n v="2.62968"/>
    <n v="2.62968"/>
    <n v="0"/>
    <n v="0.49271199999999998"/>
    <n v="5.3222399999999999"/>
    <n v="49730700"/>
    <n v="0"/>
    <n v="0"/>
    <n v="0"/>
    <n v="0"/>
    <n v="3931300"/>
    <n v="270336"/>
    <n v="0"/>
    <n v="99.302199999999999"/>
    <n v="98.274000000000001"/>
    <n v="6.5464000000000002"/>
    <n v="0"/>
    <n v="0"/>
    <n v="1.52755"/>
    <n v="1.52755"/>
    <n v="0"/>
    <n v="1.17997"/>
    <n v="2.9635199999999999"/>
    <n v="231172000"/>
    <n v="0"/>
    <n v="0"/>
    <n v="0"/>
    <n v="0"/>
    <n v="3952130"/>
    <n v="128824"/>
    <n v="0"/>
    <n v="11"/>
    <x v="9"/>
    <n v="5.6833564890504385E-5"/>
    <n v="1.1989664674077728E-4"/>
  </r>
  <r>
    <n v="85.138999999999996"/>
    <n v="85.138999999999996"/>
    <n v="6.1406000000000001"/>
    <n v="0"/>
    <n v="0"/>
    <n v="2.63015"/>
    <n v="2.63015"/>
    <n v="0"/>
    <n v="0.49280099999999999"/>
    <n v="5.3222399999999999"/>
    <n v="50001100"/>
    <n v="0"/>
    <n v="0"/>
    <n v="0"/>
    <n v="0"/>
    <n v="3932010"/>
    <n v="270385"/>
    <n v="0"/>
    <n v="99.302199999999999"/>
    <n v="98.274000000000001"/>
    <n v="7.0273199999999996"/>
    <n v="0"/>
    <n v="0"/>
    <n v="1.52783"/>
    <n v="1.52783"/>
    <n v="0"/>
    <n v="1.18018"/>
    <n v="2.9635199999999999"/>
    <n v="231301000"/>
    <n v="0"/>
    <n v="0"/>
    <n v="0"/>
    <n v="0"/>
    <n v="3952850"/>
    <n v="128848"/>
    <n v="0"/>
    <n v="12"/>
    <x v="9"/>
    <n v="5.6833799027556294E-5"/>
    <n v="1.1989672514885729E-4"/>
  </r>
  <r>
    <n v="85.138999999999996"/>
    <n v="85.138999999999996"/>
    <n v="8.21373"/>
    <n v="0"/>
    <n v="0"/>
    <n v="2.63063"/>
    <n v="2.63063"/>
    <n v="0"/>
    <n v="0.49288999999999999"/>
    <n v="5.3222399999999999"/>
    <n v="50271500"/>
    <n v="0"/>
    <n v="0"/>
    <n v="0"/>
    <n v="0"/>
    <n v="3932720"/>
    <n v="270434"/>
    <n v="0"/>
    <n v="99.302199999999999"/>
    <n v="98.274000000000001"/>
    <n v="7.7900799999999997"/>
    <n v="0"/>
    <n v="0"/>
    <n v="1.5281"/>
    <n v="1.5281"/>
    <n v="0"/>
    <n v="1.1803999999999999"/>
    <n v="2.9635199999999999"/>
    <n v="231430000"/>
    <n v="0"/>
    <n v="0"/>
    <n v="0"/>
    <n v="0"/>
    <n v="3953560"/>
    <n v="128871"/>
    <n v="0"/>
    <n v="13"/>
    <x v="9"/>
    <n v="5.6833735820788302E-5"/>
    <n v="1.1989680352862621E-4"/>
  </r>
  <r>
    <n v="85.138999999999996"/>
    <n v="85.138999999999996"/>
    <n v="9.1684599999999996"/>
    <n v="0"/>
    <n v="0"/>
    <n v="2.6311"/>
    <n v="2.6311"/>
    <n v="0"/>
    <n v="0.49297999999999997"/>
    <n v="5.3222399999999999"/>
    <n v="50542000"/>
    <n v="0"/>
    <n v="0"/>
    <n v="0"/>
    <n v="0"/>
    <n v="3933430"/>
    <n v="270483"/>
    <n v="0"/>
    <n v="99.302199999999999"/>
    <n v="98.274000000000001"/>
    <n v="8.3714300000000001"/>
    <n v="0"/>
    <n v="0"/>
    <n v="1.5283800000000001"/>
    <n v="1.5283800000000001"/>
    <n v="0"/>
    <n v="1.1806099999999999"/>
    <n v="2.9635199999999999"/>
    <n v="231559000"/>
    <n v="0"/>
    <n v="0"/>
    <n v="0"/>
    <n v="0"/>
    <n v="3954280"/>
    <n v="128894"/>
    <n v="0"/>
    <n v="14"/>
    <x v="9"/>
    <n v="5.6833528909737211E-5"/>
    <n v="1.1989688188009943E-4"/>
  </r>
  <r>
    <n v="85.138999999999996"/>
    <n v="85.138999999999996"/>
    <n v="8.6162600000000005"/>
    <n v="0"/>
    <n v="0"/>
    <n v="2.7277300000000002"/>
    <n v="2.7277300000000002"/>
    <n v="0"/>
    <n v="0.49306899999999998"/>
    <n v="5.3222399999999999"/>
    <n v="50822400"/>
    <n v="0"/>
    <n v="0"/>
    <n v="0"/>
    <n v="0"/>
    <n v="4077890"/>
    <n v="280416"/>
    <n v="0"/>
    <n v="99.302199999999999"/>
    <n v="98.274000000000001"/>
    <n v="10.4818"/>
    <n v="0"/>
    <n v="0"/>
    <n v="1.5901400000000001"/>
    <n v="1.5901400000000001"/>
    <n v="0"/>
    <n v="1.18083"/>
    <n v="2.9635199999999999"/>
    <n v="231693000"/>
    <n v="0"/>
    <n v="0"/>
    <n v="0"/>
    <n v="0"/>
    <n v="4114060"/>
    <n v="134103"/>
    <n v="0"/>
    <n v="15"/>
    <x v="9"/>
    <n v="5.6833867717438635E-5"/>
    <n v="1.1989653251708309E-4"/>
  </r>
  <r>
    <n v="85.138999999999996"/>
    <n v="85.138999999999996"/>
    <n v="8.7751199999999994"/>
    <n v="0"/>
    <n v="0"/>
    <n v="2.7282299999999999"/>
    <n v="2.7282299999999999"/>
    <n v="0"/>
    <n v="0.51117699999999999"/>
    <n v="5.3222399999999999"/>
    <n v="51102900"/>
    <n v="0"/>
    <n v="0"/>
    <n v="0"/>
    <n v="0"/>
    <n v="4078630"/>
    <n v="280467"/>
    <n v="0"/>
    <n v="99.302199999999999"/>
    <n v="98.274000000000001"/>
    <n v="13.9442"/>
    <n v="0"/>
    <n v="0"/>
    <n v="1.59043"/>
    <n v="1.59043"/>
    <n v="0"/>
    <n v="1.22854"/>
    <n v="2.9635199999999999"/>
    <n v="231827000"/>
    <n v="0"/>
    <n v="0"/>
    <n v="0"/>
    <n v="0"/>
    <n v="4114810"/>
    <n v="134127"/>
    <n v="0"/>
    <n v="16"/>
    <x v="9"/>
    <n v="5.6833678224990319E-5"/>
    <n v="1.1989658121630118E-4"/>
  </r>
  <r>
    <n v="85.138999999999996"/>
    <n v="85.138999999999996"/>
    <n v="7.60128"/>
    <n v="0"/>
    <n v="0"/>
    <n v="2.72872"/>
    <n v="2.72872"/>
    <n v="0"/>
    <n v="0.51127"/>
    <n v="5.3222399999999999"/>
    <n v="51383400"/>
    <n v="0"/>
    <n v="0"/>
    <n v="0"/>
    <n v="0"/>
    <n v="4079370"/>
    <n v="280518"/>
    <n v="0"/>
    <n v="99.302199999999999"/>
    <n v="98.274000000000001"/>
    <n v="11.101599999999999"/>
    <n v="0"/>
    <n v="0"/>
    <n v="1.5907100000000001"/>
    <n v="1.5907100000000001"/>
    <n v="0"/>
    <n v="1.2287600000000001"/>
    <n v="2.9635199999999999"/>
    <n v="231961000"/>
    <n v="0"/>
    <n v="0"/>
    <n v="0"/>
    <n v="0"/>
    <n v="4115550"/>
    <n v="134151"/>
    <n v="0"/>
    <n v="17"/>
    <x v="9"/>
    <n v="5.6833626896123062E-5"/>
    <n v="1.1989662989785114E-4"/>
  </r>
  <r>
    <n v="85.138999999999996"/>
    <n v="85.138999999999996"/>
    <n v="6.1087100000000003"/>
    <n v="0"/>
    <n v="0"/>
    <n v="2.7292200000000002"/>
    <n v="2.7292200000000002"/>
    <n v="0"/>
    <n v="0.51136199999999998"/>
    <n v="5.3222399999999999"/>
    <n v="51664000"/>
    <n v="0"/>
    <n v="0"/>
    <n v="0"/>
    <n v="0"/>
    <n v="4080110"/>
    <n v="280569"/>
    <n v="0"/>
    <n v="99.302199999999999"/>
    <n v="98.274000000000001"/>
    <n v="8.3012999999999995"/>
    <n v="0"/>
    <n v="0"/>
    <n v="1.591"/>
    <n v="1.591"/>
    <n v="0"/>
    <n v="1.22898"/>
    <n v="2.9635199999999999"/>
    <n v="232096000"/>
    <n v="0"/>
    <n v="0"/>
    <n v="0"/>
    <n v="0"/>
    <n v="4116300"/>
    <n v="134175"/>
    <n v="0"/>
    <n v="18"/>
    <x v="9"/>
    <n v="5.6833437516144614E-5"/>
    <n v="1.1989667856174258E-4"/>
  </r>
  <r>
    <n v="85.138999999999996"/>
    <n v="85.138999999999996"/>
    <n v="5.1818499999999998"/>
    <n v="0"/>
    <n v="0"/>
    <n v="2.6920899999999999"/>
    <n v="2.6920899999999999"/>
    <n v="0"/>
    <n v="0.51145499999999999"/>
    <n v="5.3222399999999999"/>
    <n v="51940800"/>
    <n v="0"/>
    <n v="0"/>
    <n v="0"/>
    <n v="0"/>
    <n v="4024600"/>
    <n v="276752"/>
    <n v="0"/>
    <n v="99.302199999999999"/>
    <n v="98.274000000000001"/>
    <n v="6.6454599999999999"/>
    <n v="0"/>
    <n v="0"/>
    <n v="1.5673900000000001"/>
    <n v="1.5673900000000001"/>
    <n v="0"/>
    <n v="1.2292099999999999"/>
    <n v="2.9635199999999999"/>
    <n v="232228000"/>
    <n v="0"/>
    <n v="0"/>
    <n v="0"/>
    <n v="0"/>
    <n v="4055220"/>
    <n v="132185"/>
    <n v="0"/>
    <n v="19"/>
    <x v="9"/>
    <n v="5.6833852400578218E-5"/>
    <n v="1.1989674283491972E-4"/>
  </r>
  <r>
    <n v="85.138999999999996"/>
    <n v="85.138999999999996"/>
    <n v="4.5882699999999996"/>
    <n v="0"/>
    <n v="0"/>
    <n v="2.69258"/>
    <n v="2.69258"/>
    <n v="0"/>
    <n v="0.50449699999999997"/>
    <n v="5.3222399999999999"/>
    <n v="52217600"/>
    <n v="0"/>
    <n v="0"/>
    <n v="0"/>
    <n v="0"/>
    <n v="4025330"/>
    <n v="276802"/>
    <n v="0"/>
    <n v="99.302199999999999"/>
    <n v="98.274000000000001"/>
    <n v="6.3126199999999999"/>
    <n v="0"/>
    <n v="0"/>
    <n v="1.56768"/>
    <n v="1.56768"/>
    <n v="0"/>
    <n v="1.2109700000000001"/>
    <n v="2.9635199999999999"/>
    <n v="232360000"/>
    <n v="0"/>
    <n v="0"/>
    <n v="0"/>
    <n v="0"/>
    <n v="4055950"/>
    <n v="132208"/>
    <n v="0"/>
    <n v="20"/>
    <x v="9"/>
    <n v="5.6833510530808482E-5"/>
    <n v="1.1989665684646117E-4"/>
  </r>
  <r>
    <n v="85.138999999999996"/>
    <n v="85.138999999999996"/>
    <n v="4.3290800000000003"/>
    <n v="0"/>
    <n v="0"/>
    <n v="2.69306"/>
    <n v="2.69306"/>
    <n v="0"/>
    <n v="0.50458899999999995"/>
    <n v="5.3222399999999999"/>
    <n v="52494400"/>
    <n v="0"/>
    <n v="0"/>
    <n v="0"/>
    <n v="0"/>
    <n v="4026060"/>
    <n v="276852"/>
    <n v="0"/>
    <n v="99.302199999999999"/>
    <n v="98.274000000000001"/>
    <n v="6.1187800000000001"/>
    <n v="0"/>
    <n v="0"/>
    <n v="1.56796"/>
    <n v="1.56796"/>
    <n v="0"/>
    <n v="1.21119"/>
    <n v="2.9635199999999999"/>
    <n v="232492000"/>
    <n v="0"/>
    <n v="0"/>
    <n v="0"/>
    <n v="0"/>
    <n v="4056690"/>
    <n v="132232"/>
    <n v="0"/>
    <n v="21"/>
    <x v="9"/>
    <n v="5.6833458487781787E-5"/>
    <n v="1.1989657088918524E-4"/>
  </r>
  <r>
    <n v="85.138999999999996"/>
    <n v="85.138999999999996"/>
    <n v="4.1006799999999997"/>
    <n v="0"/>
    <n v="0"/>
    <n v="2.6935500000000001"/>
    <n v="2.6935500000000001"/>
    <n v="0"/>
    <n v="0.50468000000000002"/>
    <n v="5.3222399999999999"/>
    <n v="52771300"/>
    <n v="0"/>
    <n v="0"/>
    <n v="0"/>
    <n v="0"/>
    <n v="4026790"/>
    <n v="276902"/>
    <n v="0"/>
    <n v="99.302199999999999"/>
    <n v="98.274000000000001"/>
    <n v="7.3669799999999999"/>
    <n v="0"/>
    <n v="0"/>
    <n v="1.5682499999999999"/>
    <n v="1.5682499999999999"/>
    <n v="0"/>
    <n v="1.2114100000000001"/>
    <n v="2.9635199999999999"/>
    <n v="232625000"/>
    <n v="0"/>
    <n v="0"/>
    <n v="0"/>
    <n v="0"/>
    <n v="4057420"/>
    <n v="132256"/>
    <n v="0"/>
    <n v="22"/>
    <x v="9"/>
    <n v="5.6833546536509981E-5"/>
    <n v="1.1989648496307497E-4"/>
  </r>
  <r>
    <n v="85.138999999999996"/>
    <n v="85.138999999999996"/>
    <n v="3.9445000000000001"/>
    <n v="0"/>
    <n v="0"/>
    <n v="2.8218399999999999"/>
    <n v="2.8218399999999999"/>
    <n v="0"/>
    <n v="0.504772"/>
    <n v="5.3222399999999999"/>
    <n v="53061400"/>
    <n v="0"/>
    <n v="0"/>
    <n v="0"/>
    <n v="0"/>
    <n v="4218570"/>
    <n v="290090"/>
    <n v="0"/>
    <n v="99.302199999999999"/>
    <n v="98.274000000000001"/>
    <n v="6.2568200000000003"/>
    <n v="0"/>
    <n v="0"/>
    <n v="1.65333"/>
    <n v="1.65333"/>
    <n v="0"/>
    <n v="1.21163"/>
    <n v="2.9635199999999999"/>
    <n v="232764000"/>
    <n v="0"/>
    <n v="0"/>
    <n v="0"/>
    <n v="0"/>
    <n v="4277560"/>
    <n v="139432"/>
    <n v="0"/>
    <n v="23"/>
    <x v="9"/>
    <n v="5.6833668101172092E-5"/>
    <n v="1.1989659180682931E-4"/>
  </r>
  <r>
    <n v="85.138999999999996"/>
    <n v="85.138999999999996"/>
    <n v="4.05504"/>
    <n v="0"/>
    <n v="0"/>
    <n v="2.8223500000000001"/>
    <n v="2.8223500000000001"/>
    <n v="0"/>
    <n v="0.52881199999999995"/>
    <n v="5.3222399999999999"/>
    <n v="53351500"/>
    <n v="0"/>
    <n v="0"/>
    <n v="0"/>
    <n v="0"/>
    <n v="4219340"/>
    <n v="290143"/>
    <n v="0"/>
    <n v="99.302199999999999"/>
    <n v="98.274000000000001"/>
    <n v="5.6993099999999997"/>
    <n v="0"/>
    <n v="0"/>
    <n v="1.6536299999999999"/>
    <n v="1.6536299999999999"/>
    <n v="0"/>
    <n v="1.2773600000000001"/>
    <n v="2.9635199999999999"/>
    <n v="232903000"/>
    <n v="0"/>
    <n v="0"/>
    <n v="0"/>
    <n v="0"/>
    <n v="4278340"/>
    <n v="139457"/>
    <n v="0"/>
    <n v="24"/>
    <x v="9"/>
    <n v="5.6833494899429092E-5"/>
    <n v="1.1989661285848127E-4"/>
  </r>
  <r>
    <n v="85.138999999999996"/>
    <n v="85.138999999999996"/>
    <n v="3.5219499999999999"/>
    <n v="0"/>
    <n v="0"/>
    <n v="2.8228599999999999"/>
    <n v="2.8228599999999999"/>
    <n v="0"/>
    <n v="0.52890800000000004"/>
    <n v="5.3222399999999999"/>
    <n v="53641700"/>
    <n v="0"/>
    <n v="0"/>
    <n v="0"/>
    <n v="0"/>
    <n v="4220100"/>
    <n v="290195"/>
    <n v="0"/>
    <n v="99.302199999999999"/>
    <n v="98.274000000000001"/>
    <n v="5.0622800000000003"/>
    <n v="0"/>
    <n v="0"/>
    <n v="1.6539299999999999"/>
    <n v="1.6539299999999999"/>
    <n v="0"/>
    <n v="1.2776000000000001"/>
    <n v="2.9635199999999999"/>
    <n v="233043000"/>
    <n v="0"/>
    <n v="0"/>
    <n v="0"/>
    <n v="0"/>
    <n v="4279110"/>
    <n v="139483"/>
    <n v="0"/>
    <n v="25"/>
    <x v="9"/>
    <n v="5.6833862037433999E-5"/>
    <n v="1.1989650485255464E-4"/>
  </r>
  <r>
    <n v="85.138999999999996"/>
    <n v="85.138999999999996"/>
    <n v="3.3617300000000001"/>
    <n v="0"/>
    <n v="0"/>
    <n v="2.8233700000000002"/>
    <n v="2.8233700000000002"/>
    <n v="0"/>
    <n v="0.52900400000000003"/>
    <n v="5.3222399999999999"/>
    <n v="53932000"/>
    <n v="0"/>
    <n v="0"/>
    <n v="0"/>
    <n v="0"/>
    <n v="4220870"/>
    <n v="290248"/>
    <n v="0"/>
    <n v="99.302199999999999"/>
    <n v="98.274000000000001"/>
    <n v="4.8655799999999996"/>
    <n v="0"/>
    <n v="0"/>
    <n v="1.6542300000000001"/>
    <n v="1.6542300000000001"/>
    <n v="0"/>
    <n v="1.27783"/>
    <n v="2.9635199999999999"/>
    <n v="233182000"/>
    <n v="0"/>
    <n v="0"/>
    <n v="0"/>
    <n v="0"/>
    <n v="4279890"/>
    <n v="139508"/>
    <n v="0"/>
    <n v="26"/>
    <x v="9"/>
    <n v="5.6833688863073107E-5"/>
    <n v="1.198965259124385E-4"/>
  </r>
  <r>
    <n v="85.138999999999996"/>
    <n v="85.138999999999996"/>
    <n v="3.2182599999999999"/>
    <n v="0"/>
    <n v="0"/>
    <n v="2.8238799999999999"/>
    <n v="2.8238799999999999"/>
    <n v="0"/>
    <n v="0.52910000000000001"/>
    <n v="5.3222399999999999"/>
    <n v="54222300"/>
    <n v="0"/>
    <n v="0"/>
    <n v="0"/>
    <n v="0"/>
    <n v="4221630"/>
    <n v="290301"/>
    <n v="0"/>
    <n v="99.302199999999999"/>
    <n v="98.274000000000001"/>
    <n v="5.1929600000000002"/>
    <n v="0"/>
    <n v="0"/>
    <n v="1.6545300000000001"/>
    <n v="1.6545300000000001"/>
    <n v="0"/>
    <n v="1.27806"/>
    <n v="2.9635199999999999"/>
    <n v="233322000"/>
    <n v="0"/>
    <n v="0"/>
    <n v="0"/>
    <n v="0"/>
    <n v="4280660"/>
    <n v="139533"/>
    <n v="0"/>
    <n v="27"/>
    <x v="9"/>
    <n v="5.6833648519936588E-5"/>
    <n v="1.1989683096998143E-4"/>
  </r>
  <r>
    <n v="85.138999999999996"/>
    <n v="85.138999999999996"/>
    <n v="4.1311400000000003"/>
    <n v="0"/>
    <n v="0"/>
    <n v="2.7991000000000001"/>
    <n v="2.7991000000000001"/>
    <n v="0"/>
    <n v="0.52919499999999997"/>
    <n v="5.3222399999999999"/>
    <n v="54510000"/>
    <n v="0"/>
    <n v="0"/>
    <n v="0"/>
    <n v="0"/>
    <n v="4184580"/>
    <n v="287753"/>
    <n v="0"/>
    <n v="99.302199999999999"/>
    <n v="98.274000000000001"/>
    <n v="4.9417999999999997"/>
    <n v="0"/>
    <n v="0"/>
    <n v="1.7014800000000001"/>
    <n v="1.7014800000000001"/>
    <n v="0"/>
    <n v="1.2782899999999999"/>
    <n v="2.9635199999999999"/>
    <n v="233465000"/>
    <n v="0"/>
    <n v="0"/>
    <n v="0"/>
    <n v="0"/>
    <n v="4402140"/>
    <n v="143493"/>
    <n v="0"/>
    <n v="28"/>
    <x v="9"/>
    <n v="5.683373593499511E-5"/>
    <n v="1.1989672623290521E-4"/>
  </r>
  <r>
    <n v="85.138999999999996"/>
    <n v="85.138999999999996"/>
    <n v="4.1278600000000001"/>
    <n v="0"/>
    <n v="0"/>
    <n v="2.7995999999999999"/>
    <n v="2.7995999999999999"/>
    <n v="0"/>
    <n v="0.52455099999999999"/>
    <n v="5.3222399999999999"/>
    <n v="54797800"/>
    <n v="0"/>
    <n v="0"/>
    <n v="0"/>
    <n v="0"/>
    <n v="4185340"/>
    <n v="287805"/>
    <n v="0"/>
    <n v="99.302199999999999"/>
    <n v="98.274000000000001"/>
    <n v="4.9163600000000001"/>
    <n v="0"/>
    <n v="0"/>
    <n v="1.7017899999999999"/>
    <n v="1.7017899999999999"/>
    <n v="0"/>
    <n v="1.31456"/>
    <n v="2.9635199999999999"/>
    <n v="233609000"/>
    <n v="0"/>
    <n v="0"/>
    <n v="0"/>
    <n v="0"/>
    <n v="4402940"/>
    <n v="143519"/>
    <n v="0"/>
    <n v="29"/>
    <x v="9"/>
    <n v="5.6833705461319051E-5"/>
    <n v="1.1989661730938275E-4"/>
  </r>
  <r>
    <n v="85.138999999999996"/>
    <n v="85.138999999999996"/>
    <n v="3.6282100000000002"/>
    <n v="0"/>
    <n v="0"/>
    <n v="2.8001100000000001"/>
    <n v="2.8001100000000001"/>
    <n v="0"/>
    <n v="0.52464599999999995"/>
    <n v="5.3222399999999999"/>
    <n v="55085700"/>
    <n v="0"/>
    <n v="0"/>
    <n v="0"/>
    <n v="0"/>
    <n v="4186090"/>
    <n v="287857"/>
    <n v="0"/>
    <n v="99.302199999999999"/>
    <n v="98.274000000000001"/>
    <n v="4.5470499999999996"/>
    <n v="0"/>
    <n v="0"/>
    <n v="1.7020999999999999"/>
    <n v="1.7020999999999999"/>
    <n v="0"/>
    <n v="1.3148"/>
    <n v="2.9635199999999999"/>
    <n v="233753000"/>
    <n v="0"/>
    <n v="0"/>
    <n v="0"/>
    <n v="0"/>
    <n v="4403730"/>
    <n v="143545"/>
    <n v="0"/>
    <n v="30"/>
    <x v="9"/>
    <n v="5.6833804056752084E-5"/>
    <n v="1.1989679484187235E-4"/>
  </r>
  <r>
    <n v="85.138999999999996"/>
    <n v="85.138999999999996"/>
    <n v="3.4944700000000002"/>
    <n v="0"/>
    <n v="0"/>
    <n v="2.8006199999999999"/>
    <n v="2.8006199999999999"/>
    <n v="0"/>
    <n v="0.52474100000000001"/>
    <n v="5.3222399999999999"/>
    <n v="55373600"/>
    <n v="0"/>
    <n v="0"/>
    <n v="0"/>
    <n v="0"/>
    <n v="4186850"/>
    <n v="287909"/>
    <n v="0"/>
    <n v="99.302199999999999"/>
    <n v="98.274000000000001"/>
    <n v="4.7116699999999998"/>
    <n v="0"/>
    <n v="0"/>
    <n v="1.70241"/>
    <n v="1.70241"/>
    <n v="0"/>
    <n v="1.31504"/>
    <n v="2.9635199999999999"/>
    <n v="233896000"/>
    <n v="0"/>
    <n v="0"/>
    <n v="0"/>
    <n v="0"/>
    <n v="4404530"/>
    <n v="143571"/>
    <n v="0"/>
    <n v="31"/>
    <x v="9"/>
    <n v="5.6833773581703743E-5"/>
    <n v="1.1989668594517953E-4"/>
  </r>
  <r>
    <n v="85.138999999999996"/>
    <n v="85.138999999999996"/>
    <n v="3.44258"/>
    <n v="0"/>
    <n v="0"/>
    <n v="2.8664999999999998"/>
    <n v="2.8664999999999998"/>
    <n v="0"/>
    <n v="0.52483599999999997"/>
    <n v="5.3222399999999999"/>
    <n v="55668300"/>
    <n v="0"/>
    <n v="0"/>
    <n v="0"/>
    <n v="0"/>
    <n v="4285340"/>
    <n v="294682"/>
    <n v="0"/>
    <n v="99.302199999999999"/>
    <n v="98.274000000000001"/>
    <n v="4.4053899999999997"/>
    <n v="0"/>
    <n v="0"/>
    <n v="1.7443200000000001"/>
    <n v="1.7443200000000001"/>
    <n v="0"/>
    <n v="1.31528"/>
    <n v="2.9635199999999999"/>
    <n v="234043000"/>
    <n v="0"/>
    <n v="0"/>
    <n v="0"/>
    <n v="0"/>
    <n v="4512970"/>
    <n v="147106"/>
    <n v="0"/>
    <n v="32"/>
    <x v="9"/>
    <n v="5.6833876587124403E-5"/>
    <n v="1.1989681982107762E-4"/>
  </r>
  <r>
    <n v="85.138999999999996"/>
    <n v="85.138999999999996"/>
    <n v="3.5871300000000002"/>
    <n v="0"/>
    <n v="0"/>
    <n v="2.8670200000000001"/>
    <n v="2.8670200000000001"/>
    <n v="0"/>
    <n v="0.53718200000000005"/>
    <n v="5.3222399999999999"/>
    <n v="55963000"/>
    <n v="0"/>
    <n v="0"/>
    <n v="0"/>
    <n v="0"/>
    <n v="4286120"/>
    <n v="294735"/>
    <n v="0"/>
    <n v="99.302199999999999"/>
    <n v="98.274000000000001"/>
    <n v="4.2563899999999997"/>
    <n v="0"/>
    <n v="0"/>
    <n v="1.74464"/>
    <n v="1.74464"/>
    <n v="0"/>
    <n v="1.3476600000000001"/>
    <n v="2.9635199999999999"/>
    <n v="234190000"/>
    <n v="0"/>
    <n v="0"/>
    <n v="0"/>
    <n v="0"/>
    <n v="4513790"/>
    <n v="147132"/>
    <n v="0"/>
    <n v="33"/>
    <x v="9"/>
    <n v="5.683359501358627E-5"/>
    <n v="1.1989656077100624E-4"/>
  </r>
  <r>
    <n v="85.138999999999996"/>
    <n v="85.138999999999996"/>
    <n v="3.28688"/>
    <n v="0"/>
    <n v="0"/>
    <n v="2.86754"/>
    <n v="2.86754"/>
    <n v="0"/>
    <n v="0.53727899999999995"/>
    <n v="5.3222399999999999"/>
    <n v="56257800"/>
    <n v="0"/>
    <n v="0"/>
    <n v="0"/>
    <n v="0"/>
    <n v="4286890"/>
    <n v="294788"/>
    <n v="0"/>
    <n v="99.302199999999999"/>
    <n v="98.274000000000001"/>
    <n v="4.1470399999999996"/>
    <n v="0"/>
    <n v="0"/>
    <n v="1.74495"/>
    <n v="1.74495"/>
    <n v="0"/>
    <n v="1.3479099999999999"/>
    <n v="2.9635199999999999"/>
    <n v="234337000"/>
    <n v="0"/>
    <n v="0"/>
    <n v="0"/>
    <n v="0"/>
    <n v="4514610"/>
    <n v="147159"/>
    <n v="0"/>
    <n v="34"/>
    <x v="9"/>
    <n v="5.6833699748408674E-5"/>
    <n v="1.1989658149651466E-4"/>
  </r>
  <r>
    <n v="85.052300000000002"/>
    <n v="85.138999999999996"/>
    <n v="2.9832999999999998"/>
    <n v="0"/>
    <n v="0"/>
    <n v="2.8680599999999998"/>
    <n v="2.8680599999999998"/>
    <n v="0"/>
    <n v="0.53737599999999996"/>
    <n v="5.3222399999999999"/>
    <n v="56552700"/>
    <n v="0"/>
    <n v="0"/>
    <n v="0"/>
    <n v="0"/>
    <n v="4287670"/>
    <n v="294842"/>
    <n v="0"/>
    <n v="99.302199999999999"/>
    <n v="98.274000000000001"/>
    <n v="3.8055699999999999"/>
    <n v="0"/>
    <n v="0"/>
    <n v="1.7452700000000001"/>
    <n v="1.7452700000000001"/>
    <n v="0"/>
    <n v="1.34815"/>
    <n v="2.9635199999999999"/>
    <n v="234485000"/>
    <n v="0"/>
    <n v="0"/>
    <n v="0"/>
    <n v="0"/>
    <n v="4515430"/>
    <n v="147186"/>
    <n v="0"/>
    <n v="35"/>
    <x v="9"/>
    <n v="5.6833804445191473E-5"/>
    <n v="1.1989672923083378E-4"/>
  </r>
  <r>
    <n v="84.466800000000006"/>
    <n v="85.138999999999996"/>
    <n v="2.6235200000000001"/>
    <n v="0"/>
    <n v="0"/>
    <n v="3.0601600000000002"/>
    <n v="3.0601600000000002"/>
    <n v="0"/>
    <n v="0.53747400000000001"/>
    <n v="5.3222399999999999"/>
    <n v="56867200"/>
    <n v="0"/>
    <n v="0"/>
    <n v="0"/>
    <n v="0"/>
    <n v="4574850"/>
    <n v="314590"/>
    <n v="0"/>
    <n v="99.302199999999999"/>
    <n v="98.274000000000001"/>
    <n v="3.7677800000000001"/>
    <n v="0"/>
    <n v="0"/>
    <n v="1.8958699999999999"/>
    <n v="1.8958699999999999"/>
    <n v="0"/>
    <n v="1.3484"/>
    <n v="2.9635199999999999"/>
    <n v="234645000"/>
    <n v="0"/>
    <n v="0"/>
    <n v="0"/>
    <n v="0"/>
    <n v="4905070"/>
    <n v="159887"/>
    <n v="0"/>
    <n v="36"/>
    <x v="9"/>
    <n v="5.6833877136114442E-5"/>
    <n v="1.1989674537282002E-4"/>
  </r>
  <r>
    <n v="84.719899999999996"/>
    <n v="85.138999999999996"/>
    <n v="3.50814"/>
    <n v="0"/>
    <n v="0"/>
    <n v="3.0607099999999998"/>
    <n v="3.0607099999999998"/>
    <n v="0"/>
    <n v="0.57347300000000001"/>
    <n v="5.3222399999999999"/>
    <n v="57181900"/>
    <n v="0"/>
    <n v="0"/>
    <n v="0"/>
    <n v="0"/>
    <n v="4575680"/>
    <n v="314647"/>
    <n v="0"/>
    <n v="99.302199999999999"/>
    <n v="98.274000000000001"/>
    <n v="3.0410900000000001"/>
    <n v="0"/>
    <n v="0"/>
    <n v="1.89622"/>
    <n v="1.89622"/>
    <n v="0"/>
    <n v="1.46475"/>
    <n v="2.9635199999999999"/>
    <n v="234804000"/>
    <n v="0"/>
    <n v="0"/>
    <n v="0"/>
    <n v="0"/>
    <n v="4905960"/>
    <n v="159915"/>
    <n v="0"/>
    <n v="37"/>
    <x v="9"/>
    <n v="5.6833517941164522E-5"/>
    <n v="1.1989671678260758E-4"/>
  </r>
  <r>
    <n v="84.748800000000003"/>
    <n v="85.138999999999996"/>
    <n v="3.27569"/>
    <n v="0"/>
    <n v="0"/>
    <n v="3.0612599999999999"/>
    <n v="3.0612599999999999"/>
    <n v="0"/>
    <n v="0.573577"/>
    <n v="5.3222399999999999"/>
    <n v="57496600"/>
    <n v="0"/>
    <n v="0"/>
    <n v="0"/>
    <n v="0"/>
    <n v="4576510"/>
    <n v="314704"/>
    <n v="0"/>
    <n v="99.302199999999999"/>
    <n v="98.274000000000001"/>
    <n v="3.5632700000000002"/>
    <n v="0"/>
    <n v="0"/>
    <n v="1.89656"/>
    <n v="1.89656"/>
    <n v="0"/>
    <n v="1.46502"/>
    <n v="2.9635199999999999"/>
    <n v="234964000"/>
    <n v="0"/>
    <n v="0"/>
    <n v="0"/>
    <n v="0"/>
    <n v="4906850"/>
    <n v="159944"/>
    <n v="0"/>
    <n v="38"/>
    <x v="9"/>
    <n v="5.6833514210346167E-5"/>
    <n v="1.1989668820276544E-4"/>
  </r>
  <r>
    <n v="84.589299999999994"/>
    <n v="85.138999999999996"/>
    <n v="3.0920800000000002"/>
    <n v="0"/>
    <n v="0"/>
    <n v="3.06182"/>
    <n v="3.06182"/>
    <n v="0"/>
    <n v="0.573681"/>
    <n v="5.3222399999999999"/>
    <n v="57811400"/>
    <n v="0"/>
    <n v="0"/>
    <n v="0"/>
    <n v="0"/>
    <n v="4577340"/>
    <n v="314761"/>
    <n v="0"/>
    <n v="99.302199999999999"/>
    <n v="98.274000000000001"/>
    <n v="3.96441"/>
    <n v="0"/>
    <n v="0"/>
    <n v="1.8969"/>
    <n v="1.8969"/>
    <n v="0"/>
    <n v="1.4652799999999999"/>
    <n v="2.9635199999999999"/>
    <n v="235124000"/>
    <n v="0"/>
    <n v="0"/>
    <n v="0"/>
    <n v="0"/>
    <n v="4907740"/>
    <n v="159973"/>
    <n v="0"/>
    <n v="39"/>
    <x v="9"/>
    <n v="5.6833510480880951E-5"/>
    <n v="1.1989665963328795E-4"/>
  </r>
  <r>
    <n v="84.337299999999999"/>
    <n v="85.138999999999996"/>
    <n v="2.9857900000000002"/>
    <n v="0"/>
    <n v="0"/>
    <n v="3.06237"/>
    <n v="3.06237"/>
    <n v="0"/>
    <n v="0.57378499999999999"/>
    <n v="5.3222399999999999"/>
    <n v="58126200"/>
    <n v="0"/>
    <n v="0"/>
    <n v="0"/>
    <n v="0"/>
    <n v="4578170"/>
    <n v="314818"/>
    <n v="0"/>
    <n v="99.302199999999999"/>
    <n v="98.274000000000001"/>
    <n v="3.9144100000000002"/>
    <n v="0"/>
    <n v="0"/>
    <n v="1.8972500000000001"/>
    <n v="1.8972500000000001"/>
    <n v="0"/>
    <n v="1.4655499999999999"/>
    <n v="2.9635199999999999"/>
    <n v="235284000"/>
    <n v="0"/>
    <n v="0"/>
    <n v="0"/>
    <n v="0"/>
    <n v="4908630"/>
    <n v="160002"/>
    <n v="0"/>
    <n v="40"/>
    <x v="9"/>
    <n v="5.6833506752768148E-5"/>
    <n v="1.1989663107416949E-4"/>
  </r>
  <r>
    <n v="84.271900000000002"/>
    <n v="85.138999999999996"/>
    <n v="3.03565"/>
    <n v="0"/>
    <n v="0"/>
    <n v="2.9694699999999998"/>
    <n v="2.9694699999999998"/>
    <n v="0"/>
    <n v="0.57388899999999998"/>
    <n v="5.3222399999999999"/>
    <n v="58431400"/>
    <n v="0"/>
    <n v="0"/>
    <n v="0"/>
    <n v="0"/>
    <n v="4439290"/>
    <n v="305268"/>
    <n v="0"/>
    <n v="99.302199999999999"/>
    <n v="98.274000000000001"/>
    <n v="3.14669"/>
    <n v="0"/>
    <n v="0"/>
    <n v="1.80629"/>
    <n v="1.80629"/>
    <n v="0"/>
    <n v="1.4658100000000001"/>
    <n v="2.9635199999999999"/>
    <n v="235437000"/>
    <n v="0"/>
    <n v="0"/>
    <n v="0"/>
    <n v="0"/>
    <n v="4673300"/>
    <n v="152332"/>
    <n v="0"/>
    <n v="41"/>
    <x v="9"/>
    <n v="5.6833816753155786E-5"/>
    <n v="1.1989666541911985E-4"/>
  </r>
  <r>
    <n v="84.141300000000001"/>
    <n v="85.138999999999996"/>
    <n v="3.05009"/>
    <n v="0"/>
    <n v="0"/>
    <n v="2.9700099999999998"/>
    <n v="2.9700099999999998"/>
    <n v="0"/>
    <n v="0.55647899999999995"/>
    <n v="5.3222399999999999"/>
    <n v="58736800"/>
    <n v="0"/>
    <n v="0"/>
    <n v="0"/>
    <n v="0"/>
    <n v="4440090"/>
    <n v="305323"/>
    <n v="0"/>
    <n v="99.302199999999999"/>
    <n v="98.274000000000001"/>
    <n v="3.3817200000000001"/>
    <n v="0"/>
    <n v="0"/>
    <n v="1.8066199999999999"/>
    <n v="1.8066199999999999"/>
    <n v="0"/>
    <n v="1.39554"/>
    <n v="2.9635199999999999"/>
    <n v="235589000"/>
    <n v="0"/>
    <n v="0"/>
    <n v="0"/>
    <n v="0"/>
    <n v="4674150"/>
    <n v="152359"/>
    <n v="0"/>
    <n v="42"/>
    <x v="9"/>
    <n v="5.6833553098918651E-5"/>
    <n v="1.1989666069107312E-4"/>
  </r>
  <r>
    <n v="84.242800000000003"/>
    <n v="85.138999999999996"/>
    <n v="3.3054700000000001"/>
    <n v="0"/>
    <n v="0"/>
    <n v="2.9705499999999998"/>
    <n v="2.9705499999999998"/>
    <n v="0"/>
    <n v="0.55657999999999996"/>
    <n v="5.3222399999999999"/>
    <n v="59042100"/>
    <n v="0"/>
    <n v="0"/>
    <n v="0"/>
    <n v="0"/>
    <n v="4440900"/>
    <n v="305378"/>
    <n v="0"/>
    <n v="99.302199999999999"/>
    <n v="98.274000000000001"/>
    <n v="3.7080600000000001"/>
    <n v="0"/>
    <n v="0"/>
    <n v="1.80694"/>
    <n v="1.80694"/>
    <n v="0"/>
    <n v="1.3957900000000001"/>
    <n v="2.9635199999999999"/>
    <n v="235741000"/>
    <n v="0"/>
    <n v="0"/>
    <n v="0"/>
    <n v="0"/>
    <n v="4674990"/>
    <n v="152387"/>
    <n v="0"/>
    <n v="43"/>
    <x v="9"/>
    <n v="5.6833784066255812E-5"/>
    <n v="1.1989638598194266E-4"/>
  </r>
  <r>
    <n v="84.400400000000005"/>
    <n v="85.138999999999996"/>
    <n v="3.41683"/>
    <n v="0"/>
    <n v="0"/>
    <n v="2.9710899999999998"/>
    <n v="2.9710899999999998"/>
    <n v="0"/>
    <n v="0.55668099999999998"/>
    <n v="5.3222399999999999"/>
    <n v="59347600"/>
    <n v="0"/>
    <n v="0"/>
    <n v="0"/>
    <n v="0"/>
    <n v="4441700"/>
    <n v="305434"/>
    <n v="0"/>
    <n v="99.302199999999999"/>
    <n v="98.274000000000001"/>
    <n v="3.9074499999999999"/>
    <n v="0"/>
    <n v="0"/>
    <n v="1.8072699999999999"/>
    <n v="1.8072699999999999"/>
    <n v="0"/>
    <n v="1.3960399999999999"/>
    <n v="2.9635199999999999"/>
    <n v="235894000"/>
    <n v="0"/>
    <n v="0"/>
    <n v="0"/>
    <n v="0"/>
    <n v="4675840"/>
    <n v="152414"/>
    <n v="0"/>
    <n v="44"/>
    <x v="9"/>
    <n v="5.683352051325386E-5"/>
    <n v="1.1989677385154298E-4"/>
  </r>
  <r>
    <n v="84.427599999999998"/>
    <n v="85.138999999999996"/>
    <n v="3.4117899999999999"/>
    <n v="0"/>
    <n v="0"/>
    <n v="2.89486"/>
    <n v="2.89486"/>
    <n v="0"/>
    <n v="0.556782"/>
    <n v="5.3222399999999999"/>
    <n v="59645200"/>
    <n v="0"/>
    <n v="0"/>
    <n v="0"/>
    <n v="0"/>
    <n v="4327750"/>
    <n v="297597"/>
    <n v="0"/>
    <n v="99.302199999999999"/>
    <n v="98.274000000000001"/>
    <n v="4.7802499999999997"/>
    <n v="0"/>
    <n v="0"/>
    <n v="1.7244299999999999"/>
    <n v="1.7244299999999999"/>
    <n v="0"/>
    <n v="1.3963000000000001"/>
    <n v="2.9635199999999999"/>
    <n v="236039000"/>
    <n v="0"/>
    <n v="0"/>
    <n v="0"/>
    <n v="0"/>
    <n v="4461510"/>
    <n v="145428"/>
    <n v="0"/>
    <n v="45"/>
    <x v="9"/>
    <n v="5.6833643740646187E-5"/>
    <n v="1.1989628417522275E-4"/>
  </r>
  <r>
    <n v="82.8523"/>
    <n v="85.138999999999996"/>
    <n v="1.6365499999999999"/>
    <n v="0"/>
    <n v="0"/>
    <n v="2.8953899999999999"/>
    <n v="2.8953899999999999"/>
    <n v="0"/>
    <n v="0.54249700000000001"/>
    <n v="5.3222399999999999"/>
    <n v="59942800"/>
    <n v="0"/>
    <n v="0"/>
    <n v="0"/>
    <n v="0"/>
    <n v="4328530"/>
    <n v="297651"/>
    <n v="0"/>
    <n v="99.302199999999999"/>
    <n v="98.274000000000001"/>
    <n v="3.0741000000000001"/>
    <n v="0"/>
    <n v="0"/>
    <n v="1.7247399999999999"/>
    <n v="1.7247399999999999"/>
    <n v="0"/>
    <n v="1.3323"/>
    <n v="2.9635199999999999"/>
    <n v="236185000"/>
    <n v="0"/>
    <n v="0"/>
    <n v="0"/>
    <n v="0"/>
    <n v="4462320"/>
    <n v="145454"/>
    <n v="0"/>
    <n v="46"/>
    <x v="9"/>
    <n v="5.6833486325568564E-5"/>
    <n v="1.1989643056855228E-4"/>
  </r>
  <r>
    <n v="84.184799999999996"/>
    <n v="85.138999999999996"/>
    <n v="4.56541"/>
    <n v="0"/>
    <n v="0"/>
    <n v="2.8959100000000002"/>
    <n v="2.8959100000000002"/>
    <n v="0"/>
    <n v="0.54259500000000005"/>
    <n v="5.3222399999999999"/>
    <n v="60240500"/>
    <n v="0"/>
    <n v="0"/>
    <n v="0"/>
    <n v="0"/>
    <n v="4329310"/>
    <n v="297705"/>
    <n v="0"/>
    <n v="99.302199999999999"/>
    <n v="98.274000000000001"/>
    <n v="5.0334199999999996"/>
    <n v="0"/>
    <n v="0"/>
    <n v="1.72506"/>
    <n v="1.72506"/>
    <n v="0"/>
    <n v="1.3325400000000001"/>
    <n v="2.9635199999999999"/>
    <n v="236330000"/>
    <n v="0"/>
    <n v="0"/>
    <n v="0"/>
    <n v="0"/>
    <n v="4463130"/>
    <n v="145481"/>
    <n v="0"/>
    <n v="47"/>
    <x v="9"/>
    <n v="5.6833719628399523E-5"/>
    <n v="1.1989657690913123E-4"/>
  </r>
  <r>
    <n v="85.138999999999996"/>
    <n v="85.138999999999996"/>
    <n v="7.4432499999999999"/>
    <n v="0"/>
    <n v="0"/>
    <n v="2.8964400000000001"/>
    <n v="2.8964400000000001"/>
    <n v="0"/>
    <n v="0.54269400000000001"/>
    <n v="5.3222399999999999"/>
    <n v="60538300"/>
    <n v="0"/>
    <n v="0"/>
    <n v="0"/>
    <n v="0"/>
    <n v="4330100"/>
    <n v="297759"/>
    <n v="0"/>
    <n v="99.302199999999999"/>
    <n v="98.274000000000001"/>
    <n v="7.3377600000000003"/>
    <n v="0"/>
    <n v="0"/>
    <n v="1.7253700000000001"/>
    <n v="1.7253700000000001"/>
    <n v="0"/>
    <n v="1.3327800000000001"/>
    <n v="2.9635199999999999"/>
    <n v="236476000"/>
    <n v="0"/>
    <n v="0"/>
    <n v="0"/>
    <n v="0"/>
    <n v="4463940"/>
    <n v="145507"/>
    <n v="0"/>
    <n v="48"/>
    <x v="9"/>
    <n v="5.6833562256678976E-5"/>
    <n v="1.1989644630563875E-4"/>
  </r>
  <r>
    <n v="85.138999999999996"/>
    <n v="85.138999999999996"/>
    <n v="4.1692499999999999"/>
    <n v="0"/>
    <n v="0"/>
    <n v="2.6787899999999998"/>
    <n v="2.6787899999999998"/>
    <n v="0"/>
    <n v="0.54279200000000005"/>
    <n v="5.3222399999999999"/>
    <n v="60813700"/>
    <n v="0"/>
    <n v="0"/>
    <n v="0"/>
    <n v="0"/>
    <n v="4004720"/>
    <n v="275384"/>
    <n v="0"/>
    <n v="99.302199999999999"/>
    <n v="98.274000000000001"/>
    <n v="4.6719099999999996"/>
    <n v="0"/>
    <n v="0"/>
    <n v="1.5523400000000001"/>
    <n v="1.5523400000000001"/>
    <n v="0"/>
    <n v="1.3330200000000001"/>
    <n v="2.9635199999999999"/>
    <n v="236607000"/>
    <n v="0"/>
    <n v="0"/>
    <n v="0"/>
    <n v="0"/>
    <n v="4016280"/>
    <n v="130915"/>
    <n v="0"/>
    <n v="49"/>
    <x v="9"/>
    <n v="5.6833547779797348E-5"/>
    <n v="1.1989632926084932E-4"/>
  </r>
  <r>
    <n v="85.138999999999996"/>
    <n v="85.138999999999996"/>
    <n v="4.9002499999999998"/>
    <n v="0"/>
    <n v="0"/>
    <n v="2.6792699999999998"/>
    <n v="2.6792699999999998"/>
    <n v="0"/>
    <n v="0.50200400000000001"/>
    <n v="5.3222399999999999"/>
    <n v="61089100"/>
    <n v="0"/>
    <n v="0"/>
    <n v="0"/>
    <n v="0"/>
    <n v="4005440"/>
    <n v="275434"/>
    <n v="0"/>
    <n v="99.302199999999999"/>
    <n v="98.274000000000001"/>
    <n v="6.3841599999999996"/>
    <n v="0"/>
    <n v="0"/>
    <n v="1.5526199999999999"/>
    <n v="1.5526199999999999"/>
    <n v="0"/>
    <n v="1.1993400000000001"/>
    <n v="2.9635199999999999"/>
    <n v="236738000"/>
    <n v="0"/>
    <n v="0"/>
    <n v="0"/>
    <n v="0"/>
    <n v="4017000"/>
    <n v="130939"/>
    <n v="0"/>
    <n v="50"/>
    <x v="9"/>
    <n v="5.6833778180834281E-5"/>
    <n v="1.1989654225449789E-4"/>
  </r>
  <r>
    <n v="85.138999999999996"/>
    <n v="85.138999999999996"/>
    <n v="4.5545299999999997"/>
    <n v="0"/>
    <n v="0"/>
    <n v="2.6797599999999999"/>
    <n v="2.6797599999999999"/>
    <n v="0"/>
    <n v="0.50209499999999996"/>
    <n v="5.3222399999999999"/>
    <n v="61364600"/>
    <n v="0"/>
    <n v="0"/>
    <n v="0"/>
    <n v="0"/>
    <n v="4006170"/>
    <n v="275484"/>
    <n v="0"/>
    <n v="99.302199999999999"/>
    <n v="98.274000000000001"/>
    <n v="5.9579599999999999"/>
    <n v="0"/>
    <n v="0"/>
    <n v="1.5528999999999999"/>
    <n v="1.5528999999999999"/>
    <n v="0"/>
    <n v="1.19956"/>
    <n v="2.9635199999999999"/>
    <n v="236869000"/>
    <n v="0"/>
    <n v="0"/>
    <n v="0"/>
    <n v="0"/>
    <n v="4017730"/>
    <n v="130963"/>
    <n v="0"/>
    <n v="51"/>
    <x v="9"/>
    <n v="5.6833867041284048E-5"/>
    <n v="1.1989645589133852E-4"/>
  </r>
  <r>
    <n v="85.138999999999996"/>
    <n v="85.138999999999996"/>
    <n v="7.7703300000000004"/>
    <n v="0"/>
    <n v="0"/>
    <n v="2.68024"/>
    <n v="2.68024"/>
    <n v="0"/>
    <n v="0.50218600000000002"/>
    <n v="5.3222399999999999"/>
    <n v="61640100"/>
    <n v="0"/>
    <n v="0"/>
    <n v="0"/>
    <n v="0"/>
    <n v="4006890"/>
    <n v="275534"/>
    <n v="0"/>
    <n v="99.302199999999999"/>
    <n v="98.274000000000001"/>
    <n v="6.63788"/>
    <n v="0"/>
    <n v="0"/>
    <n v="1.5531900000000001"/>
    <n v="1.5531900000000001"/>
    <n v="0"/>
    <n v="1.19977"/>
    <n v="2.9635199999999999"/>
    <n v="237000000"/>
    <n v="0"/>
    <n v="0"/>
    <n v="0"/>
    <n v="0"/>
    <n v="4018460"/>
    <n v="130986"/>
    <n v="0"/>
    <n v="52"/>
    <x v="9"/>
    <n v="5.6833521979399573E-5"/>
    <n v="1.1989666878515537E-4"/>
  </r>
  <r>
    <n v="85.138999999999996"/>
    <n v="85.138999999999996"/>
    <n v="5.6237500000000002"/>
    <n v="0"/>
    <n v="0"/>
    <n v="2.6807300000000001"/>
    <n v="2.6807300000000001"/>
    <n v="0"/>
    <n v="0.50227699999999997"/>
    <n v="5.3222399999999999"/>
    <n v="61915700"/>
    <n v="0"/>
    <n v="0"/>
    <n v="0"/>
    <n v="0"/>
    <n v="4007620"/>
    <n v="275584"/>
    <n v="0"/>
    <n v="99.302199999999999"/>
    <n v="98.274000000000001"/>
    <n v="5.6277299999999997"/>
    <n v="0"/>
    <n v="0"/>
    <n v="1.5534699999999999"/>
    <n v="1.5534699999999999"/>
    <n v="0"/>
    <n v="1.1999899999999999"/>
    <n v="2.9635199999999999"/>
    <n v="237131000"/>
    <n v="0"/>
    <n v="0"/>
    <n v="0"/>
    <n v="0"/>
    <n v="4019190"/>
    <n v="131010"/>
    <n v="0"/>
    <n v="1"/>
    <x v="10"/>
    <n v="2.809093347386859E-5"/>
    <n v="5.9260829466506234E-5"/>
  </r>
  <r>
    <n v="85.138999999999996"/>
    <n v="85.138999999999996"/>
    <n v="6.7892200000000003"/>
    <n v="0"/>
    <n v="0"/>
    <n v="2.7652000000000001"/>
    <n v="2.7652000000000001"/>
    <n v="0"/>
    <n v="0.50236800000000004"/>
    <n v="5.3222399999999999"/>
    <n v="62200000"/>
    <n v="0"/>
    <n v="0"/>
    <n v="0"/>
    <n v="29016000"/>
    <n v="4133900"/>
    <n v="284268"/>
    <n v="0"/>
    <n v="99.302199999999999"/>
    <n v="98.274000000000001"/>
    <n v="5.7039999999999997"/>
    <n v="0"/>
    <n v="0"/>
    <n v="1.60398"/>
    <n v="1.60398"/>
    <n v="0"/>
    <n v="1.20021"/>
    <n v="2.9635199999999999"/>
    <n v="237266000"/>
    <n v="0"/>
    <n v="0"/>
    <n v="0"/>
    <n v="7883220"/>
    <n v="4149880"/>
    <n v="135270"/>
    <n v="0"/>
    <n v="2"/>
    <x v="10"/>
    <n v="1.6651651578459606E-3"/>
    <n v="6.1081808592675403E-3"/>
  </r>
  <r>
    <n v="85.138999999999996"/>
    <n v="85.138999999999996"/>
    <n v="4.1730200000000002"/>
    <n v="0"/>
    <n v="0"/>
    <n v="2.7656800000000001"/>
    <n v="2.7656800000000001"/>
    <n v="0"/>
    <n v="0.51819800000000005"/>
    <n v="5.3222399999999999"/>
    <n v="62484300"/>
    <n v="0"/>
    <n v="0"/>
    <n v="0"/>
    <n v="0"/>
    <n v="4134620"/>
    <n v="284317"/>
    <n v="0"/>
    <n v="99.302199999999999"/>
    <n v="98.274000000000001"/>
    <n v="3.2181799999999998"/>
    <n v="0"/>
    <n v="0"/>
    <n v="1.60426"/>
    <n v="1.60426"/>
    <n v="0"/>
    <n v="1.2392399999999999"/>
    <n v="2.9635199999999999"/>
    <n v="237401000"/>
    <n v="0"/>
    <n v="0"/>
    <n v="0"/>
    <n v="0"/>
    <n v="4150600"/>
    <n v="135294"/>
    <n v="0"/>
    <n v="3"/>
    <x v="10"/>
    <n v="2.8091046394470821E-5"/>
    <n v="5.9260797088851559E-5"/>
  </r>
  <r>
    <n v="85.138999999999996"/>
    <n v="85.138999999999996"/>
    <n v="5.3461299999999996"/>
    <n v="0"/>
    <n v="0"/>
    <n v="2.7661600000000002"/>
    <n v="2.7661600000000002"/>
    <n v="0"/>
    <n v="0.51828799999999997"/>
    <n v="5.3222399999999999"/>
    <n v="62768700"/>
    <n v="0"/>
    <n v="0"/>
    <n v="0"/>
    <n v="0"/>
    <n v="4135340"/>
    <n v="284367"/>
    <n v="0"/>
    <n v="98.9649"/>
    <n v="98.274000000000001"/>
    <n v="3.26146"/>
    <n v="0"/>
    <n v="0"/>
    <n v="1.6045400000000001"/>
    <n v="1.6045400000000001"/>
    <n v="0"/>
    <n v="1.2394499999999999"/>
    <n v="2.9635199999999999"/>
    <n v="237536000"/>
    <n v="0"/>
    <n v="0"/>
    <n v="0"/>
    <n v="0"/>
    <n v="4151320"/>
    <n v="135317"/>
    <n v="0"/>
    <n v="4"/>
    <x v="10"/>
    <n v="2.8090948970603176E-5"/>
    <n v="5.9260899041331756E-5"/>
  </r>
  <r>
    <n v="85.138999999999996"/>
    <n v="85.138999999999996"/>
    <n v="3.5447899999999999"/>
    <n v="0"/>
    <n v="0"/>
    <n v="2.7666400000000002"/>
    <n v="2.7666400000000002"/>
    <n v="0"/>
    <n v="0.51837800000000001"/>
    <n v="5.3222399999999999"/>
    <n v="63053100"/>
    <n v="0"/>
    <n v="0"/>
    <n v="0"/>
    <n v="0"/>
    <n v="4136060"/>
    <n v="284416"/>
    <n v="0"/>
    <n v="99.178299999999993"/>
    <n v="98.274000000000001"/>
    <n v="2.2221299999999999"/>
    <n v="0"/>
    <n v="0"/>
    <n v="1.6048199999999999"/>
    <n v="1.6048199999999999"/>
    <n v="0"/>
    <n v="1.23967"/>
    <n v="2.9635199999999999"/>
    <n v="237672000"/>
    <n v="0"/>
    <n v="0"/>
    <n v="0"/>
    <n v="0"/>
    <n v="4152050"/>
    <n v="135341"/>
    <n v="0"/>
    <n v="5"/>
    <x v="10"/>
    <n v="2.8090991482289384E-5"/>
    <n v="5.9260792598756503E-5"/>
  </r>
  <r>
    <n v="85.132400000000004"/>
    <n v="85.138999999999996"/>
    <n v="3.5366200000000001"/>
    <n v="0"/>
    <n v="0"/>
    <n v="3.0370200000000001"/>
    <n v="3.0370200000000001"/>
    <n v="0"/>
    <n v="0.51846800000000004"/>
    <n v="5.3222399999999999"/>
    <n v="63365300"/>
    <n v="0"/>
    <n v="0"/>
    <n v="0"/>
    <n v="0"/>
    <n v="4540270"/>
    <n v="312212"/>
    <n v="0"/>
    <n v="99.218000000000004"/>
    <n v="98.274000000000001"/>
    <n v="2.6499799999999998"/>
    <n v="0"/>
    <n v="0"/>
    <n v="1.79382"/>
    <n v="1.79382"/>
    <n v="0"/>
    <n v="1.2398800000000001"/>
    <n v="2.9635199999999999"/>
    <n v="237823000"/>
    <n v="0"/>
    <n v="0"/>
    <n v="0"/>
    <n v="0"/>
    <n v="4641040"/>
    <n v="151280"/>
    <n v="0"/>
    <n v="6"/>
    <x v="10"/>
    <n v="2.8090952545423459E-5"/>
    <n v="5.926089045767803E-5"/>
  </r>
  <r>
    <n v="85.138999999999996"/>
    <n v="85.138999999999996"/>
    <n v="3.80565"/>
    <n v="0"/>
    <n v="0"/>
    <n v="3.03755"/>
    <n v="3.03755"/>
    <n v="0"/>
    <n v="0.569137"/>
    <n v="5.3222399999999999"/>
    <n v="63677600"/>
    <n v="0"/>
    <n v="0"/>
    <n v="0"/>
    <n v="0"/>
    <n v="4541060"/>
    <n v="312266"/>
    <n v="0"/>
    <n v="99.058400000000006"/>
    <n v="98.274000000000001"/>
    <n v="3.9773000000000001"/>
    <n v="0"/>
    <n v="0"/>
    <n v="1.79413"/>
    <n v="1.79413"/>
    <n v="0"/>
    <n v="1.38591"/>
    <n v="2.9635199999999999"/>
    <n v="237974000"/>
    <n v="0"/>
    <n v="0"/>
    <n v="0"/>
    <n v="0"/>
    <n v="4641850"/>
    <n v="151306"/>
    <n v="0"/>
    <n v="7"/>
    <x v="10"/>
    <n v="2.809087774919273E-5"/>
    <n v="5.9260828892575995E-5"/>
  </r>
  <r>
    <n v="84.6648"/>
    <n v="85.138999999999996"/>
    <n v="3.0891799999999998"/>
    <n v="0"/>
    <n v="0"/>
    <n v="3.0380699999999998"/>
    <n v="3.0380699999999998"/>
    <n v="0"/>
    <n v="0.56923599999999996"/>
    <n v="5.3222399999999999"/>
    <n v="63989900"/>
    <n v="0"/>
    <n v="0"/>
    <n v="0"/>
    <n v="0"/>
    <n v="4541850"/>
    <n v="312320"/>
    <n v="0"/>
    <n v="98.436599999999999"/>
    <n v="98.274000000000001"/>
    <n v="2.5493800000000002"/>
    <n v="0"/>
    <n v="0"/>
    <n v="1.7944500000000001"/>
    <n v="1.7944500000000001"/>
    <n v="0"/>
    <n v="1.38615"/>
    <n v="2.9635199999999999"/>
    <n v="238126000"/>
    <n v="0"/>
    <n v="0"/>
    <n v="0"/>
    <n v="0"/>
    <n v="4642660"/>
    <n v="151333"/>
    <n v="0"/>
    <n v="8"/>
    <x v="10"/>
    <n v="2.8090988602742811E-5"/>
    <n v="5.926076734889097E-5"/>
  </r>
  <r>
    <n v="84.217699999999994"/>
    <n v="85.138999999999996"/>
    <n v="3.00909"/>
    <n v="0"/>
    <n v="0"/>
    <n v="3.0386000000000002"/>
    <n v="3.0386000000000002"/>
    <n v="0"/>
    <n v="0.56933500000000004"/>
    <n v="5.3222399999999999"/>
    <n v="64302200"/>
    <n v="0"/>
    <n v="0"/>
    <n v="0"/>
    <n v="0"/>
    <n v="4542630"/>
    <n v="312374"/>
    <n v="0"/>
    <n v="98.453000000000003"/>
    <n v="98.274000000000001"/>
    <n v="1.87033"/>
    <n v="0"/>
    <n v="0"/>
    <n v="1.7947599999999999"/>
    <n v="1.7947599999999999"/>
    <n v="0"/>
    <n v="1.38639"/>
    <n v="2.9635199999999999"/>
    <n v="238277000"/>
    <n v="0"/>
    <n v="0"/>
    <n v="0"/>
    <n v="0"/>
    <n v="4643460"/>
    <n v="151359"/>
    <n v="0"/>
    <n v="9"/>
    <x v="10"/>
    <n v="2.8090974321968561E-5"/>
    <n v="5.92608362812291E-5"/>
  </r>
  <r>
    <n v="85.138999999999996"/>
    <n v="85.138999999999996"/>
    <n v="4.8864000000000001"/>
    <n v="0"/>
    <n v="0"/>
    <n v="2.6539000000000001"/>
    <n v="2.6539000000000001"/>
    <n v="0"/>
    <n v="0.569434"/>
    <n v="5.3222399999999999"/>
    <n v="64575100"/>
    <n v="0"/>
    <n v="0"/>
    <n v="0"/>
    <n v="0"/>
    <n v="3967520"/>
    <n v="272826"/>
    <n v="0"/>
    <n v="98.863900000000001"/>
    <n v="98.274000000000001"/>
    <n v="2.7925800000000001"/>
    <n v="0"/>
    <n v="0"/>
    <n v="1.54162"/>
    <n v="1.54162"/>
    <n v="0"/>
    <n v="1.38663"/>
    <n v="2.9635199999999999"/>
    <n v="238407000"/>
    <n v="0"/>
    <n v="0"/>
    <n v="0"/>
    <n v="0"/>
    <n v="3988540"/>
    <n v="130011"/>
    <n v="0"/>
    <n v="10"/>
    <x v="10"/>
    <n v="2.8090948832156752E-5"/>
    <n v="5.9260715779980573E-5"/>
  </r>
  <r>
    <n v="85.138999999999996"/>
    <n v="85.138999999999996"/>
    <n v="5.5868900000000004"/>
    <n v="0"/>
    <n v="0"/>
    <n v="2.6543600000000001"/>
    <n v="2.6543600000000001"/>
    <n v="0"/>
    <n v="0.49734099999999998"/>
    <n v="5.3222399999999999"/>
    <n v="64847900"/>
    <n v="0"/>
    <n v="0"/>
    <n v="0"/>
    <n v="0"/>
    <n v="3968200"/>
    <n v="272874"/>
    <n v="0"/>
    <n v="99.302199999999999"/>
    <n v="98.274000000000001"/>
    <n v="4.77182"/>
    <n v="0"/>
    <n v="0"/>
    <n v="1.54189"/>
    <n v="1.54189"/>
    <n v="0"/>
    <n v="1.19106"/>
    <n v="2.9635199999999999"/>
    <n v="238537000"/>
    <n v="0"/>
    <n v="0"/>
    <n v="0"/>
    <n v="0"/>
    <n v="3989230"/>
    <n v="130034"/>
    <n v="0"/>
    <n v="11"/>
    <x v="10"/>
    <n v="2.8091058718290063E-5"/>
    <n v="5.9260985050697808E-5"/>
  </r>
  <r>
    <n v="85.138999999999996"/>
    <n v="85.138999999999996"/>
    <n v="4.9532100000000003"/>
    <n v="0"/>
    <n v="0"/>
    <n v="2.65482"/>
    <n v="2.65482"/>
    <n v="0"/>
    <n v="0.49742799999999998"/>
    <n v="5.3222399999999999"/>
    <n v="65120900"/>
    <n v="0"/>
    <n v="0"/>
    <n v="0"/>
    <n v="0"/>
    <n v="3968890"/>
    <n v="272921"/>
    <n v="0"/>
    <n v="99.207899999999995"/>
    <n v="98.274000000000001"/>
    <n v="3.2061799999999998"/>
    <n v="0"/>
    <n v="0"/>
    <n v="1.54216"/>
    <n v="1.54216"/>
    <n v="0"/>
    <n v="1.19126"/>
    <n v="2.9635199999999999"/>
    <n v="238667000"/>
    <n v="0"/>
    <n v="0"/>
    <n v="0"/>
    <n v="0"/>
    <n v="3989930"/>
    <n v="130056"/>
    <n v="0"/>
    <n v="12"/>
    <x v="10"/>
    <n v="2.8090882170583589E-5"/>
    <n v="5.9260887779033445E-5"/>
  </r>
  <r>
    <n v="85.138999999999996"/>
    <n v="85.138999999999996"/>
    <n v="3.5780500000000002"/>
    <n v="0"/>
    <n v="0"/>
    <n v="2.6552799999999999"/>
    <n v="2.6552799999999999"/>
    <n v="0"/>
    <n v="0.49751400000000001"/>
    <n v="5.3222399999999999"/>
    <n v="65393800"/>
    <n v="0"/>
    <n v="0"/>
    <n v="0"/>
    <n v="0"/>
    <n v="3969580"/>
    <n v="272968"/>
    <n v="0"/>
    <n v="98.863200000000006"/>
    <n v="98.274000000000001"/>
    <n v="2.5695700000000001"/>
    <n v="0"/>
    <n v="0"/>
    <n v="1.5424199999999999"/>
    <n v="1.5424199999999999"/>
    <n v="0"/>
    <n v="1.19147"/>
    <n v="2.9635199999999999"/>
    <n v="238797000"/>
    <n v="0"/>
    <n v="0"/>
    <n v="0"/>
    <n v="0"/>
    <n v="3990620"/>
    <n v="130079"/>
    <n v="0"/>
    <n v="13"/>
    <x v="10"/>
    <n v="2.8090992029967871E-5"/>
    <n v="5.9260790541184989E-5"/>
  </r>
  <r>
    <n v="85.138999999999996"/>
    <n v="85.138999999999996"/>
    <n v="3.1901899999999999"/>
    <n v="0"/>
    <n v="0"/>
    <n v="2.6557499999999998"/>
    <n v="2.6557499999999998"/>
    <n v="0"/>
    <n v="0.49759999999999999"/>
    <n v="5.3222399999999999"/>
    <n v="65666900"/>
    <n v="0"/>
    <n v="0"/>
    <n v="0"/>
    <n v="0"/>
    <n v="3970270"/>
    <n v="273016"/>
    <n v="0"/>
    <n v="98.763300000000001"/>
    <n v="98.274000000000001"/>
    <n v="1.95991"/>
    <n v="0"/>
    <n v="0"/>
    <n v="1.5426899999999999"/>
    <n v="1.5426899999999999"/>
    <n v="0"/>
    <n v="1.1916800000000001"/>
    <n v="2.9635199999999999"/>
    <n v="238927000"/>
    <n v="0"/>
    <n v="0"/>
    <n v="0"/>
    <n v="0"/>
    <n v="3991310"/>
    <n v="130101"/>
    <n v="0"/>
    <n v="14"/>
    <x v="10"/>
    <n v="2.8090885935380284E-5"/>
    <n v="5.9260910397345169E-5"/>
  </r>
  <r>
    <n v="85.138999999999996"/>
    <n v="85.138999999999996"/>
    <n v="4.6101999999999999"/>
    <n v="0"/>
    <n v="0"/>
    <n v="2.75326"/>
    <n v="2.75326"/>
    <n v="0"/>
    <n v="0.49768699999999999"/>
    <n v="5.3222399999999999"/>
    <n v="65949900"/>
    <n v="0"/>
    <n v="0"/>
    <n v="0"/>
    <n v="0"/>
    <n v="4116050"/>
    <n v="283040"/>
    <n v="0"/>
    <n v="98.899000000000001"/>
    <n v="98.274000000000001"/>
    <n v="2.36808"/>
    <n v="0"/>
    <n v="0"/>
    <n v="1.6050199999999999"/>
    <n v="1.6050199999999999"/>
    <n v="0"/>
    <n v="1.1918800000000001"/>
    <n v="2.9635199999999999"/>
    <n v="239063000"/>
    <n v="0"/>
    <n v="0"/>
    <n v="0"/>
    <n v="0"/>
    <n v="4152560"/>
    <n v="135358"/>
    <n v="0"/>
    <n v="15"/>
    <x v="10"/>
    <n v="2.8091069502654889E-5"/>
    <n v="5.9260789844960979E-5"/>
  </r>
  <r>
    <n v="85.138999999999996"/>
    <n v="85.138999999999996"/>
    <n v="5.2921399999999998"/>
    <n v="0"/>
    <n v="0"/>
    <n v="2.7537400000000001"/>
    <n v="2.7537400000000001"/>
    <n v="0"/>
    <n v="0.515961"/>
    <n v="5.3222399999999999"/>
    <n v="66233000"/>
    <n v="0"/>
    <n v="0"/>
    <n v="0"/>
    <n v="0"/>
    <n v="4116770"/>
    <n v="283090"/>
    <n v="0"/>
    <n v="99.302199999999999"/>
    <n v="98.274000000000001"/>
    <n v="3.9860500000000001"/>
    <n v="0"/>
    <n v="0"/>
    <n v="1.6052999999999999"/>
    <n v="1.6052999999999999"/>
    <n v="0"/>
    <n v="1.24004"/>
    <n v="2.9635199999999999"/>
    <n v="239198000"/>
    <n v="0"/>
    <n v="0"/>
    <n v="0"/>
    <n v="0"/>
    <n v="4153280"/>
    <n v="135381"/>
    <n v="0"/>
    <n v="16"/>
    <x v="10"/>
    <n v="2.8090972120757177E-5"/>
    <n v="5.9260892258597179E-5"/>
  </r>
  <r>
    <n v="85.138999999999996"/>
    <n v="85.138999999999996"/>
    <n v="4.55335"/>
    <n v="0"/>
    <n v="0"/>
    <n v="2.7542200000000001"/>
    <n v="2.7542200000000001"/>
    <n v="0"/>
    <n v="0.51605100000000004"/>
    <n v="5.3222399999999999"/>
    <n v="66516100"/>
    <n v="0"/>
    <n v="0"/>
    <n v="0"/>
    <n v="0"/>
    <n v="4117480"/>
    <n v="283139"/>
    <n v="0"/>
    <n v="99.302199999999999"/>
    <n v="98.274000000000001"/>
    <n v="4.4824099999999998"/>
    <n v="0"/>
    <n v="0"/>
    <n v="1.60558"/>
    <n v="1.60558"/>
    <n v="0"/>
    <n v="1.2402500000000001"/>
    <n v="2.9635199999999999"/>
    <n v="239333000"/>
    <n v="0"/>
    <n v="0"/>
    <n v="0"/>
    <n v="0"/>
    <n v="4154010"/>
    <n v="135405"/>
    <n v="0"/>
    <n v="17"/>
    <x v="10"/>
    <n v="2.8091014608316695E-5"/>
    <n v="5.9260929262038207E-5"/>
  </r>
  <r>
    <n v="85.0381"/>
    <n v="85.138999999999996"/>
    <n v="3.2917399999999999"/>
    <n v="0"/>
    <n v="0"/>
    <n v="2.7546900000000001"/>
    <n v="2.7546900000000001"/>
    <n v="0"/>
    <n v="0.51614000000000004"/>
    <n v="5.3222399999999999"/>
    <n v="66799300"/>
    <n v="0"/>
    <n v="0"/>
    <n v="0"/>
    <n v="0"/>
    <n v="4118200"/>
    <n v="283188"/>
    <n v="0"/>
    <n v="99.302199999999999"/>
    <n v="98.274000000000001"/>
    <n v="3.15022"/>
    <n v="0"/>
    <n v="0"/>
    <n v="1.60585"/>
    <n v="1.60585"/>
    <n v="0"/>
    <n v="1.24047"/>
    <n v="2.9635199999999999"/>
    <n v="239469000"/>
    <n v="0"/>
    <n v="0"/>
    <n v="0"/>
    <n v="0"/>
    <n v="4154730"/>
    <n v="135428"/>
    <n v="0"/>
    <n v="18"/>
    <x v="10"/>
    <n v="2.8090917269918238E-5"/>
    <n v="5.9260822352554276E-5"/>
  </r>
  <r>
    <n v="85.081199999999995"/>
    <n v="85.138999999999996"/>
    <n v="3.2957200000000002"/>
    <n v="0"/>
    <n v="0"/>
    <n v="2.7172000000000001"/>
    <n v="2.7172000000000001"/>
    <n v="0"/>
    <n v="0.51622999999999997"/>
    <n v="5.3222399999999999"/>
    <n v="67078600"/>
    <n v="0"/>
    <n v="0"/>
    <n v="0"/>
    <n v="0"/>
    <n v="4062150"/>
    <n v="279333"/>
    <n v="0"/>
    <n v="99.302199999999999"/>
    <n v="98.274000000000001"/>
    <n v="2.9013900000000001"/>
    <n v="0"/>
    <n v="0"/>
    <n v="1.5820099999999999"/>
    <n v="1.5820099999999999"/>
    <n v="0"/>
    <n v="1.24068"/>
    <n v="2.9635199999999999"/>
    <n v="239602000"/>
    <n v="0"/>
    <n v="0"/>
    <n v="0"/>
    <n v="0"/>
    <n v="4093050"/>
    <n v="133418"/>
    <n v="0"/>
    <n v="19"/>
    <x v="10"/>
    <n v="2.8091028340600523E-5"/>
    <n v="5.9260669166433174E-5"/>
  </r>
  <r>
    <n v="85.138999999999996"/>
    <n v="85.138999999999996"/>
    <n v="3.37019"/>
    <n v="0"/>
    <n v="0"/>
    <n v="2.71767"/>
    <n v="2.71767"/>
    <n v="0"/>
    <n v="0.50920299999999996"/>
    <n v="5.3222399999999999"/>
    <n v="67358000"/>
    <n v="0"/>
    <n v="0"/>
    <n v="0"/>
    <n v="0"/>
    <n v="4062850"/>
    <n v="279382"/>
    <n v="0"/>
    <n v="99.302199999999999"/>
    <n v="98.274000000000001"/>
    <n v="2.9613"/>
    <n v="0"/>
    <n v="0"/>
    <n v="1.58229"/>
    <n v="1.58229"/>
    <n v="0"/>
    <n v="1.2222599999999999"/>
    <n v="2.9635199999999999"/>
    <n v="239736000"/>
    <n v="0"/>
    <n v="0"/>
    <n v="0"/>
    <n v="0"/>
    <n v="4093760"/>
    <n v="133441"/>
    <n v="0"/>
    <n v="20"/>
    <x v="10"/>
    <n v="2.8090998169225538E-5"/>
    <n v="5.9260852566267149E-5"/>
  </r>
  <r>
    <n v="85.138999999999996"/>
    <n v="85.138999999999996"/>
    <n v="3.1870799999999999"/>
    <n v="0"/>
    <n v="0"/>
    <n v="2.71814"/>
    <n v="2.71814"/>
    <n v="0"/>
    <n v="0.50929199999999997"/>
    <n v="5.3222399999999999"/>
    <n v="67637500"/>
    <n v="0"/>
    <n v="0"/>
    <n v="0"/>
    <n v="0"/>
    <n v="4063560"/>
    <n v="279431"/>
    <n v="0"/>
    <n v="99.302199999999999"/>
    <n v="98.274000000000001"/>
    <n v="2.8280400000000001"/>
    <n v="0"/>
    <n v="0"/>
    <n v="1.58256"/>
    <n v="1.58256"/>
    <n v="0"/>
    <n v="1.22248"/>
    <n v="2.9635199999999999"/>
    <n v="239869000"/>
    <n v="0"/>
    <n v="0"/>
    <n v="0"/>
    <n v="0"/>
    <n v="4094470"/>
    <n v="133464"/>
    <n v="0"/>
    <n v="21"/>
    <x v="10"/>
    <n v="2.809096800831427E-5"/>
    <n v="5.9260890067647697E-5"/>
  </r>
  <r>
    <n v="84.971400000000003"/>
    <n v="85.138999999999996"/>
    <n v="2.9446599999999998"/>
    <n v="0"/>
    <n v="0"/>
    <n v="2.71862"/>
    <n v="2.71862"/>
    <n v="0"/>
    <n v="0.50938000000000005"/>
    <n v="5.3222399999999999"/>
    <n v="67916900"/>
    <n v="0"/>
    <n v="0"/>
    <n v="0"/>
    <n v="0"/>
    <n v="4064260"/>
    <n v="279479"/>
    <n v="0"/>
    <n v="99.302199999999999"/>
    <n v="98.274000000000001"/>
    <n v="3.06487"/>
    <n v="0"/>
    <n v="0"/>
    <n v="1.58284"/>
    <n v="1.58284"/>
    <n v="0"/>
    <n v="1.2226900000000001"/>
    <n v="2.9635199999999999"/>
    <n v="240003000"/>
    <n v="0"/>
    <n v="0"/>
    <n v="0"/>
    <n v="0"/>
    <n v="4095180"/>
    <n v="133487"/>
    <n v="0"/>
    <n v="22"/>
    <x v="10"/>
    <n v="2.8090937857861274E-5"/>
    <n v="5.9260861325328835E-5"/>
  </r>
  <r>
    <n v="84.538399999999996"/>
    <n v="85.138999999999996"/>
    <n v="2.7838799999999999"/>
    <n v="0"/>
    <n v="0"/>
    <n v="2.8480699999999999"/>
    <n v="2.8480699999999999"/>
    <n v="0"/>
    <n v="0.50946899999999995"/>
    <n v="5.3222399999999999"/>
    <n v="68209700"/>
    <n v="0"/>
    <n v="0"/>
    <n v="0"/>
    <n v="0"/>
    <n v="4257800"/>
    <n v="292788"/>
    <n v="0"/>
    <n v="99.302199999999999"/>
    <n v="98.274000000000001"/>
    <n v="3.22932"/>
    <n v="0"/>
    <n v="0"/>
    <n v="1.6687099999999999"/>
    <n v="1.6687099999999999"/>
    <n v="0"/>
    <n v="1.2229000000000001"/>
    <n v="2.9635199999999999"/>
    <n v="240143000"/>
    <n v="0"/>
    <n v="0"/>
    <n v="0"/>
    <n v="0"/>
    <n v="4317340"/>
    <n v="140729"/>
    <n v="0"/>
    <n v="23"/>
    <x v="10"/>
    <n v="2.809102664980612E-5"/>
    <n v="5.9260904685610014E-5"/>
  </r>
  <r>
    <n v="84.096599999999995"/>
    <n v="85.138999999999996"/>
    <n v="2.7869600000000001"/>
    <n v="0"/>
    <n v="0"/>
    <n v="2.84857"/>
    <n v="2.84857"/>
    <n v="0"/>
    <n v="0.53372900000000001"/>
    <n v="5.3222399999999999"/>
    <n v="68502600"/>
    <n v="0"/>
    <n v="0"/>
    <n v="0"/>
    <n v="0"/>
    <n v="4258540"/>
    <n v="292838"/>
    <n v="0"/>
    <n v="99.302199999999999"/>
    <n v="98.274000000000001"/>
    <n v="2.7441499999999999"/>
    <n v="0"/>
    <n v="0"/>
    <n v="1.669"/>
    <n v="1.669"/>
    <n v="0"/>
    <n v="1.2892399999999999"/>
    <n v="2.9635199999999999"/>
    <n v="240284000"/>
    <n v="0"/>
    <n v="0"/>
    <n v="0"/>
    <n v="0"/>
    <n v="4318090"/>
    <n v="140753"/>
    <n v="0"/>
    <n v="24"/>
    <x v="10"/>
    <n v="2.8090937405118742E-5"/>
    <n v="5.9260725354807927E-5"/>
  </r>
  <r>
    <n v="83.405500000000004"/>
    <n v="85.138999999999996"/>
    <n v="2.4480300000000002"/>
    <n v="0"/>
    <n v="0"/>
    <n v="2.8490600000000001"/>
    <n v="2.8490600000000001"/>
    <n v="0"/>
    <n v="0.53382200000000002"/>
    <n v="5.3222399999999999"/>
    <n v="68795500"/>
    <n v="0"/>
    <n v="0"/>
    <n v="0"/>
    <n v="0"/>
    <n v="4259280"/>
    <n v="292889"/>
    <n v="0"/>
    <n v="99.302199999999999"/>
    <n v="98.274000000000001"/>
    <n v="2.6003099999999999"/>
    <n v="0"/>
    <n v="0"/>
    <n v="1.6692899999999999"/>
    <n v="1.6692899999999999"/>
    <n v="0"/>
    <n v="1.2894699999999999"/>
    <n v="2.9635199999999999"/>
    <n v="240425000"/>
    <n v="0"/>
    <n v="0"/>
    <n v="0"/>
    <n v="0"/>
    <n v="4318840"/>
    <n v="140777"/>
    <n v="0"/>
    <n v="25"/>
    <x v="10"/>
    <n v="2.809084819142743E-5"/>
    <n v="5.9260748418084429E-5"/>
  </r>
  <r>
    <n v="82.652600000000007"/>
    <n v="85.138999999999996"/>
    <n v="2.3724799999999999"/>
    <n v="0"/>
    <n v="0"/>
    <n v="2.8495599999999999"/>
    <n v="2.8495599999999999"/>
    <n v="0"/>
    <n v="0.53391500000000003"/>
    <n v="5.3222399999999999"/>
    <n v="69088400"/>
    <n v="0"/>
    <n v="0"/>
    <n v="0"/>
    <n v="0"/>
    <n v="4260020"/>
    <n v="292940"/>
    <n v="0"/>
    <n v="99.302199999999999"/>
    <n v="98.274000000000001"/>
    <n v="2.6437200000000001"/>
    <n v="0"/>
    <n v="0"/>
    <n v="1.6695800000000001"/>
    <n v="1.6695800000000001"/>
    <n v="0"/>
    <n v="1.28969"/>
    <n v="2.9635199999999999"/>
    <n v="240566000"/>
    <n v="0"/>
    <n v="0"/>
    <n v="0"/>
    <n v="0"/>
    <n v="4319590"/>
    <n v="140802"/>
    <n v="0"/>
    <n v="26"/>
    <x v="10"/>
    <n v="2.809095851553068E-5"/>
    <n v="5.9260771473348385E-5"/>
  </r>
  <r>
    <n v="81.7928"/>
    <n v="85.138999999999996"/>
    <n v="2.2488800000000002"/>
    <n v="0"/>
    <n v="0"/>
    <n v="2.85005"/>
    <n v="2.85005"/>
    <n v="0"/>
    <n v="0.53400700000000001"/>
    <n v="5.3222399999999999"/>
    <n v="69381400"/>
    <n v="0"/>
    <n v="0"/>
    <n v="0"/>
    <n v="0"/>
    <n v="4260760"/>
    <n v="292991"/>
    <n v="0"/>
    <n v="99.302199999999999"/>
    <n v="98.274000000000001"/>
    <n v="2.5303200000000001"/>
    <n v="0"/>
    <n v="0"/>
    <n v="1.66987"/>
    <n v="1.66987"/>
    <n v="0"/>
    <n v="1.2899099999999999"/>
    <n v="2.9635199999999999"/>
    <n v="240707000"/>
    <n v="0"/>
    <n v="0"/>
    <n v="0"/>
    <n v="0"/>
    <n v="4320340"/>
    <n v="140826"/>
    <n v="0"/>
    <n v="27"/>
    <x v="10"/>
    <n v="2.8090869329149191E-5"/>
    <n v="5.926079452060395E-5"/>
  </r>
  <r>
    <n v="80.932199999999995"/>
    <n v="85.138999999999996"/>
    <n v="2.1423399999999999"/>
    <n v="0"/>
    <n v="0"/>
    <n v="2.8250199999999999"/>
    <n v="2.8250199999999999"/>
    <n v="0"/>
    <n v="0.53410000000000002"/>
    <n v="5.3222399999999999"/>
    <n v="69671800"/>
    <n v="0"/>
    <n v="0"/>
    <n v="0"/>
    <n v="0"/>
    <n v="4223330"/>
    <n v="290417"/>
    <n v="0"/>
    <n v="99.302199999999999"/>
    <n v="98.274000000000001"/>
    <n v="2.6687500000000002"/>
    <n v="0"/>
    <n v="0"/>
    <n v="1.7172400000000001"/>
    <n v="1.7172400000000001"/>
    <n v="0"/>
    <n v="1.2901400000000001"/>
    <n v="2.9635199999999999"/>
    <n v="240851000"/>
    <n v="0"/>
    <n v="0"/>
    <n v="0"/>
    <n v="0"/>
    <n v="4442910"/>
    <n v="144822"/>
    <n v="0"/>
    <n v="28"/>
    <x v="10"/>
    <n v="2.8091005627574286E-5"/>
    <n v="5.9260768510267392E-5"/>
  </r>
  <r>
    <n v="80.043999999999997"/>
    <n v="85.138999999999996"/>
    <n v="2.0826099999999999"/>
    <n v="0"/>
    <n v="0"/>
    <n v="2.82551"/>
    <n v="2.82551"/>
    <n v="0"/>
    <n v="0.52940900000000002"/>
    <n v="5.3222399999999999"/>
    <n v="69962300"/>
    <n v="0"/>
    <n v="0"/>
    <n v="0"/>
    <n v="0"/>
    <n v="4224070"/>
    <n v="290468"/>
    <n v="0"/>
    <n v="99.302199999999999"/>
    <n v="98.274000000000001"/>
    <n v="2.6250200000000001"/>
    <n v="0"/>
    <n v="0"/>
    <n v="1.7175400000000001"/>
    <n v="1.7175400000000001"/>
    <n v="0"/>
    <n v="1.32674"/>
    <n v="2.9635199999999999"/>
    <n v="240996000"/>
    <n v="0"/>
    <n v="0"/>
    <n v="0"/>
    <n v="0"/>
    <n v="4443680"/>
    <n v="144847"/>
    <n v="0"/>
    <n v="29"/>
    <x v="10"/>
    <n v="2.8090986413027669E-5"/>
    <n v="5.9260791758229026E-5"/>
  </r>
  <r>
    <n v="79.002899999999997"/>
    <n v="85.138999999999996"/>
    <n v="1.92241"/>
    <n v="0"/>
    <n v="0"/>
    <n v="2.8260000000000001"/>
    <n v="2.8260000000000001"/>
    <n v="0"/>
    <n v="0.529501"/>
    <n v="5.3222399999999999"/>
    <n v="70252800"/>
    <n v="0"/>
    <n v="0"/>
    <n v="0"/>
    <n v="0"/>
    <n v="4224800"/>
    <n v="290518"/>
    <n v="0"/>
    <n v="99.298699999999997"/>
    <n v="98.274000000000001"/>
    <n v="2.6048399999999998"/>
    <n v="0"/>
    <n v="0"/>
    <n v="1.71784"/>
    <n v="1.71784"/>
    <n v="0"/>
    <n v="1.32697"/>
    <n v="2.9635199999999999"/>
    <n v="241141000"/>
    <n v="0"/>
    <n v="0"/>
    <n v="0"/>
    <n v="0"/>
    <n v="4444450"/>
    <n v="144872"/>
    <n v="0"/>
    <n v="30"/>
    <x v="10"/>
    <n v="2.8090967205138883E-5"/>
    <n v="5.926075128390834E-5"/>
  </r>
  <r>
    <n v="77.807100000000005"/>
    <n v="85.138999999999996"/>
    <n v="1.75627"/>
    <n v="0"/>
    <n v="0"/>
    <n v="2.8264900000000002"/>
    <n v="2.8264900000000002"/>
    <n v="0"/>
    <n v="0.52959299999999998"/>
    <n v="5.3222399999999999"/>
    <n v="70543400"/>
    <n v="0"/>
    <n v="0"/>
    <n v="0"/>
    <n v="0"/>
    <n v="4225530"/>
    <n v="290569"/>
    <n v="0"/>
    <n v="99.186700000000002"/>
    <n v="98.274000000000001"/>
    <n v="2.3354300000000001"/>
    <n v="0"/>
    <n v="0"/>
    <n v="1.7181299999999999"/>
    <n v="1.7181299999999999"/>
    <n v="0"/>
    <n v="1.3271999999999999"/>
    <n v="2.9635199999999999"/>
    <n v="241286000"/>
    <n v="0"/>
    <n v="0"/>
    <n v="0"/>
    <n v="0"/>
    <n v="4445220"/>
    <n v="144897"/>
    <n v="0"/>
    <n v="31"/>
    <x v="10"/>
    <n v="2.8090948003904473E-5"/>
    <n v="5.9260914771394564E-5"/>
  </r>
  <r>
    <n v="76.392499999999998"/>
    <n v="85.138999999999996"/>
    <n v="1.5537700000000001"/>
    <n v="0"/>
    <n v="0"/>
    <n v="2.89296"/>
    <n v="2.89296"/>
    <n v="0"/>
    <n v="0.52968499999999996"/>
    <n v="5.3222399999999999"/>
    <n v="70840800"/>
    <n v="0"/>
    <n v="0"/>
    <n v="0"/>
    <n v="0"/>
    <n v="4324900"/>
    <n v="297402"/>
    <n v="0"/>
    <n v="99.006399999999999"/>
    <n v="98.274000000000001"/>
    <n v="2.0882200000000002"/>
    <n v="0"/>
    <n v="0"/>
    <n v="1.7604200000000001"/>
    <n v="1.7604200000000001"/>
    <n v="0"/>
    <n v="1.3274300000000001"/>
    <n v="2.9635199999999999"/>
    <n v="241435000"/>
    <n v="0"/>
    <n v="0"/>
    <n v="0"/>
    <n v="0"/>
    <n v="4554630"/>
    <n v="148464"/>
    <n v="0"/>
    <n v="32"/>
    <x v="10"/>
    <n v="2.8091072250223558E-5"/>
    <n v="5.926087727996664E-5"/>
  </r>
  <r>
    <n v="75.001300000000001"/>
    <n v="85.138999999999996"/>
    <n v="1.56345"/>
    <n v="0"/>
    <n v="0"/>
    <n v="2.8934600000000001"/>
    <n v="2.8934600000000001"/>
    <n v="0"/>
    <n v="0.54213999999999996"/>
    <n v="5.3222399999999999"/>
    <n v="71138200"/>
    <n v="0"/>
    <n v="0"/>
    <n v="0"/>
    <n v="0"/>
    <n v="4325650"/>
    <n v="297453"/>
    <n v="0"/>
    <n v="98.901499999999999"/>
    <n v="98.274000000000001"/>
    <n v="2.0579800000000001"/>
    <n v="0"/>
    <n v="0"/>
    <n v="1.7607299999999999"/>
    <n v="1.7607299999999999"/>
    <n v="0"/>
    <n v="1.3601000000000001"/>
    <n v="2.9635199999999999"/>
    <n v="241583000"/>
    <n v="0"/>
    <n v="0"/>
    <n v="0"/>
    <n v="0"/>
    <n v="4555430"/>
    <n v="148489"/>
    <n v="0"/>
    <n v="33"/>
    <x v="10"/>
    <n v="2.8090868500684338E-5"/>
    <n v="5.9260762964604762E-5"/>
  </r>
  <r>
    <n v="73.519400000000005"/>
    <n v="85.138999999999996"/>
    <n v="1.4467399999999999"/>
    <n v="0"/>
    <n v="0"/>
    <n v="2.8939599999999999"/>
    <n v="2.8939599999999999"/>
    <n v="0"/>
    <n v="0.54223500000000002"/>
    <n v="5.3222399999999999"/>
    <n v="71435700"/>
    <n v="0"/>
    <n v="0"/>
    <n v="0"/>
    <n v="0"/>
    <n v="4326400"/>
    <n v="297505"/>
    <n v="0"/>
    <n v="98.530500000000004"/>
    <n v="98.274000000000001"/>
    <n v="2.0724"/>
    <n v="0"/>
    <n v="0"/>
    <n v="1.7610399999999999"/>
    <n v="1.7610399999999999"/>
    <n v="0"/>
    <n v="1.3603400000000001"/>
    <n v="2.9635199999999999"/>
    <n v="241732000"/>
    <n v="0"/>
    <n v="0"/>
    <n v="0"/>
    <n v="0"/>
    <n v="4556220"/>
    <n v="148515"/>
    <n v="0"/>
    <n v="34"/>
    <x v="10"/>
    <n v="2.8090915621447304E-5"/>
    <n v="5.9260847881656566E-5"/>
  </r>
  <r>
    <n v="71.945599999999999"/>
    <n v="85.138999999999996"/>
    <n v="1.3407199999999999"/>
    <n v="0"/>
    <n v="0"/>
    <n v="2.8944700000000001"/>
    <n v="2.8944700000000001"/>
    <n v="0"/>
    <n v="0.54232899999999995"/>
    <n v="5.3222399999999999"/>
    <n v="71733300"/>
    <n v="0"/>
    <n v="0"/>
    <n v="0"/>
    <n v="0"/>
    <n v="4327160"/>
    <n v="297557"/>
    <n v="0"/>
    <n v="98.314800000000005"/>
    <n v="98.274000000000001"/>
    <n v="1.8446"/>
    <n v="0"/>
    <n v="0"/>
    <n v="1.7613399999999999"/>
    <n v="1.7613399999999999"/>
    <n v="0"/>
    <n v="1.3605799999999999"/>
    <n v="2.9635199999999999"/>
    <n v="241880000"/>
    <n v="0"/>
    <n v="0"/>
    <n v="0"/>
    <n v="0"/>
    <n v="4557010"/>
    <n v="148541"/>
    <n v="0"/>
    <n v="35"/>
    <x v="10"/>
    <n v="2.8090962725872628E-5"/>
    <n v="5.9260795818170665E-5"/>
  </r>
  <r>
    <n v="70.257000000000005"/>
    <n v="85.138999999999996"/>
    <n v="1.36433"/>
    <n v="0"/>
    <n v="0"/>
    <n v="3.0883099999999999"/>
    <n v="3.0883099999999999"/>
    <n v="0"/>
    <n v="0.54242299999999999"/>
    <n v="5.3222399999999999"/>
    <n v="72050800"/>
    <n v="0"/>
    <n v="0"/>
    <n v="0"/>
    <n v="0"/>
    <n v="4616950"/>
    <n v="317485"/>
    <n v="0"/>
    <n v="97.8065"/>
    <n v="98.274000000000001"/>
    <n v="2.1041599999999998"/>
    <n v="0"/>
    <n v="0"/>
    <n v="1.9133199999999999"/>
    <n v="1.9133199999999999"/>
    <n v="0"/>
    <n v="1.3608100000000001"/>
    <n v="2.9635199999999999"/>
    <n v="242041000"/>
    <n v="0"/>
    <n v="0"/>
    <n v="0"/>
    <n v="0"/>
    <n v="4950210"/>
    <n v="161358"/>
    <n v="0"/>
    <n v="36"/>
    <x v="10"/>
    <n v="2.8090996190492009E-5"/>
    <n v="5.9260908034903384E-5"/>
  </r>
  <r>
    <n v="68.3001"/>
    <n v="85.138999999999996"/>
    <n v="1.0461499999999999"/>
    <n v="0"/>
    <n v="0"/>
    <n v="3.0888499999999999"/>
    <n v="3.0888499999999999"/>
    <n v="0"/>
    <n v="0.57874999999999999"/>
    <n v="5.3222399999999999"/>
    <n v="72368300"/>
    <n v="0"/>
    <n v="0"/>
    <n v="0"/>
    <n v="0"/>
    <n v="4617750"/>
    <n v="317540"/>
    <n v="0"/>
    <n v="97.295500000000004"/>
    <n v="98.274000000000001"/>
    <n v="1.7273700000000001"/>
    <n v="0"/>
    <n v="0"/>
    <n v="1.9136500000000001"/>
    <n v="1.9136500000000001"/>
    <n v="0"/>
    <n v="1.4782299999999999"/>
    <n v="2.9635199999999999"/>
    <n v="242203000"/>
    <n v="0"/>
    <n v="0"/>
    <n v="0"/>
    <n v="0"/>
    <n v="4951070"/>
    <n v="161386"/>
    <n v="0"/>
    <n v="37"/>
    <x v="10"/>
    <n v="2.8090990494195514E-5"/>
    <n v="5.9260905781393099E-5"/>
  </r>
  <r>
    <n v="66.625"/>
    <n v="85.138999999999996"/>
    <n v="1.06149"/>
    <n v="0.01"/>
    <n v="0"/>
    <n v="2.7869899999999999"/>
    <n v="3.0893899999999999"/>
    <n v="0"/>
    <n v="0.57884999999999998"/>
    <n v="5.3222399999999999"/>
    <n v="72277400"/>
    <n v="0"/>
    <n v="0"/>
    <n v="0"/>
    <n v="0"/>
    <n v="4166470"/>
    <n v="-90943.7"/>
    <n v="408539"/>
    <n v="96.798699999999997"/>
    <n v="98.274000000000001"/>
    <n v="1.67363"/>
    <n v="0"/>
    <n v="0"/>
    <n v="2.21638"/>
    <n v="1.91398"/>
    <n v="0"/>
    <n v="1.4784900000000001"/>
    <n v="2.9635199999999999"/>
    <n v="243147000"/>
    <n v="0"/>
    <n v="0"/>
    <n v="0"/>
    <n v="0"/>
    <n v="5734310"/>
    <n v="943795"/>
    <n v="0"/>
    <n v="38"/>
    <x v="10"/>
    <n v="1.4183936115768437E-4"/>
    <n v="-1.8810685479423428E-5"/>
  </r>
  <r>
    <n v="65.496700000000004"/>
    <n v="85.138999999999996"/>
    <n v="1.6437200000000001"/>
    <n v="0.01"/>
    <n v="0"/>
    <n v="2.7875200000000002"/>
    <n v="3.0899200000000002"/>
    <n v="0"/>
    <n v="0.522281"/>
    <n v="5.3222399999999999"/>
    <n v="72186500"/>
    <n v="0"/>
    <n v="0"/>
    <n v="0"/>
    <n v="0"/>
    <n v="4167280"/>
    <n v="-90888.5"/>
    <n v="408539"/>
    <n v="96.387900000000002"/>
    <n v="98.274000000000001"/>
    <n v="1.9796199999999999"/>
    <n v="0"/>
    <n v="0"/>
    <n v="2.21671"/>
    <n v="1.91431"/>
    <n v="0"/>
    <n v="1.71238"/>
    <n v="2.9635199999999999"/>
    <n v="244090000"/>
    <n v="0"/>
    <n v="0"/>
    <n v="0"/>
    <n v="0"/>
    <n v="5735170"/>
    <n v="943823"/>
    <n v="0"/>
    <n v="39"/>
    <x v="10"/>
    <n v="1.4182229944955115E-4"/>
    <n v="-1.8795613938022947E-5"/>
  </r>
  <r>
    <n v="64.924300000000002"/>
    <n v="85.138999999999996"/>
    <n v="2.21793"/>
    <n v="0.01"/>
    <n v="0"/>
    <n v="2.7880600000000002"/>
    <n v="3.0904600000000002"/>
    <n v="0"/>
    <n v="0.52238200000000001"/>
    <n v="5.3222399999999999"/>
    <n v="72095600"/>
    <n v="0"/>
    <n v="0"/>
    <n v="0"/>
    <n v="0"/>
    <n v="4168080"/>
    <n v="-90833.3"/>
    <n v="408539"/>
    <n v="96.128699999999995"/>
    <n v="98.274000000000001"/>
    <n v="2.1724899999999998"/>
    <n v="0"/>
    <n v="0"/>
    <n v="2.21705"/>
    <n v="1.91465"/>
    <n v="0"/>
    <n v="1.7126300000000001"/>
    <n v="2.9635199999999999"/>
    <n v="245034000"/>
    <n v="0"/>
    <n v="0"/>
    <n v="0"/>
    <n v="0"/>
    <n v="5736030"/>
    <n v="943851"/>
    <n v="0"/>
    <n v="40"/>
    <x v="10"/>
    <n v="1.41805242857524E-4"/>
    <n v="-1.878059331246885E-5"/>
  </r>
  <r>
    <n v="63.866300000000003"/>
    <n v="85.138999999999996"/>
    <n v="1.6113900000000001"/>
    <n v="0.01"/>
    <n v="0"/>
    <n v="2.6942900000000001"/>
    <n v="2.9966900000000001"/>
    <n v="0"/>
    <n v="0.522482"/>
    <n v="5.3222399999999999"/>
    <n v="71995200"/>
    <n v="0"/>
    <n v="0"/>
    <n v="0"/>
    <n v="0"/>
    <n v="4027890"/>
    <n v="-100473"/>
    <n v="408539"/>
    <n v="95.981499999999997"/>
    <n v="98.274000000000001"/>
    <n v="2.7059799999999998"/>
    <n v="0"/>
    <n v="0"/>
    <n v="2.1252399999999998"/>
    <n v="1.82284"/>
    <n v="0"/>
    <n v="1.71289"/>
    <n v="2.9635199999999999"/>
    <n v="245970000"/>
    <n v="0"/>
    <n v="0"/>
    <n v="0"/>
    <n v="0"/>
    <n v="5498510"/>
    <n v="936108"/>
    <n v="0"/>
    <n v="41"/>
    <x v="10"/>
    <n v="1.4671725712604868E-4"/>
    <n v="-2.1496711603669099E-5"/>
  </r>
  <r>
    <n v="63.221499999999999"/>
    <n v="85.138999999999996"/>
    <n v="2.0260500000000001"/>
    <n v="0.02"/>
    <n v="0"/>
    <n v="2.6948099999999999"/>
    <n v="2.9972099999999999"/>
    <n v="0"/>
    <n v="0.50490900000000005"/>
    <n v="5.3222399999999999"/>
    <n v="71894700"/>
    <n v="0"/>
    <n v="0"/>
    <n v="0"/>
    <n v="0"/>
    <n v="4028670"/>
    <n v="-100420"/>
    <n v="408539"/>
    <n v="95.997600000000006"/>
    <n v="98.274000000000001"/>
    <n v="3.06149"/>
    <n v="0"/>
    <n v="0"/>
    <n v="2.1255600000000001"/>
    <n v="1.8231599999999999"/>
    <n v="0"/>
    <n v="1.6419600000000001"/>
    <n v="2.9635199999999999"/>
    <n v="246907000"/>
    <n v="0"/>
    <n v="0"/>
    <n v="0"/>
    <n v="0"/>
    <n v="5499330"/>
    <n v="936135"/>
    <n v="0"/>
    <n v="42"/>
    <x v="10"/>
    <n v="1.466996113611057E-4"/>
    <n v="-2.1481212150984043E-5"/>
  </r>
  <r>
    <n v="63.655000000000001"/>
    <n v="85.138999999999996"/>
    <n v="3.1599499999999998"/>
    <n v="0.02"/>
    <n v="0"/>
    <n v="2.6953299999999998"/>
    <n v="2.9977299999999998"/>
    <n v="0"/>
    <n v="0.50500699999999998"/>
    <n v="5.3222399999999999"/>
    <n v="71794400"/>
    <n v="0"/>
    <n v="0"/>
    <n v="0"/>
    <n v="0"/>
    <n v="4029450"/>
    <n v="-100366"/>
    <n v="408539"/>
    <n v="96.649299999999997"/>
    <n v="98.274000000000001"/>
    <n v="5.2295400000000001"/>
    <n v="0"/>
    <n v="0"/>
    <n v="2.12588"/>
    <n v="1.82348"/>
    <n v="0"/>
    <n v="1.6422099999999999"/>
    <n v="2.9635199999999999"/>
    <n v="247843000"/>
    <n v="0"/>
    <n v="0"/>
    <n v="0"/>
    <n v="0"/>
    <n v="5500150"/>
    <n v="936162"/>
    <n v="0"/>
    <n v="43"/>
    <x v="10"/>
    <n v="1.4668197085766554E-4"/>
    <n v="-2.1465504826630323E-5"/>
  </r>
  <r>
    <n v="63.843400000000003"/>
    <n v="85.138999999999996"/>
    <n v="3.0482800000000001"/>
    <n v="0.02"/>
    <n v="0"/>
    <n v="2.6958500000000001"/>
    <n v="2.9982500000000001"/>
    <n v="0"/>
    <n v="0.505104"/>
    <n v="5.3222399999999999"/>
    <n v="71694100"/>
    <n v="0"/>
    <n v="0"/>
    <n v="0"/>
    <n v="0"/>
    <n v="4030230"/>
    <n v="-100313"/>
    <n v="408539"/>
    <n v="97.171300000000002"/>
    <n v="98.274000000000001"/>
    <n v="4.7357699999999996"/>
    <n v="0"/>
    <n v="0"/>
    <n v="2.1261899999999998"/>
    <n v="1.82379"/>
    <n v="0"/>
    <n v="1.64245"/>
    <n v="2.9635199999999999"/>
    <n v="248779000"/>
    <n v="0"/>
    <n v="0"/>
    <n v="0"/>
    <n v="0"/>
    <n v="5500970"/>
    <n v="936188"/>
    <n v="0"/>
    <n v="44"/>
    <x v="10"/>
    <n v="1.4666417895234246E-4"/>
    <n v="-2.1450017413067671E-5"/>
  </r>
  <r>
    <n v="64.514799999999994"/>
    <n v="85.138999999999996"/>
    <n v="3.4954299999999998"/>
    <n v="0.02"/>
    <n v="0"/>
    <n v="2.6189"/>
    <n v="2.9213"/>
    <n v="0"/>
    <n v="0.50520200000000004"/>
    <n v="5.3222399999999999"/>
    <n v="71585800"/>
    <n v="0"/>
    <n v="0"/>
    <n v="0"/>
    <n v="0"/>
    <n v="3915200"/>
    <n v="-108223"/>
    <n v="408539"/>
    <n v="97.704599999999999"/>
    <n v="98.274000000000001"/>
    <n v="4.2950100000000004"/>
    <n v="0"/>
    <n v="0"/>
    <n v="2.0425800000000001"/>
    <n v="1.7401800000000001"/>
    <n v="0"/>
    <n v="1.6427"/>
    <n v="2.9635199999999999"/>
    <n v="249708000"/>
    <n v="0"/>
    <n v="0"/>
    <n v="0"/>
    <n v="0"/>
    <n v="5284650"/>
    <n v="929137"/>
    <n v="0"/>
    <n v="45"/>
    <x v="10"/>
    <n v="1.5151784580463612E-4"/>
    <n v="-2.3821323028883977E-5"/>
  </r>
  <r>
    <n v="68.603200000000001"/>
    <n v="85.138999999999996"/>
    <n v="7.1324100000000001"/>
    <n v="0.01"/>
    <n v="0"/>
    <n v="2.6194099999999998"/>
    <n v="2.9218099999999998"/>
    <n v="0"/>
    <n v="0.49078300000000002"/>
    <n v="5.3222399999999999"/>
    <n v="71477700"/>
    <n v="0"/>
    <n v="0"/>
    <n v="0"/>
    <n v="0"/>
    <n v="3915950"/>
    <n v="-108171"/>
    <n v="408539"/>
    <n v="99.302199999999999"/>
    <n v="98.274000000000001"/>
    <n v="8.5176800000000004"/>
    <n v="0"/>
    <n v="0"/>
    <n v="2.0428799999999998"/>
    <n v="1.74048"/>
    <n v="0"/>
    <n v="1.5781000000000001"/>
    <n v="2.9635199999999999"/>
    <n v="250637000"/>
    <n v="0"/>
    <n v="0"/>
    <n v="0"/>
    <n v="0"/>
    <n v="5285430"/>
    <n v="929163"/>
    <n v="0"/>
    <n v="46"/>
    <x v="10"/>
    <n v="1.5149972477360374E-4"/>
    <n v="-2.3805316964039417E-5"/>
  </r>
  <r>
    <n v="70.882199999999997"/>
    <n v="85.138999999999996"/>
    <n v="5.5369099999999998"/>
    <n v="0.02"/>
    <n v="0"/>
    <n v="2.61992"/>
    <n v="2.92232"/>
    <n v="0"/>
    <n v="0.49087799999999998"/>
    <n v="5.3222399999999999"/>
    <n v="71369500"/>
    <n v="0"/>
    <n v="0"/>
    <n v="0"/>
    <n v="0"/>
    <n v="3916710"/>
    <n v="-108118"/>
    <n v="408539"/>
    <n v="99.302199999999999"/>
    <n v="98.274000000000001"/>
    <n v="7.1652399999999998"/>
    <n v="0"/>
    <n v="0"/>
    <n v="2.0431900000000001"/>
    <n v="1.7407900000000001"/>
    <n v="0"/>
    <n v="1.57833"/>
    <n v="2.9635199999999999"/>
    <n v="251566000"/>
    <n v="0"/>
    <n v="0"/>
    <n v="0"/>
    <n v="0"/>
    <n v="5286210"/>
    <n v="929188"/>
    <n v="0"/>
    <n v="47"/>
    <x v="10"/>
    <n v="1.5148144606460682E-4"/>
    <n v="-2.3789036262662366E-5"/>
  </r>
  <r>
    <n v="73.926000000000002"/>
    <n v="85.138999999999996"/>
    <n v="6.4046200000000004"/>
    <n v="0.01"/>
    <n v="0"/>
    <n v="2.6204299999999998"/>
    <n v="2.9228299999999998"/>
    <n v="0"/>
    <n v="0.49097299999999999"/>
    <n v="5.3222399999999999"/>
    <n v="71261500"/>
    <n v="0"/>
    <n v="0"/>
    <n v="0"/>
    <n v="0"/>
    <n v="3917470"/>
    <n v="-108066"/>
    <n v="408539"/>
    <n v="99.302199999999999"/>
    <n v="98.274000000000001"/>
    <n v="8.8309999999999995"/>
    <n v="0"/>
    <n v="0"/>
    <n v="2.0434899999999998"/>
    <n v="1.74109"/>
    <n v="0"/>
    <n v="1.57857"/>
    <n v="2.9635199999999999"/>
    <n v="252496000"/>
    <n v="0"/>
    <n v="0"/>
    <n v="0"/>
    <n v="0"/>
    <n v="5286990"/>
    <n v="929214"/>
    <n v="0"/>
    <n v="48"/>
    <x v="10"/>
    <n v="1.5146333575056191E-4"/>
    <n v="-2.3772981864054077E-5"/>
  </r>
  <r>
    <n v="75.806799999999996"/>
    <n v="85.138999999999996"/>
    <n v="5.2222999999999997"/>
    <n v="0"/>
    <n v="0"/>
    <n v="2.7031700000000001"/>
    <n v="2.7031700000000001"/>
    <n v="0"/>
    <n v="0.491068"/>
    <n v="5.3222399999999999"/>
    <n v="71539400"/>
    <n v="0"/>
    <n v="0"/>
    <n v="0"/>
    <n v="0"/>
    <n v="4041180"/>
    <n v="277892"/>
    <n v="0"/>
    <n v="99.302199999999999"/>
    <n v="98.274000000000001"/>
    <n v="7.78139"/>
    <n v="0"/>
    <n v="0"/>
    <n v="1.56647"/>
    <n v="1.56647"/>
    <n v="0"/>
    <n v="1.5788"/>
    <n v="2.9635199999999999"/>
    <n v="252628000"/>
    <n v="0"/>
    <n v="0"/>
    <n v="0"/>
    <n v="0"/>
    <n v="4052840"/>
    <n v="132107"/>
    <n v="0"/>
    <n v="49"/>
    <x v="10"/>
    <n v="2.8090963361871985E-5"/>
    <n v="5.9260882035214932E-5"/>
  </r>
  <r>
    <n v="79.676900000000003"/>
    <n v="85.138999999999996"/>
    <n v="7.4658499999999997"/>
    <n v="0"/>
    <n v="0"/>
    <n v="2.70364"/>
    <n v="2.70364"/>
    <n v="0"/>
    <n v="0.506575"/>
    <n v="5.3222399999999999"/>
    <n v="71817300"/>
    <n v="0"/>
    <n v="0"/>
    <n v="0"/>
    <n v="0"/>
    <n v="4041880"/>
    <n v="277940"/>
    <n v="0"/>
    <n v="99.302199999999999"/>
    <n v="98.274000000000001"/>
    <n v="7.2966699999999998"/>
    <n v="0"/>
    <n v="0"/>
    <n v="1.5667500000000001"/>
    <n v="1.5667500000000001"/>
    <n v="0"/>
    <n v="1.2102599999999999"/>
    <n v="2.9635199999999999"/>
    <n v="252760000"/>
    <n v="0"/>
    <n v="0"/>
    <n v="0"/>
    <n v="0"/>
    <n v="4053550"/>
    <n v="132130"/>
    <n v="0"/>
    <n v="50"/>
    <x v="10"/>
    <n v="2.8090932902587372E-5"/>
    <n v="5.9260853135140175E-5"/>
  </r>
  <r>
    <n v="84.7136"/>
    <n v="85.138999999999996"/>
    <n v="8.6001499999999993"/>
    <n v="0"/>
    <n v="0"/>
    <n v="2.70411"/>
    <n v="2.70411"/>
    <n v="0"/>
    <n v="0.50666299999999997"/>
    <n v="5.3222399999999999"/>
    <n v="72095300"/>
    <n v="0"/>
    <n v="0"/>
    <n v="0"/>
    <n v="0"/>
    <n v="4042580"/>
    <n v="277988"/>
    <n v="0"/>
    <n v="99.302199999999999"/>
    <n v="98.274000000000001"/>
    <n v="8.5830400000000004"/>
    <n v="0"/>
    <n v="0"/>
    <n v="1.5670200000000001"/>
    <n v="1.5670200000000001"/>
    <n v="0"/>
    <n v="1.2104699999999999"/>
    <n v="2.9635199999999999"/>
    <n v="252892000"/>
    <n v="0"/>
    <n v="0"/>
    <n v="0"/>
    <n v="0"/>
    <n v="4054250"/>
    <n v="132153"/>
    <n v="0"/>
    <n v="51"/>
    <x v="10"/>
    <n v="2.8090971741514912E-5"/>
    <n v="5.9260824245073905E-5"/>
  </r>
  <r>
    <n v="85.138999999999996"/>
    <n v="85.138999999999996"/>
    <n v="7.4589800000000004"/>
    <n v="0"/>
    <n v="0"/>
    <n v="2.70458"/>
    <n v="2.70458"/>
    <n v="0"/>
    <n v="0.50675099999999995"/>
    <n v="5.3222399999999999"/>
    <n v="72373300"/>
    <n v="0"/>
    <n v="0"/>
    <n v="0"/>
    <n v="0"/>
    <n v="4043280"/>
    <n v="278036"/>
    <n v="0"/>
    <n v="99.302199999999999"/>
    <n v="98.274000000000001"/>
    <n v="7.5167999999999999"/>
    <n v="0"/>
    <n v="0"/>
    <n v="1.5672900000000001"/>
    <n v="1.5672900000000001"/>
    <n v="0"/>
    <n v="1.21068"/>
    <n v="2.9635199999999999"/>
    <n v="253024000"/>
    <n v="0"/>
    <n v="0"/>
    <n v="0"/>
    <n v="0"/>
    <n v="4054960"/>
    <n v="132176"/>
    <n v="0"/>
    <n v="52"/>
    <x v="10"/>
    <n v="2.8090941291354446E-5"/>
    <n v="5.9260795365010925E-5"/>
  </r>
  <r>
    <n v="85.138999999999996"/>
    <n v="85.138999999999996"/>
    <n v="7.1895600000000002"/>
    <n v="0"/>
    <n v="0"/>
    <n v="2.70505"/>
    <n v="2.70505"/>
    <n v="0"/>
    <n v="0.50683900000000004"/>
    <n v="5.3222399999999999"/>
    <n v="72651400"/>
    <n v="0"/>
    <n v="0"/>
    <n v="0"/>
    <n v="0"/>
    <n v="4043990"/>
    <n v="278085"/>
    <n v="0"/>
    <n v="99.302199999999999"/>
    <n v="98.274000000000001"/>
    <n v="7.4868100000000002"/>
    <n v="0"/>
    <n v="0"/>
    <n v="1.5675600000000001"/>
    <n v="1.5675600000000001"/>
    <n v="0"/>
    <n v="1.21089"/>
    <n v="2.9635199999999999"/>
    <n v="253156000"/>
    <n v="0"/>
    <n v="0"/>
    <n v="0"/>
    <n v="0"/>
    <n v="4055660"/>
    <n v="132199"/>
    <n v="0"/>
    <n v="1"/>
    <x v="11"/>
    <n v="1.387822253285912E-5"/>
    <n v="2.9277548354800262E-5"/>
  </r>
  <r>
    <n v="85.138999999999996"/>
    <n v="85.138999999999996"/>
    <n v="9.3616700000000002"/>
    <n v="0"/>
    <n v="0"/>
    <n v="2.79027"/>
    <n v="2.79027"/>
    <n v="0"/>
    <n v="0.50692700000000002"/>
    <n v="5.3222399999999999"/>
    <n v="72938300"/>
    <n v="0"/>
    <n v="0"/>
    <n v="0"/>
    <n v="0"/>
    <n v="4171390"/>
    <n v="286845"/>
    <n v="0"/>
    <n v="99.302199999999999"/>
    <n v="98.274000000000001"/>
    <n v="9.9890399999999993"/>
    <n v="0"/>
    <n v="0"/>
    <n v="1.61853"/>
    <n v="1.61853"/>
    <n v="0"/>
    <n v="1.2111000000000001"/>
    <n v="2.9635199999999999"/>
    <n v="253293000"/>
    <n v="0"/>
    <n v="0"/>
    <n v="0"/>
    <n v="0"/>
    <n v="4187510"/>
    <n v="136497"/>
    <n v="0"/>
    <n v="2"/>
    <x v="11"/>
    <n v="1.3878242301100741E-5"/>
    <n v="2.9277480799438902E-5"/>
  </r>
  <r>
    <n v="85.138999999999996"/>
    <n v="85.138999999999996"/>
    <n v="7.0572299999999997"/>
    <n v="0"/>
    <n v="0"/>
    <n v="2.79074"/>
    <n v="2.79074"/>
    <n v="0"/>
    <n v="0.52289699999999995"/>
    <n v="5.3222399999999999"/>
    <n v="73225200"/>
    <n v="0"/>
    <n v="0"/>
    <n v="0"/>
    <n v="29016000"/>
    <n v="4172080"/>
    <n v="286893"/>
    <n v="0"/>
    <n v="99.302199999999999"/>
    <n v="98.274000000000001"/>
    <n v="7.5149600000000003"/>
    <n v="0"/>
    <n v="0"/>
    <n v="1.6188"/>
    <n v="1.6188"/>
    <n v="0"/>
    <n v="1.25047"/>
    <n v="2.9635199999999999"/>
    <n v="253429000"/>
    <n v="0"/>
    <n v="0"/>
    <n v="0"/>
    <n v="7883220"/>
    <n v="4188210"/>
    <n v="136519"/>
    <n v="0"/>
    <n v="3"/>
    <x v="11"/>
    <n v="8.1526538190864633E-4"/>
    <n v="2.9903711091668456E-3"/>
  </r>
  <r>
    <n v="85.138999999999996"/>
    <n v="85.138999999999996"/>
    <n v="5.8050100000000002"/>
    <n v="0"/>
    <n v="0"/>
    <n v="2.7911999999999999"/>
    <n v="2.7911999999999999"/>
    <n v="0"/>
    <n v="0.522984"/>
    <n v="5.3222399999999999"/>
    <n v="73512100"/>
    <n v="0"/>
    <n v="0"/>
    <n v="0"/>
    <n v="0"/>
    <n v="4172780"/>
    <n v="286941"/>
    <n v="0"/>
    <n v="99.302199999999999"/>
    <n v="98.274000000000001"/>
    <n v="5.8411200000000001"/>
    <n v="0"/>
    <n v="0"/>
    <n v="1.61907"/>
    <n v="1.61907"/>
    <n v="0"/>
    <n v="1.25068"/>
    <n v="2.9635199999999999"/>
    <n v="253566000"/>
    <n v="0"/>
    <n v="0"/>
    <n v="0"/>
    <n v="0"/>
    <n v="4188910"/>
    <n v="136542"/>
    <n v="0"/>
    <n v="4"/>
    <x v="11"/>
    <n v="1.3878177789057539E-5"/>
    <n v="2.9277523333127048E-5"/>
  </r>
  <r>
    <n v="85.138999999999996"/>
    <n v="85.138999999999996"/>
    <n v="7.4544300000000003"/>
    <n v="0"/>
    <n v="0"/>
    <n v="2.7916699999999999"/>
    <n v="2.7916699999999999"/>
    <n v="0"/>
    <n v="0.52307099999999995"/>
    <n v="5.3222399999999999"/>
    <n v="73799100"/>
    <n v="0"/>
    <n v="0"/>
    <n v="0"/>
    <n v="0"/>
    <n v="4173470"/>
    <n v="286989"/>
    <n v="0"/>
    <n v="99.302199999999999"/>
    <n v="98.274000000000001"/>
    <n v="6.3135599999999998"/>
    <n v="0"/>
    <n v="0"/>
    <n v="1.61934"/>
    <n v="1.61934"/>
    <n v="0"/>
    <n v="1.2508900000000001"/>
    <n v="2.9635199999999999"/>
    <n v="253702000"/>
    <n v="0"/>
    <n v="0"/>
    <n v="0"/>
    <n v="0"/>
    <n v="4189610"/>
    <n v="136565"/>
    <n v="0"/>
    <n v="5"/>
    <x v="11"/>
    <n v="1.3878196360892007E-5"/>
    <n v="2.9277579665128327E-5"/>
  </r>
  <r>
    <n v="85.138999999999996"/>
    <n v="85.138999999999996"/>
    <n v="5.1759199999999996"/>
    <n v="0"/>
    <n v="0"/>
    <n v="3.06447"/>
    <n v="3.06447"/>
    <n v="0"/>
    <n v="0.52315900000000004"/>
    <n v="5.3222399999999999"/>
    <n v="74114100"/>
    <n v="0"/>
    <n v="0"/>
    <n v="0"/>
    <n v="0"/>
    <n v="4581310"/>
    <n v="315034"/>
    <n v="0"/>
    <n v="99.302199999999999"/>
    <n v="98.274000000000001"/>
    <n v="5.2515700000000001"/>
    <n v="0"/>
    <n v="0"/>
    <n v="1.8100400000000001"/>
    <n v="1.8100400000000001"/>
    <n v="0"/>
    <n v="1.2511000000000001"/>
    <n v="2.9635199999999999"/>
    <n v="253855000"/>
    <n v="0"/>
    <n v="0"/>
    <n v="0"/>
    <n v="0"/>
    <n v="4683000"/>
    <n v="152648"/>
    <n v="0"/>
    <n v="6"/>
    <x v="11"/>
    <n v="1.3878233084190525E-5"/>
    <n v="2.9277565689540127E-5"/>
  </r>
  <r>
    <n v="85.138999999999996"/>
    <n v="85.138999999999996"/>
    <n v="12.844799999999999"/>
    <n v="0"/>
    <n v="0"/>
    <n v="3.0649799999999998"/>
    <n v="3.0649799999999998"/>
    <n v="0"/>
    <n v="0.57428199999999996"/>
    <n v="5.3222399999999999"/>
    <n v="74429200"/>
    <n v="0"/>
    <n v="0"/>
    <n v="0"/>
    <n v="0"/>
    <n v="4582070"/>
    <n v="315086"/>
    <n v="0"/>
    <n v="99.302199999999999"/>
    <n v="98.274000000000001"/>
    <n v="17.266300000000001"/>
    <n v="0"/>
    <n v="0"/>
    <n v="1.8103400000000001"/>
    <n v="1.8103400000000001"/>
    <n v="0"/>
    <n v="1.3984300000000001"/>
    <n v="2.9635199999999999"/>
    <n v="254008000"/>
    <n v="0"/>
    <n v="0"/>
    <n v="0"/>
    <n v="0"/>
    <n v="4683780"/>
    <n v="152673"/>
    <n v="0"/>
    <n v="7"/>
    <x v="11"/>
    <n v="1.3878194447878787E-5"/>
    <n v="2.9277541397101251E-5"/>
  </r>
  <r>
    <n v="85.138999999999996"/>
    <n v="85.138999999999996"/>
    <n v="8.3453300000000006"/>
    <n v="0"/>
    <n v="0"/>
    <n v="3.06549"/>
    <n v="3.06549"/>
    <n v="0"/>
    <n v="0.57437800000000006"/>
    <n v="5.3222399999999999"/>
    <n v="74744300"/>
    <n v="0"/>
    <n v="0"/>
    <n v="0"/>
    <n v="0"/>
    <n v="4582840"/>
    <n v="315139"/>
    <n v="0"/>
    <n v="99.302199999999999"/>
    <n v="98.274000000000001"/>
    <n v="10.594099999999999"/>
    <n v="0"/>
    <n v="0"/>
    <n v="1.81064"/>
    <n v="1.81064"/>
    <n v="0"/>
    <n v="1.3986700000000001"/>
    <n v="2.9635199999999999"/>
    <n v="254160000"/>
    <n v="0"/>
    <n v="0"/>
    <n v="0"/>
    <n v="0"/>
    <n v="4684560"/>
    <n v="152698"/>
    <n v="0"/>
    <n v="8"/>
    <x v="11"/>
    <n v="1.3878155824433279E-5"/>
    <n v="2.927754613121934E-5"/>
  </r>
  <r>
    <n v="85.138999999999996"/>
    <n v="85.138999999999996"/>
    <n v="6.77677"/>
    <n v="0"/>
    <n v="0"/>
    <n v="3.0659999999999998"/>
    <n v="3.0659999999999998"/>
    <n v="0"/>
    <n v="0.57447400000000004"/>
    <n v="5.3222399999999999"/>
    <n v="75059500"/>
    <n v="0"/>
    <n v="0"/>
    <n v="0"/>
    <n v="0"/>
    <n v="4583600"/>
    <n v="315191"/>
    <n v="0"/>
    <n v="99.302199999999999"/>
    <n v="98.274000000000001"/>
    <n v="7.7387800000000002"/>
    <n v="0"/>
    <n v="0"/>
    <n v="1.81094"/>
    <n v="1.81094"/>
    <n v="0"/>
    <n v="1.3989"/>
    <n v="2.9635199999999999"/>
    <n v="254313000"/>
    <n v="0"/>
    <n v="0"/>
    <n v="0"/>
    <n v="0"/>
    <n v="4685340"/>
    <n v="152724"/>
    <n v="0"/>
    <n v="9"/>
    <x v="11"/>
    <n v="1.3878208085014427E-5"/>
    <n v="2.927752185013219E-5"/>
  </r>
  <r>
    <n v="85.138999999999996"/>
    <n v="85.138999999999996"/>
    <n v="6.0071099999999999"/>
    <n v="0"/>
    <n v="0"/>
    <n v="2.6778200000000001"/>
    <n v="2.6778200000000001"/>
    <n v="0"/>
    <n v="0.574569"/>
    <n v="5.3222399999999999"/>
    <n v="75334800"/>
    <n v="0"/>
    <n v="0"/>
    <n v="0"/>
    <n v="0"/>
    <n v="4003270"/>
    <n v="275285"/>
    <n v="0"/>
    <n v="99.302199999999999"/>
    <n v="98.274000000000001"/>
    <n v="7.8035600000000001"/>
    <n v="0"/>
    <n v="0"/>
    <n v="1.5555099999999999"/>
    <n v="1.5555099999999999"/>
    <n v="0"/>
    <n v="1.39913"/>
    <n v="2.9635199999999999"/>
    <n v="254444000"/>
    <n v="0"/>
    <n v="0"/>
    <n v="0"/>
    <n v="0"/>
    <n v="4024480"/>
    <n v="131183"/>
    <n v="0"/>
    <n v="10"/>
    <x v="11"/>
    <n v="1.3878259424261249E-5"/>
    <n v="2.9277560168393382E-5"/>
  </r>
  <r>
    <n v="85.138999999999996"/>
    <n v="85.138999999999996"/>
    <n v="4.7571500000000002"/>
    <n v="0"/>
    <n v="0"/>
    <n v="2.6782599999999999"/>
    <n v="2.6782599999999999"/>
    <n v="0"/>
    <n v="0.50182300000000002"/>
    <n v="5.3222399999999999"/>
    <n v="75610200"/>
    <n v="0"/>
    <n v="0"/>
    <n v="0"/>
    <n v="0"/>
    <n v="4003930"/>
    <n v="275331"/>
    <n v="0"/>
    <n v="99.302199999999999"/>
    <n v="98.274000000000001"/>
    <n v="6.5378800000000004"/>
    <n v="0"/>
    <n v="0"/>
    <n v="1.5557700000000001"/>
    <n v="1.5557700000000001"/>
    <n v="0"/>
    <n v="1.2017899999999999"/>
    <n v="2.9635199999999999"/>
    <n v="254576000"/>
    <n v="0"/>
    <n v="0"/>
    <n v="0"/>
    <n v="0"/>
    <n v="4025150"/>
    <n v="131204"/>
    <n v="0"/>
    <n v="11"/>
    <x v="11"/>
    <n v="1.3878170626267581E-5"/>
    <n v="2.9277625573303148E-5"/>
  </r>
  <r>
    <n v="85.138999999999996"/>
    <n v="85.138999999999996"/>
    <n v="4.2199600000000004"/>
    <n v="0"/>
    <n v="0"/>
    <n v="2.6787100000000001"/>
    <n v="2.6787100000000001"/>
    <n v="0"/>
    <n v="0.50190599999999996"/>
    <n v="5.3222399999999999"/>
    <n v="75885500"/>
    <n v="0"/>
    <n v="0"/>
    <n v="0"/>
    <n v="0"/>
    <n v="4004600"/>
    <n v="275376"/>
    <n v="0"/>
    <n v="99.302199999999999"/>
    <n v="98.274000000000001"/>
    <n v="6.2565799999999996"/>
    <n v="0"/>
    <n v="0"/>
    <n v="1.55603"/>
    <n v="1.55603"/>
    <n v="0"/>
    <n v="1.2019899999999999"/>
    <n v="2.9635199999999999"/>
    <n v="254707000"/>
    <n v="0"/>
    <n v="0"/>
    <n v="0"/>
    <n v="0"/>
    <n v="4025820"/>
    <n v="131226"/>
    <n v="0"/>
    <n v="12"/>
    <x v="11"/>
    <n v="1.3878187615741351E-5"/>
    <n v="2.9277511528191157E-5"/>
  </r>
  <r>
    <n v="85.138999999999996"/>
    <n v="85.138999999999996"/>
    <n v="5.0996300000000003"/>
    <n v="0"/>
    <n v="0"/>
    <n v="2.67916"/>
    <n v="2.67916"/>
    <n v="0"/>
    <n v="0.50199000000000005"/>
    <n v="5.3222399999999999"/>
    <n v="76161000"/>
    <n v="0"/>
    <n v="0"/>
    <n v="0"/>
    <n v="0"/>
    <n v="4005270"/>
    <n v="275422"/>
    <n v="0"/>
    <n v="99.302199999999999"/>
    <n v="98.274000000000001"/>
    <n v="5.9003899999999998"/>
    <n v="0"/>
    <n v="0"/>
    <n v="1.55629"/>
    <n v="1.55629"/>
    <n v="0"/>
    <n v="1.2021900000000001"/>
    <n v="2.9635199999999999"/>
    <n v="254838000"/>
    <n v="0"/>
    <n v="0"/>
    <n v="0"/>
    <n v="0"/>
    <n v="4026500"/>
    <n v="131248"/>
    <n v="0"/>
    <n v="13"/>
    <x v="11"/>
    <n v="1.3878170132394568E-5"/>
    <n v="2.9277503821761286E-5"/>
  </r>
  <r>
    <n v="85.138999999999996"/>
    <n v="85.138999999999996"/>
    <n v="4.1375599999999997"/>
    <n v="0"/>
    <n v="0"/>
    <n v="2.6796000000000002"/>
    <n v="2.6796000000000002"/>
    <n v="0"/>
    <n v="0.50207400000000002"/>
    <n v="5.3222399999999999"/>
    <n v="76436400"/>
    <n v="0"/>
    <n v="0"/>
    <n v="0"/>
    <n v="0"/>
    <n v="4005940"/>
    <n v="275468"/>
    <n v="0"/>
    <n v="99.302199999999999"/>
    <n v="98.274000000000001"/>
    <n v="5.1067999999999998"/>
    <n v="0"/>
    <n v="0"/>
    <n v="1.5565500000000001"/>
    <n v="1.5565500000000001"/>
    <n v="0"/>
    <n v="1.2023900000000001"/>
    <n v="2.9635199999999999"/>
    <n v="254969000"/>
    <n v="0"/>
    <n v="0"/>
    <n v="0"/>
    <n v="0"/>
    <n v="4027170"/>
    <n v="131270"/>
    <n v="0"/>
    <n v="14"/>
    <x v="11"/>
    <n v="1.3878187116255243E-5"/>
    <n v="2.9277496117909237E-5"/>
  </r>
  <r>
    <n v="85.138999999999996"/>
    <n v="85.138999999999996"/>
    <n v="5.2100200000000001"/>
    <n v="0"/>
    <n v="0"/>
    <n v="2.7779699999999998"/>
    <n v="2.7779699999999998"/>
    <n v="0"/>
    <n v="0.50215699999999996"/>
    <n v="5.3222399999999999"/>
    <n v="76722000"/>
    <n v="0"/>
    <n v="0"/>
    <n v="0"/>
    <n v="0"/>
    <n v="4153000"/>
    <n v="285581"/>
    <n v="0"/>
    <n v="99.302199999999999"/>
    <n v="98.274000000000001"/>
    <n v="7.0324799999999996"/>
    <n v="0"/>
    <n v="0"/>
    <n v="1.6194200000000001"/>
    <n v="1.6194200000000001"/>
    <n v="0"/>
    <n v="1.20259"/>
    <n v="2.9635199999999999"/>
    <n v="255106000"/>
    <n v="0"/>
    <n v="0"/>
    <n v="0"/>
    <n v="0"/>
    <n v="4189830"/>
    <n v="136572"/>
    <n v="0"/>
    <n v="15"/>
    <x v="11"/>
    <n v="1.3878178969492026E-5"/>
    <n v="2.9277540830367925E-5"/>
  </r>
  <r>
    <n v="85.138999999999996"/>
    <n v="85.138999999999996"/>
    <n v="5.5855199999999998"/>
    <n v="0"/>
    <n v="0"/>
    <n v="2.7784399999999998"/>
    <n v="2.7784399999999998"/>
    <n v="0"/>
    <n v="0.52059200000000005"/>
    <n v="5.3222399999999999"/>
    <n v="77007600"/>
    <n v="0"/>
    <n v="0"/>
    <n v="0"/>
    <n v="0"/>
    <n v="4153690"/>
    <n v="285629"/>
    <n v="0"/>
    <n v="99.302199999999999"/>
    <n v="98.274000000000001"/>
    <n v="7.2395899999999997"/>
    <n v="0"/>
    <n v="0"/>
    <n v="1.6196900000000001"/>
    <n v="1.6196900000000001"/>
    <n v="0"/>
    <n v="1.2511699999999999"/>
    <n v="2.9635199999999999"/>
    <n v="255242000"/>
    <n v="0"/>
    <n v="0"/>
    <n v="0"/>
    <n v="0"/>
    <n v="4190530"/>
    <n v="136595"/>
    <n v="0"/>
    <n v="16"/>
    <x v="11"/>
    <n v="1.3878197537052005E-5"/>
    <n v="2.9277597427717331E-5"/>
  </r>
  <r>
    <n v="85.138999999999996"/>
    <n v="85.138999999999996"/>
    <n v="5.1079999999999997"/>
    <n v="0"/>
    <n v="0"/>
    <n v="2.7789000000000001"/>
    <n v="2.7789000000000001"/>
    <n v="0"/>
    <n v="0.520679"/>
    <n v="5.3222399999999999"/>
    <n v="77293300"/>
    <n v="0"/>
    <n v="0"/>
    <n v="0"/>
    <n v="0"/>
    <n v="4154380"/>
    <n v="285676"/>
    <n v="0"/>
    <n v="99.302199999999999"/>
    <n v="98.274000000000001"/>
    <n v="6.1945499999999996"/>
    <n v="0"/>
    <n v="0"/>
    <n v="1.6199600000000001"/>
    <n v="1.6199600000000001"/>
    <n v="0"/>
    <n v="1.2513799999999999"/>
    <n v="2.9635199999999999"/>
    <n v="255379000"/>
    <n v="0"/>
    <n v="0"/>
    <n v="0"/>
    <n v="0"/>
    <n v="4191230"/>
    <n v="136618"/>
    <n v="0"/>
    <n v="17"/>
    <x v="11"/>
    <n v="1.3878216098409842E-5"/>
    <n v="2.9277551521102924E-5"/>
  </r>
  <r>
    <n v="85.138999999999996"/>
    <n v="85.138999999999996"/>
    <n v="4.8578999999999999"/>
    <n v="0"/>
    <n v="0"/>
    <n v="2.7793600000000001"/>
    <n v="2.7793600000000001"/>
    <n v="0"/>
    <n v="0.52076599999999995"/>
    <n v="5.3222399999999999"/>
    <n v="77579000"/>
    <n v="0"/>
    <n v="0"/>
    <n v="0"/>
    <n v="0"/>
    <n v="4155080"/>
    <n v="285724"/>
    <n v="0"/>
    <n v="99.302199999999999"/>
    <n v="98.274000000000001"/>
    <n v="5.8566500000000001"/>
    <n v="0"/>
    <n v="0"/>
    <n v="1.6202300000000001"/>
    <n v="1.6202300000000001"/>
    <n v="0"/>
    <n v="1.2515799999999999"/>
    <n v="2.9635199999999999"/>
    <n v="255516000"/>
    <n v="0"/>
    <n v="0"/>
    <n v="0"/>
    <n v="0"/>
    <n v="4191930"/>
    <n v="136641"/>
    <n v="0"/>
    <n v="18"/>
    <x v="11"/>
    <n v="1.387823465356865E-5"/>
    <n v="2.9277537635678925E-5"/>
  </r>
  <r>
    <n v="85.138999999999996"/>
    <n v="85.138999999999996"/>
    <n v="4.0432100000000002"/>
    <n v="0"/>
    <n v="0"/>
    <n v="2.7415099999999999"/>
    <n v="2.7415099999999999"/>
    <n v="0"/>
    <n v="0.52085300000000001"/>
    <n v="5.3222399999999999"/>
    <n v="77860900"/>
    <n v="0"/>
    <n v="0"/>
    <n v="0"/>
    <n v="0"/>
    <n v="4098490"/>
    <n v="281833"/>
    <n v="0"/>
    <n v="99.302199999999999"/>
    <n v="98.274000000000001"/>
    <n v="4.6782899999999996"/>
    <n v="0"/>
    <n v="0"/>
    <n v="1.5961700000000001"/>
    <n v="1.5961700000000001"/>
    <n v="0"/>
    <n v="1.25179"/>
    <n v="2.9635199999999999"/>
    <n v="255650000"/>
    <n v="0"/>
    <n v="0"/>
    <n v="0"/>
    <n v="0"/>
    <n v="4129670"/>
    <n v="134611"/>
    <n v="0"/>
    <n v="19"/>
    <x v="11"/>
    <n v="1.3878176875205705E-5"/>
    <n v="2.9277580260028287E-5"/>
  </r>
  <r>
    <n v="85.138999999999996"/>
    <n v="85.138999999999996"/>
    <n v="3.7553999999999998"/>
    <n v="0"/>
    <n v="0"/>
    <n v="2.7419699999999998"/>
    <n v="2.7419699999999998"/>
    <n v="0"/>
    <n v="0.51375999999999999"/>
    <n v="5.3222399999999999"/>
    <n v="78142700"/>
    <n v="0"/>
    <n v="0"/>
    <n v="0"/>
    <n v="0"/>
    <n v="4099180"/>
    <n v="281880"/>
    <n v="0"/>
    <n v="99.302199999999999"/>
    <n v="98.274000000000001"/>
    <n v="3.7671700000000001"/>
    <n v="0"/>
    <n v="0"/>
    <n v="1.5964400000000001"/>
    <n v="1.5964400000000001"/>
    <n v="0"/>
    <n v="1.2332000000000001"/>
    <n v="2.9635199999999999"/>
    <n v="255785000"/>
    <n v="0"/>
    <n v="0"/>
    <n v="0"/>
    <n v="0"/>
    <n v="4130360"/>
    <n v="134634"/>
    <n v="0"/>
    <n v="20"/>
    <x v="11"/>
    <n v="1.3878229314012943E-5"/>
    <n v="2.9277533738120234E-5"/>
  </r>
  <r>
    <n v="85.138999999999996"/>
    <n v="85.138999999999996"/>
    <n v="3.3433899999999999"/>
    <n v="0"/>
    <n v="0"/>
    <n v="2.7424300000000001"/>
    <n v="2.7424300000000001"/>
    <n v="0"/>
    <n v="0.513845"/>
    <n v="5.3222399999999999"/>
    <n v="78424700"/>
    <n v="0"/>
    <n v="0"/>
    <n v="0"/>
    <n v="0"/>
    <n v="4099860"/>
    <n v="281927"/>
    <n v="0"/>
    <n v="99.302199999999999"/>
    <n v="98.274000000000001"/>
    <n v="3.3031899999999998"/>
    <n v="0"/>
    <n v="0"/>
    <n v="1.5967"/>
    <n v="1.5967"/>
    <n v="0"/>
    <n v="1.2334099999999999"/>
    <n v="2.9635199999999999"/>
    <n v="255920000"/>
    <n v="0"/>
    <n v="0"/>
    <n v="0"/>
    <n v="0"/>
    <n v="4131050"/>
    <n v="134656"/>
    <n v="0"/>
    <n v="21"/>
    <x v="11"/>
    <n v="1.3878178671357013E-5"/>
    <n v="2.9277558642815134E-5"/>
  </r>
  <r>
    <n v="85.138999999999996"/>
    <n v="85.138999999999996"/>
    <n v="3.0826899999999999"/>
    <n v="0"/>
    <n v="0"/>
    <n v="2.74288"/>
    <n v="2.74288"/>
    <n v="0"/>
    <n v="0.51393100000000003"/>
    <n v="5.3222399999999999"/>
    <n v="78706600"/>
    <n v="0"/>
    <n v="0"/>
    <n v="0"/>
    <n v="0"/>
    <n v="4100540"/>
    <n v="281974"/>
    <n v="0"/>
    <n v="99.302199999999999"/>
    <n v="98.274000000000001"/>
    <n v="3.0625100000000001"/>
    <n v="0"/>
    <n v="0"/>
    <n v="1.59697"/>
    <n v="1.59697"/>
    <n v="0"/>
    <n v="1.2336100000000001"/>
    <n v="2.9635199999999999"/>
    <n v="256054000"/>
    <n v="0"/>
    <n v="0"/>
    <n v="0"/>
    <n v="0"/>
    <n v="4131740"/>
    <n v="134679"/>
    <n v="0"/>
    <n v="22"/>
    <x v="11"/>
    <n v="1.3878231092349748E-5"/>
    <n v="2.9277583539250054E-5"/>
  </r>
  <r>
    <n v="84.911900000000003"/>
    <n v="85.138999999999996"/>
    <n v="2.92665"/>
    <n v="0"/>
    <n v="0"/>
    <n v="2.8734799999999998"/>
    <n v="2.8734799999999998"/>
    <n v="0"/>
    <n v="0.51401699999999995"/>
    <n v="5.3222399999999999"/>
    <n v="79002000"/>
    <n v="0"/>
    <n v="0"/>
    <n v="0"/>
    <n v="0"/>
    <n v="4295780"/>
    <n v="295399"/>
    <n v="0"/>
    <n v="99.302199999999999"/>
    <n v="98.274000000000001"/>
    <n v="3.1709499999999999"/>
    <n v="0"/>
    <n v="0"/>
    <n v="1.6835899999999999"/>
    <n v="1.6835899999999999"/>
    <n v="0"/>
    <n v="1.2338199999999999"/>
    <n v="2.9635199999999999"/>
    <n v="256196000"/>
    <n v="0"/>
    <n v="0"/>
    <n v="0"/>
    <n v="0"/>
    <n v="4355850"/>
    <n v="141984"/>
    <n v="0"/>
    <n v="23"/>
    <x v="11"/>
    <n v="1.3878218081187001E-5"/>
    <n v="2.92775145505974E-5"/>
  </r>
  <r>
    <n v="84.935100000000006"/>
    <n v="85.138999999999996"/>
    <n v="3.1575199999999999"/>
    <n v="0"/>
    <n v="0"/>
    <n v="2.8739599999999998"/>
    <n v="2.8739599999999998"/>
    <n v="0"/>
    <n v="0.53849000000000002"/>
    <n v="5.3222399999999999"/>
    <n v="79297500"/>
    <n v="0"/>
    <n v="0"/>
    <n v="0"/>
    <n v="0"/>
    <n v="4296490"/>
    <n v="295448"/>
    <n v="0"/>
    <n v="99.302199999999999"/>
    <n v="98.274000000000001"/>
    <n v="3.59884"/>
    <n v="0"/>
    <n v="0"/>
    <n v="1.68387"/>
    <n v="1.68387"/>
    <n v="0"/>
    <n v="1.30074"/>
    <n v="2.9635199999999999"/>
    <n v="256338000"/>
    <n v="0"/>
    <n v="0"/>
    <n v="0"/>
    <n v="0"/>
    <n v="4356570"/>
    <n v="142007"/>
    <n v="0"/>
    <n v="24"/>
    <x v="11"/>
    <n v="1.3878172223132911E-5"/>
    <n v="2.927753208072063E-5"/>
  </r>
  <r>
    <n v="84.914100000000005"/>
    <n v="85.138999999999996"/>
    <n v="3.09849"/>
    <n v="0"/>
    <n v="0"/>
    <n v="2.8744399999999999"/>
    <n v="2.8744399999999999"/>
    <n v="0"/>
    <n v="0.53857999999999995"/>
    <n v="5.3222399999999999"/>
    <n v="79593000"/>
    <n v="0"/>
    <n v="0"/>
    <n v="0"/>
    <n v="0"/>
    <n v="4297210"/>
    <n v="295498"/>
    <n v="0"/>
    <n v="99.302199999999999"/>
    <n v="98.274000000000001"/>
    <n v="3.1711800000000001"/>
    <n v="0"/>
    <n v="0"/>
    <n v="1.68415"/>
    <n v="1.68415"/>
    <n v="0"/>
    <n v="1.3009599999999999"/>
    <n v="2.9635199999999999"/>
    <n v="256480000"/>
    <n v="0"/>
    <n v="0"/>
    <n v="0"/>
    <n v="0"/>
    <n v="4357300"/>
    <n v="142031"/>
    <n v="0"/>
    <n v="25"/>
    <x v="11"/>
    <n v="1.3878192242361727E-5"/>
    <n v="2.9277580552297494E-5"/>
  </r>
  <r>
    <n v="84.598399999999998"/>
    <n v="85.138999999999996"/>
    <n v="2.7567400000000002"/>
    <n v="0"/>
    <n v="0"/>
    <n v="2.8749199999999999"/>
    <n v="2.8749199999999999"/>
    <n v="0"/>
    <n v="0.53866899999999995"/>
    <n v="5.3222399999999999"/>
    <n v="79888500"/>
    <n v="0"/>
    <n v="0"/>
    <n v="0"/>
    <n v="0"/>
    <n v="4297930"/>
    <n v="295547"/>
    <n v="0"/>
    <n v="99.302199999999999"/>
    <n v="98.274000000000001"/>
    <n v="3.0329000000000002"/>
    <n v="0"/>
    <n v="0"/>
    <n v="1.6844300000000001"/>
    <n v="1.6844300000000001"/>
    <n v="0"/>
    <n v="1.30118"/>
    <n v="2.9635199999999999"/>
    <n v="256622000"/>
    <n v="0"/>
    <n v="0"/>
    <n v="0"/>
    <n v="0"/>
    <n v="4358030"/>
    <n v="142055"/>
    <n v="0"/>
    <n v="26"/>
    <x v="11"/>
    <n v="1.3878212254883828E-5"/>
    <n v="2.9277529945454765E-5"/>
  </r>
  <r>
    <n v="84.166399999999996"/>
    <n v="85.138999999999996"/>
    <n v="2.61084"/>
    <n v="0"/>
    <n v="0"/>
    <n v="2.8754"/>
    <n v="2.8754"/>
    <n v="0"/>
    <n v="0.53875899999999999"/>
    <n v="5.3222399999999999"/>
    <n v="80184100"/>
    <n v="0"/>
    <n v="0"/>
    <n v="0"/>
    <n v="0"/>
    <n v="4298640"/>
    <n v="295596"/>
    <n v="0"/>
    <n v="99.195499999999996"/>
    <n v="98.274000000000001"/>
    <n v="2.8871600000000002"/>
    <n v="0"/>
    <n v="0"/>
    <n v="1.6847099999999999"/>
    <n v="1.6847099999999999"/>
    <n v="0"/>
    <n v="1.30139"/>
    <n v="2.9635199999999999"/>
    <n v="256764000"/>
    <n v="0"/>
    <n v="0"/>
    <n v="0"/>
    <n v="0"/>
    <n v="4358750"/>
    <n v="142079"/>
    <n v="0"/>
    <n v="27"/>
    <x v="11"/>
    <n v="1.3878264100638939E-5"/>
    <n v="2.9277547464267412E-5"/>
  </r>
  <r>
    <n v="83.398300000000006"/>
    <n v="85.138999999999996"/>
    <n v="2.2173600000000002"/>
    <n v="0"/>
    <n v="0"/>
    <n v="2.85012"/>
    <n v="2.85012"/>
    <n v="0"/>
    <n v="0.53884900000000002"/>
    <n v="5.3222399999999999"/>
    <n v="80477100"/>
    <n v="0"/>
    <n v="0"/>
    <n v="0"/>
    <n v="0"/>
    <n v="4260850"/>
    <n v="292998"/>
    <n v="0"/>
    <n v="98.960099999999997"/>
    <n v="98.274000000000001"/>
    <n v="2.2387700000000001"/>
    <n v="0"/>
    <n v="0"/>
    <n v="1.7324999999999999"/>
    <n v="1.7324999999999999"/>
    <n v="0"/>
    <n v="1.3016099999999999"/>
    <n v="2.9635199999999999"/>
    <n v="256911000"/>
    <n v="0"/>
    <n v="0"/>
    <n v="0"/>
    <n v="0"/>
    <n v="4482380"/>
    <n v="146108"/>
    <n v="0"/>
    <n v="28"/>
    <x v="11"/>
    <n v="1.3878180789484142E-5"/>
    <n v="2.9277610369525191E-5"/>
  </r>
  <r>
    <n v="82.341700000000003"/>
    <n v="85.138999999999996"/>
    <n v="1.8998699999999999"/>
    <n v="0"/>
    <n v="0"/>
    <n v="2.85059"/>
    <n v="2.85059"/>
    <n v="0"/>
    <n v="0.53411200000000003"/>
    <n v="5.3222399999999999"/>
    <n v="80770200"/>
    <n v="0"/>
    <n v="0"/>
    <n v="0"/>
    <n v="0"/>
    <n v="4261560"/>
    <n v="293046"/>
    <n v="0"/>
    <n v="98.614400000000003"/>
    <n v="98.274000000000001"/>
    <n v="1.7902800000000001"/>
    <n v="0"/>
    <n v="0"/>
    <n v="1.73278"/>
    <n v="1.73278"/>
    <n v="0"/>
    <n v="1.33853"/>
    <n v="2.9635199999999999"/>
    <n v="257057000"/>
    <n v="0"/>
    <n v="0"/>
    <n v="0"/>
    <n v="0"/>
    <n v="4483130"/>
    <n v="146133"/>
    <n v="0"/>
    <n v="29"/>
    <x v="11"/>
    <n v="1.3878233302400199E-5"/>
    <n v="2.9277528119751599E-5"/>
  </r>
  <r>
    <n v="81.120099999999994"/>
    <n v="85.138999999999996"/>
    <n v="1.72746"/>
    <n v="0"/>
    <n v="0"/>
    <n v="2.85107"/>
    <n v="2.85107"/>
    <n v="0"/>
    <n v="0.53420100000000004"/>
    <n v="5.3222399999999999"/>
    <n v="81063300"/>
    <n v="0"/>
    <n v="0"/>
    <n v="0"/>
    <n v="0"/>
    <n v="4262270"/>
    <n v="293095"/>
    <n v="0"/>
    <n v="98.157899999999998"/>
    <n v="98.274000000000001"/>
    <n v="1.70312"/>
    <n v="0"/>
    <n v="0"/>
    <n v="1.7330700000000001"/>
    <n v="1.7330700000000001"/>
    <n v="0"/>
    <n v="1.3387500000000001"/>
    <n v="2.9635199999999999"/>
    <n v="257203000"/>
    <n v="0"/>
    <n v="0"/>
    <n v="0"/>
    <n v="0"/>
    <n v="4483870"/>
    <n v="146157"/>
    <n v="0"/>
    <n v="30"/>
    <x v="11"/>
    <n v="1.3878221795122965E-5"/>
    <n v="2.9277545788356605E-5"/>
  </r>
  <r>
    <n v="79.763199999999998"/>
    <n v="85.138999999999996"/>
    <n v="1.57037"/>
    <n v="0"/>
    <n v="0"/>
    <n v="2.85154"/>
    <n v="2.85154"/>
    <n v="0"/>
    <n v="0.53429000000000004"/>
    <n v="5.3222399999999999"/>
    <n v="81356400"/>
    <n v="0"/>
    <n v="0"/>
    <n v="0"/>
    <n v="0"/>
    <n v="4262990"/>
    <n v="293144"/>
    <n v="0"/>
    <n v="97.691400000000002"/>
    <n v="98.274000000000001"/>
    <n v="1.5766500000000001"/>
    <n v="0"/>
    <n v="0"/>
    <n v="1.73336"/>
    <n v="1.73336"/>
    <n v="0"/>
    <n v="1.33897"/>
    <n v="2.9635199999999999"/>
    <n v="257349000"/>
    <n v="0"/>
    <n v="0"/>
    <n v="0"/>
    <n v="0"/>
    <n v="4484620"/>
    <n v="146181"/>
    <n v="0"/>
    <n v="31"/>
    <x v="11"/>
    <n v="1.3878179345408667E-5"/>
    <n v="2.9277494772605327E-5"/>
  </r>
  <r>
    <n v="78.34"/>
    <n v="85.138999999999996"/>
    <n v="1.5148999999999999"/>
    <n v="0"/>
    <n v="0"/>
    <n v="2.91858"/>
    <n v="2.91858"/>
    <n v="0"/>
    <n v="0.53437900000000005"/>
    <n v="5.3222399999999999"/>
    <n v="81656500"/>
    <n v="0"/>
    <n v="0"/>
    <n v="0"/>
    <n v="0"/>
    <n v="4363200"/>
    <n v="300036"/>
    <n v="0"/>
    <n v="97.111599999999996"/>
    <n v="98.274000000000001"/>
    <n v="1.52319"/>
    <n v="0"/>
    <n v="0"/>
    <n v="1.7760100000000001"/>
    <n v="1.7760100000000001"/>
    <n v="0"/>
    <n v="1.3391999999999999"/>
    <n v="2.9635199999999999"/>
    <n v="257499000"/>
    <n v="0"/>
    <n v="0"/>
    <n v="0"/>
    <n v="0"/>
    <n v="4594970"/>
    <n v="149778"/>
    <n v="0"/>
    <n v="32"/>
    <x v="11"/>
    <n v="1.3878181510512492E-5"/>
    <n v="2.9277599308051744E-5"/>
  </r>
  <r>
    <n v="77.237200000000001"/>
    <n v="85.138999999999996"/>
    <n v="1.8353900000000001"/>
    <n v="0"/>
    <n v="0"/>
    <n v="2.9190700000000001"/>
    <n v="2.9190700000000001"/>
    <n v="0"/>
    <n v="0.54694200000000004"/>
    <n v="5.3222399999999999"/>
    <n v="81956500"/>
    <n v="0"/>
    <n v="0"/>
    <n v="0"/>
    <n v="0"/>
    <n v="4363930"/>
    <n v="300086"/>
    <n v="0"/>
    <n v="96.661500000000004"/>
    <n v="98.274000000000001"/>
    <n v="1.6451899999999999"/>
    <n v="0"/>
    <n v="0"/>
    <n v="1.7763100000000001"/>
    <n v="1.7763100000000001"/>
    <n v="0"/>
    <n v="1.37215"/>
    <n v="2.9635199999999999"/>
    <n v="257649000"/>
    <n v="0"/>
    <n v="0"/>
    <n v="0"/>
    <n v="0"/>
    <n v="4595740"/>
    <n v="149803"/>
    <n v="0"/>
    <n v="33"/>
    <x v="11"/>
    <n v="1.3878172340728817E-5"/>
    <n v="2.927757993747249E-5"/>
  </r>
  <r>
    <n v="75.984099999999998"/>
    <n v="85.138999999999996"/>
    <n v="1.6617"/>
    <n v="0"/>
    <n v="0"/>
    <n v="2.9195500000000001"/>
    <n v="2.9195500000000001"/>
    <n v="0"/>
    <n v="0.54703299999999999"/>
    <n v="5.3222399999999999"/>
    <n v="82256700"/>
    <n v="0"/>
    <n v="0"/>
    <n v="0"/>
    <n v="0"/>
    <n v="4364660"/>
    <n v="300136"/>
    <n v="0"/>
    <n v="96.003200000000007"/>
    <n v="98.274000000000001"/>
    <n v="1.5482800000000001"/>
    <n v="0"/>
    <n v="0"/>
    <n v="1.77661"/>
    <n v="1.77661"/>
    <n v="0"/>
    <n v="1.3723799999999999"/>
    <n v="2.9635199999999999"/>
    <n v="257798000"/>
    <n v="0"/>
    <n v="0"/>
    <n v="0"/>
    <n v="0"/>
    <n v="4596500"/>
    <n v="149828"/>
    <n v="0"/>
    <n v="34"/>
    <x v="11"/>
    <n v="1.3878193366910152E-5"/>
    <n v="2.927756057337278E-5"/>
  </r>
  <r>
    <n v="74.594999999999999"/>
    <n v="85.138999999999996"/>
    <n v="1.5128699999999999"/>
    <n v="0"/>
    <n v="0"/>
    <n v="2.9200400000000002"/>
    <n v="2.9200400000000002"/>
    <n v="0"/>
    <n v="0.54712400000000005"/>
    <n v="5.3222399999999999"/>
    <n v="82556900"/>
    <n v="0"/>
    <n v="0"/>
    <n v="0"/>
    <n v="0"/>
    <n v="4365390"/>
    <n v="300186"/>
    <n v="0"/>
    <n v="95.549099999999996"/>
    <n v="98.274000000000001"/>
    <n v="1.3574299999999999"/>
    <n v="0"/>
    <n v="0"/>
    <n v="1.7768999999999999"/>
    <n v="1.7768999999999999"/>
    <n v="0"/>
    <n v="1.3726100000000001"/>
    <n v="2.9635199999999999"/>
    <n v="257948000"/>
    <n v="0"/>
    <n v="0"/>
    <n v="0"/>
    <n v="0"/>
    <n v="4597270"/>
    <n v="149853"/>
    <n v="0"/>
    <n v="35"/>
    <x v="11"/>
    <n v="1.3878184198192403E-5"/>
    <n v="2.9277541215749379E-5"/>
  </r>
  <r>
    <n v="73.189599999999999"/>
    <n v="85.138999999999996"/>
    <n v="1.64209"/>
    <n v="0"/>
    <n v="0"/>
    <n v="3.11558"/>
    <n v="3.11558"/>
    <n v="0"/>
    <n v="0.54721500000000001"/>
    <n v="5.3222399999999999"/>
    <n v="82877100"/>
    <n v="0"/>
    <n v="0"/>
    <n v="0"/>
    <n v="0"/>
    <n v="4657710"/>
    <n v="320287"/>
    <n v="0"/>
    <n v="94.661500000000004"/>
    <n v="98.274000000000001"/>
    <n v="1.7020200000000001"/>
    <n v="0"/>
    <n v="0"/>
    <n v="1.93021"/>
    <n v="1.93021"/>
    <n v="0"/>
    <n v="1.37283"/>
    <n v="2.9635199999999999"/>
    <n v="258111000"/>
    <n v="0"/>
    <n v="0"/>
    <n v="0"/>
    <n v="0"/>
    <n v="4993910"/>
    <n v="162782"/>
    <n v="0"/>
    <n v="36"/>
    <x v="11"/>
    <n v="1.3878191799967344E-5"/>
    <n v="2.9277506306445477E-5"/>
  </r>
  <r>
    <n v="71.626000000000005"/>
    <n v="85.138999999999996"/>
    <n v="1.44468"/>
    <n v="0"/>
    <n v="0"/>
    <n v="3.1160999999999999"/>
    <n v="3.1160999999999999"/>
    <n v="0"/>
    <n v="0.58385900000000002"/>
    <n v="5.3222399999999999"/>
    <n v="83197500"/>
    <n v="0"/>
    <n v="0"/>
    <n v="0"/>
    <n v="0"/>
    <n v="4658480"/>
    <n v="320341"/>
    <n v="0"/>
    <n v="93.710499999999996"/>
    <n v="98.274000000000001"/>
    <n v="1.2174700000000001"/>
    <n v="0"/>
    <n v="0"/>
    <n v="1.9305300000000001"/>
    <n v="1.9305300000000001"/>
    <n v="0"/>
    <n v="1.4912799999999999"/>
    <n v="2.9635199999999999"/>
    <n v="258274000"/>
    <n v="0"/>
    <n v="0"/>
    <n v="0"/>
    <n v="0"/>
    <n v="4994740"/>
    <n v="162809"/>
    <n v="0"/>
    <n v="37"/>
    <x v="11"/>
    <n v="1.3878187131706977E-5"/>
    <n v="2.9277602364610029E-5"/>
  </r>
  <r>
    <n v="70.024900000000002"/>
    <n v="85.138999999999996"/>
    <n v="1.38934"/>
    <n v="0"/>
    <n v="0"/>
    <n v="3.1166200000000002"/>
    <n v="3.1166200000000002"/>
    <n v="0"/>
    <n v="0.58395600000000003"/>
    <n v="5.3222399999999999"/>
    <n v="83517900"/>
    <n v="0"/>
    <n v="0"/>
    <n v="0"/>
    <n v="0"/>
    <n v="4659260"/>
    <n v="320394"/>
    <n v="0"/>
    <n v="92.797399999999996"/>
    <n v="98.274000000000001"/>
    <n v="1.04806"/>
    <n v="0"/>
    <n v="0"/>
    <n v="1.93085"/>
    <n v="1.93085"/>
    <n v="0"/>
    <n v="1.49153"/>
    <n v="2.9635199999999999"/>
    <n v="258437000"/>
    <n v="0"/>
    <n v="0"/>
    <n v="0"/>
    <n v="0"/>
    <n v="4995570"/>
    <n v="162836"/>
    <n v="0"/>
    <n v="38"/>
    <x v="11"/>
    <n v="1.3878182464997847E-5"/>
    <n v="2.9277544173553316E-5"/>
  </r>
  <r>
    <n v="68.272400000000005"/>
    <n v="85.138999999999996"/>
    <n v="1.23858"/>
    <n v="0"/>
    <n v="0"/>
    <n v="3.11713"/>
    <n v="3.11713"/>
    <n v="0"/>
    <n v="0.58405399999999996"/>
    <n v="5.3222399999999999"/>
    <n v="83838300"/>
    <n v="0"/>
    <n v="0"/>
    <n v="0"/>
    <n v="0"/>
    <n v="4660040"/>
    <n v="320448"/>
    <n v="0"/>
    <n v="91.903199999999998"/>
    <n v="98.274000000000001"/>
    <n v="1.00596"/>
    <n v="0"/>
    <n v="0"/>
    <n v="1.9311700000000001"/>
    <n v="1.9311700000000001"/>
    <n v="0"/>
    <n v="1.4917800000000001"/>
    <n v="2.9635199999999999"/>
    <n v="258600000"/>
    <n v="0"/>
    <n v="0"/>
    <n v="0"/>
    <n v="0"/>
    <n v="4996410"/>
    <n v="162864"/>
    <n v="0"/>
    <n v="39"/>
    <x v="11"/>
    <n v="1.3878235237186165E-5"/>
    <n v="2.9277577366495655E-5"/>
  </r>
  <r>
    <n v="66.805199999999999"/>
    <n v="85.138999999999996"/>
    <n v="1.25529"/>
    <n v="0.01"/>
    <n v="0"/>
    <n v="2.8152499999999998"/>
    <n v="3.1176499999999998"/>
    <n v="0"/>
    <n v="0.58415099999999998"/>
    <n v="5.3222399999999999"/>
    <n v="83750300"/>
    <n v="0"/>
    <n v="0"/>
    <n v="0"/>
    <n v="0"/>
    <n v="4208730"/>
    <n v="-88037.6"/>
    <n v="408539"/>
    <n v="91.346999999999994"/>
    <n v="98.274000000000001"/>
    <n v="1.09588"/>
    <n v="0"/>
    <n v="0"/>
    <n v="2.2339000000000002"/>
    <n v="1.9315"/>
    <n v="0"/>
    <n v="1.4920199999999999"/>
    <n v="2.9635199999999999"/>
    <n v="259545000"/>
    <n v="0"/>
    <n v="0"/>
    <n v="0"/>
    <n v="0"/>
    <n v="5779620"/>
    <n v="945272"/>
    <n v="0"/>
    <n v="40"/>
    <x v="11"/>
    <n v="6.9634542236449322E-5"/>
    <n v="-8.9060339329285808E-6"/>
  </r>
  <r>
    <n v="65.548199999999994"/>
    <n v="85.138999999999996"/>
    <n v="1.3781099999999999"/>
    <n v="0.01"/>
    <n v="0"/>
    <n v="2.7206399999999999"/>
    <n v="3.0230399999999999"/>
    <n v="0"/>
    <n v="0.52757900000000002"/>
    <n v="5.3222399999999999"/>
    <n v="83652500"/>
    <n v="0"/>
    <n v="0"/>
    <n v="0"/>
    <n v="0"/>
    <n v="4067280"/>
    <n v="-97764.6"/>
    <n v="408539"/>
    <n v="90.512900000000002"/>
    <n v="98.274000000000001"/>
    <n v="1.8961699999999999"/>
    <n v="0"/>
    <n v="0"/>
    <n v="2.14127"/>
    <n v="1.83887"/>
    <n v="0"/>
    <n v="1.7259100000000001"/>
    <n v="2.9635199999999999"/>
    <n v="260482000"/>
    <n v="0"/>
    <n v="0"/>
    <n v="0"/>
    <n v="0"/>
    <n v="5539970"/>
    <n v="937460"/>
    <n v="0"/>
    <n v="41"/>
    <x v="11"/>
    <n v="7.2046443899980434E-5"/>
    <n v="-1.0233984926464783E-5"/>
  </r>
  <r>
    <n v="64.192599999999999"/>
    <n v="85.138999999999996"/>
    <n v="1.2701899999999999"/>
    <n v="0.01"/>
    <n v="0"/>
    <n v="2.7211400000000001"/>
    <n v="3.0235400000000001"/>
    <n v="0"/>
    <n v="0.50984700000000005"/>
    <n v="5.3222399999999999"/>
    <n v="83554800"/>
    <n v="0"/>
    <n v="0"/>
    <n v="0"/>
    <n v="0"/>
    <n v="4068030"/>
    <n v="-97712.8"/>
    <n v="408539"/>
    <n v="89.491799999999998"/>
    <n v="98.274000000000001"/>
    <n v="1.07982"/>
    <n v="0"/>
    <n v="0"/>
    <n v="2.1415799999999998"/>
    <n v="1.83918"/>
    <n v="0"/>
    <n v="1.6543399999999999"/>
    <n v="2.9635199999999999"/>
    <n v="261420000"/>
    <n v="0"/>
    <n v="0"/>
    <n v="0"/>
    <n v="0"/>
    <n v="5540770"/>
    <n v="937486"/>
    <n v="0"/>
    <n v="42"/>
    <x v="11"/>
    <n v="7.2038039411978635E-5"/>
    <n v="-1.0226676726549606E-5"/>
  </r>
  <r>
    <n v="62.638100000000001"/>
    <n v="85.138999999999996"/>
    <n v="1.0556000000000001"/>
    <n v="0.01"/>
    <n v="0"/>
    <n v="2.7216399999999998"/>
    <n v="3.0240399999999998"/>
    <n v="0"/>
    <n v="0.50994200000000001"/>
    <n v="5.3222399999999999"/>
    <n v="83457200"/>
    <n v="0"/>
    <n v="0"/>
    <n v="0"/>
    <n v="0"/>
    <n v="4068790"/>
    <n v="-97661"/>
    <n v="408539"/>
    <n v="88.575500000000005"/>
    <n v="98.274000000000001"/>
    <n v="0.96306700000000001"/>
    <n v="0"/>
    <n v="0"/>
    <n v="2.14188"/>
    <n v="1.83948"/>
    <n v="0"/>
    <n v="1.6545799999999999"/>
    <n v="2.9635199999999999"/>
    <n v="262357000"/>
    <n v="0"/>
    <n v="0"/>
    <n v="0"/>
    <n v="0"/>
    <n v="5541560"/>
    <n v="937512"/>
    <n v="0"/>
    <n v="43"/>
    <x v="11"/>
    <n v="7.2029767331372973E-5"/>
    <n v="-1.0219346104394552E-5"/>
  </r>
  <r>
    <n v="61.874499999999998"/>
    <n v="85.138999999999996"/>
    <n v="1.9569000000000001"/>
    <n v="0.02"/>
    <n v="0"/>
    <n v="2.7221500000000001"/>
    <n v="3.0245500000000001"/>
    <n v="0"/>
    <n v="0.51003600000000004"/>
    <n v="5.3222399999999999"/>
    <n v="83359500"/>
    <n v="0"/>
    <n v="0"/>
    <n v="0"/>
    <n v="0"/>
    <n v="4069540"/>
    <n v="-97609.1"/>
    <n v="408539"/>
    <n v="88.108900000000006"/>
    <n v="98.274000000000001"/>
    <n v="1.3864099999999999"/>
    <n v="0"/>
    <n v="0"/>
    <n v="2.1421899999999998"/>
    <n v="1.83979"/>
    <n v="0"/>
    <n v="1.65482"/>
    <n v="2.9635199999999999"/>
    <n v="263295000"/>
    <n v="0"/>
    <n v="0"/>
    <n v="0"/>
    <n v="0"/>
    <n v="5542350"/>
    <n v="937538"/>
    <n v="0"/>
    <n v="44"/>
    <x v="11"/>
    <n v="7.2021497608952437E-5"/>
    <n v="-1.0212032851885507E-5"/>
  </r>
  <r>
    <n v="62.9895"/>
    <n v="85.138999999999996"/>
    <n v="3.8990300000000002"/>
    <n v="0.02"/>
    <n v="0"/>
    <n v="2.6445099999999999"/>
    <n v="2.9469099999999999"/>
    <n v="0"/>
    <n v="0.510131"/>
    <n v="5.3222399999999999"/>
    <n v="83254000"/>
    <n v="0"/>
    <n v="0"/>
    <n v="0"/>
    <n v="0"/>
    <n v="3953470"/>
    <n v="-105591"/>
    <n v="408539"/>
    <n v="88.222200000000001"/>
    <n v="98.274000000000001"/>
    <n v="2.0078800000000001"/>
    <n v="0"/>
    <n v="0"/>
    <n v="2.05783"/>
    <n v="1.75543"/>
    <n v="0"/>
    <n v="1.65506"/>
    <n v="2.9635199999999999"/>
    <n v="264225000"/>
    <n v="0"/>
    <n v="0"/>
    <n v="0"/>
    <n v="0"/>
    <n v="5324110"/>
    <n v="930424"/>
    <n v="0"/>
    <n v="45"/>
    <x v="11"/>
    <n v="7.4404825253291228E-5"/>
    <n v="-1.1371445433269884E-5"/>
  </r>
  <r>
    <n v="61.000399999999999"/>
    <n v="85.138999999999996"/>
    <n v="0.753162"/>
    <n v="0.02"/>
    <n v="0"/>
    <n v="2.645"/>
    <n v="2.9474"/>
    <n v="0"/>
    <n v="0.49558099999999999"/>
    <n v="5.3222399999999999"/>
    <n v="83148400"/>
    <n v="0"/>
    <n v="0"/>
    <n v="0"/>
    <n v="0"/>
    <n v="3954210"/>
    <n v="-105540"/>
    <n v="408539"/>
    <n v="87.816500000000005"/>
    <n v="98.274000000000001"/>
    <n v="1.95472"/>
    <n v="0"/>
    <n v="0"/>
    <n v="2.0581299999999998"/>
    <n v="1.75573"/>
    <n v="0"/>
    <n v="1.58988"/>
    <n v="2.9635199999999999"/>
    <n v="265156000"/>
    <n v="0"/>
    <n v="0"/>
    <n v="0"/>
    <n v="0"/>
    <n v="5324860"/>
    <n v="930448"/>
    <n v="0"/>
    <n v="46"/>
    <x v="11"/>
    <n v="7.4396264404098683E-5"/>
    <n v="-1.1363826023178761E-5"/>
  </r>
  <r>
    <n v="59.9086"/>
    <n v="85.138999999999996"/>
    <n v="1.70197"/>
    <n v="0.02"/>
    <n v="0"/>
    <n v="2.6454900000000001"/>
    <n v="2.9478900000000001"/>
    <n v="0"/>
    <n v="0.49567299999999997"/>
    <n v="5.3222399999999999"/>
    <n v="83042900"/>
    <n v="0"/>
    <n v="0"/>
    <n v="0"/>
    <n v="0"/>
    <n v="3954940"/>
    <n v="-105490"/>
    <n v="408539"/>
    <n v="87.892600000000002"/>
    <n v="98.274000000000001"/>
    <n v="1.97584"/>
    <n v="0"/>
    <n v="0"/>
    <n v="2.0584199999999999"/>
    <n v="1.7560199999999999"/>
    <n v="0"/>
    <n v="1.5901099999999999"/>
    <n v="2.9635199999999999"/>
    <n v="266086000"/>
    <n v="0"/>
    <n v="0"/>
    <n v="0"/>
    <n v="0"/>
    <n v="5325620"/>
    <n v="930473"/>
    <n v="0"/>
    <n v="47"/>
    <x v="11"/>
    <n v="7.4387646233233014E-5"/>
    <n v="-1.1356345831661354E-5"/>
  </r>
  <r>
    <n v="60.429299999999998"/>
    <n v="85.138999999999996"/>
    <n v="3.3853900000000001"/>
    <n v="0.02"/>
    <n v="0"/>
    <n v="2.6459800000000002"/>
    <n v="2.9483799999999998"/>
    <n v="0"/>
    <n v="0.49576500000000001"/>
    <n v="5.3222399999999999"/>
    <n v="82937500"/>
    <n v="0"/>
    <n v="0"/>
    <n v="0"/>
    <n v="0"/>
    <n v="3955680"/>
    <n v="-105439"/>
    <n v="408539"/>
    <n v="88.678799999999995"/>
    <n v="98.274000000000001"/>
    <n v="4.2998500000000002"/>
    <n v="0"/>
    <n v="0"/>
    <n v="2.05871"/>
    <n v="1.75631"/>
    <n v="0"/>
    <n v="1.59033"/>
    <n v="2.9635199999999999"/>
    <n v="267017000"/>
    <n v="0"/>
    <n v="0"/>
    <n v="0"/>
    <n v="0"/>
    <n v="5326380"/>
    <n v="930498"/>
    <n v="0"/>
    <n v="48"/>
    <x v="11"/>
    <n v="7.4379030521752471E-5"/>
    <n v="-1.134873207780077E-5"/>
  </r>
  <r>
    <n v="60.057099999999998"/>
    <n v="85.138999999999996"/>
    <n v="2.2374299999999998"/>
    <n v="0.02"/>
    <n v="0"/>
    <n v="2.4243899999999998"/>
    <n v="2.7267899999999998"/>
    <n v="0"/>
    <n v="0.49585699999999999"/>
    <n v="5.3222399999999999"/>
    <n v="82809300"/>
    <n v="0"/>
    <n v="0"/>
    <n v="0"/>
    <n v="0"/>
    <n v="3624400"/>
    <n v="-128219"/>
    <n v="408539"/>
    <n v="89.508200000000002"/>
    <n v="98.274000000000001"/>
    <n v="4.1296099999999996"/>
    <n v="0"/>
    <n v="0"/>
    <n v="1.88256"/>
    <n v="1.58016"/>
    <n v="0"/>
    <n v="1.59056"/>
    <n v="2.9635199999999999"/>
    <n v="267932000"/>
    <n v="0"/>
    <n v="0"/>
    <n v="0"/>
    <n v="0"/>
    <n v="4870630"/>
    <n v="915642"/>
    <n v="0"/>
    <n v="49"/>
    <x v="11"/>
    <n v="8.0040129443341435E-5"/>
    <n v="-1.5062029023407335E-5"/>
  </r>
  <r>
    <n v="60.124600000000001"/>
    <n v="85.138999999999996"/>
    <n v="2.7053799999999999"/>
    <n v="0.02"/>
    <n v="0"/>
    <n v="2.4248400000000001"/>
    <n v="2.7272400000000001"/>
    <n v="0"/>
    <n v="0.45433099999999998"/>
    <n v="5.3222399999999999"/>
    <n v="82681100"/>
    <n v="0"/>
    <n v="0"/>
    <n v="0"/>
    <n v="0"/>
    <n v="3625080"/>
    <n v="-128172"/>
    <n v="408539"/>
    <n v="90.352699999999999"/>
    <n v="98.274000000000001"/>
    <n v="4.11477"/>
    <n v="0"/>
    <n v="0"/>
    <n v="1.8828199999999999"/>
    <n v="1.5804199999999999"/>
    <n v="0"/>
    <n v="1.4544699999999999"/>
    <n v="2.9635199999999999"/>
    <n v="268848000"/>
    <n v="0"/>
    <n v="0"/>
    <n v="0"/>
    <n v="0"/>
    <n v="4871310"/>
    <n v="915664"/>
    <n v="0"/>
    <n v="50"/>
    <x v="11"/>
    <n v="8.0030879258660405E-5"/>
    <n v="-1.505368355008253E-5"/>
  </r>
  <r>
    <n v="62.921700000000001"/>
    <n v="85.138999999999996"/>
    <n v="5.6846100000000002"/>
    <n v="0.02"/>
    <n v="0"/>
    <n v="2.4253"/>
    <n v="2.7277"/>
    <n v="0"/>
    <n v="0.45441599999999999"/>
    <n v="5.3222399999999999"/>
    <n v="82553000"/>
    <n v="0"/>
    <n v="0"/>
    <n v="0"/>
    <n v="0"/>
    <n v="3625760"/>
    <n v="-128126"/>
    <n v="408539"/>
    <n v="92.7744"/>
    <n v="98.274000000000001"/>
    <n v="6.6162999999999998"/>
    <n v="0"/>
    <n v="0"/>
    <n v="1.8830899999999999"/>
    <n v="1.5806899999999999"/>
    <n v="0"/>
    <n v="1.4546699999999999"/>
    <n v="2.9635199999999999"/>
    <n v="269764000"/>
    <n v="0"/>
    <n v="0"/>
    <n v="0"/>
    <n v="0"/>
    <n v="4871990"/>
    <n v="915686"/>
    <n v="0"/>
    <n v="51"/>
    <x v="11"/>
    <n v="8.0021631656138038E-5"/>
    <n v="-1.5045458634146133E-5"/>
  </r>
  <r>
    <n v="64.750200000000007"/>
    <n v="85.138999999999996"/>
    <n v="4.5471399999999997"/>
    <n v="0.02"/>
    <n v="0"/>
    <n v="2.4257499999999999"/>
    <n v="2.7281499999999999"/>
    <n v="0"/>
    <n v="0.45450099999999999"/>
    <n v="5.3222399999999999"/>
    <n v="82424900"/>
    <n v="0"/>
    <n v="0"/>
    <n v="0"/>
    <n v="0"/>
    <n v="3626440"/>
    <n v="-128079"/>
    <n v="408539"/>
    <n v="93.713499999999996"/>
    <n v="98.274000000000001"/>
    <n v="4.4404000000000003"/>
    <n v="0"/>
    <n v="0"/>
    <n v="1.8833500000000001"/>
    <n v="1.5809500000000001"/>
    <n v="0"/>
    <n v="1.4548700000000001"/>
    <n v="2.9635199999999999"/>
    <n v="270679000"/>
    <n v="0"/>
    <n v="0"/>
    <n v="0"/>
    <n v="0"/>
    <n v="4872680"/>
    <n v="915709"/>
    <n v="0"/>
    <n v="52"/>
    <x v="11"/>
    <n v="8.001230980601715E-5"/>
    <n v="-1.5037119397711617E-5"/>
  </r>
  <r>
    <n v="65.492699999999999"/>
    <n v="85.138999999999996"/>
    <n v="3.5987300000000002"/>
    <n v="0.01"/>
    <n v="0"/>
    <n v="2.4262100000000002"/>
    <n v="2.7286100000000002"/>
    <n v="0"/>
    <n v="0.45458599999999999"/>
    <n v="5.3222399999999999"/>
    <n v="82296900"/>
    <n v="0"/>
    <n v="0"/>
    <n v="0"/>
    <n v="0"/>
    <n v="3627120"/>
    <n v="-128032"/>
    <n v="408539"/>
    <n v="94.008300000000006"/>
    <n v="98.274000000000001"/>
    <n v="3.0741399999999999"/>
    <n v="0"/>
    <n v="0"/>
    <n v="1.88361"/>
    <n v="1.58121"/>
    <n v="0"/>
    <n v="1.4550799999999999"/>
    <n v="2.9635199999999999"/>
    <n v="271595000"/>
    <n v="0"/>
    <n v="0"/>
    <n v="0"/>
    <n v="0"/>
    <n v="4873360"/>
    <n v="915731"/>
    <n v="0"/>
    <n v="1"/>
    <x v="12"/>
    <n v="3.9516430849797665E-5"/>
    <n v="-7.4232638185500568E-6"/>
  </r>
  <r>
    <n v="66.991"/>
    <n v="85.138999999999996"/>
    <n v="4.4702400000000004"/>
    <n v="0.01"/>
    <n v="0"/>
    <n v="2.4262100000000002"/>
    <n v="2.7286100000000002"/>
    <n v="0"/>
    <n v="0.45467200000000002"/>
    <n v="5.3222399999999999"/>
    <n v="82168800"/>
    <n v="0"/>
    <n v="0"/>
    <n v="0"/>
    <n v="0"/>
    <n v="3627120"/>
    <n v="-128032"/>
    <n v="408539"/>
    <n v="94.269900000000007"/>
    <n v="98.274000000000001"/>
    <n v="3.1215600000000001"/>
    <n v="0"/>
    <n v="0"/>
    <n v="1.88361"/>
    <n v="1.58121"/>
    <n v="0"/>
    <n v="1.4552799999999999"/>
    <n v="2.9635199999999999"/>
    <n v="272511000"/>
    <n v="0"/>
    <n v="0"/>
    <n v="0"/>
    <n v="0"/>
    <n v="4873360"/>
    <n v="915731"/>
    <n v="0"/>
    <n v="2"/>
    <x v="12"/>
    <n v="3.9516430849797665E-5"/>
    <n v="-7.4232638185500568E-6"/>
  </r>
  <r>
    <n v="69.486199999999997"/>
    <n v="85.138999999999996"/>
    <n v="5.65585"/>
    <n v="0"/>
    <n v="0"/>
    <n v="2.8145500000000001"/>
    <n v="2.8145500000000001"/>
    <n v="0"/>
    <n v="0.45467200000000002"/>
    <n v="5.3222399999999999"/>
    <n v="82458200"/>
    <n v="0"/>
    <n v="0"/>
    <n v="0"/>
    <n v="29016000"/>
    <n v="4207680"/>
    <n v="289341"/>
    <n v="0"/>
    <n v="94.954999999999998"/>
    <n v="98.274000000000001"/>
    <n v="3.6139600000000001"/>
    <n v="0"/>
    <n v="0"/>
    <n v="1.6326099999999999"/>
    <n v="1.6326099999999999"/>
    <n v="0"/>
    <n v="1.4552799999999999"/>
    <n v="2.9635199999999999"/>
    <n v="272649000"/>
    <n v="0"/>
    <n v="0"/>
    <n v="0"/>
    <n v="7883220"/>
    <n v="4223950"/>
    <n v="137684"/>
    <n v="0"/>
    <n v="3"/>
    <x v="12"/>
    <n v="3.9934002380440244E-4"/>
    <n v="1.4646786980116804E-3"/>
  </r>
  <r>
    <n v="71.683400000000006"/>
    <n v="85.138999999999996"/>
    <n v="5.3402200000000004"/>
    <n v="0"/>
    <n v="0"/>
    <n v="2.8149999999999999"/>
    <n v="2.8149999999999999"/>
    <n v="0"/>
    <n v="0.527447"/>
    <n v="5.3222399999999999"/>
    <n v="82747600"/>
    <n v="0"/>
    <n v="0"/>
    <n v="0"/>
    <n v="0"/>
    <n v="4208350"/>
    <n v="289388"/>
    <n v="0"/>
    <n v="95.800299999999993"/>
    <n v="98.274000000000001"/>
    <n v="4.2009999999999996"/>
    <n v="0"/>
    <n v="0"/>
    <n v="1.63287"/>
    <n v="1.63287"/>
    <n v="0"/>
    <n v="1.26135"/>
    <n v="2.9635199999999999"/>
    <n v="272786000"/>
    <n v="0"/>
    <n v="0"/>
    <n v="0"/>
    <n v="0"/>
    <n v="4224620"/>
    <n v="137706"/>
    <n v="0"/>
    <n v="4"/>
    <x v="12"/>
    <n v="6.8549375463534718E-6"/>
    <n v="1.4461287360152183E-5"/>
  </r>
  <r>
    <n v="76.207499999999996"/>
    <n v="85.138999999999996"/>
    <n v="7.7825100000000003"/>
    <n v="0"/>
    <n v="0"/>
    <n v="2.8154499999999998"/>
    <n v="2.8154499999999998"/>
    <n v="0"/>
    <n v="0.52753099999999997"/>
    <n v="5.3222399999999999"/>
    <n v="83037000"/>
    <n v="0"/>
    <n v="0"/>
    <n v="0"/>
    <n v="0"/>
    <n v="4209030"/>
    <n v="289434"/>
    <n v="0"/>
    <n v="96.792000000000002"/>
    <n v="98.274000000000001"/>
    <n v="4.8109400000000004"/>
    <n v="0"/>
    <n v="0"/>
    <n v="1.63313"/>
    <n v="1.63313"/>
    <n v="0"/>
    <n v="1.26156"/>
    <n v="2.9635199999999999"/>
    <n v="272924000"/>
    <n v="0"/>
    <n v="0"/>
    <n v="0"/>
    <n v="0"/>
    <n v="4225300"/>
    <n v="137728"/>
    <n v="0"/>
    <n v="5"/>
    <x v="12"/>
    <n v="6.8549293178246803E-6"/>
    <n v="1.4461249371043245E-5"/>
  </r>
  <r>
    <n v="80.720600000000005"/>
    <n v="85.138999999999996"/>
    <n v="7.9918699999999996"/>
    <n v="0"/>
    <n v="0"/>
    <n v="2.8159000000000001"/>
    <n v="2.8159000000000001"/>
    <n v="0"/>
    <n v="0.52761499999999995"/>
    <n v="5.3222399999999999"/>
    <n v="83326500"/>
    <n v="0"/>
    <n v="0"/>
    <n v="0"/>
    <n v="0"/>
    <n v="4209700"/>
    <n v="289480"/>
    <n v="0"/>
    <n v="97.726699999999994"/>
    <n v="98.274000000000001"/>
    <n v="5.0305200000000001"/>
    <n v="0"/>
    <n v="0"/>
    <n v="1.6333899999999999"/>
    <n v="1.6333899999999999"/>
    <n v="0"/>
    <n v="1.26176"/>
    <n v="2.9635199999999999"/>
    <n v="273062000"/>
    <n v="0"/>
    <n v="0"/>
    <n v="0"/>
    <n v="0"/>
    <n v="4225970"/>
    <n v="137750"/>
    <n v="0"/>
    <n v="6"/>
    <x v="12"/>
    <n v="6.8549373128851935E-6"/>
    <n v="1.4461245746325834E-5"/>
  </r>
  <r>
    <n v="81.785799999999995"/>
    <n v="85.138999999999996"/>
    <n v="4.6381399999999999"/>
    <n v="0"/>
    <n v="0"/>
    <n v="3.0910500000000001"/>
    <n v="3.0910500000000001"/>
    <n v="0"/>
    <n v="0.52769999999999995"/>
    <n v="5.3222399999999999"/>
    <n v="83644200"/>
    <n v="0"/>
    <n v="0"/>
    <n v="0"/>
    <n v="0"/>
    <n v="4621040"/>
    <n v="317766"/>
    <n v="0"/>
    <n v="98.295199999999994"/>
    <n v="98.274000000000001"/>
    <n v="4.6639400000000002"/>
    <n v="0"/>
    <n v="0"/>
    <n v="1.8257399999999999"/>
    <n v="1.8257399999999999"/>
    <n v="0"/>
    <n v="1.26196"/>
    <n v="2.9635199999999999"/>
    <n v="273216000"/>
    <n v="0"/>
    <n v="0"/>
    <n v="0"/>
    <n v="0"/>
    <n v="4723610"/>
    <n v="153972"/>
    <n v="0"/>
    <n v="7"/>
    <x v="12"/>
    <n v="6.8549770863949347E-6"/>
    <n v="1.4461255162306751E-5"/>
  </r>
  <r>
    <n v="82.311300000000003"/>
    <n v="85.138999999999996"/>
    <n v="4.0586399999999996"/>
    <n v="0"/>
    <n v="0"/>
    <n v="3.0915499999999998"/>
    <n v="3.0915499999999998"/>
    <n v="0"/>
    <n v="0.57926299999999997"/>
    <n v="5.3222399999999999"/>
    <n v="83962100"/>
    <n v="0"/>
    <n v="0"/>
    <n v="0"/>
    <n v="0"/>
    <n v="4621780"/>
    <n v="317817"/>
    <n v="0"/>
    <n v="98.736400000000003"/>
    <n v="98.274000000000001"/>
    <n v="4.4863499999999998"/>
    <n v="0"/>
    <n v="0"/>
    <n v="1.82603"/>
    <n v="1.82603"/>
    <n v="0"/>
    <n v="1.41056"/>
    <n v="2.9635199999999999"/>
    <n v="273370000"/>
    <n v="0"/>
    <n v="0"/>
    <n v="0"/>
    <n v="0"/>
    <n v="4724370"/>
    <n v="153996"/>
    <n v="0"/>
    <n v="8"/>
    <x v="12"/>
    <n v="6.8549426703757051E-6"/>
    <n v="1.4461260343623427E-5"/>
  </r>
  <r>
    <n v="83.843299999999999"/>
    <n v="85.138999999999996"/>
    <n v="5.1436599999999997"/>
    <n v="0"/>
    <n v="0"/>
    <n v="3.0920399999999999"/>
    <n v="3.0920399999999999"/>
    <n v="0"/>
    <n v="0.57935599999999998"/>
    <n v="5.3222399999999999"/>
    <n v="84279900"/>
    <n v="0"/>
    <n v="0"/>
    <n v="0"/>
    <n v="0"/>
    <n v="4622520"/>
    <n v="317868"/>
    <n v="0"/>
    <n v="99.273899999999998"/>
    <n v="98.274000000000001"/>
    <n v="5.2681500000000003"/>
    <n v="0"/>
    <n v="0"/>
    <n v="1.8263199999999999"/>
    <n v="1.8263199999999999"/>
    <n v="0"/>
    <n v="1.41079"/>
    <n v="2.9635199999999999"/>
    <n v="273524000"/>
    <n v="0"/>
    <n v="0"/>
    <n v="0"/>
    <n v="0"/>
    <n v="4725120"/>
    <n v="154021"/>
    <n v="0"/>
    <n v="9"/>
    <x v="12"/>
    <n v="6.8549672795069331E-6"/>
    <n v="1.4461265523281194E-5"/>
  </r>
  <r>
    <n v="84.370500000000007"/>
    <n v="85.138999999999996"/>
    <n v="4.1553800000000001"/>
    <n v="0"/>
    <n v="0"/>
    <n v="3.09253"/>
    <n v="3.09253"/>
    <n v="0"/>
    <n v="0.57944799999999996"/>
    <n v="5.3222399999999999"/>
    <n v="84597800"/>
    <n v="0"/>
    <n v="0"/>
    <n v="0"/>
    <n v="0"/>
    <n v="4623260"/>
    <n v="317918"/>
    <n v="0"/>
    <n v="99.302199999999999"/>
    <n v="98.274000000000001"/>
    <n v="4.2486300000000004"/>
    <n v="0"/>
    <n v="0"/>
    <n v="1.8266100000000001"/>
    <n v="1.8266100000000001"/>
    <n v="0"/>
    <n v="1.4110100000000001"/>
    <n v="2.9635199999999999"/>
    <n v="273678000"/>
    <n v="0"/>
    <n v="0"/>
    <n v="0"/>
    <n v="0"/>
    <n v="4725880"/>
    <n v="154045"/>
    <n v="0"/>
    <n v="10"/>
    <x v="12"/>
    <n v="6.8549328760613257E-6"/>
    <n v="1.4461225214000433E-5"/>
  </r>
  <r>
    <n v="85.138999999999996"/>
    <n v="85.138999999999996"/>
    <n v="4.3305800000000003"/>
    <n v="0"/>
    <n v="0"/>
    <n v="2.7009699999999999"/>
    <n v="2.7009699999999999"/>
    <n v="0"/>
    <n v="0.57954099999999997"/>
    <n v="5.3222399999999999"/>
    <n v="84875500"/>
    <n v="0"/>
    <n v="0"/>
    <n v="0"/>
    <n v="0"/>
    <n v="4037880"/>
    <n v="277665"/>
    <n v="0"/>
    <n v="99.302199999999999"/>
    <n v="98.274000000000001"/>
    <n v="5.5185399999999998"/>
    <n v="0"/>
    <n v="0"/>
    <n v="1.5689599999999999"/>
    <n v="1.5689599999999999"/>
    <n v="0"/>
    <n v="1.41124"/>
    <n v="2.9635199999999999"/>
    <n v="273810000"/>
    <n v="0"/>
    <n v="0"/>
    <n v="0"/>
    <n v="0"/>
    <n v="4059280"/>
    <n v="132317"/>
    <n v="0"/>
    <n v="11"/>
    <x v="12"/>
    <n v="6.8549600229693374E-6"/>
    <n v="1.4461256238869796E-5"/>
  </r>
  <r>
    <n v="85.138999999999996"/>
    <n v="85.138999999999996"/>
    <n v="4.4445600000000001"/>
    <n v="0"/>
    <n v="0"/>
    <n v="2.7014"/>
    <n v="2.7014"/>
    <n v="0"/>
    <n v="0.50616099999999997"/>
    <n v="5.3222399999999999"/>
    <n v="85153200"/>
    <n v="0"/>
    <n v="0"/>
    <n v="0"/>
    <n v="0"/>
    <n v="4038520"/>
    <n v="277709"/>
    <n v="0"/>
    <n v="99.302199999999999"/>
    <n v="98.274000000000001"/>
    <n v="6.36503"/>
    <n v="0"/>
    <n v="0"/>
    <n v="1.56921"/>
    <n v="1.56921"/>
    <n v="0"/>
    <n v="1.21218"/>
    <n v="2.9635199999999999"/>
    <n v="273942000"/>
    <n v="0"/>
    <n v="0"/>
    <n v="0"/>
    <n v="0"/>
    <n v="4059920"/>
    <n v="132338"/>
    <n v="0"/>
    <n v="12"/>
    <x v="12"/>
    <n v="6.8549671944382538E-6"/>
    <n v="1.4461255737464516E-5"/>
  </r>
  <r>
    <n v="85.138999999999996"/>
    <n v="85.138999999999996"/>
    <n v="4.0589399999999998"/>
    <n v="0"/>
    <n v="0"/>
    <n v="2.7018300000000002"/>
    <n v="2.7018300000000002"/>
    <n v="0"/>
    <n v="0.50624199999999997"/>
    <n v="5.3222399999999999"/>
    <n v="85431000"/>
    <n v="0"/>
    <n v="0"/>
    <n v="0"/>
    <n v="0"/>
    <n v="4039170"/>
    <n v="277753"/>
    <n v="0"/>
    <n v="99.302199999999999"/>
    <n v="98.274000000000001"/>
    <n v="5.0922400000000003"/>
    <n v="0"/>
    <n v="0"/>
    <n v="1.5694600000000001"/>
    <n v="1.5694600000000001"/>
    <n v="0"/>
    <n v="1.2123699999999999"/>
    <n v="2.9635199999999999"/>
    <n v="274075000"/>
    <n v="0"/>
    <n v="0"/>
    <n v="0"/>
    <n v="0"/>
    <n v="4060570"/>
    <n v="132359"/>
    <n v="0"/>
    <n v="13"/>
    <x v="12"/>
    <n v="6.8549574818433211E-6"/>
    <n v="1.4461219433676434E-5"/>
  </r>
  <r>
    <n v="85.138999999999996"/>
    <n v="85.138999999999996"/>
    <n v="4.4000199999999996"/>
    <n v="0"/>
    <n v="0"/>
    <n v="2.7022599999999999"/>
    <n v="2.7022599999999999"/>
    <n v="0"/>
    <n v="0.50632299999999997"/>
    <n v="5.3222399999999999"/>
    <n v="85708800"/>
    <n v="0"/>
    <n v="0"/>
    <n v="0"/>
    <n v="0"/>
    <n v="4039810"/>
    <n v="277798"/>
    <n v="0"/>
    <n v="99.302199999999999"/>
    <n v="98.274000000000001"/>
    <n v="5.0182599999999997"/>
    <n v="0"/>
    <n v="0"/>
    <n v="1.5697099999999999"/>
    <n v="1.5697099999999999"/>
    <n v="0"/>
    <n v="1.2125699999999999"/>
    <n v="2.9635199999999999"/>
    <n v="274207000"/>
    <n v="0"/>
    <n v="0"/>
    <n v="0"/>
    <n v="0"/>
    <n v="4061220"/>
    <n v="132380"/>
    <n v="0"/>
    <n v="14"/>
    <x v="12"/>
    <n v="6.8549477723573999E-6"/>
    <n v="1.4461270995047916E-5"/>
  </r>
  <r>
    <n v="85.138999999999996"/>
    <n v="85.138999999999996"/>
    <n v="3.7949999999999999"/>
    <n v="0"/>
    <n v="0"/>
    <n v="2.70269"/>
    <n v="2.70269"/>
    <n v="0"/>
    <n v="0.50640399999999997"/>
    <n v="5.3222399999999999"/>
    <n v="85986600"/>
    <n v="0"/>
    <n v="0"/>
    <n v="0"/>
    <n v="0"/>
    <n v="4040460"/>
    <n v="277842"/>
    <n v="0"/>
    <n v="99.302199999999999"/>
    <n v="98.274000000000001"/>
    <n v="4.02623"/>
    <n v="0"/>
    <n v="0"/>
    <n v="1.56996"/>
    <n v="1.56996"/>
    <n v="0"/>
    <n v="1.2127600000000001"/>
    <n v="2.9635199999999999"/>
    <n v="274340000"/>
    <n v="0"/>
    <n v="0"/>
    <n v="0"/>
    <n v="0"/>
    <n v="4061870"/>
    <n v="132401"/>
    <n v="0"/>
    <n v="15"/>
    <x v="12"/>
    <n v="6.8549380659789961E-6"/>
    <n v="1.4461234700396034E-5"/>
  </r>
  <r>
    <n v="85.138999999999996"/>
    <n v="85.138999999999996"/>
    <n v="4.7438799999999999"/>
    <n v="0"/>
    <n v="0"/>
    <n v="2.8018900000000002"/>
    <n v="2.8018900000000002"/>
    <n v="0"/>
    <n v="0.50648499999999996"/>
    <n v="5.3222399999999999"/>
    <n v="86274600"/>
    <n v="0"/>
    <n v="0"/>
    <n v="0"/>
    <n v="0"/>
    <n v="4188760"/>
    <n v="288040"/>
    <n v="0"/>
    <n v="99.302199999999999"/>
    <n v="98.274000000000001"/>
    <n v="4.4718999999999998"/>
    <n v="0"/>
    <n v="0"/>
    <n v="1.63337"/>
    <n v="1.63337"/>
    <n v="0"/>
    <n v="1.21295"/>
    <n v="2.9635199999999999"/>
    <n v="274477000"/>
    <n v="0"/>
    <n v="0"/>
    <n v="0"/>
    <n v="0"/>
    <n v="4225910"/>
    <n v="137748"/>
    <n v="0"/>
    <n v="16"/>
    <x v="12"/>
    <n v="6.8549351115109796E-6"/>
    <n v="1.4461242683680659E-5"/>
  </r>
  <r>
    <n v="85.138999999999996"/>
    <n v="85.138999999999996"/>
    <n v="6.0553999999999997"/>
    <n v="0"/>
    <n v="0"/>
    <n v="2.8023400000000001"/>
    <n v="2.8023400000000001"/>
    <n v="0"/>
    <n v="0.52507499999999996"/>
    <n v="5.3222399999999999"/>
    <n v="86562700"/>
    <n v="0"/>
    <n v="0"/>
    <n v="0"/>
    <n v="0"/>
    <n v="4189430"/>
    <n v="288086"/>
    <n v="0"/>
    <n v="99.302199999999999"/>
    <n v="98.274000000000001"/>
    <n v="6.4269299999999996"/>
    <n v="0"/>
    <n v="0"/>
    <n v="1.6336299999999999"/>
    <n v="1.6336299999999999"/>
    <n v="0"/>
    <n v="1.2619400000000001"/>
    <n v="2.9635199999999999"/>
    <n v="274615000"/>
    <n v="0"/>
    <n v="0"/>
    <n v="0"/>
    <n v="0"/>
    <n v="4226590"/>
    <n v="137770"/>
    <n v="0"/>
    <n v="17"/>
    <x v="12"/>
    <n v="6.8549268858853555E-6"/>
    <n v="1.4461239042495021E-5"/>
  </r>
  <r>
    <n v="85.138999999999996"/>
    <n v="85.138999999999996"/>
    <n v="4.3157500000000004"/>
    <n v="0"/>
    <n v="0"/>
    <n v="2.8027899999999999"/>
    <n v="2.8027899999999999"/>
    <n v="0"/>
    <n v="0.52515900000000004"/>
    <n v="5.3222399999999999"/>
    <n v="86850900"/>
    <n v="0"/>
    <n v="0"/>
    <n v="0"/>
    <n v="0"/>
    <n v="4190100"/>
    <n v="288132"/>
    <n v="0"/>
    <n v="99.302199999999999"/>
    <n v="98.274000000000001"/>
    <n v="4.4054500000000001"/>
    <n v="0"/>
    <n v="0"/>
    <n v="1.6338900000000001"/>
    <n v="1.6338900000000001"/>
    <n v="0"/>
    <n v="1.26214"/>
    <n v="2.9635199999999999"/>
    <n v="274753000"/>
    <n v="0"/>
    <n v="0"/>
    <n v="0"/>
    <n v="0"/>
    <n v="4227260"/>
    <n v="137792"/>
    <n v="0"/>
    <n v="18"/>
    <x v="12"/>
    <n v="6.8549348788915292E-6"/>
    <n v="1.4461235402473838E-5"/>
  </r>
  <r>
    <n v="85.138999999999996"/>
    <n v="85.138999999999996"/>
    <n v="3.6883499999999998"/>
    <n v="0"/>
    <n v="0"/>
    <n v="2.8032400000000002"/>
    <n v="2.8032400000000002"/>
    <n v="0"/>
    <n v="0.52524199999999999"/>
    <n v="5.3222399999999999"/>
    <n v="87139000"/>
    <n v="0"/>
    <n v="0"/>
    <n v="0"/>
    <n v="0"/>
    <n v="4190770"/>
    <n v="288178"/>
    <n v="0"/>
    <n v="99.302199999999999"/>
    <n v="98.274000000000001"/>
    <n v="3.6869700000000001"/>
    <n v="0"/>
    <n v="0"/>
    <n v="1.63415"/>
    <n v="1.63415"/>
    <n v="0"/>
    <n v="1.26234"/>
    <n v="2.9635199999999999"/>
    <n v="274891000"/>
    <n v="0"/>
    <n v="0"/>
    <n v="0"/>
    <n v="0"/>
    <n v="4227940"/>
    <n v="137814"/>
    <n v="0"/>
    <n v="19"/>
    <x v="12"/>
    <n v="6.8549266559297966E-6"/>
    <n v="1.4461231763616554E-5"/>
  </r>
  <r>
    <n v="85.138999999999996"/>
    <n v="85.138999999999996"/>
    <n v="3.35968"/>
    <n v="0"/>
    <n v="0"/>
    <n v="2.7650399999999999"/>
    <n v="2.7650399999999999"/>
    <n v="0"/>
    <n v="0.52532599999999996"/>
    <n v="5.3222399999999999"/>
    <n v="87423300"/>
    <n v="0"/>
    <n v="0"/>
    <n v="0"/>
    <n v="0"/>
    <n v="4133670"/>
    <n v="284252"/>
    <n v="0"/>
    <n v="99.302199999999999"/>
    <n v="98.274000000000001"/>
    <n v="3.4274900000000001"/>
    <n v="0"/>
    <n v="0"/>
    <n v="1.6098699999999999"/>
    <n v="1.6098699999999999"/>
    <n v="0"/>
    <n v="1.2625500000000001"/>
    <n v="2.9635199999999999"/>
    <n v="275026000"/>
    <n v="0"/>
    <n v="0"/>
    <n v="0"/>
    <n v="0"/>
    <n v="4165110"/>
    <n v="135767"/>
    <n v="0"/>
    <n v="20"/>
    <x v="12"/>
    <n v="6.8549775347992108E-6"/>
    <n v="1.4461256052525006E-5"/>
  </r>
  <r>
    <n v="85.060500000000005"/>
    <n v="85.138999999999996"/>
    <n v="3.0409299999999999"/>
    <n v="0"/>
    <n v="0"/>
    <n v="2.7654800000000002"/>
    <n v="2.7654800000000002"/>
    <n v="0"/>
    <n v="0.51816899999999999"/>
    <n v="5.3222399999999999"/>
    <n v="87707600"/>
    <n v="0"/>
    <n v="0"/>
    <n v="0"/>
    <n v="0"/>
    <n v="4134330"/>
    <n v="284297"/>
    <n v="0"/>
    <n v="99.302199999999999"/>
    <n v="98.274000000000001"/>
    <n v="2.9081700000000001"/>
    <n v="0"/>
    <n v="0"/>
    <n v="1.6101300000000001"/>
    <n v="1.6101300000000001"/>
    <n v="0"/>
    <n v="1.2437800000000001"/>
    <n v="2.9635199999999999"/>
    <n v="275162000"/>
    <n v="0"/>
    <n v="0"/>
    <n v="0"/>
    <n v="0"/>
    <n v="4165780"/>
    <n v="135788"/>
    <n v="0"/>
    <n v="21"/>
    <x v="12"/>
    <n v="6.8549351549943401E-6"/>
    <n v="1.4461236472468988E-5"/>
  </r>
  <r>
    <n v="85.138999999999996"/>
    <n v="85.138999999999996"/>
    <n v="3.62859"/>
    <n v="0"/>
    <n v="0"/>
    <n v="2.76593"/>
    <n v="2.76593"/>
    <n v="0"/>
    <n v="0.51825200000000005"/>
    <n v="5.3222399999999999"/>
    <n v="87991900"/>
    <n v="0"/>
    <n v="0"/>
    <n v="0"/>
    <n v="0"/>
    <n v="4134990"/>
    <n v="284343"/>
    <n v="0"/>
    <n v="99.302199999999999"/>
    <n v="98.274000000000001"/>
    <n v="3.1117400000000002"/>
    <n v="0"/>
    <n v="0"/>
    <n v="1.6103799999999999"/>
    <n v="1.6103799999999999"/>
    <n v="0"/>
    <n v="1.2439800000000001"/>
    <n v="2.9635199999999999"/>
    <n v="275298000"/>
    <n v="0"/>
    <n v="0"/>
    <n v="0"/>
    <n v="0"/>
    <n v="4166450"/>
    <n v="135810"/>
    <n v="0"/>
    <n v="22"/>
    <x v="12"/>
    <n v="6.8549432633299677E-6"/>
    <n v="1.4461267757196131E-5"/>
  </r>
  <r>
    <n v="84.912000000000006"/>
    <n v="85.138999999999996"/>
    <n v="2.7815699999999999"/>
    <n v="0"/>
    <n v="0"/>
    <n v="2.7663700000000002"/>
    <n v="2.7663700000000002"/>
    <n v="0"/>
    <n v="0.51833499999999999"/>
    <n v="5.3222399999999999"/>
    <n v="88276300"/>
    <n v="0"/>
    <n v="0"/>
    <n v="0"/>
    <n v="0"/>
    <n v="4135650"/>
    <n v="284388"/>
    <n v="0"/>
    <n v="99.302199999999999"/>
    <n v="98.274000000000001"/>
    <n v="2.8871199999999999"/>
    <n v="0"/>
    <n v="0"/>
    <n v="1.6106400000000001"/>
    <n v="1.6106400000000001"/>
    <n v="0"/>
    <n v="1.2441800000000001"/>
    <n v="2.9635199999999999"/>
    <n v="275434000"/>
    <n v="0"/>
    <n v="0"/>
    <n v="0"/>
    <n v="0"/>
    <n v="4167110"/>
    <n v="135832"/>
    <n v="0"/>
    <n v="23"/>
    <x v="12"/>
    <n v="6.8549678191912302E-6"/>
    <n v="1.4461248181521672E-5"/>
  </r>
  <r>
    <n v="84.598200000000006"/>
    <n v="85.138999999999996"/>
    <n v="2.7824900000000001"/>
    <n v="0"/>
    <n v="0"/>
    <n v="2.8980600000000001"/>
    <n v="2.8980600000000001"/>
    <n v="0"/>
    <n v="0.51841700000000002"/>
    <n v="5.3222399999999999"/>
    <n v="88574200"/>
    <n v="0"/>
    <n v="0"/>
    <n v="0"/>
    <n v="0"/>
    <n v="4332530"/>
    <n v="297926"/>
    <n v="0"/>
    <n v="99.272900000000007"/>
    <n v="98.274000000000001"/>
    <n v="2.6525599999999998"/>
    <n v="0"/>
    <n v="0"/>
    <n v="1.6979900000000001"/>
    <n v="1.6979900000000001"/>
    <n v="0"/>
    <n v="1.24438"/>
    <n v="2.9635199999999999"/>
    <n v="275577000"/>
    <n v="0"/>
    <n v="0"/>
    <n v="0"/>
    <n v="0"/>
    <n v="4393110"/>
    <n v="143198"/>
    <n v="0"/>
    <n v="24"/>
    <x v="12"/>
    <n v="6.8549322104587564E-6"/>
    <n v="1.4461226119225169E-5"/>
  </r>
  <r>
    <n v="84.229299999999995"/>
    <n v="85.138999999999996"/>
    <n v="2.7411500000000002"/>
    <n v="0"/>
    <n v="0"/>
    <n v="2.89852"/>
    <n v="2.89852"/>
    <n v="0"/>
    <n v="0.54309600000000002"/>
    <n v="5.3222399999999999"/>
    <n v="88872200"/>
    <n v="0"/>
    <n v="0"/>
    <n v="0"/>
    <n v="0"/>
    <n v="4333220"/>
    <n v="297974"/>
    <n v="0"/>
    <n v="99.237899999999996"/>
    <n v="98.274000000000001"/>
    <n v="2.61761"/>
    <n v="0"/>
    <n v="0"/>
    <n v="1.6982600000000001"/>
    <n v="1.6982600000000001"/>
    <n v="0"/>
    <n v="1.3118700000000001"/>
    <n v="2.9635199999999999"/>
    <n v="275720000"/>
    <n v="0"/>
    <n v="0"/>
    <n v="0"/>
    <n v="0"/>
    <n v="4393810"/>
    <n v="143221"/>
    <n v="0"/>
    <n v="25"/>
    <x v="12"/>
    <n v="6.8549409583348676E-6"/>
    <n v="1.4461252919417986E-5"/>
  </r>
  <r>
    <n v="83.775199999999998"/>
    <n v="85.138999999999996"/>
    <n v="2.6463800000000002"/>
    <n v="0"/>
    <n v="0"/>
    <n v="2.89899"/>
    <n v="2.89899"/>
    <n v="0"/>
    <n v="0.54318299999999997"/>
    <n v="5.3222399999999999"/>
    <n v="89170200"/>
    <n v="0"/>
    <n v="0"/>
    <n v="0"/>
    <n v="0"/>
    <n v="4333910"/>
    <n v="298021"/>
    <n v="0"/>
    <n v="99.215599999999995"/>
    <n v="98.274000000000001"/>
    <n v="2.7738"/>
    <n v="0"/>
    <n v="0"/>
    <n v="1.6985300000000001"/>
    <n v="1.6985300000000001"/>
    <n v="0"/>
    <n v="1.3120799999999999"/>
    <n v="2.9635199999999999"/>
    <n v="275864000"/>
    <n v="0"/>
    <n v="0"/>
    <n v="0"/>
    <n v="0"/>
    <n v="4394510"/>
    <n v="143244"/>
    <n v="0"/>
    <n v="26"/>
    <x v="12"/>
    <n v="6.8549497034240863E-6"/>
    <n v="1.4461231186875168E-5"/>
  </r>
  <r>
    <n v="83.094499999999996"/>
    <n v="85.138999999999996"/>
    <n v="2.4324400000000002"/>
    <n v="0"/>
    <n v="0"/>
    <n v="2.8994499999999999"/>
    <n v="2.8994499999999999"/>
    <n v="0"/>
    <n v="0.54327000000000003"/>
    <n v="5.3222399999999999"/>
    <n v="89468300"/>
    <n v="0"/>
    <n v="0"/>
    <n v="0"/>
    <n v="0"/>
    <n v="4334600"/>
    <n v="298069"/>
    <n v="0"/>
    <n v="99.159300000000002"/>
    <n v="98.274000000000001"/>
    <n v="2.6185299999999998"/>
    <n v="0"/>
    <n v="0"/>
    <n v="1.6988099999999999"/>
    <n v="1.6988099999999999"/>
    <n v="0"/>
    <n v="1.31229"/>
    <n v="2.9635199999999999"/>
    <n v="276007000"/>
    <n v="0"/>
    <n v="0"/>
    <n v="0"/>
    <n v="0"/>
    <n v="4395220"/>
    <n v="143267"/>
    <n v="0"/>
    <n v="27"/>
    <x v="12"/>
    <n v="6.8549428493333753E-6"/>
    <n v="1.4461257977728959E-5"/>
  </r>
  <r>
    <n v="82.276600000000002"/>
    <n v="85.138999999999996"/>
    <n v="2.2530999999999999"/>
    <n v="0"/>
    <n v="0"/>
    <n v="2.8999100000000002"/>
    <n v="2.8999100000000002"/>
    <n v="0"/>
    <n v="0.54335699999999998"/>
    <n v="5.3222399999999999"/>
    <n v="89766400"/>
    <n v="0"/>
    <n v="0"/>
    <n v="0"/>
    <n v="0"/>
    <n v="4335300"/>
    <n v="298117"/>
    <n v="0"/>
    <n v="99.116600000000005"/>
    <n v="98.274000000000001"/>
    <n v="2.6866300000000001"/>
    <n v="0"/>
    <n v="0"/>
    <n v="1.6990799999999999"/>
    <n v="1.6990799999999999"/>
    <n v="0"/>
    <n v="1.3125"/>
    <n v="2.9635199999999999"/>
    <n v="276150000"/>
    <n v="0"/>
    <n v="0"/>
    <n v="0"/>
    <n v="0"/>
    <n v="4395920"/>
    <n v="143290"/>
    <n v="0"/>
    <n v="28"/>
    <x v="12"/>
    <n v="6.8549515913164691E-6"/>
    <n v="1.4461251402998116E-5"/>
  </r>
  <r>
    <n v="81.359399999999994"/>
    <n v="85.138999999999996"/>
    <n v="2.12405"/>
    <n v="0"/>
    <n v="0"/>
    <n v="2.8744000000000001"/>
    <n v="2.8744000000000001"/>
    <n v="0"/>
    <n v="0.54344400000000004"/>
    <n v="5.3222399999999999"/>
    <n v="90061900"/>
    <n v="0"/>
    <n v="0"/>
    <n v="0"/>
    <n v="0"/>
    <n v="4297150"/>
    <n v="295494"/>
    <n v="0"/>
    <n v="99.073300000000003"/>
    <n v="98.274000000000001"/>
    <n v="2.6594500000000001"/>
    <n v="0"/>
    <n v="0"/>
    <n v="1.74726"/>
    <n v="1.74726"/>
    <n v="0"/>
    <n v="1.31271"/>
    <n v="2.9635199999999999"/>
    <n v="276297000"/>
    <n v="0"/>
    <n v="0"/>
    <n v="0"/>
    <n v="0"/>
    <n v="4520570"/>
    <n v="147353"/>
    <n v="0"/>
    <n v="29"/>
    <x v="12"/>
    <n v="6.8549465588329154E-6"/>
    <n v="1.4461270273522681E-5"/>
  </r>
  <r>
    <n v="80.313599999999994"/>
    <n v="85.138999999999996"/>
    <n v="1.98803"/>
    <n v="0"/>
    <n v="0"/>
    <n v="2.87486"/>
    <n v="2.87486"/>
    <n v="0"/>
    <n v="0.53866199999999997"/>
    <n v="5.3222399999999999"/>
    <n v="90357500"/>
    <n v="0"/>
    <n v="0"/>
    <n v="0"/>
    <n v="0"/>
    <n v="4297840"/>
    <n v="295541"/>
    <n v="0"/>
    <n v="99.003900000000002"/>
    <n v="98.274000000000001"/>
    <n v="2.5758100000000002"/>
    <n v="0"/>
    <n v="0"/>
    <n v="1.74753"/>
    <n v="1.74753"/>
    <n v="0"/>
    <n v="1.3499300000000001"/>
    <n v="2.9635199999999999"/>
    <n v="276445000"/>
    <n v="0"/>
    <n v="0"/>
    <n v="0"/>
    <n v="0"/>
    <n v="4521290"/>
    <n v="147377"/>
    <n v="0"/>
    <n v="30"/>
    <x v="12"/>
    <n v="6.8549712480376628E-6"/>
    <n v="1.4461248355801457E-5"/>
  </r>
  <r>
    <n v="79.100099999999998"/>
    <n v="85.138999999999996"/>
    <n v="1.81159"/>
    <n v="0"/>
    <n v="0"/>
    <n v="2.8753199999999999"/>
    <n v="2.8753199999999999"/>
    <n v="0"/>
    <n v="0.53874900000000003"/>
    <n v="5.3222399999999999"/>
    <n v="90653100"/>
    <n v="0"/>
    <n v="0"/>
    <n v="0"/>
    <n v="0"/>
    <n v="4298530"/>
    <n v="295588"/>
    <n v="0"/>
    <n v="98.906199999999998"/>
    <n v="98.274000000000001"/>
    <n v="2.4490799999999999"/>
    <n v="0"/>
    <n v="0"/>
    <n v="1.7478100000000001"/>
    <n v="1.7478100000000001"/>
    <n v="0"/>
    <n v="1.35015"/>
    <n v="2.9635199999999999"/>
    <n v="276592000"/>
    <n v="0"/>
    <n v="0"/>
    <n v="0"/>
    <n v="0"/>
    <n v="4522010"/>
    <n v="147400"/>
    <n v="0"/>
    <n v="31"/>
    <x v="12"/>
    <n v="6.8549494236176086E-6"/>
    <n v="1.4461226445116701E-5"/>
  </r>
  <r>
    <n v="77.749099999999999"/>
    <n v="85.138999999999996"/>
    <n v="1.6453199999999999"/>
    <n v="0"/>
    <n v="0"/>
    <n v="2.8757799999999998"/>
    <n v="2.8757799999999998"/>
    <n v="0"/>
    <n v="0.53883499999999995"/>
    <n v="5.3222399999999999"/>
    <n v="90948700"/>
    <n v="0"/>
    <n v="0"/>
    <n v="0"/>
    <n v="0"/>
    <n v="4299220"/>
    <n v="295636"/>
    <n v="0"/>
    <n v="98.764600000000002"/>
    <n v="98.274000000000001"/>
    <n v="2.2637800000000001"/>
    <n v="0"/>
    <n v="0"/>
    <n v="1.7480899999999999"/>
    <n v="1.7480899999999999"/>
    <n v="0"/>
    <n v="1.35036"/>
    <n v="2.9635199999999999"/>
    <n v="276740000"/>
    <n v="0"/>
    <n v="0"/>
    <n v="0"/>
    <n v="0"/>
    <n v="4522730"/>
    <n v="147424"/>
    <n v="0"/>
    <n v="32"/>
    <x v="12"/>
    <n v="6.8549741045054547E-6"/>
    <n v="1.4461253457204163E-5"/>
  </r>
  <r>
    <n v="76.423199999999994"/>
    <n v="85.138999999999996"/>
    <n v="1.69852"/>
    <n v="0"/>
    <n v="0"/>
    <n v="2.9433600000000002"/>
    <n v="2.9433600000000002"/>
    <n v="0"/>
    <n v="0.53892099999999998"/>
    <n v="5.3222399999999999"/>
    <n v="91251300"/>
    <n v="0"/>
    <n v="0"/>
    <n v="0"/>
    <n v="0"/>
    <n v="4400250"/>
    <n v="302584"/>
    <n v="0"/>
    <n v="98.612499999999997"/>
    <n v="98.274000000000001"/>
    <n v="2.3603299999999998"/>
    <n v="0"/>
    <n v="0"/>
    <n v="1.7910999999999999"/>
    <n v="1.7910999999999999"/>
    <n v="0"/>
    <n v="1.3505799999999999"/>
    <n v="2.9635199999999999"/>
    <n v="276891000"/>
    <n v="0"/>
    <n v="0"/>
    <n v="0"/>
    <n v="0"/>
    <n v="4633990"/>
    <n v="151050"/>
    <n v="0"/>
    <n v="33"/>
    <x v="12"/>
    <n v="6.8549442501665059E-6"/>
    <n v="1.4461285422712847E-5"/>
  </r>
  <r>
    <n v="75.067599999999999"/>
    <n v="85.138999999999996"/>
    <n v="1.6595299999999999"/>
    <n v="0"/>
    <n v="0"/>
    <n v="2.9438300000000002"/>
    <n v="2.9438300000000002"/>
    <n v="0"/>
    <n v="0.55158600000000002"/>
    <n v="5.3222399999999999"/>
    <n v="91553900"/>
    <n v="0"/>
    <n v="0"/>
    <n v="0"/>
    <n v="0"/>
    <n v="4400960"/>
    <n v="302632"/>
    <n v="0"/>
    <n v="98.411100000000005"/>
    <n v="98.274000000000001"/>
    <n v="2.45825"/>
    <n v="0"/>
    <n v="0"/>
    <n v="1.79138"/>
    <n v="1.79138"/>
    <n v="0"/>
    <n v="1.3837999999999999"/>
    <n v="2.9635199999999999"/>
    <n v="277042000"/>
    <n v="0"/>
    <n v="0"/>
    <n v="0"/>
    <n v="0"/>
    <n v="4634730"/>
    <n v="151074"/>
    <n v="0"/>
    <n v="34"/>
    <x v="12"/>
    <n v="6.8549387546644524E-6"/>
    <n v="1.4461246082319763E-5"/>
  </r>
  <r>
    <n v="73.622299999999996"/>
    <n v="85.138999999999996"/>
    <n v="1.54908"/>
    <n v="0"/>
    <n v="0"/>
    <n v="2.9443000000000001"/>
    <n v="2.9443000000000001"/>
    <n v="0"/>
    <n v="0.551674"/>
    <n v="5.3222399999999999"/>
    <n v="91856600"/>
    <n v="0"/>
    <n v="0"/>
    <n v="0"/>
    <n v="0"/>
    <n v="4401660"/>
    <n v="302680"/>
    <n v="0"/>
    <n v="98.166799999999995"/>
    <n v="98.274000000000001"/>
    <n v="2.3109700000000002"/>
    <n v="0"/>
    <n v="0"/>
    <n v="1.7916700000000001"/>
    <n v="1.7916700000000001"/>
    <n v="0"/>
    <n v="1.38402"/>
    <n v="2.9635199999999999"/>
    <n v="277193000"/>
    <n v="0"/>
    <n v="0"/>
    <n v="0"/>
    <n v="0"/>
    <n v="4635470"/>
    <n v="151098"/>
    <n v="0"/>
    <n v="35"/>
    <x v="12"/>
    <n v="6.8549332609169887E-6"/>
    <n v="1.4461239608602159E-5"/>
  </r>
  <r>
    <n v="72.069299999999998"/>
    <n v="85.138999999999996"/>
    <n v="1.4217"/>
    <n v="0"/>
    <n v="0"/>
    <n v="2.9447800000000002"/>
    <n v="2.9447800000000002"/>
    <n v="0"/>
    <n v="0.551763"/>
    <n v="5.3222399999999999"/>
    <n v="92159300"/>
    <n v="0"/>
    <n v="0"/>
    <n v="0"/>
    <n v="0"/>
    <n v="4402360"/>
    <n v="302729"/>
    <n v="0"/>
    <n v="97.917699999999996"/>
    <n v="98.274000000000001"/>
    <n v="2.17916"/>
    <n v="0"/>
    <n v="0"/>
    <n v="1.7919499999999999"/>
    <n v="1.7919499999999999"/>
    <n v="0"/>
    <n v="1.3842399999999999"/>
    <n v="2.9635199999999999"/>
    <n v="277344000"/>
    <n v="0"/>
    <n v="0"/>
    <n v="0"/>
    <n v="0"/>
    <n v="4636210"/>
    <n v="151123"/>
    <n v="0"/>
    <n v="36"/>
    <x v="12"/>
    <n v="6.8549731291472565E-6"/>
    <n v="1.4461280906667697E-5"/>
  </r>
  <r>
    <n v="70.335499999999996"/>
    <n v="85.138999999999996"/>
    <n v="1.37737"/>
    <n v="0"/>
    <n v="0"/>
    <n v="3.14195"/>
    <n v="3.14195"/>
    <n v="0"/>
    <n v="0.55185099999999998"/>
    <n v="5.3222399999999999"/>
    <n v="92482300"/>
    <n v="0"/>
    <n v="0"/>
    <n v="0"/>
    <n v="0"/>
    <n v="4697130"/>
    <n v="322998"/>
    <n v="0"/>
    <n v="97.163399999999996"/>
    <n v="98.274000000000001"/>
    <n v="2.2397999999999998"/>
    <n v="0"/>
    <n v="0"/>
    <n v="1.94655"/>
    <n v="1.94655"/>
    <n v="0"/>
    <n v="1.38446"/>
    <n v="2.9635199999999999"/>
    <n v="277508000"/>
    <n v="0"/>
    <n v="0"/>
    <n v="0"/>
    <n v="0"/>
    <n v="5036180"/>
    <n v="164160"/>
    <n v="0"/>
    <n v="37"/>
    <x v="12"/>
    <n v="6.8549515438204443E-6"/>
    <n v="1.4461240303118917E-5"/>
  </r>
  <r>
    <n v="68.2881"/>
    <n v="85.138999999999996"/>
    <n v="1.04803"/>
    <n v="0"/>
    <n v="0"/>
    <n v="3.1424500000000002"/>
    <n v="3.1424500000000002"/>
    <n v="0"/>
    <n v="0.58880100000000002"/>
    <n v="5.3222399999999999"/>
    <n v="92805400"/>
    <n v="0"/>
    <n v="0"/>
    <n v="0"/>
    <n v="0"/>
    <n v="4697880"/>
    <n v="323050"/>
    <n v="0"/>
    <n v="96.684399999999997"/>
    <n v="98.274000000000001"/>
    <n v="1.51413"/>
    <n v="0"/>
    <n v="0"/>
    <n v="1.94686"/>
    <n v="1.94686"/>
    <n v="0"/>
    <n v="1.5039"/>
    <n v="2.9635199999999999"/>
    <n v="277672000"/>
    <n v="0"/>
    <n v="0"/>
    <n v="0"/>
    <n v="0"/>
    <n v="5036980"/>
    <n v="164186"/>
    <n v="0"/>
    <n v="38"/>
    <x v="12"/>
    <n v="6.8549483328467879E-6"/>
    <n v="1.4461259385135189E-5"/>
  </r>
  <r>
    <n v="66.568399999999997"/>
    <n v="85.138999999999996"/>
    <n v="1.1299600000000001"/>
    <n v="0.01"/>
    <n v="0"/>
    <n v="2.8405499999999999"/>
    <n v="3.1429499999999999"/>
    <n v="0"/>
    <n v="0.58889499999999995"/>
    <n v="5.3222399999999999"/>
    <n v="92719900"/>
    <n v="0"/>
    <n v="0"/>
    <n v="0"/>
    <n v="0"/>
    <n v="4246550"/>
    <n v="-85437.1"/>
    <n v="408539"/>
    <n v="95.718199999999996"/>
    <n v="98.274000000000001"/>
    <n v="1.8356399999999999"/>
    <n v="0"/>
    <n v="0"/>
    <n v="2.2495699999999998"/>
    <n v="1.9471700000000001"/>
    <n v="0"/>
    <n v="1.50414"/>
    <n v="2.9635199999999999"/>
    <n v="278619000"/>
    <n v="0"/>
    <n v="0"/>
    <n v="0"/>
    <n v="0"/>
    <n v="5820170"/>
    <n v="946593"/>
    <n v="0"/>
    <n v="39"/>
    <x v="12"/>
    <n v="3.4203134505866336E-5"/>
    <n v="-4.23105378839866E-6"/>
  </r>
  <r>
    <n v="64.678700000000006"/>
    <n v="85.138999999999996"/>
    <n v="0.93761700000000003"/>
    <n v="0.01"/>
    <n v="0"/>
    <n v="2.8410500000000001"/>
    <n v="3.1434500000000001"/>
    <n v="0"/>
    <n v="0.53231899999999999"/>
    <n v="5.3222399999999999"/>
    <n v="92634500"/>
    <n v="0"/>
    <n v="0"/>
    <n v="0"/>
    <n v="0"/>
    <n v="4247300"/>
    <n v="-85385.5"/>
    <n v="408539"/>
    <n v="95.2607"/>
    <n v="98.274000000000001"/>
    <n v="1.3163800000000001"/>
    <n v="0"/>
    <n v="0"/>
    <n v="2.2498800000000001"/>
    <n v="1.9474800000000001"/>
    <n v="0"/>
    <n v="1.7380199999999999"/>
    <n v="2.9635199999999999"/>
    <n v="279566000"/>
    <n v="0"/>
    <n v="0"/>
    <n v="0"/>
    <n v="0"/>
    <n v="5820970"/>
    <n v="946619"/>
    <n v="0"/>
    <n v="40"/>
    <x v="12"/>
    <n v="3.4199373153380458E-5"/>
    <n v="-4.2277517504494637E-6"/>
  </r>
  <r>
    <n v="63.330399999999997"/>
    <n v="85.138999999999996"/>
    <n v="1.46854"/>
    <n v="0.01"/>
    <n v="0"/>
    <n v="2.8415599999999999"/>
    <n v="3.1439599999999999"/>
    <n v="0"/>
    <n v="0.53241300000000003"/>
    <n v="5.3222399999999999"/>
    <n v="92549200"/>
    <n v="0"/>
    <n v="0"/>
    <n v="0"/>
    <n v="0"/>
    <n v="4248050"/>
    <n v="-85333.8"/>
    <n v="408539"/>
    <n v="94.879099999999994"/>
    <n v="98.274000000000001"/>
    <n v="2.78335"/>
    <n v="0"/>
    <n v="0"/>
    <n v="2.2501899999999999"/>
    <n v="1.9477899999999999"/>
    <n v="0"/>
    <n v="1.7382599999999999"/>
    <n v="2.9635199999999999"/>
    <n v="280512000"/>
    <n v="0"/>
    <n v="0"/>
    <n v="0"/>
    <n v="0"/>
    <n v="5821780"/>
    <n v="946646"/>
    <n v="0"/>
    <n v="41"/>
    <x v="12"/>
    <n v="3.4195590220135773E-5"/>
    <n v="-4.2244459279648967E-6"/>
  </r>
  <r>
    <n v="61.828099999999999"/>
    <n v="85.138999999999996"/>
    <n v="1.3022800000000001"/>
    <n v="0.02"/>
    <n v="0"/>
    <n v="2.7461199999999999"/>
    <n v="3.0485199999999999"/>
    <n v="0"/>
    <n v="0.53250699999999995"/>
    <n v="5.3222399999999999"/>
    <n v="92454100"/>
    <n v="0"/>
    <n v="0"/>
    <n v="0"/>
    <n v="0"/>
    <n v="4105380"/>
    <n v="-95145.1"/>
    <n v="408539"/>
    <n v="94.075800000000001"/>
    <n v="98.274000000000001"/>
    <n v="1.8713"/>
    <n v="0"/>
    <n v="0"/>
    <n v="2.1567699999999999"/>
    <n v="1.8543700000000001"/>
    <n v="0"/>
    <n v="1.7384999999999999"/>
    <n v="2.9635199999999999"/>
    <n v="281451000"/>
    <n v="0"/>
    <n v="0"/>
    <n v="0"/>
    <n v="0"/>
    <n v="5580080"/>
    <n v="938767"/>
    <n v="0"/>
    <n v="42"/>
    <x v="12"/>
    <n v="3.5379824891738549E-5"/>
    <n v="-4.8738409707452441E-6"/>
  </r>
  <r>
    <n v="60.138599999999997"/>
    <n v="85.138999999999996"/>
    <n v="1.0238799999999999"/>
    <n v="0.02"/>
    <n v="0"/>
    <n v="2.7465999999999999"/>
    <n v="3.0489999999999999"/>
    <n v="0"/>
    <n v="0.51462200000000002"/>
    <n v="5.3222399999999999"/>
    <n v="92359000"/>
    <n v="0"/>
    <n v="0"/>
    <n v="0"/>
    <n v="0"/>
    <n v="4106100"/>
    <n v="-95095"/>
    <n v="408539"/>
    <n v="93.9221"/>
    <n v="98.274000000000001"/>
    <n v="1.43093"/>
    <n v="0"/>
    <n v="0"/>
    <n v="2.15707"/>
    <n v="1.85467"/>
    <n v="0"/>
    <n v="1.66632"/>
    <n v="2.9635199999999999"/>
    <n v="282390000"/>
    <n v="0"/>
    <n v="0"/>
    <n v="0"/>
    <n v="0"/>
    <n v="5580840"/>
    <n v="938792"/>
    <n v="0"/>
    <n v="43"/>
    <x v="12"/>
    <n v="3.537594891987467E-5"/>
    <n v="-4.8704204082520748E-6"/>
  </r>
  <r>
    <n v="59.744500000000002"/>
    <n v="85.138999999999996"/>
    <n v="2.3990800000000001"/>
    <n v="0.02"/>
    <n v="0"/>
    <n v="2.74709"/>
    <n v="3.04949"/>
    <n v="0"/>
    <n v="0.514714"/>
    <n v="5.3222399999999999"/>
    <n v="92263900"/>
    <n v="0"/>
    <n v="0"/>
    <n v="0"/>
    <n v="0"/>
    <n v="4106830"/>
    <n v="-95044.9"/>
    <n v="408539"/>
    <n v="93.789400000000001"/>
    <n v="98.274000000000001"/>
    <n v="2.9361899999999999"/>
    <n v="0"/>
    <n v="0"/>
    <n v="2.1573600000000002"/>
    <n v="1.8549599999999999"/>
    <n v="0"/>
    <n v="1.66655"/>
    <n v="2.9635199999999999"/>
    <n v="283329000"/>
    <n v="0"/>
    <n v="0"/>
    <n v="0"/>
    <n v="0"/>
    <n v="5581610"/>
    <n v="938817"/>
    <n v="0"/>
    <n v="44"/>
    <x v="12"/>
    <n v="3.5372010630999708E-5"/>
    <n v="-4.8669891941399024E-6"/>
  </r>
  <r>
    <n v="59.0792"/>
    <n v="85.138999999999996"/>
    <n v="2.2531400000000001"/>
    <n v="0.02"/>
    <n v="0"/>
    <n v="2.7475800000000001"/>
    <n v="3.0499800000000001"/>
    <n v="0"/>
    <n v="0.51480499999999996"/>
    <n v="5.3222399999999999"/>
    <n v="92168900"/>
    <n v="0"/>
    <n v="0"/>
    <n v="0"/>
    <n v="0"/>
    <n v="4107560"/>
    <n v="-94994.8"/>
    <n v="408539"/>
    <n v="93.534599999999998"/>
    <n v="98.274000000000001"/>
    <n v="2.5519400000000001"/>
    <n v="0"/>
    <n v="0"/>
    <n v="2.1576599999999999"/>
    <n v="1.8552599999999999"/>
    <n v="0"/>
    <n v="1.6667799999999999"/>
    <n v="2.9635199999999999"/>
    <n v="284267000"/>
    <n v="0"/>
    <n v="0"/>
    <n v="0"/>
    <n v="0"/>
    <n v="5582380"/>
    <n v="938842"/>
    <n v="0"/>
    <n v="45"/>
    <x v="12"/>
    <n v="3.5368073428572621E-5"/>
    <n v="-4.8635591996258873E-6"/>
  </r>
  <r>
    <n v="57.488399999999999"/>
    <n v="85.138999999999996"/>
    <n v="1.0896600000000001"/>
    <n v="0.02"/>
    <n v="0"/>
    <n v="2.66927"/>
    <n v="2.97167"/>
    <n v="0"/>
    <n v="0.51489600000000002"/>
    <n v="5.3222399999999999"/>
    <n v="92065900"/>
    <n v="0"/>
    <n v="0"/>
    <n v="0"/>
    <n v="0"/>
    <n v="3990480"/>
    <n v="-103046"/>
    <n v="408539"/>
    <n v="93.471699999999998"/>
    <n v="98.274000000000001"/>
    <n v="1.84979"/>
    <n v="0"/>
    <n v="0"/>
    <n v="2.0725799999999999"/>
    <n v="1.7701800000000001"/>
    <n v="0"/>
    <n v="1.6670100000000001"/>
    <n v="2.9635199999999999"/>
    <n v="285199000"/>
    <n v="0"/>
    <n v="0"/>
    <n v="0"/>
    <n v="0"/>
    <n v="5362260"/>
    <n v="931667"/>
    <n v="0"/>
    <n v="46"/>
    <x v="12"/>
    <n v="3.6538535367779224E-5"/>
    <n v="-5.4305559115555401E-6"/>
  </r>
  <r>
    <n v="56.285299999999999"/>
    <n v="85.138999999999996"/>
    <n v="1.4563600000000001"/>
    <n v="0.02"/>
    <n v="0"/>
    <n v="2.66974"/>
    <n v="2.97214"/>
    <n v="0"/>
    <n v="0.50022"/>
    <n v="5.3222399999999999"/>
    <n v="91962900"/>
    <n v="0"/>
    <n v="0"/>
    <n v="0"/>
    <n v="0"/>
    <n v="3991190"/>
    <n v="-102997"/>
    <n v="408539"/>
    <n v="93.794499999999999"/>
    <n v="98.274000000000001"/>
    <n v="3.2212100000000001"/>
    <n v="0"/>
    <n v="0"/>
    <n v="2.0728599999999999"/>
    <n v="1.7704599999999999"/>
    <n v="0"/>
    <n v="1.60128"/>
    <n v="2.9635199999999999"/>
    <n v="286131000"/>
    <n v="0"/>
    <n v="0"/>
    <n v="0"/>
    <n v="0"/>
    <n v="5362990"/>
    <n v="931691"/>
    <n v="0"/>
    <n v="47"/>
    <x v="12"/>
    <n v="3.6534502926502703E-5"/>
    <n v="-5.4270080044463742E-6"/>
  </r>
  <r>
    <n v="54.573900000000002"/>
    <n v="85.138999999999996"/>
    <n v="0.92418"/>
    <n v="0.02"/>
    <n v="0"/>
    <n v="2.67022"/>
    <n v="2.97262"/>
    <n v="0"/>
    <n v="0.500309"/>
    <n v="5.3222399999999999"/>
    <n v="91859900"/>
    <n v="0"/>
    <n v="0"/>
    <n v="0"/>
    <n v="0"/>
    <n v="3991900"/>
    <n v="-102948"/>
    <n v="408539"/>
    <n v="93.7363"/>
    <n v="98.274000000000001"/>
    <n v="2.5273300000000001"/>
    <n v="0"/>
    <n v="0"/>
    <n v="2.07315"/>
    <n v="1.77075"/>
    <n v="0"/>
    <n v="1.6014999999999999"/>
    <n v="2.9635199999999999"/>
    <n v="287063000"/>
    <n v="0"/>
    <n v="0"/>
    <n v="0"/>
    <n v="0"/>
    <n v="5363730"/>
    <n v="931715"/>
    <n v="0"/>
    <n v="48"/>
    <x v="12"/>
    <n v="3.6530403476383344E-5"/>
    <n v="-5.4234613593999088E-6"/>
  </r>
  <r>
    <n v="54.464399999999998"/>
    <n v="85.138999999999996"/>
    <n v="2.7208199999999998"/>
    <n v="0.02"/>
    <n v="0"/>
    <n v="2.67069"/>
    <n v="2.97309"/>
    <n v="0"/>
    <n v="0.50039800000000001"/>
    <n v="5.3222399999999999"/>
    <n v="91757000"/>
    <n v="0"/>
    <n v="0"/>
    <n v="0"/>
    <n v="0"/>
    <n v="3992610"/>
    <n v="-102899"/>
    <n v="408539"/>
    <n v="93.931100000000001"/>
    <n v="98.274000000000001"/>
    <n v="3.18241"/>
    <n v="0"/>
    <n v="0"/>
    <n v="2.0734300000000001"/>
    <n v="1.7710300000000001"/>
    <n v="0"/>
    <n v="1.60171"/>
    <n v="2.9635199999999999"/>
    <n v="287994000"/>
    <n v="0"/>
    <n v="0"/>
    <n v="0"/>
    <n v="0"/>
    <n v="5364460"/>
    <n v="931739"/>
    <n v="0"/>
    <n v="49"/>
    <x v="12"/>
    <n v="3.6526373246693707E-5"/>
    <n v="-5.4199159757428526E-6"/>
  </r>
  <r>
    <n v="54.241300000000003"/>
    <n v="85.138999999999996"/>
    <n v="2.4152"/>
    <n v="0.02"/>
    <n v="0"/>
    <n v="2.4472200000000002"/>
    <n v="2.7496200000000002"/>
    <n v="0"/>
    <n v="0.50048700000000002"/>
    <n v="5.3222399999999999"/>
    <n v="91631200"/>
    <n v="0"/>
    <n v="0"/>
    <n v="0"/>
    <n v="0"/>
    <n v="3658540"/>
    <n v="-125872"/>
    <n v="408539"/>
    <n v="94.121700000000004"/>
    <n v="98.274000000000001"/>
    <n v="3.4291900000000002"/>
    <n v="0"/>
    <n v="0"/>
    <n v="1.8957900000000001"/>
    <n v="1.5933900000000001"/>
    <n v="0"/>
    <n v="1.6019300000000001"/>
    <n v="2.9635199999999999"/>
    <n v="288911000"/>
    <n v="0"/>
    <n v="0"/>
    <n v="0"/>
    <n v="0"/>
    <n v="4904860"/>
    <n v="916758"/>
    <n v="0"/>
    <n v="50"/>
    <x v="12"/>
    <n v="3.9306681751845359E-5"/>
    <n v="-7.2353511755013722E-6"/>
  </r>
  <r>
    <n v="53.533000000000001"/>
    <n v="85.138999999999996"/>
    <n v="1.93293"/>
    <n v="0.03"/>
    <n v="0"/>
    <n v="2.4476599999999999"/>
    <n v="2.7500599999999999"/>
    <n v="0"/>
    <n v="0.45860899999999999"/>
    <n v="5.3222399999999999"/>
    <n v="91505300"/>
    <n v="0"/>
    <n v="0"/>
    <n v="0"/>
    <n v="0"/>
    <n v="3659190"/>
    <n v="-125827"/>
    <n v="408539"/>
    <n v="94.365300000000005"/>
    <n v="98.274000000000001"/>
    <n v="3.08894"/>
    <n v="0"/>
    <n v="0"/>
    <n v="1.89605"/>
    <n v="1.59365"/>
    <n v="0"/>
    <n v="1.46469"/>
    <n v="2.9635199999999999"/>
    <n v="289828000"/>
    <n v="0"/>
    <n v="0"/>
    <n v="0"/>
    <n v="0"/>
    <n v="4905520"/>
    <n v="916779"/>
    <n v="0"/>
    <n v="51"/>
    <x v="12"/>
    <n v="3.930229360951765E-5"/>
    <n v="-7.2314797020753542E-6"/>
  </r>
  <r>
    <n v="53.3504"/>
    <n v="85.138999999999996"/>
    <n v="2.39181"/>
    <n v="0.03"/>
    <n v="0"/>
    <n v="2.4481000000000002"/>
    <n v="2.7505000000000002"/>
    <n v="0"/>
    <n v="0.45869199999999999"/>
    <n v="5.3222399999999999"/>
    <n v="91379600"/>
    <n v="0"/>
    <n v="0"/>
    <n v="0"/>
    <n v="0"/>
    <n v="3659850"/>
    <n v="-125782"/>
    <n v="408539"/>
    <n v="94.710599999999999"/>
    <n v="98.274000000000001"/>
    <n v="3.5137499999999999"/>
    <n v="0"/>
    <n v="0"/>
    <n v="1.8963000000000001"/>
    <n v="1.5939000000000001"/>
    <n v="0"/>
    <n v="1.46488"/>
    <n v="2.9635199999999999"/>
    <n v="290745000"/>
    <n v="0"/>
    <n v="0"/>
    <n v="0"/>
    <n v="0"/>
    <n v="4906180"/>
    <n v="916801"/>
    <n v="0"/>
    <n v="52"/>
    <x v="12"/>
    <n v="3.929794951202154E-5"/>
    <n v="-7.2275898554463806E-6"/>
  </r>
  <r>
    <n v="53.011200000000002"/>
    <n v="85.138999999999996"/>
    <n v="2.40442"/>
    <n v="0.03"/>
    <n v="0"/>
    <n v="2.4485399999999999"/>
    <n v="2.7509399999999999"/>
    <n v="0"/>
    <n v="0.45877400000000002"/>
    <n v="5.3222399999999999"/>
    <n v="91253800"/>
    <n v="0"/>
    <n v="0"/>
    <n v="0"/>
    <n v="0"/>
    <n v="3660510"/>
    <n v="-125736"/>
    <n v="408539"/>
    <n v="94.993899999999996"/>
    <n v="98.274000000000001"/>
    <n v="3.7010700000000001"/>
    <n v="0"/>
    <n v="0"/>
    <n v="1.89656"/>
    <n v="1.59416"/>
    <n v="0"/>
    <n v="1.4650799999999999"/>
    <n v="2.9635199999999999"/>
    <n v="291661000"/>
    <n v="0"/>
    <n v="0"/>
    <n v="0"/>
    <n v="0"/>
    <n v="4906840"/>
    <n v="916822"/>
    <n v="0"/>
    <n v="1"/>
    <x v="13"/>
    <n v="1.9406406317792197E-5"/>
    <n v="-3.5676318589313188E-6"/>
  </r>
  <r>
    <n v="58.372700000000002"/>
    <n v="85.138999999999996"/>
    <n v="8.25258"/>
    <n v="0.03"/>
    <n v="0"/>
    <n v="2.4489800000000002"/>
    <n v="2.7513800000000002"/>
    <n v="0"/>
    <n v="0.45885700000000001"/>
    <n v="5.3222399999999999"/>
    <n v="91128100"/>
    <n v="0"/>
    <n v="0"/>
    <n v="0"/>
    <n v="0"/>
    <n v="3661160"/>
    <n v="-125691"/>
    <n v="408539"/>
    <n v="97.188900000000004"/>
    <n v="98.274000000000001"/>
    <n v="7.9580599999999997"/>
    <n v="0"/>
    <n v="0"/>
    <n v="1.8968100000000001"/>
    <n v="1.5944100000000001"/>
    <n v="0"/>
    <n v="1.4652799999999999"/>
    <n v="2.9635199999999999"/>
    <n v="292578000"/>
    <n v="0"/>
    <n v="0"/>
    <n v="0"/>
    <n v="0"/>
    <n v="4907500"/>
    <n v="916844"/>
    <n v="0"/>
    <n v="2"/>
    <x v="13"/>
    <n v="1.9404262000678927E-5"/>
    <n v="-3.5657218610478976E-6"/>
  </r>
  <r>
    <n v="64.028000000000006"/>
    <n v="85.138999999999996"/>
    <n v="8.8220899999999993"/>
    <n v="0.03"/>
    <n v="0"/>
    <n v="2.5356200000000002"/>
    <n v="2.8380200000000002"/>
    <n v="0"/>
    <n v="0.45893899999999999"/>
    <n v="5.3222399999999999"/>
    <n v="91011300"/>
    <n v="0"/>
    <n v="0"/>
    <n v="0"/>
    <n v="29016000"/>
    <n v="3790690"/>
    <n v="-116785"/>
    <n v="408539"/>
    <n v="99.302199999999999"/>
    <n v="98.274000000000001"/>
    <n v="7.8887299999999998"/>
    <n v="0"/>
    <n v="0"/>
    <n v="1.94862"/>
    <n v="1.64622"/>
    <n v="0"/>
    <n v="1.4654799999999999"/>
    <n v="2.9635199999999999"/>
    <n v="293499000"/>
    <n v="0"/>
    <n v="0"/>
    <n v="0"/>
    <n v="7883220"/>
    <n v="5041550"/>
    <n v="921213"/>
    <n v="0"/>
    <n v="3"/>
    <x v="13"/>
    <n v="1.8138413789818531E-4"/>
    <n v="7.9182601730983112E-4"/>
  </r>
  <r>
    <n v="67.816000000000003"/>
    <n v="85.138999999999996"/>
    <n v="6.8606600000000002"/>
    <n v="0.01"/>
    <n v="0"/>
    <n v="2.5360499999999999"/>
    <n v="2.8384499999999999"/>
    <n v="0"/>
    <n v="0.47517500000000001"/>
    <n v="5.3222399999999999"/>
    <n v="90894600"/>
    <n v="0"/>
    <n v="0"/>
    <n v="0"/>
    <n v="0"/>
    <n v="3791340"/>
    <n v="-116740"/>
    <n v="408539"/>
    <n v="99.302199999999999"/>
    <n v="98.274000000000001"/>
    <n v="7.40524"/>
    <n v="0"/>
    <n v="0"/>
    <n v="1.9488700000000001"/>
    <n v="1.6464700000000001"/>
    <n v="0"/>
    <n v="1.5055099999999999"/>
    <n v="2.9635199999999999"/>
    <n v="294421000"/>
    <n v="0"/>
    <n v="0"/>
    <n v="0"/>
    <n v="0"/>
    <n v="5042200"/>
    <n v="921235"/>
    <n v="0"/>
    <n v="4"/>
    <x v="13"/>
    <n v="1.8976335604731274E-5"/>
    <n v="-3.1980772287644103E-6"/>
  </r>
  <r>
    <n v="70.081900000000005"/>
    <n v="85.138999999999996"/>
    <n v="5.5299699999999996"/>
    <n v="0"/>
    <n v="0"/>
    <n v="2.8388900000000001"/>
    <n v="2.8388900000000001"/>
    <n v="0"/>
    <n v="0.47525699999999999"/>
    <n v="5.3222399999999999"/>
    <n v="91186400"/>
    <n v="0"/>
    <n v="0"/>
    <n v="0"/>
    <n v="0"/>
    <n v="4244070"/>
    <n v="291843"/>
    <n v="0"/>
    <n v="99.302199999999999"/>
    <n v="98.274000000000001"/>
    <n v="5.8762800000000004"/>
    <n v="0"/>
    <n v="0"/>
    <n v="1.64673"/>
    <n v="1.64673"/>
    <n v="0"/>
    <n v="1.5057"/>
    <n v="2.9635199999999999"/>
    <n v="294560000"/>
    <n v="0"/>
    <n v="0"/>
    <n v="0"/>
    <n v="0"/>
    <n v="4260470"/>
    <n v="138875"/>
    <n v="0"/>
    <n v="5"/>
    <x v="13"/>
    <n v="3.3855446930256268E-6"/>
    <n v="7.1421461612014666E-6"/>
  </r>
  <r>
    <n v="73.381399999999999"/>
    <n v="85.138999999999996"/>
    <n v="6.6897700000000002"/>
    <n v="0"/>
    <n v="0"/>
    <n v="2.8393199999999998"/>
    <n v="2.8393199999999998"/>
    <n v="0"/>
    <n v="0.53200800000000004"/>
    <n v="5.3222399999999999"/>
    <n v="91478300"/>
    <n v="0"/>
    <n v="0"/>
    <n v="0"/>
    <n v="0"/>
    <n v="4244720"/>
    <n v="291888"/>
    <n v="0"/>
    <n v="99.302199999999999"/>
    <n v="98.274000000000001"/>
    <n v="5.7607299999999997"/>
    <n v="0"/>
    <n v="0"/>
    <n v="1.6469800000000001"/>
    <n v="1.6469800000000001"/>
    <n v="0"/>
    <n v="1.2722599999999999"/>
    <n v="2.9635199999999999"/>
    <n v="294698000"/>
    <n v="0"/>
    <n v="0"/>
    <n v="0"/>
    <n v="0"/>
    <n v="4261120"/>
    <n v="138896"/>
    <n v="0"/>
    <n v="6"/>
    <x v="13"/>
    <n v="3.3855401225408865E-6"/>
    <n v="7.1421535709099471E-6"/>
  </r>
  <r>
    <n v="79.392600000000002"/>
    <n v="85.138999999999996"/>
    <n v="9.7676499999999997"/>
    <n v="0"/>
    <n v="0"/>
    <n v="3.1167400000000001"/>
    <n v="3.1167400000000001"/>
    <n v="0"/>
    <n v="0.53208900000000003"/>
    <n v="5.3222399999999999"/>
    <n v="91798700"/>
    <n v="0"/>
    <n v="0"/>
    <n v="0"/>
    <n v="0"/>
    <n v="4659450"/>
    <n v="320407"/>
    <n v="0"/>
    <n v="99.302199999999999"/>
    <n v="98.274000000000001"/>
    <n v="7.8943300000000001"/>
    <n v="0"/>
    <n v="0"/>
    <n v="1.84091"/>
    <n v="1.84091"/>
    <n v="0"/>
    <n v="1.2724599999999999"/>
    <n v="2.9635199999999999"/>
    <n v="294854000"/>
    <n v="0"/>
    <n v="0"/>
    <n v="0"/>
    <n v="0"/>
    <n v="4762870"/>
    <n v="155251"/>
    <n v="0"/>
    <n v="7"/>
    <x v="13"/>
    <n v="3.3855378175570714E-6"/>
    <n v="7.1421559836308728E-6"/>
  </r>
  <r>
    <n v="85.138999999999996"/>
    <n v="85.138999999999996"/>
    <n v="12.572100000000001"/>
    <n v="0"/>
    <n v="0"/>
    <n v="3.1172200000000001"/>
    <n v="3.1172200000000001"/>
    <n v="0"/>
    <n v="0.58407699999999996"/>
    <n v="5.3222399999999999"/>
    <n v="92119200"/>
    <n v="0"/>
    <n v="0"/>
    <n v="0"/>
    <n v="0"/>
    <n v="4660160"/>
    <n v="320456"/>
    <n v="0"/>
    <n v="99.302199999999999"/>
    <n v="98.274000000000001"/>
    <n v="10.6259"/>
    <n v="0"/>
    <n v="0"/>
    <n v="1.8411900000000001"/>
    <n v="1.8411900000000001"/>
    <n v="0"/>
    <n v="1.4222900000000001"/>
    <n v="2.9635199999999999"/>
    <n v="295009000"/>
    <n v="0"/>
    <n v="0"/>
    <n v="0"/>
    <n v="0"/>
    <n v="4763600"/>
    <n v="155275"/>
    <n v="0"/>
    <n v="8"/>
    <x v="13"/>
    <n v="3.3855422838995894E-6"/>
    <n v="7.1421599254426401E-6"/>
  </r>
  <r>
    <n v="85.138999999999996"/>
    <n v="85.138999999999996"/>
    <n v="6.5665199999999997"/>
    <n v="0"/>
    <n v="0"/>
    <n v="3.1176900000000001"/>
    <n v="3.1176900000000001"/>
    <n v="0"/>
    <n v="0.58416699999999999"/>
    <n v="5.3222399999999999"/>
    <n v="92439700"/>
    <n v="0"/>
    <n v="0"/>
    <n v="0"/>
    <n v="0"/>
    <n v="4660870"/>
    <n v="320505"/>
    <n v="0"/>
    <n v="99.302199999999999"/>
    <n v="98.274000000000001"/>
    <n v="5.8905500000000002"/>
    <n v="0"/>
    <n v="0"/>
    <n v="1.8414699999999999"/>
    <n v="1.8414699999999999"/>
    <n v="0"/>
    <n v="1.4225000000000001"/>
    <n v="2.9635199999999999"/>
    <n v="295164000"/>
    <n v="0"/>
    <n v="0"/>
    <n v="0"/>
    <n v="0"/>
    <n v="4764330"/>
    <n v="155299"/>
    <n v="0"/>
    <n v="9"/>
    <x v="13"/>
    <n v="3.3855467488734229E-6"/>
    <n v="7.1421638660534774E-6"/>
  </r>
  <r>
    <n v="85.138999999999996"/>
    <n v="85.138999999999996"/>
    <n v="5.1368900000000002"/>
    <n v="0"/>
    <n v="0"/>
    <n v="3.1181700000000001"/>
    <n v="3.1181700000000001"/>
    <n v="0"/>
    <n v="0.584256"/>
    <n v="5.3222399999999999"/>
    <n v="92760300"/>
    <n v="0"/>
    <n v="0"/>
    <n v="0"/>
    <n v="0"/>
    <n v="4661590"/>
    <n v="320554"/>
    <n v="0"/>
    <n v="99.302199999999999"/>
    <n v="98.274000000000001"/>
    <n v="5.0456300000000001"/>
    <n v="0"/>
    <n v="0"/>
    <n v="1.84175"/>
    <n v="1.84175"/>
    <n v="0"/>
    <n v="1.42272"/>
    <n v="2.9635199999999999"/>
    <n v="295320000"/>
    <n v="0"/>
    <n v="0"/>
    <n v="0"/>
    <n v="0"/>
    <n v="4765060"/>
    <n v="155322"/>
    <n v="0"/>
    <n v="10"/>
    <x v="13"/>
    <n v="3.3855294156351262E-6"/>
    <n v="7.1421524841512377E-6"/>
  </r>
  <r>
    <n v="85.138999999999996"/>
    <n v="85.138999999999996"/>
    <n v="6.1143400000000003"/>
    <n v="0"/>
    <n v="0"/>
    <n v="2.7233399999999999"/>
    <n v="2.7233399999999999"/>
    <n v="0"/>
    <n v="0.584345"/>
    <n v="5.3222399999999999"/>
    <n v="93040200"/>
    <n v="0"/>
    <n v="0"/>
    <n v="0"/>
    <n v="0"/>
    <n v="4071320"/>
    <n v="279965"/>
    <n v="0"/>
    <n v="99.302199999999999"/>
    <n v="98.274000000000001"/>
    <n v="6.6823399999999999"/>
    <n v="0"/>
    <n v="0"/>
    <n v="1.58196"/>
    <n v="1.58196"/>
    <n v="0"/>
    <n v="1.4229400000000001"/>
    <n v="2.9635199999999999"/>
    <n v="295453000"/>
    <n v="0"/>
    <n v="0"/>
    <n v="0"/>
    <n v="0"/>
    <n v="4092900"/>
    <n v="133413"/>
    <n v="0"/>
    <n v="11"/>
    <x v="13"/>
    <n v="3.385548246587438E-6"/>
    <n v="7.142175102736621E-6"/>
  </r>
  <r>
    <n v="85.138999999999996"/>
    <n v="85.138999999999996"/>
    <n v="6.5587400000000002"/>
    <n v="0"/>
    <n v="0"/>
    <n v="2.72376"/>
    <n v="2.72376"/>
    <n v="0"/>
    <n v="0.51035399999999997"/>
    <n v="5.3222399999999999"/>
    <n v="93320200"/>
    <n v="0"/>
    <n v="0"/>
    <n v="0"/>
    <n v="0"/>
    <n v="4071950"/>
    <n v="280007"/>
    <n v="0"/>
    <n v="99.302199999999999"/>
    <n v="98.274000000000001"/>
    <n v="6.0403799999999999"/>
    <n v="0"/>
    <n v="0"/>
    <n v="1.5822000000000001"/>
    <n v="1.5822000000000001"/>
    <n v="0"/>
    <n v="1.2222200000000001"/>
    <n v="2.9635199999999999"/>
    <n v="295586000"/>
    <n v="0"/>
    <n v="0"/>
    <n v="0"/>
    <n v="0"/>
    <n v="4093530"/>
    <n v="133433"/>
    <n v="0"/>
    <n v="12"/>
    <x v="13"/>
    <n v="3.3855346568498137E-6"/>
    <n v="7.1421413810598656E-6"/>
  </r>
  <r>
    <n v="85.138999999999996"/>
    <n v="85.138999999999996"/>
    <n v="7.0769200000000003"/>
    <n v="0"/>
    <n v="0"/>
    <n v="2.72417"/>
    <n v="2.72417"/>
    <n v="0"/>
    <n v="0.510432"/>
    <n v="5.3222399999999999"/>
    <n v="93600300"/>
    <n v="0"/>
    <n v="0"/>
    <n v="0"/>
    <n v="0"/>
    <n v="4072570"/>
    <n v="280050"/>
    <n v="0"/>
    <n v="99.302199999999999"/>
    <n v="98.274000000000001"/>
    <n v="5.4110199999999997"/>
    <n v="0"/>
    <n v="0"/>
    <n v="1.5824400000000001"/>
    <n v="1.5824400000000001"/>
    <n v="0"/>
    <n v="1.22241"/>
    <n v="2.9635199999999999"/>
    <n v="295720000"/>
    <n v="0"/>
    <n v="0"/>
    <n v="0"/>
    <n v="0"/>
    <n v="4094150"/>
    <n v="133454"/>
    <n v="0"/>
    <n v="13"/>
    <x v="13"/>
    <n v="3.3855547091633056E-6"/>
    <n v="7.1421507100454045E-6"/>
  </r>
  <r>
    <n v="85.138999999999996"/>
    <n v="85.138999999999996"/>
    <n v="8.9695800000000006"/>
    <n v="0"/>
    <n v="0"/>
    <n v="2.7245900000000001"/>
    <n v="2.7245900000000001"/>
    <n v="0"/>
    <n v="0.51051000000000002"/>
    <n v="5.3222399999999999"/>
    <n v="93880400"/>
    <n v="0"/>
    <n v="0"/>
    <n v="0"/>
    <n v="0"/>
    <n v="4073190"/>
    <n v="280093"/>
    <n v="0"/>
    <n v="99.302199999999999"/>
    <n v="98.274000000000001"/>
    <n v="6.9771599999999996"/>
    <n v="0"/>
    <n v="0"/>
    <n v="1.5826800000000001"/>
    <n v="1.5826800000000001"/>
    <n v="0"/>
    <n v="1.2225900000000001"/>
    <n v="2.9635199999999999"/>
    <n v="295853000"/>
    <n v="0"/>
    <n v="0"/>
    <n v="0"/>
    <n v="0"/>
    <n v="4094780"/>
    <n v="133474"/>
    <n v="0"/>
    <n v="14"/>
    <x v="13"/>
    <n v="3.3855411225798804E-6"/>
    <n v="7.1421600361909224E-6"/>
  </r>
  <r>
    <n v="85.138999999999996"/>
    <n v="85.138999999999996"/>
    <n v="9.5841499999999993"/>
    <n v="0"/>
    <n v="0"/>
    <n v="2.7250100000000002"/>
    <n v="2.7250100000000002"/>
    <n v="0"/>
    <n v="0.51058800000000004"/>
    <n v="5.3222399999999999"/>
    <n v="94160500"/>
    <n v="0"/>
    <n v="0"/>
    <n v="0"/>
    <n v="0"/>
    <n v="4073820"/>
    <n v="280136"/>
    <n v="0"/>
    <n v="99.302199999999999"/>
    <n v="98.274000000000001"/>
    <n v="8.5184899999999999"/>
    <n v="0"/>
    <n v="0"/>
    <n v="1.5829299999999999"/>
    <n v="1.5829299999999999"/>
    <n v="0"/>
    <n v="1.22278"/>
    <n v="2.9635199999999999"/>
    <n v="295987000"/>
    <n v="0"/>
    <n v="0"/>
    <n v="0"/>
    <n v="0"/>
    <n v="4095410"/>
    <n v="133494"/>
    <n v="0"/>
    <n v="15"/>
    <x v="13"/>
    <n v="3.3855275401765233E-6"/>
    <n v="7.1421518276250288E-6"/>
  </r>
  <r>
    <n v="85.138999999999996"/>
    <n v="85.138999999999996"/>
    <n v="4.75021"/>
    <n v="0"/>
    <n v="0"/>
    <n v="2.8250099999999998"/>
    <n v="2.8250099999999998"/>
    <n v="0"/>
    <n v="0.51066599999999995"/>
    <n v="5.3222399999999999"/>
    <n v="94450900"/>
    <n v="0"/>
    <n v="0"/>
    <n v="0"/>
    <n v="0"/>
    <n v="4223310"/>
    <n v="290416"/>
    <n v="0"/>
    <n v="99.302199999999999"/>
    <n v="98.274000000000001"/>
    <n v="3.6490999999999998"/>
    <n v="0"/>
    <n v="0"/>
    <n v="1.6468400000000001"/>
    <n v="1.6468400000000001"/>
    <n v="0"/>
    <n v="1.2229699999999999"/>
    <n v="2.9635199999999999"/>
    <n v="296126000"/>
    <n v="0"/>
    <n v="0"/>
    <n v="0"/>
    <n v="0"/>
    <n v="4260770"/>
    <n v="138885"/>
    <n v="0"/>
    <n v="16"/>
    <x v="13"/>
    <n v="3.3855500839034357E-6"/>
    <n v="7.1421599106663215E-6"/>
  </r>
  <r>
    <n v="85.138999999999996"/>
    <n v="85.138999999999996"/>
    <n v="5.0644900000000002"/>
    <n v="0"/>
    <n v="0"/>
    <n v="2.82544"/>
    <n v="2.82544"/>
    <n v="0"/>
    <n v="0.52940600000000004"/>
    <n v="5.3222399999999999"/>
    <n v="94741400"/>
    <n v="0"/>
    <n v="0"/>
    <n v="0"/>
    <n v="0"/>
    <n v="4223960"/>
    <n v="290460"/>
    <n v="0"/>
    <n v="99.302199999999999"/>
    <n v="98.274000000000001"/>
    <n v="3.6265499999999999"/>
    <n v="0"/>
    <n v="0"/>
    <n v="1.6470899999999999"/>
    <n v="1.6470899999999999"/>
    <n v="0"/>
    <n v="1.2723500000000001"/>
    <n v="2.9635199999999999"/>
    <n v="296265000"/>
    <n v="0"/>
    <n v="0"/>
    <n v="0"/>
    <n v="0"/>
    <n v="4261420"/>
    <n v="138906"/>
    <n v="0"/>
    <n v="17"/>
    <x v="13"/>
    <n v="3.3855455129181748E-6"/>
    <n v="7.1421427656012153E-6"/>
  </r>
  <r>
    <n v="85.138999999999996"/>
    <n v="85.138999999999996"/>
    <n v="4.0711700000000004"/>
    <n v="0"/>
    <n v="0"/>
    <n v="2.8258700000000001"/>
    <n v="2.8258700000000001"/>
    <n v="0"/>
    <n v="0.52948700000000004"/>
    <n v="5.3222399999999999"/>
    <n v="95031900"/>
    <n v="0"/>
    <n v="0"/>
    <n v="0"/>
    <n v="0"/>
    <n v="4224600"/>
    <n v="290505"/>
    <n v="0"/>
    <n v="99.302199999999999"/>
    <n v="98.274000000000001"/>
    <n v="3.2339600000000002"/>
    <n v="0"/>
    <n v="0"/>
    <n v="1.6473500000000001"/>
    <n v="1.6473500000000001"/>
    <n v="0"/>
    <n v="1.27254"/>
    <n v="2.9635199999999999"/>
    <n v="296404000"/>
    <n v="0"/>
    <n v="0"/>
    <n v="0"/>
    <n v="0"/>
    <n v="4262080"/>
    <n v="138927"/>
    <n v="0"/>
    <n v="18"/>
    <x v="13"/>
    <n v="3.385532999926397E-6"/>
    <n v="7.1421671172019767E-6"/>
  </r>
  <r>
    <n v="85.138999999999996"/>
    <n v="85.138999999999996"/>
    <n v="4.1957100000000001"/>
    <n v="0"/>
    <n v="0"/>
    <n v="2.8262999999999998"/>
    <n v="2.8262999999999998"/>
    <n v="0"/>
    <n v="0.52956800000000004"/>
    <n v="5.3222399999999999"/>
    <n v="95322400"/>
    <n v="0"/>
    <n v="0"/>
    <n v="0"/>
    <n v="0"/>
    <n v="4225250"/>
    <n v="290549"/>
    <n v="0"/>
    <n v="99.058400000000006"/>
    <n v="98.274000000000001"/>
    <n v="3.2101799999999998"/>
    <n v="0"/>
    <n v="0"/>
    <n v="1.6476"/>
    <n v="1.6476"/>
    <n v="0"/>
    <n v="1.27274"/>
    <n v="2.9635199999999999"/>
    <n v="296543000"/>
    <n v="0"/>
    <n v="0"/>
    <n v="0"/>
    <n v="0"/>
    <n v="4262730"/>
    <n v="138948"/>
    <n v="0"/>
    <n v="19"/>
    <x v="13"/>
    <n v="3.3855284329509087E-6"/>
    <n v="7.1421499762627528E-6"/>
  </r>
  <r>
    <n v="85.138999999999996"/>
    <n v="85.138999999999996"/>
    <n v="3.64676"/>
    <n v="0"/>
    <n v="0"/>
    <n v="2.7877800000000001"/>
    <n v="2.7877800000000001"/>
    <n v="0"/>
    <n v="0.52964900000000004"/>
    <n v="5.3222399999999999"/>
    <n v="95609000"/>
    <n v="0"/>
    <n v="0"/>
    <n v="0"/>
    <n v="0"/>
    <n v="4167650"/>
    <n v="286589"/>
    <n v="0"/>
    <n v="99.038399999999996"/>
    <n v="98.274000000000001"/>
    <n v="2.3466399999999998"/>
    <n v="0"/>
    <n v="0"/>
    <n v="1.6231"/>
    <n v="1.6231"/>
    <n v="0"/>
    <n v="1.2729299999999999"/>
    <n v="2.9635199999999999"/>
    <n v="296679000"/>
    <n v="0"/>
    <n v="0"/>
    <n v="0"/>
    <n v="0"/>
    <n v="4199360"/>
    <n v="136883"/>
    <n v="0"/>
    <n v="20"/>
    <x v="13"/>
    <n v="3.38554350300621E-6"/>
    <n v="7.1421714008275067E-6"/>
  </r>
  <r>
    <n v="85.138999999999996"/>
    <n v="85.138999999999996"/>
    <n v="3.4306000000000001"/>
    <n v="0"/>
    <n v="0"/>
    <n v="2.7881999999999998"/>
    <n v="2.7881999999999998"/>
    <n v="0"/>
    <n v="0.52242900000000003"/>
    <n v="5.3222399999999999"/>
    <n v="95895700"/>
    <n v="0"/>
    <n v="0"/>
    <n v="0"/>
    <n v="0"/>
    <n v="4168290"/>
    <n v="286633"/>
    <n v="0"/>
    <n v="99.209599999999995"/>
    <n v="98.274000000000001"/>
    <n v="2.3211499999999998"/>
    <n v="0"/>
    <n v="0"/>
    <n v="1.6233500000000001"/>
    <n v="1.6233500000000001"/>
    <n v="0"/>
    <n v="1.2540100000000001"/>
    <n v="2.9635199999999999"/>
    <n v="296816000"/>
    <n v="0"/>
    <n v="0"/>
    <n v="0"/>
    <n v="0"/>
    <n v="4200000"/>
    <n v="136904"/>
    <n v="0"/>
    <n v="21"/>
    <x v="13"/>
    <n v="3.3855469270120682E-6"/>
    <n v="7.1421711595238061E-6"/>
  </r>
  <r>
    <n v="85.138999999999996"/>
    <n v="85.138999999999996"/>
    <n v="3.30484"/>
    <n v="0"/>
    <n v="0"/>
    <n v="2.7886299999999999"/>
    <n v="2.7886299999999999"/>
    <n v="0"/>
    <n v="0.522509"/>
    <n v="5.3222399999999999"/>
    <n v="96182300"/>
    <n v="0"/>
    <n v="0"/>
    <n v="0"/>
    <n v="0"/>
    <n v="4168930"/>
    <n v="286676"/>
    <n v="0"/>
    <n v="99.075299999999999"/>
    <n v="98.274000000000001"/>
    <n v="2.3911199999999999"/>
    <n v="0"/>
    <n v="0"/>
    <n v="1.6235999999999999"/>
    <n v="1.6235999999999999"/>
    <n v="0"/>
    <n v="1.2542"/>
    <n v="2.9635199999999999"/>
    <n v="296953000"/>
    <n v="0"/>
    <n v="0"/>
    <n v="0"/>
    <n v="0"/>
    <n v="4200640"/>
    <n v="136925"/>
    <n v="0"/>
    <n v="22"/>
    <x v="13"/>
    <n v="3.3855503499745792E-6"/>
    <n v="7.1421460046425289E-6"/>
  </r>
  <r>
    <n v="85.138999999999996"/>
    <n v="85.138999999999996"/>
    <n v="3.3428"/>
    <n v="0"/>
    <n v="0"/>
    <n v="2.7890600000000001"/>
    <n v="2.7890600000000001"/>
    <n v="0"/>
    <n v="0.52258899999999997"/>
    <n v="5.3222399999999999"/>
    <n v="96469100"/>
    <n v="0"/>
    <n v="0"/>
    <n v="0"/>
    <n v="0"/>
    <n v="4169570"/>
    <n v="286720"/>
    <n v="0"/>
    <n v="99.163700000000006"/>
    <n v="98.274000000000001"/>
    <n v="2.2674500000000002"/>
    <n v="0"/>
    <n v="0"/>
    <n v="1.62385"/>
    <n v="1.62385"/>
    <n v="0"/>
    <n v="1.2543899999999999"/>
    <n v="2.9635199999999999"/>
    <n v="297090000"/>
    <n v="0"/>
    <n v="0"/>
    <n v="0"/>
    <n v="0"/>
    <n v="4201290"/>
    <n v="136946"/>
    <n v="0"/>
    <n v="23"/>
    <x v="13"/>
    <n v="3.3855457135269745E-6"/>
    <n v="7.1421457673110435E-6"/>
  </r>
  <r>
    <n v="85.138999999999996"/>
    <n v="85.138999999999996"/>
    <n v="3.2524099999999998"/>
    <n v="0"/>
    <n v="0"/>
    <n v="2.9218099999999998"/>
    <n v="2.9218099999999998"/>
    <n v="0"/>
    <n v="0.52266900000000005"/>
    <n v="5.3222399999999999"/>
    <n v="96769400"/>
    <n v="0"/>
    <n v="0"/>
    <n v="0"/>
    <n v="0"/>
    <n v="4368030"/>
    <n v="300367"/>
    <n v="0"/>
    <n v="99.174300000000002"/>
    <n v="98.274000000000001"/>
    <n v="2.3250199999999999"/>
    <n v="0"/>
    <n v="0"/>
    <n v="1.71191"/>
    <n v="1.71191"/>
    <n v="0"/>
    <n v="1.2545900000000001"/>
    <n v="2.9635199999999999"/>
    <n v="297235000"/>
    <n v="0"/>
    <n v="0"/>
    <n v="0"/>
    <n v="0"/>
    <n v="4429110"/>
    <n v="144372"/>
    <n v="0"/>
    <n v="24"/>
    <x v="13"/>
    <n v="3.3855442724557026E-6"/>
    <n v="7.1421438887648095E-6"/>
  </r>
  <r>
    <n v="85.062399999999997"/>
    <n v="85.138999999999996"/>
    <n v="3.1089000000000002"/>
    <n v="0"/>
    <n v="0"/>
    <n v="2.92225"/>
    <n v="2.92225"/>
    <n v="0"/>
    <n v="0.54754700000000001"/>
    <n v="5.3222399999999999"/>
    <n v="97069800"/>
    <n v="0"/>
    <n v="0"/>
    <n v="0"/>
    <n v="0"/>
    <n v="4368700"/>
    <n v="300413"/>
    <n v="0"/>
    <n v="99.14"/>
    <n v="98.274000000000001"/>
    <n v="2.4089399999999999"/>
    <n v="0"/>
    <n v="0"/>
    <n v="1.71217"/>
    <n v="1.71217"/>
    <n v="0"/>
    <n v="1.3226199999999999"/>
    <n v="2.9635199999999999"/>
    <n v="297379000"/>
    <n v="0"/>
    <n v="0"/>
    <n v="0"/>
    <n v="0"/>
    <n v="4429780"/>
    <n v="144394"/>
    <n v="0"/>
    <n v="25"/>
    <x v="13"/>
    <n v="3.3855480372642973E-6"/>
    <n v="7.1421421660571201E-6"/>
  </r>
  <r>
    <n v="84.899699999999996"/>
    <n v="85.138999999999996"/>
    <n v="3.0127600000000001"/>
    <n v="0"/>
    <n v="0"/>
    <n v="2.9226999999999999"/>
    <n v="2.9226999999999999"/>
    <n v="0"/>
    <n v="0.54762999999999995"/>
    <n v="5.3222399999999999"/>
    <n v="97370300"/>
    <n v="0"/>
    <n v="0"/>
    <n v="0"/>
    <n v="0"/>
    <n v="4369360"/>
    <n v="300459"/>
    <n v="0"/>
    <n v="99.065399999999997"/>
    <n v="98.274000000000001"/>
    <n v="2.18398"/>
    <n v="0"/>
    <n v="0"/>
    <n v="1.7124299999999999"/>
    <n v="1.7124299999999999"/>
    <n v="0"/>
    <n v="1.3228200000000001"/>
    <n v="2.9635199999999999"/>
    <n v="297523000"/>
    <n v="0"/>
    <n v="0"/>
    <n v="0"/>
    <n v="0"/>
    <n v="4430460"/>
    <n v="144416"/>
    <n v="0"/>
    <n v="26"/>
    <x v="13"/>
    <n v="3.3855441593985733E-6"/>
    <n v="7.14215678984248E-6"/>
  </r>
  <r>
    <n v="84.427099999999996"/>
    <n v="85.138999999999996"/>
    <n v="2.66486"/>
    <n v="0"/>
    <n v="0"/>
    <n v="2.9231500000000001"/>
    <n v="2.9231500000000001"/>
    <n v="0"/>
    <n v="0.54771400000000003"/>
    <n v="5.3222399999999999"/>
    <n v="97670800"/>
    <n v="0"/>
    <n v="0"/>
    <n v="0"/>
    <n v="0"/>
    <n v="4370030"/>
    <n v="300505"/>
    <n v="0"/>
    <n v="99.019400000000005"/>
    <n v="98.274000000000001"/>
    <n v="2.0646"/>
    <n v="0"/>
    <n v="0"/>
    <n v="1.71269"/>
    <n v="1.71269"/>
    <n v="0"/>
    <n v="1.3230200000000001"/>
    <n v="2.9635199999999999"/>
    <n v="297668000"/>
    <n v="0"/>
    <n v="0"/>
    <n v="0"/>
    <n v="0"/>
    <n v="4431140"/>
    <n v="144438"/>
    <n v="0"/>
    <n v="27"/>
    <x v="13"/>
    <n v="3.3855402827230386E-6"/>
    <n v="7.1421550656811364E-6"/>
  </r>
  <r>
    <n v="83.756200000000007"/>
    <n v="85.138999999999996"/>
    <n v="2.42997"/>
    <n v="0"/>
    <n v="0"/>
    <n v="2.9236"/>
    <n v="2.9236"/>
    <n v="0"/>
    <n v="0.54779800000000001"/>
    <n v="5.3222399999999999"/>
    <n v="97971400"/>
    <n v="0"/>
    <n v="0"/>
    <n v="0"/>
    <n v="0"/>
    <n v="4370700"/>
    <n v="300551"/>
    <n v="0"/>
    <n v="99.113900000000001"/>
    <n v="98.274000000000001"/>
    <n v="2.1210300000000002"/>
    <n v="0"/>
    <n v="0"/>
    <n v="1.71295"/>
    <n v="1.71295"/>
    <n v="0"/>
    <n v="1.3232299999999999"/>
    <n v="2.9635199999999999"/>
    <n v="297812000"/>
    <n v="0"/>
    <n v="0"/>
    <n v="0"/>
    <n v="0"/>
    <n v="4431820"/>
    <n v="144460"/>
    <n v="0"/>
    <n v="28"/>
    <x v="13"/>
    <n v="3.385536407237146E-6"/>
    <n v="7.1421533420483973E-6"/>
  </r>
  <r>
    <n v="82.750699999999995"/>
    <n v="85.138999999999996"/>
    <n v="2.04887"/>
    <n v="0"/>
    <n v="0"/>
    <n v="2.89785"/>
    <n v="2.89785"/>
    <n v="0"/>
    <n v="0.54788199999999998"/>
    <n v="5.3222399999999999"/>
    <n v="98269300"/>
    <n v="0"/>
    <n v="0"/>
    <n v="0"/>
    <n v="0"/>
    <n v="4332220"/>
    <n v="297905"/>
    <n v="0"/>
    <n v="99.159199999999998"/>
    <n v="98.274000000000001"/>
    <n v="2.3971900000000002"/>
    <n v="0"/>
    <n v="0"/>
    <n v="1.7615099999999999"/>
    <n v="1.7615099999999999"/>
    <n v="0"/>
    <n v="1.3234300000000001"/>
    <n v="2.9635199999999999"/>
    <n v="297961000"/>
    <n v="0"/>
    <n v="0"/>
    <n v="0"/>
    <n v="0"/>
    <n v="4557450"/>
    <n v="148555"/>
    <n v="0"/>
    <n v="29"/>
    <x v="13"/>
    <n v="3.3855353432939149E-6"/>
    <n v="7.1421551537337205E-6"/>
  </r>
  <r>
    <n v="81.655900000000003"/>
    <n v="85.138999999999996"/>
    <n v="1.94336"/>
    <n v="0"/>
    <n v="0"/>
    <n v="2.8982999999999999"/>
    <n v="2.8982999999999999"/>
    <n v="0"/>
    <n v="0.54305800000000004"/>
    <n v="5.3222399999999999"/>
    <n v="98567200"/>
    <n v="0"/>
    <n v="0"/>
    <n v="0"/>
    <n v="0"/>
    <n v="4332880"/>
    <n v="297951"/>
    <n v="0"/>
    <n v="99.164900000000003"/>
    <n v="98.274000000000001"/>
    <n v="2.3012700000000001"/>
    <n v="0"/>
    <n v="0"/>
    <n v="1.7617799999999999"/>
    <n v="1.7617799999999999"/>
    <n v="0"/>
    <n v="1.36094"/>
    <n v="2.9635199999999999"/>
    <n v="298109000"/>
    <n v="0"/>
    <n v="0"/>
    <n v="0"/>
    <n v="0"/>
    <n v="4558150"/>
    <n v="148578"/>
    <n v="0"/>
    <n v="30"/>
    <x v="13"/>
    <n v="3.3855395073661574E-6"/>
    <n v="7.1421698986634045E-6"/>
  </r>
  <r>
    <n v="80.432500000000005"/>
    <n v="85.138999999999996"/>
    <n v="1.8016000000000001"/>
    <n v="0"/>
    <n v="0"/>
    <n v="2.8987400000000001"/>
    <n v="2.8987400000000001"/>
    <n v="0"/>
    <n v="0.54314099999999998"/>
    <n v="5.3222399999999999"/>
    <n v="98865200"/>
    <n v="0"/>
    <n v="0"/>
    <n v="0"/>
    <n v="0"/>
    <n v="4333540"/>
    <n v="297996"/>
    <n v="0"/>
    <n v="98.999200000000002"/>
    <n v="98.274000000000001"/>
    <n v="2.13795"/>
    <n v="0"/>
    <n v="0"/>
    <n v="1.7620499999999999"/>
    <n v="1.7620499999999999"/>
    <n v="0"/>
    <n v="1.3611500000000001"/>
    <n v="2.9635199999999999"/>
    <n v="298258000"/>
    <n v="0"/>
    <n v="0"/>
    <n v="0"/>
    <n v="0"/>
    <n v="4558850"/>
    <n v="148601"/>
    <n v="0"/>
    <n v="31"/>
    <x v="13"/>
    <n v="3.3855436701596342E-6"/>
    <n v="7.1421606717979433E-6"/>
  </r>
  <r>
    <n v="79.134299999999996"/>
    <n v="85.138999999999996"/>
    <n v="1.7139"/>
    <n v="0"/>
    <n v="0"/>
    <n v="2.8991799999999999"/>
    <n v="2.8991799999999999"/>
    <n v="0"/>
    <n v="0.54322400000000004"/>
    <n v="5.3222399999999999"/>
    <n v="99163200"/>
    <n v="0"/>
    <n v="0"/>
    <n v="0"/>
    <n v="0"/>
    <n v="4334210"/>
    <n v="298042"/>
    <n v="0"/>
    <n v="98.639300000000006"/>
    <n v="98.274000000000001"/>
    <n v="2.0187300000000001"/>
    <n v="0"/>
    <n v="0"/>
    <n v="1.7623200000000001"/>
    <n v="1.7623200000000001"/>
    <n v="0"/>
    <n v="1.3613599999999999"/>
    <n v="2.9635199999999999"/>
    <n v="298407000"/>
    <n v="0"/>
    <n v="0"/>
    <n v="0"/>
    <n v="0"/>
    <n v="4559550"/>
    <n v="148624"/>
    <n v="0"/>
    <n v="32"/>
    <x v="13"/>
    <n v="3.3855478316749349E-6"/>
    <n v="7.1421589327872101E-6"/>
  </r>
  <r>
    <n v="77.781999999999996"/>
    <n v="85.138999999999996"/>
    <n v="1.6765699999999999"/>
    <n v="0"/>
    <n v="0"/>
    <n v="2.9672999999999998"/>
    <n v="2.9672999999999998"/>
    <n v="0"/>
    <n v="0.54330699999999998"/>
    <n v="5.3222399999999999"/>
    <n v="99468300"/>
    <n v="0"/>
    <n v="0"/>
    <n v="0"/>
    <n v="0"/>
    <n v="4436040"/>
    <n v="305044"/>
    <n v="0"/>
    <n v="98.451400000000007"/>
    <n v="98.274000000000001"/>
    <n v="1.8632200000000001"/>
    <n v="0"/>
    <n v="0"/>
    <n v="1.80566"/>
    <n v="1.80566"/>
    <n v="0"/>
    <n v="1.3615699999999999"/>
    <n v="2.9635199999999999"/>
    <n v="298559000"/>
    <n v="0"/>
    <n v="0"/>
    <n v="0"/>
    <n v="0"/>
    <n v="4671670"/>
    <n v="152279"/>
    <n v="0"/>
    <n v="33"/>
    <x v="13"/>
    <n v="3.3855548159778626E-6"/>
    <n v="7.1421509462174077E-6"/>
  </r>
  <r>
    <n v="76.438199999999995"/>
    <n v="85.138999999999996"/>
    <n v="1.6978800000000001"/>
    <n v="0"/>
    <n v="0"/>
    <n v="2.9677500000000001"/>
    <n v="2.9677500000000001"/>
    <n v="0"/>
    <n v="0.55607200000000001"/>
    <n v="5.3222399999999999"/>
    <n v="99773400"/>
    <n v="0"/>
    <n v="0"/>
    <n v="0"/>
    <n v="0"/>
    <n v="4436720"/>
    <n v="305091"/>
    <n v="0"/>
    <n v="98.187399999999997"/>
    <n v="98.274000000000001"/>
    <n v="1.92581"/>
    <n v="0"/>
    <n v="0"/>
    <n v="1.8059400000000001"/>
    <n v="1.8059400000000001"/>
    <n v="0"/>
    <n v="1.3950499999999999"/>
    <n v="2.9635199999999999"/>
    <n v="298711000"/>
    <n v="0"/>
    <n v="0"/>
    <n v="0"/>
    <n v="0"/>
    <n v="4672390"/>
    <n v="152302"/>
    <n v="0"/>
    <n v="34"/>
    <x v="13"/>
    <n v="3.3855443835736105E-6"/>
    <n v="7.1421565609595604E-6"/>
  </r>
  <r>
    <n v="75.002499999999998"/>
    <n v="85.138999999999996"/>
    <n v="1.57528"/>
    <n v="0"/>
    <n v="0"/>
    <n v="2.96821"/>
    <n v="2.96821"/>
    <n v="0"/>
    <n v="0.55615700000000001"/>
    <n v="5.3222399999999999"/>
    <n v="100079000"/>
    <n v="0"/>
    <n v="0"/>
    <n v="0"/>
    <n v="0"/>
    <n v="4437400"/>
    <n v="305138"/>
    <n v="0"/>
    <n v="97.709000000000003"/>
    <n v="98.274000000000001"/>
    <n v="1.84226"/>
    <n v="0"/>
    <n v="0"/>
    <n v="1.8062100000000001"/>
    <n v="1.8062100000000001"/>
    <n v="0"/>
    <n v="1.39527"/>
    <n v="2.9635199999999999"/>
    <n v="298864000"/>
    <n v="0"/>
    <n v="0"/>
    <n v="0"/>
    <n v="0"/>
    <n v="4673100"/>
    <n v="152325"/>
    <n v="0"/>
    <n v="35"/>
    <x v="13"/>
    <n v="3.3855411991123018E-6"/>
    <n v="7.1421621739808742E-6"/>
  </r>
  <r>
    <n v="73.443899999999999"/>
    <n v="85.138999999999996"/>
    <n v="1.43431"/>
    <n v="0"/>
    <n v="0"/>
    <n v="2.9686599999999999"/>
    <n v="2.9686599999999999"/>
    <n v="0"/>
    <n v="0.55624200000000001"/>
    <n v="5.3222399999999999"/>
    <n v="100384000"/>
    <n v="0"/>
    <n v="0"/>
    <n v="0"/>
    <n v="0"/>
    <n v="4438070"/>
    <n v="305184"/>
    <n v="0"/>
    <n v="97.605599999999995"/>
    <n v="98.274000000000001"/>
    <n v="1.63432"/>
    <n v="0"/>
    <n v="0"/>
    <n v="1.8064899999999999"/>
    <n v="1.8064899999999999"/>
    <n v="0"/>
    <n v="1.3954800000000001"/>
    <n v="2.9635199999999999"/>
    <n v="299016000"/>
    <n v="0"/>
    <n v="0"/>
    <n v="0"/>
    <n v="0"/>
    <n v="4673820"/>
    <n v="152348"/>
    <n v="0"/>
    <n v="36"/>
    <x v="13"/>
    <n v="3.3855307719976154E-6"/>
    <n v="7.1421604754398039E-6"/>
  </r>
  <r>
    <n v="71.953999999999994"/>
    <n v="85.138999999999996"/>
    <n v="1.6586000000000001"/>
    <n v="0"/>
    <n v="0"/>
    <n v="3.1674099999999998"/>
    <n v="3.1674099999999998"/>
    <n v="0"/>
    <n v="0.55632700000000002"/>
    <n v="5.3222399999999999"/>
    <n v="100709000"/>
    <n v="0"/>
    <n v="0"/>
    <n v="0"/>
    <n v="0"/>
    <n v="4735200"/>
    <n v="325616"/>
    <n v="0"/>
    <n v="97.4024"/>
    <n v="98.274000000000001"/>
    <n v="2.2272099999999999"/>
    <n v="0"/>
    <n v="0"/>
    <n v="1.9623200000000001"/>
    <n v="1.9623200000000001"/>
    <n v="0"/>
    <n v="1.3956900000000001"/>
    <n v="2.9635199999999999"/>
    <n v="299181000"/>
    <n v="0"/>
    <n v="0"/>
    <n v="0"/>
    <n v="0"/>
    <n v="5076990"/>
    <n v="165490"/>
    <n v="0"/>
    <n v="37"/>
    <x v="13"/>
    <n v="3.3855360213326427E-6"/>
    <n v="7.1421571360233691E-6"/>
  </r>
  <r>
    <n v="70.486000000000004"/>
    <n v="85.138999999999996"/>
    <n v="1.6809700000000001"/>
    <n v="0"/>
    <n v="0"/>
    <n v="3.1678999999999999"/>
    <n v="3.1678999999999999"/>
    <n v="0"/>
    <n v="0.59357300000000002"/>
    <n v="5.3222399999999999"/>
    <n v="101035000"/>
    <n v="0"/>
    <n v="0"/>
    <n v="0"/>
    <n v="0"/>
    <n v="4735920"/>
    <n v="325666"/>
    <n v="0"/>
    <n v="97.172899999999998"/>
    <n v="98.274000000000001"/>
    <n v="2.16906"/>
    <n v="0"/>
    <n v="0"/>
    <n v="1.96262"/>
    <n v="1.96262"/>
    <n v="0"/>
    <n v="1.5160899999999999"/>
    <n v="2.9635199999999999"/>
    <n v="299347000"/>
    <n v="0"/>
    <n v="0"/>
    <n v="0"/>
    <n v="0"/>
    <n v="5077770"/>
    <n v="165516"/>
    <n v="0"/>
    <n v="38"/>
    <x v="13"/>
    <n v="3.3855477837636038E-6"/>
    <n v="7.1421678647421392E-6"/>
  </r>
  <r>
    <n v="69.082999999999998"/>
    <n v="85.138999999999996"/>
    <n v="1.51023"/>
    <n v="0.01"/>
    <n v="0"/>
    <n v="2.86598"/>
    <n v="3.16838"/>
    <n v="0"/>
    <n v="0.59366399999999997"/>
    <n v="5.3222399999999999"/>
    <n v="100952000"/>
    <n v="0"/>
    <n v="0"/>
    <n v="0"/>
    <n v="0"/>
    <n v="4284570"/>
    <n v="-82823"/>
    <n v="408539"/>
    <n v="96.867599999999996"/>
    <n v="98.274000000000001"/>
    <n v="2.0799799999999999"/>
    <n v="0"/>
    <n v="0"/>
    <n v="2.26532"/>
    <n v="1.96292"/>
    <n v="0"/>
    <n v="1.5163199999999999"/>
    <n v="2.9635199999999999"/>
    <n v="300295000"/>
    <n v="0"/>
    <n v="0"/>
    <n v="0"/>
    <n v="0"/>
    <n v="5860930"/>
    <n v="947922"/>
    <n v="0"/>
    <n v="39"/>
    <x v="13"/>
    <n v="1.6798405452420492E-5"/>
    <n v="-2.0077318371551667E-6"/>
  </r>
  <r>
    <n v="67.721299999999999"/>
    <n v="85.138999999999996"/>
    <n v="1.5248200000000001"/>
    <n v="0.01"/>
    <n v="0"/>
    <n v="2.86646"/>
    <n v="3.16886"/>
    <n v="0"/>
    <n v="0.53708500000000003"/>
    <n v="5.3222399999999999"/>
    <n v="100869000"/>
    <n v="0"/>
    <n v="0"/>
    <n v="0"/>
    <n v="0"/>
    <n v="4285290"/>
    <n v="-82773.100000000006"/>
    <n v="408539"/>
    <n v="96.662000000000006"/>
    <n v="98.274000000000001"/>
    <n v="2.2547899999999998"/>
    <n v="0"/>
    <n v="0"/>
    <n v="2.2656200000000002"/>
    <n v="1.96322"/>
    <n v="0"/>
    <n v="1.7501899999999999"/>
    <n v="2.9635199999999999"/>
    <n v="301243000"/>
    <n v="0"/>
    <n v="0"/>
    <n v="0"/>
    <n v="0"/>
    <n v="5861700"/>
    <n v="947947"/>
    <n v="0"/>
    <n v="40"/>
    <x v="13"/>
    <n v="1.6796641767746679E-5"/>
    <n v="-2.0061850704048409E-6"/>
  </r>
  <r>
    <n v="66.421999999999997"/>
    <n v="85.138999999999996"/>
    <n v="1.5807800000000001"/>
    <n v="0.02"/>
    <n v="0"/>
    <n v="2.8669500000000001"/>
    <n v="3.1693500000000001"/>
    <n v="0"/>
    <n v="0.53717499999999996"/>
    <n v="5.3222399999999999"/>
    <n v="100787000"/>
    <n v="0"/>
    <n v="0"/>
    <n v="0"/>
    <n v="0"/>
    <n v="4286020"/>
    <n v="-82723.3"/>
    <n v="408539"/>
    <n v="96.457999999999998"/>
    <n v="98.274000000000001"/>
    <n v="2.6208399999999998"/>
    <n v="0"/>
    <n v="0"/>
    <n v="2.2659199999999999"/>
    <n v="1.9635199999999999"/>
    <n v="0"/>
    <n v="1.7504200000000001"/>
    <n v="2.9635199999999999"/>
    <n v="302191000"/>
    <n v="0"/>
    <n v="0"/>
    <n v="0"/>
    <n v="0"/>
    <n v="5862480"/>
    <n v="947972"/>
    <n v="0"/>
    <n v="41"/>
    <x v="13"/>
    <n v="1.6794849898293312E-5"/>
    <n v="-2.0046365694787687E-6"/>
  </r>
  <r>
    <n v="65.336399999999998"/>
    <n v="85.138999999999996"/>
    <n v="1.6955100000000001"/>
    <n v="0.02"/>
    <n v="0"/>
    <n v="2.7707199999999998"/>
    <n v="3.0731199999999999"/>
    <n v="0"/>
    <n v="0.53726600000000002"/>
    <n v="5.3222399999999999"/>
    <n v="100694000"/>
    <n v="0"/>
    <n v="0"/>
    <n v="0"/>
    <n v="0"/>
    <n v="4142160"/>
    <n v="-92615.9"/>
    <n v="408539"/>
    <n v="96.346500000000006"/>
    <n v="98.274000000000001"/>
    <n v="2.6716000000000002"/>
    <n v="0"/>
    <n v="0"/>
    <n v="2.1717300000000002"/>
    <n v="1.8693299999999999"/>
    <n v="0"/>
    <n v="1.75065"/>
    <n v="2.9635199999999999"/>
    <n v="303131000"/>
    <n v="0"/>
    <n v="0"/>
    <n v="0"/>
    <n v="0"/>
    <n v="5618800"/>
    <n v="940029"/>
    <n v="0"/>
    <n v="42"/>
    <x v="13"/>
    <n v="1.7376394546780363E-5"/>
    <n v="-2.3223125646243052E-6"/>
  </r>
  <r>
    <n v="64.413899999999998"/>
    <n v="85.138999999999996"/>
    <n v="1.8829100000000001"/>
    <n v="0.02"/>
    <n v="0"/>
    <n v="2.7711899999999998"/>
    <n v="3.0735899999999998"/>
    <n v="0"/>
    <n v="0.51923299999999994"/>
    <n v="5.3222399999999999"/>
    <n v="100601000"/>
    <n v="0"/>
    <n v="0"/>
    <n v="0"/>
    <n v="0"/>
    <n v="4142860"/>
    <n v="-92567.6"/>
    <n v="408539"/>
    <n v="96.227099999999993"/>
    <n v="98.274000000000001"/>
    <n v="2.4156900000000001"/>
    <n v="0"/>
    <n v="0"/>
    <n v="2.1720199999999998"/>
    <n v="1.8696200000000001"/>
    <n v="0"/>
    <n v="1.67788"/>
    <n v="2.9635199999999999"/>
    <n v="304071000"/>
    <n v="0"/>
    <n v="0"/>
    <n v="0"/>
    <n v="0"/>
    <n v="5619540"/>
    <n v="940053"/>
    <n v="0"/>
    <n v="43"/>
    <x v="13"/>
    <n v="1.7374549945000041E-5"/>
    <n v="-2.3207092725197562E-6"/>
  </r>
  <r>
    <n v="64.108199999999997"/>
    <n v="85.138999999999996"/>
    <n v="2.5207999999999999"/>
    <n v="0.02"/>
    <n v="0"/>
    <n v="2.7716599999999998"/>
    <n v="3.0740599999999998"/>
    <n v="0"/>
    <n v="0.51932100000000003"/>
    <n v="5.3222399999999999"/>
    <n v="100509000"/>
    <n v="0"/>
    <n v="0"/>
    <n v="0"/>
    <n v="0"/>
    <n v="4143560"/>
    <n v="-92519.2"/>
    <n v="408539"/>
    <n v="96.298299999999998"/>
    <n v="98.274000000000001"/>
    <n v="3.1018500000000002"/>
    <n v="0"/>
    <n v="0"/>
    <n v="2.17231"/>
    <n v="1.86991"/>
    <n v="0"/>
    <n v="1.6780999999999999"/>
    <n v="2.9635199999999999"/>
    <n v="305011000"/>
    <n v="0"/>
    <n v="0"/>
    <n v="0"/>
    <n v="0"/>
    <n v="5620280"/>
    <n v="940078"/>
    <n v="0"/>
    <n v="44"/>
    <x v="13"/>
    <n v="1.737272430905069E-5"/>
    <n v="-2.3191040155062786E-6"/>
  </r>
  <r>
    <n v="64.436800000000005"/>
    <n v="85.138999999999996"/>
    <n v="3.2431399999999999"/>
    <n v="0.02"/>
    <n v="0"/>
    <n v="2.7721300000000002"/>
    <n v="3.0745300000000002"/>
    <n v="0"/>
    <n v="0.51940900000000001"/>
    <n v="5.3222399999999999"/>
    <n v="100416000"/>
    <n v="0"/>
    <n v="0"/>
    <n v="0"/>
    <n v="0"/>
    <n v="4144260"/>
    <n v="-92470.9"/>
    <n v="408539"/>
    <n v="96.86"/>
    <n v="98.274000000000001"/>
    <n v="4.6203099999999999"/>
    <n v="0"/>
    <n v="0"/>
    <n v="2.17259"/>
    <n v="1.87019"/>
    <n v="0"/>
    <n v="1.67832"/>
    <n v="2.9635199999999999"/>
    <n v="305951000"/>
    <n v="0"/>
    <n v="0"/>
    <n v="0"/>
    <n v="0"/>
    <n v="5621020"/>
    <n v="940102"/>
    <n v="0"/>
    <n v="45"/>
    <x v="13"/>
    <n v="1.7370880676131279E-5"/>
    <n v="-2.3175018069711307E-6"/>
  </r>
  <r>
    <n v="63.964500000000001"/>
    <n v="85.138999999999996"/>
    <n v="2.3795700000000002"/>
    <n v="0.02"/>
    <n v="0"/>
    <n v="2.6931699999999998"/>
    <n v="2.9955699999999998"/>
    <n v="0"/>
    <n v="0.51949699999999999"/>
    <n v="5.3222399999999999"/>
    <n v="100316000"/>
    <n v="0"/>
    <n v="0"/>
    <n v="0"/>
    <n v="0"/>
    <n v="4026210"/>
    <n v="-100589"/>
    <n v="408539"/>
    <n v="96.915300000000002"/>
    <n v="98.274000000000001"/>
    <n v="3.1188899999999999"/>
    <n v="0"/>
    <n v="0"/>
    <n v="2.0868199999999999"/>
    <n v="1.7844199999999999"/>
    <n v="0"/>
    <n v="1.67855"/>
    <n v="2.9635199999999999"/>
    <n v="306884000"/>
    <n v="0"/>
    <n v="0"/>
    <n v="0"/>
    <n v="0"/>
    <n v="5399100"/>
    <n v="932868"/>
    <n v="0"/>
    <n v="46"/>
    <x v="13"/>
    <n v="1.7945717027682978E-5"/>
    <n v="-2.5948727089255927E-6"/>
  </r>
  <r>
    <n v="62.843600000000002"/>
    <n v="85.138999999999996"/>
    <n v="1.7464"/>
    <n v="0.02"/>
    <n v="0"/>
    <n v="2.6936200000000001"/>
    <n v="2.9960200000000001"/>
    <n v="0"/>
    <n v="0.50469900000000001"/>
    <n v="5.3222399999999999"/>
    <n v="100215000"/>
    <n v="0"/>
    <n v="0"/>
    <n v="0"/>
    <n v="0"/>
    <n v="4026900"/>
    <n v="-100541"/>
    <n v="408539"/>
    <n v="96.837299999999999"/>
    <n v="98.274000000000001"/>
    <n v="2.8014199999999998"/>
    <n v="0"/>
    <n v="0"/>
    <n v="2.0870899999999999"/>
    <n v="1.7846900000000001"/>
    <n v="0"/>
    <n v="1.6122799999999999"/>
    <n v="2.9635199999999999"/>
    <n v="307817000"/>
    <n v="0"/>
    <n v="0"/>
    <n v="0"/>
    <n v="0"/>
    <n v="5399800"/>
    <n v="932891"/>
    <n v="0"/>
    <n v="47"/>
    <x v="13"/>
    <n v="1.794383304184773E-5"/>
    <n v="-2.5931900500263844E-6"/>
  </r>
  <r>
    <n v="62.2789"/>
    <n v="85.138999999999996"/>
    <n v="2.2424499999999998"/>
    <n v="0.02"/>
    <n v="0"/>
    <n v="2.69408"/>
    <n v="2.99648"/>
    <n v="0"/>
    <n v="0.50478500000000004"/>
    <n v="5.3222399999999999"/>
    <n v="100115000"/>
    <n v="0"/>
    <n v="0"/>
    <n v="0"/>
    <n v="0"/>
    <n v="4027590"/>
    <n v="-100494"/>
    <n v="408539"/>
    <n v="96.915400000000005"/>
    <n v="98.274000000000001"/>
    <n v="3.3661599999999998"/>
    <n v="0"/>
    <n v="0"/>
    <n v="2.0873599999999999"/>
    <n v="1.7849600000000001"/>
    <n v="0"/>
    <n v="1.61249"/>
    <n v="2.9635199999999999"/>
    <n v="308750000"/>
    <n v="0"/>
    <n v="0"/>
    <n v="0"/>
    <n v="0"/>
    <n v="5400510"/>
    <n v="932914"/>
    <n v="0"/>
    <n v="48"/>
    <x v="13"/>
    <n v="1.7941916321713239E-5"/>
    <n v="-2.5915337556129141E-6"/>
  </r>
  <r>
    <n v="68.328100000000006"/>
    <n v="85.138999999999996"/>
    <n v="9.0351400000000002"/>
    <n v="0.02"/>
    <n v="0"/>
    <n v="2.6945399999999999"/>
    <n v="2.9969399999999999"/>
    <n v="0"/>
    <n v="0.50487099999999996"/>
    <n v="5.3222399999999999"/>
    <n v="100014000"/>
    <n v="0"/>
    <n v="0"/>
    <n v="0"/>
    <n v="0"/>
    <n v="4028270"/>
    <n v="-100447"/>
    <n v="408539"/>
    <n v="97.766000000000005"/>
    <n v="98.274000000000001"/>
    <n v="5.9149599999999998"/>
    <n v="0"/>
    <n v="0"/>
    <n v="2.0876399999999999"/>
    <n v="1.7852399999999999"/>
    <n v="0"/>
    <n v="1.6127"/>
    <n v="2.9635199999999999"/>
    <n v="309683000"/>
    <n v="0"/>
    <n v="0"/>
    <n v="0"/>
    <n v="0"/>
    <n v="5401220"/>
    <n v="932937"/>
    <n v="0"/>
    <n v="49"/>
    <x v="13"/>
    <n v="1.7940000105491307E-5"/>
    <n v="-2.5898844578657302E-6"/>
  </r>
  <r>
    <n v="70.661900000000003"/>
    <n v="85.138999999999996"/>
    <n v="5.1666499999999997"/>
    <n v="0.02"/>
    <n v="0"/>
    <n v="2.4692599999999998"/>
    <n v="2.7716599999999998"/>
    <n v="0"/>
    <n v="0.50495699999999999"/>
    <n v="5.3222399999999999"/>
    <n v="99890800"/>
    <n v="0"/>
    <n v="0"/>
    <n v="0"/>
    <n v="0"/>
    <n v="3691480"/>
    <n v="-123606"/>
    <n v="408539"/>
    <n v="98.218500000000006"/>
    <n v="98.274000000000001"/>
    <n v="4.5514000000000001"/>
    <n v="0"/>
    <n v="0"/>
    <n v="1.90856"/>
    <n v="1.60616"/>
    <n v="0"/>
    <n v="1.6129100000000001"/>
    <n v="2.9635199999999999"/>
    <n v="310600000"/>
    <n v="0"/>
    <n v="0"/>
    <n v="0"/>
    <n v="0"/>
    <n v="4937910"/>
    <n v="917835"/>
    <n v="0"/>
    <n v="50"/>
    <x v="13"/>
    <n v="1.9305605867409091E-5"/>
    <n v="-3.4777713359380944E-6"/>
  </r>
  <r>
    <n v="74.450500000000005"/>
    <n v="85.138999999999996"/>
    <n v="6.6230099999999998"/>
    <n v="0.01"/>
    <n v="0"/>
    <n v="2.4696899999999999"/>
    <n v="2.7720899999999999"/>
    <n v="0"/>
    <n v="0.46273999999999998"/>
    <n v="5.3222399999999999"/>
    <n v="99767200"/>
    <n v="0"/>
    <n v="0"/>
    <n v="0"/>
    <n v="0"/>
    <n v="3692120"/>
    <n v="-123563"/>
    <n v="408539"/>
    <n v="98.675299999999993"/>
    <n v="98.274000000000001"/>
    <n v="4.3304200000000002"/>
    <n v="0"/>
    <n v="0"/>
    <n v="1.9088099999999999"/>
    <n v="1.6064099999999999"/>
    <n v="0"/>
    <n v="1.4745600000000001"/>
    <n v="2.9635199999999999"/>
    <n v="311518000"/>
    <n v="0"/>
    <n v="0"/>
    <n v="0"/>
    <n v="0"/>
    <n v="4938540"/>
    <n v="917856"/>
    <n v="0"/>
    <n v="51"/>
    <x v="13"/>
    <n v="1.930358474314363E-5"/>
    <n v="-3.4759588557755067E-6"/>
  </r>
  <r>
    <n v="81.144900000000007"/>
    <n v="85.138999999999996"/>
    <n v="10.060499999999999"/>
    <n v="0"/>
    <n v="0"/>
    <n v="2.77251"/>
    <n v="2.77251"/>
    <n v="0"/>
    <n v="0.46281899999999998"/>
    <n v="5.3222399999999999"/>
    <n v="100052000"/>
    <n v="0"/>
    <n v="0"/>
    <n v="0"/>
    <n v="0"/>
    <n v="4144830"/>
    <n v="285019"/>
    <n v="0"/>
    <n v="99.302199999999999"/>
    <n v="98.274000000000001"/>
    <n v="6.2817100000000003"/>
    <n v="0"/>
    <n v="0"/>
    <n v="1.6066499999999999"/>
    <n v="1.6066499999999999"/>
    <n v="0"/>
    <n v="1.47475"/>
    <n v="2.9635199999999999"/>
    <n v="311654000"/>
    <n v="0"/>
    <n v="0"/>
    <n v="0"/>
    <n v="0"/>
    <n v="4156800"/>
    <n v="135496"/>
    <n v="0"/>
    <n v="52"/>
    <x v="13"/>
    <n v="3.3855508106051334E-6"/>
    <n v="7.1421518626863517E-6"/>
  </r>
  <r>
    <n v="85.138999999999996"/>
    <n v="85.138999999999996"/>
    <n v="8.6910000000000007"/>
    <n v="0"/>
    <n v="0"/>
    <n v="2.7729300000000001"/>
    <n v="2.7729300000000001"/>
    <n v="0"/>
    <n v="0.51956800000000003"/>
    <n v="5.3222399999999999"/>
    <n v="100337000"/>
    <n v="0"/>
    <n v="0"/>
    <n v="0"/>
    <n v="0"/>
    <n v="4145470"/>
    <n v="285063"/>
    <n v="0"/>
    <n v="99.302199999999999"/>
    <n v="98.274000000000001"/>
    <n v="7.8507300000000004"/>
    <n v="0"/>
    <n v="0"/>
    <n v="1.6069"/>
    <n v="1.6069"/>
    <n v="0"/>
    <n v="1.2413000000000001"/>
    <n v="2.9635199999999999"/>
    <n v="311789000"/>
    <n v="0"/>
    <n v="0"/>
    <n v="0"/>
    <n v="0"/>
    <n v="4157430"/>
    <n v="135516"/>
    <n v="0"/>
    <n v="1"/>
    <x v="14"/>
    <n v="1.6719678468301284E-6"/>
    <n v="3.5271941664037837E-6"/>
  </r>
  <r>
    <n v="85.138999999999996"/>
    <n v="85.138999999999996"/>
    <n v="9.0475300000000001"/>
    <n v="0"/>
    <n v="0"/>
    <n v="2.7733599999999998"/>
    <n v="2.7733599999999998"/>
    <n v="0"/>
    <n v="0.519648"/>
    <n v="5.3222399999999999"/>
    <n v="100622000"/>
    <n v="0"/>
    <n v="0"/>
    <n v="0"/>
    <n v="0"/>
    <n v="4146100"/>
    <n v="285107"/>
    <n v="0"/>
    <n v="99.302199999999999"/>
    <n v="98.274000000000001"/>
    <n v="5.7983399999999996"/>
    <n v="0"/>
    <n v="0"/>
    <n v="1.6071500000000001"/>
    <n v="1.6071500000000001"/>
    <n v="0"/>
    <n v="1.24149"/>
    <n v="2.9635199999999999"/>
    <n v="311925000"/>
    <n v="0"/>
    <n v="0"/>
    <n v="0"/>
    <n v="0"/>
    <n v="4158070"/>
    <n v="135537"/>
    <n v="0"/>
    <n v="2"/>
    <x v="14"/>
    <n v="1.6719695553092225E-6"/>
    <n v="3.5272025553622497E-6"/>
  </r>
  <r>
    <n v="85.138999999999996"/>
    <n v="85.138999999999996"/>
    <n v="7.8916500000000003"/>
    <n v="0"/>
    <n v="0"/>
    <n v="2.8606699999999998"/>
    <n v="2.8606699999999998"/>
    <n v="0"/>
    <n v="0.51972700000000005"/>
    <n v="5.3222399999999999"/>
    <n v="100917000"/>
    <n v="0"/>
    <n v="0"/>
    <n v="0"/>
    <n v="29016000"/>
    <n v="4276630"/>
    <n v="294082"/>
    <n v="0"/>
    <n v="99.302199999999999"/>
    <n v="98.274000000000001"/>
    <n v="7.8115500000000004"/>
    <n v="0"/>
    <n v="0"/>
    <n v="1.6593599999999999"/>
    <n v="1.6593599999999999"/>
    <n v="0"/>
    <n v="1.2416799999999999"/>
    <n v="2.9635199999999999"/>
    <n v="312065000"/>
    <n v="0"/>
    <n v="0"/>
    <n v="0"/>
    <n v="7883220"/>
    <n v="4293160"/>
    <n v="139940"/>
    <n v="0"/>
    <n v="3"/>
    <x v="14"/>
    <n v="9.585850943181111E-5"/>
    <n v="3.5154234717505866E-4"/>
  </r>
  <r>
    <n v="85.138999999999996"/>
    <n v="85.138999999999996"/>
    <n v="5.6376799999999996"/>
    <n v="0"/>
    <n v="0"/>
    <n v="2.8610899999999999"/>
    <n v="2.8610899999999999"/>
    <n v="0"/>
    <n v="0.53608900000000004"/>
    <n v="5.3222399999999999"/>
    <n v="101211000"/>
    <n v="0"/>
    <n v="0"/>
    <n v="0"/>
    <n v="0"/>
    <n v="4277250"/>
    <n v="294125"/>
    <n v="0"/>
    <n v="99.302199999999999"/>
    <n v="98.274000000000001"/>
    <n v="6.1955499999999999"/>
    <n v="0"/>
    <n v="0"/>
    <n v="1.6596"/>
    <n v="1.6596"/>
    <n v="0"/>
    <n v="1.2820199999999999"/>
    <n v="2.9635199999999999"/>
    <n v="312205000"/>
    <n v="0"/>
    <n v="0"/>
    <n v="0"/>
    <n v="0"/>
    <n v="4293790"/>
    <n v="139961"/>
    <n v="0"/>
    <n v="4"/>
    <x v="14"/>
    <n v="1.6719701874755112E-6"/>
    <n v="3.5271960380689681E-6"/>
  </r>
  <r>
    <n v="85.138999999999996"/>
    <n v="85.138999999999996"/>
    <n v="10.02"/>
    <n v="0"/>
    <n v="0"/>
    <n v="2.86151"/>
    <n v="2.86151"/>
    <n v="0"/>
    <n v="0.53616799999999998"/>
    <n v="5.3222399999999999"/>
    <n v="101505000"/>
    <n v="0"/>
    <n v="0"/>
    <n v="0"/>
    <n v="0"/>
    <n v="4277880"/>
    <n v="294168"/>
    <n v="0"/>
    <n v="99.302199999999999"/>
    <n v="98.274000000000001"/>
    <n v="13.8118"/>
    <n v="0"/>
    <n v="0"/>
    <n v="1.65985"/>
    <n v="1.65985"/>
    <n v="0"/>
    <n v="1.2822100000000001"/>
    <n v="2.9635199999999999"/>
    <n v="312345000"/>
    <n v="0"/>
    <n v="0"/>
    <n v="0"/>
    <n v="0"/>
    <n v="4294420"/>
    <n v="139981"/>
    <n v="0"/>
    <n v="5"/>
    <x v="14"/>
    <n v="1.671963790496269E-6"/>
    <n v="3.5271921779294643E-6"/>
  </r>
  <r>
    <n v="85.138999999999996"/>
    <n v="85.138999999999996"/>
    <n v="6.8671699999999998"/>
    <n v="0"/>
    <n v="0"/>
    <n v="2.86192"/>
    <n v="2.86192"/>
    <n v="0"/>
    <n v="0.536246"/>
    <n v="5.3222399999999999"/>
    <n v="101799000"/>
    <n v="0"/>
    <n v="0"/>
    <n v="0"/>
    <n v="0"/>
    <n v="4278500"/>
    <n v="294211"/>
    <n v="0"/>
    <n v="99.302199999999999"/>
    <n v="98.274000000000001"/>
    <n v="10.264699999999999"/>
    <n v="0"/>
    <n v="0"/>
    <n v="1.6600900000000001"/>
    <n v="1.6600900000000001"/>
    <n v="0"/>
    <n v="1.2824"/>
    <n v="2.9635199999999999"/>
    <n v="312485000"/>
    <n v="0"/>
    <n v="0"/>
    <n v="0"/>
    <n v="0"/>
    <n v="4295040"/>
    <n v="140002"/>
    <n v="0"/>
    <n v="6"/>
    <x v="14"/>
    <n v="1.6719732306522468E-6"/>
    <n v="3.527196562910202E-6"/>
  </r>
  <r>
    <n v="85.138999999999996"/>
    <n v="85.138999999999996"/>
    <n v="5.1924799999999998"/>
    <n v="0"/>
    <n v="0"/>
    <n v="3.1415299999999999"/>
    <n v="3.1415299999999999"/>
    <n v="0"/>
    <n v="0.53632500000000005"/>
    <n v="5.3222399999999999"/>
    <n v="102122000"/>
    <n v="0"/>
    <n v="0"/>
    <n v="0"/>
    <n v="0"/>
    <n v="4696510"/>
    <n v="322955"/>
    <n v="0"/>
    <n v="99.302199999999999"/>
    <n v="98.274000000000001"/>
    <n v="6.6310900000000004"/>
    <n v="0"/>
    <n v="0"/>
    <n v="1.85555"/>
    <n v="1.85555"/>
    <n v="0"/>
    <n v="1.2825800000000001"/>
    <n v="2.9635199999999999"/>
    <n v="312641000"/>
    <n v="0"/>
    <n v="0"/>
    <n v="0"/>
    <n v="0"/>
    <n v="4800750"/>
    <n v="156486"/>
    <n v="0"/>
    <n v="7"/>
    <x v="14"/>
    <n v="1.6719708125254944E-6"/>
    <n v="3.5271916206508351E-6"/>
  </r>
  <r>
    <n v="85.138999999999996"/>
    <n v="85.138999999999996"/>
    <n v="6.3659999999999997"/>
    <n v="0"/>
    <n v="0"/>
    <n v="3.1419899999999998"/>
    <n v="3.1419899999999998"/>
    <n v="0"/>
    <n v="0.588723"/>
    <n v="5.3222399999999999"/>
    <n v="102445000"/>
    <n v="0"/>
    <n v="0"/>
    <n v="0"/>
    <n v="0"/>
    <n v="4697190"/>
    <n v="323003"/>
    <n v="0"/>
    <n v="99.302199999999999"/>
    <n v="98.274000000000001"/>
    <n v="8.2821200000000008"/>
    <n v="0"/>
    <n v="0"/>
    <n v="1.85582"/>
    <n v="1.85582"/>
    <n v="0"/>
    <n v="1.4336"/>
    <n v="2.9635199999999999"/>
    <n v="312798000"/>
    <n v="0"/>
    <n v="0"/>
    <n v="0"/>
    <n v="0"/>
    <n v="4801450"/>
    <n v="156509"/>
    <n v="0"/>
    <n v="8"/>
    <x v="14"/>
    <n v="1.671972764189913E-6"/>
    <n v="3.5272051601210266E-6"/>
  </r>
  <r>
    <n v="85.138999999999996"/>
    <n v="85.138999999999996"/>
    <n v="6.7926599999999997"/>
    <n v="0"/>
    <n v="0"/>
    <n v="3.1424500000000002"/>
    <n v="3.1424500000000002"/>
    <n v="0"/>
    <n v="0.58880900000000003"/>
    <n v="5.3222399999999999"/>
    <n v="102768000"/>
    <n v="0"/>
    <n v="0"/>
    <n v="0"/>
    <n v="0"/>
    <n v="4697880"/>
    <n v="323050"/>
    <n v="0"/>
    <n v="99.302199999999999"/>
    <n v="98.274000000000001"/>
    <n v="9.9942299999999999"/>
    <n v="0"/>
    <n v="0"/>
    <n v="1.85609"/>
    <n v="1.85609"/>
    <n v="0"/>
    <n v="1.43381"/>
    <n v="2.9635199999999999"/>
    <n v="312954000"/>
    <n v="0"/>
    <n v="0"/>
    <n v="0"/>
    <n v="0"/>
    <n v="4802160"/>
    <n v="156532"/>
    <n v="0"/>
    <n v="9"/>
    <x v="14"/>
    <n v="1.6719712335714652E-6"/>
    <n v="3.5272002691298611E-6"/>
  </r>
  <r>
    <n v="85.138999999999996"/>
    <n v="85.138999999999996"/>
    <n v="4.7095599999999997"/>
    <n v="0"/>
    <n v="0"/>
    <n v="3.1429100000000001"/>
    <n v="3.1429100000000001"/>
    <n v="0"/>
    <n v="0.58889499999999995"/>
    <n v="5.3222399999999999"/>
    <n v="103091000"/>
    <n v="0"/>
    <n v="0"/>
    <n v="0"/>
    <n v="0"/>
    <n v="4698570"/>
    <n v="323097"/>
    <n v="0"/>
    <n v="99.302199999999999"/>
    <n v="98.274000000000001"/>
    <n v="5.1453800000000003"/>
    <n v="0"/>
    <n v="0"/>
    <n v="1.85636"/>
    <n v="1.85636"/>
    <n v="0"/>
    <n v="1.4340200000000001"/>
    <n v="2.9635199999999999"/>
    <n v="313111000"/>
    <n v="0"/>
    <n v="0"/>
    <n v="0"/>
    <n v="0"/>
    <n v="4802860"/>
    <n v="156555"/>
    <n v="0"/>
    <n v="10"/>
    <x v="14"/>
    <n v="1.6719731846015577E-6"/>
    <n v="3.5271953795752101E-6"/>
  </r>
  <r>
    <n v="85.138999999999996"/>
    <n v="85.138999999999996"/>
    <n v="6.1656700000000004"/>
    <n v="0"/>
    <n v="0"/>
    <n v="2.7449300000000001"/>
    <n v="2.7449300000000001"/>
    <n v="0"/>
    <n v="0.58898099999999998"/>
    <n v="5.3222399999999999"/>
    <n v="103373000"/>
    <n v="0"/>
    <n v="0"/>
    <n v="0"/>
    <n v="0"/>
    <n v="4103590"/>
    <n v="282184"/>
    <n v="0"/>
    <n v="99.302199999999999"/>
    <n v="98.274000000000001"/>
    <n v="9.0819100000000006"/>
    <n v="0"/>
    <n v="0"/>
    <n v="1.5945"/>
    <n v="1.5945"/>
    <n v="0"/>
    <n v="1.4342299999999999"/>
    <n v="2.9635199999999999"/>
    <n v="313245000"/>
    <n v="0"/>
    <n v="0"/>
    <n v="0"/>
    <n v="0"/>
    <n v="4125340"/>
    <n v="134470"/>
    <n v="0"/>
    <n v="11"/>
    <x v="14"/>
    <n v="1.6719679564703892E-6"/>
    <n v="3.5272051127269438E-6"/>
  </r>
  <r>
    <n v="85.138999999999996"/>
    <n v="85.138999999999996"/>
    <n v="7.9927200000000003"/>
    <n v="0"/>
    <n v="0"/>
    <n v="2.74533"/>
    <n v="2.74533"/>
    <n v="0"/>
    <n v="0.51439900000000005"/>
    <n v="5.3222399999999999"/>
    <n v="103656000"/>
    <n v="0"/>
    <n v="0"/>
    <n v="0"/>
    <n v="0"/>
    <n v="4104190"/>
    <n v="282225"/>
    <n v="0"/>
    <n v="99.302199999999999"/>
    <n v="98.274000000000001"/>
    <n v="8.5998800000000006"/>
    <n v="0"/>
    <n v="0"/>
    <n v="1.59473"/>
    <n v="1.59473"/>
    <n v="0"/>
    <n v="1.2319100000000001"/>
    <n v="2.9635199999999999"/>
    <n v="313380000"/>
    <n v="0"/>
    <n v="0"/>
    <n v="0"/>
    <n v="0"/>
    <n v="4125940"/>
    <n v="134490"/>
    <n v="0"/>
    <n v="12"/>
    <x v="14"/>
    <n v="1.6719734556120709E-6"/>
    <n v="3.5272018746294184E-6"/>
  </r>
  <r>
    <n v="85.138999999999996"/>
    <n v="85.138999999999996"/>
    <n v="11.641"/>
    <n v="0"/>
    <n v="0"/>
    <n v="2.74573"/>
    <n v="2.74573"/>
    <n v="0"/>
    <n v="0.51447399999999999"/>
    <n v="5.3222399999999999"/>
    <n v="103938000"/>
    <n v="0"/>
    <n v="0"/>
    <n v="0"/>
    <n v="0"/>
    <n v="4104790"/>
    <n v="282266"/>
    <n v="0"/>
    <n v="99.302199999999999"/>
    <n v="98.274000000000001"/>
    <n v="18.7699"/>
    <n v="0"/>
    <n v="0"/>
    <n v="1.5949599999999999"/>
    <n v="1.5949599999999999"/>
    <n v="0"/>
    <n v="1.2320899999999999"/>
    <n v="2.9635199999999999"/>
    <n v="313514000"/>
    <n v="0"/>
    <n v="0"/>
    <n v="0"/>
    <n v="0"/>
    <n v="4126550"/>
    <n v="134510"/>
    <n v="0"/>
    <n v="13"/>
    <x v="14"/>
    <n v="1.6719749013947683E-6"/>
    <n v="3.5271986374785219E-6"/>
  </r>
  <r>
    <n v="85.138999999999996"/>
    <n v="85.138999999999996"/>
    <n v="13.4206"/>
    <n v="0"/>
    <n v="0"/>
    <n v="2.74613"/>
    <n v="2.74613"/>
    <n v="0"/>
    <n v="0.51454900000000003"/>
    <n v="5.3222399999999999"/>
    <n v="104220000"/>
    <n v="0"/>
    <n v="0"/>
    <n v="0"/>
    <n v="0"/>
    <n v="4105390"/>
    <n v="282307"/>
    <n v="0"/>
    <n v="99.302199999999999"/>
    <n v="98.274000000000001"/>
    <n v="15.4191"/>
    <n v="0"/>
    <n v="0"/>
    <n v="1.5952"/>
    <n v="1.5952"/>
    <n v="0"/>
    <n v="1.23227"/>
    <n v="2.9635199999999999"/>
    <n v="313649000"/>
    <n v="0"/>
    <n v="0"/>
    <n v="0"/>
    <n v="0"/>
    <n v="4127150"/>
    <n v="134529"/>
    <n v="0"/>
    <n v="14"/>
    <x v="14"/>
    <n v="1.6719679696056523E-6"/>
    <n v="3.5271954012738411E-6"/>
  </r>
  <r>
    <n v="85.138999999999996"/>
    <n v="85.138999999999996"/>
    <n v="7.7368399999999999"/>
    <n v="0"/>
    <n v="0"/>
    <n v="2.7465299999999999"/>
    <n v="2.7465299999999999"/>
    <n v="0"/>
    <n v="0.514625"/>
    <n v="5.3222399999999999"/>
    <n v="104502000"/>
    <n v="0"/>
    <n v="0"/>
    <n v="0"/>
    <n v="0"/>
    <n v="4105990"/>
    <n v="282349"/>
    <n v="0"/>
    <n v="99.302199999999999"/>
    <n v="98.274000000000001"/>
    <n v="7.7473299999999998"/>
    <n v="0"/>
    <n v="0"/>
    <n v="1.5954299999999999"/>
    <n v="1.5954299999999999"/>
    <n v="0"/>
    <n v="1.23245"/>
    <n v="2.9635199999999999"/>
    <n v="313783000"/>
    <n v="0"/>
    <n v="0"/>
    <n v="0"/>
    <n v="0"/>
    <n v="4127750"/>
    <n v="134549"/>
    <n v="0"/>
    <n v="15"/>
    <x v="14"/>
    <n v="1.6719734663340759E-6"/>
    <n v="3.527204658372498E-6"/>
  </r>
  <r>
    <n v="85.138999999999996"/>
    <n v="85.138999999999996"/>
    <n v="6.3487799999999996"/>
    <n v="0"/>
    <n v="0"/>
    <n v="2.8473000000000002"/>
    <n v="2.8473000000000002"/>
    <n v="0"/>
    <n v="0.51470000000000005"/>
    <n v="5.3222399999999999"/>
    <n v="104795000"/>
    <n v="0"/>
    <n v="0"/>
    <n v="0"/>
    <n v="0"/>
    <n v="4256640"/>
    <n v="292708"/>
    <n v="0"/>
    <n v="99.302199999999999"/>
    <n v="98.274000000000001"/>
    <n v="11.0632"/>
    <n v="0"/>
    <n v="0"/>
    <n v="1.65984"/>
    <n v="1.65984"/>
    <n v="0"/>
    <n v="1.2326299999999999"/>
    <n v="2.9635199999999999"/>
    <n v="313923000"/>
    <n v="0"/>
    <n v="0"/>
    <n v="0"/>
    <n v="0"/>
    <n v="4294400"/>
    <n v="139981"/>
    <n v="0"/>
    <n v="16"/>
    <x v="14"/>
    <n v="1.671971577212879E-6"/>
    <n v="3.527199004669752E-6"/>
  </r>
  <r>
    <n v="85.138999999999996"/>
    <n v="85.138999999999996"/>
    <n v="4.4821099999999996"/>
    <n v="0"/>
    <n v="0"/>
    <n v="2.8477199999999998"/>
    <n v="2.8477199999999998"/>
    <n v="0"/>
    <n v="0.53358399999999995"/>
    <n v="5.3222399999999999"/>
    <n v="105088000"/>
    <n v="0"/>
    <n v="0"/>
    <n v="0"/>
    <n v="0"/>
    <n v="4257260"/>
    <n v="292751"/>
    <n v="0"/>
    <n v="99.302199999999999"/>
    <n v="98.274000000000001"/>
    <n v="7.3710599999999999"/>
    <n v="0"/>
    <n v="0"/>
    <n v="1.66008"/>
    <n v="1.66008"/>
    <n v="0"/>
    <n v="1.2823899999999999"/>
    <n v="2.9635199999999999"/>
    <n v="314063000"/>
    <n v="0"/>
    <n v="0"/>
    <n v="0"/>
    <n v="0"/>
    <n v="4295020"/>
    <n v="140001"/>
    <n v="0"/>
    <n v="17"/>
    <x v="14"/>
    <n v="1.6719690737378409E-6"/>
    <n v="3.5272034105335022E-6"/>
  </r>
  <r>
    <n v="85.138999999999996"/>
    <n v="85.138999999999996"/>
    <n v="4.0212300000000001"/>
    <n v="0"/>
    <n v="0"/>
    <n v="2.8481299999999998"/>
    <n v="2.8481299999999998"/>
    <n v="0"/>
    <n v="0.53366199999999997"/>
    <n v="5.3222399999999999"/>
    <n v="105381000"/>
    <n v="0"/>
    <n v="0"/>
    <n v="0"/>
    <n v="0"/>
    <n v="4257890"/>
    <n v="292794"/>
    <n v="0"/>
    <n v="99.302199999999999"/>
    <n v="98.274000000000001"/>
    <n v="6.3941400000000002"/>
    <n v="0"/>
    <n v="0"/>
    <n v="1.66032"/>
    <n v="1.66032"/>
    <n v="0"/>
    <n v="1.2825800000000001"/>
    <n v="2.9635199999999999"/>
    <n v="314203000"/>
    <n v="0"/>
    <n v="0"/>
    <n v="0"/>
    <n v="0"/>
    <n v="4295650"/>
    <n v="140022"/>
    <n v="0"/>
    <n v="18"/>
    <x v="14"/>
    <n v="1.6719746195530687E-6"/>
    <n v="3.5271995311805281E-6"/>
  </r>
  <r>
    <n v="85.138999999999996"/>
    <n v="85.138999999999996"/>
    <n v="3.6902400000000002"/>
    <n v="0"/>
    <n v="0"/>
    <n v="2.8485499999999999"/>
    <n v="2.8485499999999999"/>
    <n v="0"/>
    <n v="0.53373999999999999"/>
    <n v="5.3222399999999999"/>
    <n v="105674000"/>
    <n v="0"/>
    <n v="0"/>
    <n v="0"/>
    <n v="0"/>
    <n v="4258510"/>
    <n v="292836"/>
    <n v="0"/>
    <n v="99.302199999999999"/>
    <n v="98.274000000000001"/>
    <n v="7.1523500000000002"/>
    <n v="0"/>
    <n v="0"/>
    <n v="1.6605700000000001"/>
    <n v="1.6605700000000001"/>
    <n v="0"/>
    <n v="1.28277"/>
    <n v="2.9635199999999999"/>
    <n v="314343000"/>
    <n v="0"/>
    <n v="0"/>
    <n v="0"/>
    <n v="0"/>
    <n v="4296280"/>
    <n v="140042"/>
    <n v="0"/>
    <n v="19"/>
    <x v="14"/>
    <n v="1.6719682246933748E-6"/>
    <n v="3.5271918907349132E-6"/>
  </r>
  <r>
    <n v="85.138999999999996"/>
    <n v="85.138999999999996"/>
    <n v="4.2060500000000003"/>
    <n v="0"/>
    <n v="0"/>
    <n v="2.8096999999999999"/>
    <n v="2.8096999999999999"/>
    <n v="0"/>
    <n v="0.53381800000000001"/>
    <n v="5.3222399999999999"/>
    <n v="105962000"/>
    <n v="0"/>
    <n v="0"/>
    <n v="0"/>
    <n v="0"/>
    <n v="4200430"/>
    <n v="288843"/>
    <n v="0"/>
    <n v="99.302199999999999"/>
    <n v="98.274000000000001"/>
    <n v="6.8044700000000002"/>
    <n v="0"/>
    <n v="0"/>
    <n v="1.6358699999999999"/>
    <n v="1.6358699999999999"/>
    <n v="0"/>
    <n v="1.28295"/>
    <n v="2.9635199999999999"/>
    <n v="314481000"/>
    <n v="0"/>
    <n v="0"/>
    <n v="0"/>
    <n v="0"/>
    <n v="4232380"/>
    <n v="137959"/>
    <n v="0"/>
    <n v="20"/>
    <x v="14"/>
    <n v="1.6719669060998619E-6"/>
    <n v="3.527202456076362E-6"/>
  </r>
  <r>
    <n v="85.138999999999996"/>
    <n v="85.138999999999996"/>
    <n v="3.6603300000000001"/>
    <n v="0"/>
    <n v="0"/>
    <n v="2.8101099999999999"/>
    <n v="2.8101099999999999"/>
    <n v="0"/>
    <n v="0.52653799999999995"/>
    <n v="5.3222399999999999"/>
    <n v="106251000"/>
    <n v="0"/>
    <n v="0"/>
    <n v="0"/>
    <n v="0"/>
    <n v="4201040"/>
    <n v="288885"/>
    <n v="0"/>
    <n v="99.302199999999999"/>
    <n v="98.274000000000001"/>
    <n v="6.7343999999999999"/>
    <n v="0"/>
    <n v="0"/>
    <n v="1.63611"/>
    <n v="1.63611"/>
    <n v="0"/>
    <n v="1.26387"/>
    <n v="2.9635199999999999"/>
    <n v="314619000"/>
    <n v="0"/>
    <n v="0"/>
    <n v="0"/>
    <n v="0"/>
    <n v="4233000"/>
    <n v="137980"/>
    <n v="0"/>
    <n v="21"/>
    <x v="14"/>
    <n v="1.6719764841569976E-6"/>
    <n v="3.5272031067002717E-6"/>
  </r>
  <r>
    <n v="85.138999999999996"/>
    <n v="85.138999999999996"/>
    <n v="3.39215"/>
    <n v="0"/>
    <n v="0"/>
    <n v="2.8105199999999999"/>
    <n v="2.8105199999999999"/>
    <n v="0"/>
    <n v="0.52661500000000006"/>
    <n v="5.3222399999999999"/>
    <n v="106540000"/>
    <n v="0"/>
    <n v="0"/>
    <n v="0"/>
    <n v="0"/>
    <n v="4201660"/>
    <n v="288927"/>
    <n v="0"/>
    <n v="99.302199999999999"/>
    <n v="98.274000000000001"/>
    <n v="5.3579499999999998"/>
    <n v="0"/>
    <n v="0"/>
    <n v="1.63635"/>
    <n v="1.63635"/>
    <n v="0"/>
    <n v="1.26406"/>
    <n v="2.9635199999999999"/>
    <n v="314757000"/>
    <n v="0"/>
    <n v="0"/>
    <n v="0"/>
    <n v="0"/>
    <n v="4233620"/>
    <n v="138000"/>
    <n v="0"/>
    <n v="22"/>
    <x v="14"/>
    <n v="1.6719739436555678E-6"/>
    <n v="3.5271953623490214E-6"/>
  </r>
  <r>
    <n v="84.934200000000004"/>
    <n v="85.138999999999996"/>
    <n v="2.9455200000000001"/>
    <n v="0"/>
    <n v="0"/>
    <n v="2.8109299999999999"/>
    <n v="2.8109299999999999"/>
    <n v="0"/>
    <n v="0.52669200000000005"/>
    <n v="5.3222399999999999"/>
    <n v="106829000"/>
    <n v="0"/>
    <n v="0"/>
    <n v="0"/>
    <n v="0"/>
    <n v="4202270"/>
    <n v="288969"/>
    <n v="0"/>
    <n v="99.302199999999999"/>
    <n v="98.274000000000001"/>
    <n v="4.9493"/>
    <n v="0"/>
    <n v="0"/>
    <n v="1.63659"/>
    <n v="1.63659"/>
    <n v="0"/>
    <n v="1.26424"/>
    <n v="2.9635199999999999"/>
    <n v="314895000"/>
    <n v="0"/>
    <n v="0"/>
    <n v="0"/>
    <n v="0"/>
    <n v="4234240"/>
    <n v="138020"/>
    <n v="0"/>
    <n v="23"/>
    <x v="14"/>
    <n v="1.6719714038981251E-6"/>
    <n v="3.5271960138122166E-6"/>
  </r>
  <r>
    <n v="84.671199999999999"/>
    <n v="85.138999999999996"/>
    <n v="2.9822199999999999"/>
    <n v="0"/>
    <n v="0"/>
    <n v="2.9447100000000002"/>
    <n v="2.9447100000000002"/>
    <n v="0"/>
    <n v="0.52676900000000004"/>
    <n v="5.3222399999999999"/>
    <n v="107132000"/>
    <n v="0"/>
    <n v="0"/>
    <n v="0"/>
    <n v="0"/>
    <n v="4402260"/>
    <n v="302721"/>
    <n v="0"/>
    <n v="99.302199999999999"/>
    <n v="98.274000000000001"/>
    <n v="5.3092699999999997"/>
    <n v="0"/>
    <n v="0"/>
    <n v="1.72532"/>
    <n v="1.72532"/>
    <n v="0"/>
    <n v="1.2644299999999999"/>
    <n v="2.9635199999999999"/>
    <n v="315041000"/>
    <n v="0"/>
    <n v="0"/>
    <n v="0"/>
    <n v="0"/>
    <n v="4463820"/>
    <n v="145503"/>
    <n v="0"/>
    <n v="24"/>
    <x v="14"/>
    <n v="1.6719664819071563E-6"/>
    <n v="3.5271924279643962E-6"/>
  </r>
  <r>
    <n v="84.3566"/>
    <n v="85.138999999999996"/>
    <n v="2.9070299999999998"/>
    <n v="0"/>
    <n v="0"/>
    <n v="2.9451399999999999"/>
    <n v="2.9451399999999999"/>
    <n v="0"/>
    <n v="0.55183800000000005"/>
    <n v="5.3222399999999999"/>
    <n v="107435000"/>
    <n v="0"/>
    <n v="0"/>
    <n v="0"/>
    <n v="0"/>
    <n v="4402900"/>
    <n v="302766"/>
    <n v="0"/>
    <n v="99.302199999999999"/>
    <n v="98.274000000000001"/>
    <n v="4.72593"/>
    <n v="0"/>
    <n v="0"/>
    <n v="1.72557"/>
    <n v="1.72557"/>
    <n v="0"/>
    <n v="1.3329800000000001"/>
    <n v="2.9635199999999999"/>
    <n v="315186000"/>
    <n v="0"/>
    <n v="0"/>
    <n v="0"/>
    <n v="0"/>
    <n v="4464470"/>
    <n v="145525"/>
    <n v="0"/>
    <n v="25"/>
    <x v="14"/>
    <n v="1.6719758175459946E-6"/>
    <n v="3.5272039667517312E-6"/>
  </r>
  <r>
    <n v="83.796199999999999"/>
    <n v="85.138999999999996"/>
    <n v="2.64994"/>
    <n v="0"/>
    <n v="0"/>
    <n v="2.94557"/>
    <n v="2.94557"/>
    <n v="0"/>
    <n v="0.55191800000000002"/>
    <n v="5.3222399999999999"/>
    <n v="107737000"/>
    <n v="0"/>
    <n v="0"/>
    <n v="0"/>
    <n v="0"/>
    <n v="4403550"/>
    <n v="302810"/>
    <n v="0"/>
    <n v="99.302199999999999"/>
    <n v="98.274000000000001"/>
    <n v="4.2713799999999997"/>
    <n v="0"/>
    <n v="0"/>
    <n v="1.72583"/>
    <n v="1.72583"/>
    <n v="0"/>
    <n v="1.33318"/>
    <n v="2.9635199999999999"/>
    <n v="315332000"/>
    <n v="0"/>
    <n v="0"/>
    <n v="0"/>
    <n v="0"/>
    <n v="4465120"/>
    <n v="145546"/>
    <n v="0"/>
    <n v="26"/>
    <x v="14"/>
    <n v="1.6719736628706967E-6"/>
    <n v="3.5271958440341825E-6"/>
  </r>
  <r>
    <n v="82.941100000000006"/>
    <n v="85.138999999999996"/>
    <n v="2.3254100000000002"/>
    <n v="0"/>
    <n v="0"/>
    <n v="2.9460000000000002"/>
    <n v="2.9460000000000002"/>
    <n v="0"/>
    <n v="0.55199900000000002"/>
    <n v="5.3222399999999999"/>
    <n v="108040000"/>
    <n v="0"/>
    <n v="0"/>
    <n v="0"/>
    <n v="0"/>
    <n v="4404190"/>
    <n v="302854"/>
    <n v="0"/>
    <n v="99.302199999999999"/>
    <n v="98.274000000000001"/>
    <n v="3.92001"/>
    <n v="0"/>
    <n v="0"/>
    <n v="1.7260800000000001"/>
    <n v="1.7260800000000001"/>
    <n v="0"/>
    <n v="1.3333699999999999"/>
    <n v="2.9635199999999999"/>
    <n v="315478000"/>
    <n v="0"/>
    <n v="0"/>
    <n v="0"/>
    <n v="0"/>
    <n v="4465780"/>
    <n v="145567"/>
    <n v="0"/>
    <n v="27"/>
    <x v="14"/>
    <n v="1.6719677648596311E-6"/>
    <n v="3.5271957324234996E-6"/>
  </r>
  <r>
    <n v="82.037300000000002"/>
    <n v="85.138999999999996"/>
    <n v="2.2338499999999999"/>
    <n v="0"/>
    <n v="0"/>
    <n v="2.9464299999999999"/>
    <n v="2.9464299999999999"/>
    <n v="0"/>
    <n v="0.55208000000000002"/>
    <n v="5.3222399999999999"/>
    <n v="108343000"/>
    <n v="0"/>
    <n v="0"/>
    <n v="0"/>
    <n v="0"/>
    <n v="4404830"/>
    <n v="302898"/>
    <n v="0"/>
    <n v="99.302199999999999"/>
    <n v="98.274000000000001"/>
    <n v="4.0010500000000002"/>
    <n v="0"/>
    <n v="0"/>
    <n v="1.7263299999999999"/>
    <n v="1.7263299999999999"/>
    <n v="0"/>
    <n v="1.3335699999999999"/>
    <n v="2.9635199999999999"/>
    <n v="315623000"/>
    <n v="0"/>
    <n v="0"/>
    <n v="0"/>
    <n v="0"/>
    <n v="4466430"/>
    <n v="145588"/>
    <n v="0"/>
    <n v="28"/>
    <x v="14"/>
    <n v="1.6719656119882057E-6"/>
    <n v="3.5271956208452496E-6"/>
  </r>
  <r>
    <n v="81.4405"/>
    <n v="85.138999999999996"/>
    <n v="2.5188199999999998"/>
    <n v="0"/>
    <n v="0"/>
    <n v="2.9204699999999999"/>
    <n v="2.9204699999999999"/>
    <n v="0"/>
    <n v="0.55216100000000001"/>
    <n v="5.3222399999999999"/>
    <n v="108643000"/>
    <n v="0"/>
    <n v="0"/>
    <n v="0"/>
    <n v="0"/>
    <n v="4366020"/>
    <n v="300230"/>
    <n v="0"/>
    <n v="99.302199999999999"/>
    <n v="98.274000000000001"/>
    <n v="3.6760299999999999"/>
    <n v="0"/>
    <n v="0"/>
    <n v="1.7752600000000001"/>
    <n v="1.7752600000000001"/>
    <n v="0"/>
    <n v="1.3337600000000001"/>
    <n v="2.9635199999999999"/>
    <n v="315773000"/>
    <n v="0"/>
    <n v="0"/>
    <n v="0"/>
    <n v="0"/>
    <n v="4593010"/>
    <n v="149715"/>
    <n v="0"/>
    <n v="29"/>
    <x v="14"/>
    <n v="1.6719766825537111E-6"/>
    <n v="3.5272046489875356E-6"/>
  </r>
  <r>
    <n v="80.7423"/>
    <n v="85.138999999999996"/>
    <n v="2.3808199999999999"/>
    <n v="0"/>
    <n v="0"/>
    <n v="2.92089"/>
    <n v="2.92089"/>
    <n v="0"/>
    <n v="0.54729499999999998"/>
    <n v="5.3222399999999999"/>
    <n v="108944000"/>
    <n v="0"/>
    <n v="0"/>
    <n v="0"/>
    <n v="0"/>
    <n v="4366660"/>
    <n v="300273"/>
    <n v="0"/>
    <n v="99.302199999999999"/>
    <n v="98.274000000000001"/>
    <n v="3.54942"/>
    <n v="0"/>
    <n v="0"/>
    <n v="1.77552"/>
    <n v="1.77552"/>
    <n v="0"/>
    <n v="1.3715599999999999"/>
    <n v="2.9635199999999999"/>
    <n v="315923000"/>
    <n v="0"/>
    <n v="0"/>
    <n v="0"/>
    <n v="0"/>
    <n v="4593690"/>
    <n v="149736"/>
    <n v="0"/>
    <n v="30"/>
    <x v="14"/>
    <n v="1.6719636688879006E-6"/>
    <n v="3.5271927885072257E-6"/>
  </r>
  <r>
    <n v="79.940799999999996"/>
    <n v="85.138999999999996"/>
    <n v="2.2580399999999998"/>
    <n v="0"/>
    <n v="0"/>
    <n v="2.9213200000000001"/>
    <n v="2.9213200000000001"/>
    <n v="0"/>
    <n v="0.54737499999999994"/>
    <n v="5.3222399999999999"/>
    <n v="109244000"/>
    <n v="0"/>
    <n v="0"/>
    <n v="0"/>
    <n v="0"/>
    <n v="4367300"/>
    <n v="300317"/>
    <n v="0"/>
    <n v="99.302199999999999"/>
    <n v="98.274000000000001"/>
    <n v="3.37845"/>
    <n v="0"/>
    <n v="0"/>
    <n v="1.7757799999999999"/>
    <n v="1.7757799999999999"/>
    <n v="0"/>
    <n v="1.3717600000000001"/>
    <n v="2.9635199999999999"/>
    <n v="316072000"/>
    <n v="0"/>
    <n v="0"/>
    <n v="0"/>
    <n v="0"/>
    <n v="4594360"/>
    <n v="149758"/>
    <n v="0"/>
    <n v="31"/>
    <x v="14"/>
    <n v="1.6719654626599622E-6"/>
    <n v="3.5271926764015504E-6"/>
  </r>
  <r>
    <n v="78.981800000000007"/>
    <n v="85.138999999999996"/>
    <n v="2.0876999999999999"/>
    <n v="0"/>
    <n v="0"/>
    <n v="2.9217499999999998"/>
    <n v="2.9217499999999998"/>
    <n v="0"/>
    <n v="0.54745500000000002"/>
    <n v="5.3222399999999999"/>
    <n v="109544000"/>
    <n v="0"/>
    <n v="0"/>
    <n v="0"/>
    <n v="0"/>
    <n v="4367940"/>
    <n v="300361"/>
    <n v="0"/>
    <n v="99.302199999999999"/>
    <n v="98.274000000000001"/>
    <n v="3.14629"/>
    <n v="0"/>
    <n v="0"/>
    <n v="1.7760400000000001"/>
    <n v="1.7760400000000001"/>
    <n v="0"/>
    <n v="1.3719699999999999"/>
    <n v="2.9635199999999999"/>
    <n v="316222000"/>
    <n v="0"/>
    <n v="0"/>
    <n v="0"/>
    <n v="0"/>
    <n v="4595030"/>
    <n v="149780"/>
    <n v="0"/>
    <n v="32"/>
    <x v="14"/>
    <n v="1.6719672559089252E-6"/>
    <n v="3.5271925643287267E-6"/>
  </r>
  <r>
    <n v="78.106999999999999"/>
    <n v="85.138999999999996"/>
    <n v="2.2184400000000002"/>
    <n v="0"/>
    <n v="0"/>
    <n v="2.99037"/>
    <n v="2.99037"/>
    <n v="0"/>
    <n v="0.54753499999999999"/>
    <n v="5.3222399999999999"/>
    <n v="109852000"/>
    <n v="0"/>
    <n v="0"/>
    <n v="0"/>
    <n v="0"/>
    <n v="4470530"/>
    <n v="307416"/>
    <n v="0"/>
    <n v="99.302199999999999"/>
    <n v="98.274000000000001"/>
    <n v="3.3626999999999998"/>
    <n v="0"/>
    <n v="0"/>
    <n v="1.8197000000000001"/>
    <n v="1.8197000000000001"/>
    <n v="0"/>
    <n v="1.3721699999999999"/>
    <n v="2.9635199999999999"/>
    <n v="316376000"/>
    <n v="0"/>
    <n v="0"/>
    <n v="0"/>
    <n v="0"/>
    <n v="4708000"/>
    <n v="153463"/>
    <n v="0"/>
    <n v="33"/>
    <x v="14"/>
    <n v="1.6719740107194012E-6"/>
    <n v="3.5271972445203252E-6"/>
  </r>
  <r>
    <n v="77.197299999999998"/>
    <n v="85.138999999999996"/>
    <n v="2.1712799999999999"/>
    <n v="0"/>
    <n v="0"/>
    <n v="2.9908100000000002"/>
    <n v="2.9908100000000002"/>
    <n v="0"/>
    <n v="0.56039600000000001"/>
    <n v="5.3222399999999999"/>
    <n v="110159000"/>
    <n v="0"/>
    <n v="0"/>
    <n v="0"/>
    <n v="0"/>
    <n v="4471180"/>
    <n v="307461"/>
    <n v="0"/>
    <n v="99.302199999999999"/>
    <n v="98.274000000000001"/>
    <n v="3.4796399999999998"/>
    <n v="0"/>
    <n v="0"/>
    <n v="1.8199700000000001"/>
    <n v="1.8199700000000001"/>
    <n v="0"/>
    <n v="1.4058999999999999"/>
    <n v="2.9635199999999999"/>
    <n v="316529000"/>
    <n v="0"/>
    <n v="0"/>
    <n v="0"/>
    <n v="0"/>
    <n v="4708690"/>
    <n v="153485"/>
    <n v="0"/>
    <n v="34"/>
    <x v="14"/>
    <n v="1.6719686578134694E-6"/>
    <n v="3.527200717668737E-6"/>
  </r>
  <r>
    <n v="76.058099999999996"/>
    <n v="85.138999999999996"/>
    <n v="1.9281299999999999"/>
    <n v="0"/>
    <n v="0"/>
    <n v="2.99125"/>
    <n v="2.99125"/>
    <n v="0"/>
    <n v="0.56047800000000003"/>
    <n v="5.3222399999999999"/>
    <n v="110467000"/>
    <n v="0"/>
    <n v="0"/>
    <n v="0"/>
    <n v="0"/>
    <n v="4471840"/>
    <n v="307506"/>
    <n v="0"/>
    <n v="99.302199999999999"/>
    <n v="98.274000000000001"/>
    <n v="3.1825999999999999"/>
    <n v="0"/>
    <n v="0"/>
    <n v="1.82023"/>
    <n v="1.82023"/>
    <n v="0"/>
    <n v="1.40611"/>
    <n v="2.9635199999999999"/>
    <n v="316683000"/>
    <n v="0"/>
    <n v="0"/>
    <n v="0"/>
    <n v="0"/>
    <n v="4709380"/>
    <n v="153507"/>
    <n v="0"/>
    <n v="35"/>
    <x v="14"/>
    <n v="1.6719633064761114E-6"/>
    <n v="3.5271963022171536E-6"/>
  </r>
  <r>
    <n v="74.762600000000006"/>
    <n v="85.138999999999996"/>
    <n v="1.7481199999999999"/>
    <n v="0"/>
    <n v="0"/>
    <n v="2.9916800000000001"/>
    <n v="2.9916800000000001"/>
    <n v="0"/>
    <n v="0.56055900000000003"/>
    <n v="5.3222399999999999"/>
    <n v="110774000"/>
    <n v="0"/>
    <n v="0"/>
    <n v="0"/>
    <n v="0"/>
    <n v="4472490"/>
    <n v="307551"/>
    <n v="0"/>
    <n v="99.302199999999999"/>
    <n v="98.274000000000001"/>
    <n v="3.1177899999999998"/>
    <n v="0"/>
    <n v="0"/>
    <n v="1.8205"/>
    <n v="1.8205"/>
    <n v="0"/>
    <n v="1.4063099999999999"/>
    <n v="2.9635199999999999"/>
    <n v="316836000"/>
    <n v="0"/>
    <n v="0"/>
    <n v="0"/>
    <n v="0"/>
    <n v="4710060"/>
    <n v="153530"/>
    <n v="0"/>
    <n v="36"/>
    <x v="14"/>
    <n v="1.6719723966659361E-6"/>
    <n v="3.5271997744852221E-6"/>
  </r>
  <r>
    <n v="73.017300000000006"/>
    <n v="85.138999999999996"/>
    <n v="1.4588399999999999"/>
    <n v="0"/>
    <n v="0"/>
    <n v="3.1919499999999998"/>
    <n v="3.1919499999999998"/>
    <n v="0"/>
    <n v="0.56064099999999994"/>
    <n v="5.3222399999999999"/>
    <n v="111102000"/>
    <n v="0"/>
    <n v="0"/>
    <n v="0"/>
    <n v="0"/>
    <n v="4771890"/>
    <n v="328139"/>
    <n v="0"/>
    <n v="99.302199999999999"/>
    <n v="98.274000000000001"/>
    <n v="3.0477099999999999"/>
    <n v="0"/>
    <n v="0"/>
    <n v="1.97753"/>
    <n v="1.97753"/>
    <n v="0"/>
    <n v="1.40652"/>
    <n v="2.9635199999999999"/>
    <n v="317003000"/>
    <n v="0"/>
    <n v="0"/>
    <n v="0"/>
    <n v="0"/>
    <n v="5116330"/>
    <n v="166773"/>
    <n v="0"/>
    <n v="37"/>
    <x v="14"/>
    <n v="1.6719738684934872E-6"/>
    <n v="3.5271970219418727E-6"/>
  </r>
  <r>
    <n v="71.4011"/>
    <n v="85.138999999999996"/>
    <n v="1.3611500000000001"/>
    <n v="0.01"/>
    <n v="0"/>
    <n v="2.8900199999999998"/>
    <n v="3.1924199999999998"/>
    <n v="0"/>
    <n v="0.59817200000000004"/>
    <n v="5.3222399999999999"/>
    <n v="111022000"/>
    <n v="0"/>
    <n v="0"/>
    <n v="0"/>
    <n v="0"/>
    <n v="4320500"/>
    <n v="-80351.7"/>
    <n v="408539"/>
    <n v="99.270200000000003"/>
    <n v="98.274000000000001"/>
    <n v="2.96515"/>
    <n v="0"/>
    <n v="0"/>
    <n v="2.2802099999999998"/>
    <n v="1.9778100000000001"/>
    <n v="0"/>
    <n v="1.5278400000000001"/>
    <n v="2.9635199999999999"/>
    <n v="317952000"/>
    <n v="0"/>
    <n v="0"/>
    <n v="0"/>
    <n v="0"/>
    <n v="5899460"/>
    <n v="949178"/>
    <n v="0"/>
    <n v="38"/>
    <x v="14"/>
    <n v="8.252731117148007E-6"/>
    <n v="-9.5394503698352784E-7"/>
  </r>
  <r>
    <n v="69.758200000000002"/>
    <n v="85.138999999999996"/>
    <n v="1.3203800000000001"/>
    <n v="0.01"/>
    <n v="0"/>
    <n v="2.8904899999999998"/>
    <n v="3.1928899999999998"/>
    <n v="0"/>
    <n v="0.54158899999999999"/>
    <n v="5.3222399999999999"/>
    <n v="110942000"/>
    <n v="0"/>
    <n v="0"/>
    <n v="0"/>
    <n v="0"/>
    <n v="4321200"/>
    <n v="-80303.7"/>
    <n v="408539"/>
    <n v="99.206100000000006"/>
    <n v="98.274000000000001"/>
    <n v="2.8890099999999999"/>
    <n v="0"/>
    <n v="0"/>
    <n v="2.2805"/>
    <n v="1.9781"/>
    <n v="0"/>
    <n v="1.76169"/>
    <n v="2.9635199999999999"/>
    <n v="318901000"/>
    <n v="0"/>
    <n v="0"/>
    <n v="0"/>
    <n v="0"/>
    <n v="5900210"/>
    <n v="949202"/>
    <n v="0"/>
    <n v="39"/>
    <x v="14"/>
    <n v="8.2518907225764827E-6"/>
    <n v="-9.5322073602733066E-7"/>
  </r>
  <r>
    <n v="68.4221"/>
    <n v="85.138999999999996"/>
    <n v="1.6111500000000001"/>
    <n v="0.01"/>
    <n v="0"/>
    <n v="2.8909500000000001"/>
    <n v="3.1933500000000001"/>
    <n v="0"/>
    <n v="0.54167699999999996"/>
    <n v="5.3222399999999999"/>
    <n v="110862000"/>
    <n v="0"/>
    <n v="0"/>
    <n v="0"/>
    <n v="0"/>
    <n v="4321900"/>
    <n v="-80255.7"/>
    <n v="408539"/>
    <n v="99.202600000000004"/>
    <n v="98.274000000000001"/>
    <n v="3.2965300000000002"/>
    <n v="0"/>
    <n v="0"/>
    <n v="2.2807900000000001"/>
    <n v="1.9783900000000001"/>
    <n v="0"/>
    <n v="1.7619199999999999"/>
    <n v="2.9635199999999999"/>
    <n v="319850000"/>
    <n v="0"/>
    <n v="0"/>
    <n v="0"/>
    <n v="0"/>
    <n v="5900950"/>
    <n v="949227"/>
    <n v="0"/>
    <n v="40"/>
    <x v="14"/>
    <n v="8.2510732166229393E-6"/>
    <n v="-9.5249666969510401E-7"/>
  </r>
  <r>
    <n v="66.7273"/>
    <n v="85.138999999999996"/>
    <n v="1.2378499999999999"/>
    <n v="0.02"/>
    <n v="0"/>
    <n v="2.8914200000000001"/>
    <n v="3.1938200000000001"/>
    <n v="0"/>
    <n v="0.54176400000000002"/>
    <n v="5.3222399999999999"/>
    <n v="110781000"/>
    <n v="0"/>
    <n v="0"/>
    <n v="0"/>
    <n v="0"/>
    <n v="4322600"/>
    <n v="-80207.7"/>
    <n v="408539"/>
    <n v="99.100700000000003"/>
    <n v="98.274000000000001"/>
    <n v="2.84579"/>
    <n v="0"/>
    <n v="0"/>
    <n v="2.2810800000000002"/>
    <n v="1.97868"/>
    <n v="0"/>
    <n v="1.76214"/>
    <n v="2.9635199999999999"/>
    <n v="320800000"/>
    <n v="0"/>
    <n v="0"/>
    <n v="0"/>
    <n v="0"/>
    <n v="5901700"/>
    <n v="949251"/>
    <n v="0"/>
    <n v="41"/>
    <x v="14"/>
    <n v="8.2502332449148804E-6"/>
    <n v="-9.517728378728634E-7"/>
  </r>
  <r>
    <n v="64.941000000000003"/>
    <n v="85.138999999999996"/>
    <n v="1.0964499999999999"/>
    <n v="0.02"/>
    <n v="0"/>
    <n v="2.7944200000000001"/>
    <n v="3.0968200000000001"/>
    <n v="0"/>
    <n v="0.541852"/>
    <n v="5.3222399999999999"/>
    <n v="110691000"/>
    <n v="0"/>
    <n v="0"/>
    <n v="0"/>
    <n v="0"/>
    <n v="4177590"/>
    <n v="-90179"/>
    <n v="408539"/>
    <n v="99.216499999999996"/>
    <n v="98.274000000000001"/>
    <n v="2.9765600000000001"/>
    <n v="0"/>
    <n v="0"/>
    <n v="2.18615"/>
    <n v="1.88375"/>
    <n v="0"/>
    <n v="1.7623599999999999"/>
    <n v="2.9635199999999999"/>
    <n v="321741000"/>
    <n v="0"/>
    <n v="0"/>
    <n v="0"/>
    <n v="0"/>
    <n v="5656100"/>
    <n v="941245"/>
    <n v="0"/>
    <n v="42"/>
    <x v="14"/>
    <n v="8.5358720354198541E-6"/>
    <n v="-1.107240322036291E-6"/>
  </r>
  <r>
    <n v="63.140500000000003"/>
    <n v="85.138999999999996"/>
    <n v="1.0613900000000001"/>
    <n v="0.02"/>
    <n v="0"/>
    <n v="2.79488"/>
    <n v="3.09728"/>
    <n v="0"/>
    <n v="0.523675"/>
    <n v="5.3222399999999999"/>
    <n v="110601000"/>
    <n v="0"/>
    <n v="0"/>
    <n v="0"/>
    <n v="0"/>
    <n v="4178270"/>
    <n v="-90132.4"/>
    <n v="408539"/>
    <n v="99.302199999999999"/>
    <n v="98.274000000000001"/>
    <n v="2.9361299999999999"/>
    <n v="0"/>
    <n v="0"/>
    <n v="2.1864300000000001"/>
    <n v="1.8840300000000001"/>
    <n v="0"/>
    <n v="1.68902"/>
    <n v="2.9635199999999999"/>
    <n v="322682000"/>
    <n v="0"/>
    <n v="0"/>
    <n v="0"/>
    <n v="0"/>
    <n v="5656820"/>
    <n v="941269"/>
    <n v="0"/>
    <n v="43"/>
    <x v="14"/>
    <n v="8.5350032108890238E-6"/>
    <n v="-1.106488048896489E-6"/>
  </r>
  <r>
    <n v="61.319299999999998"/>
    <n v="85.138999999999996"/>
    <n v="1.01851"/>
    <n v="0.02"/>
    <n v="0"/>
    <n v="2.7953299999999999"/>
    <n v="3.0977299999999999"/>
    <n v="0"/>
    <n v="0.52376"/>
    <n v="5.3222399999999999"/>
    <n v="110511000"/>
    <n v="0"/>
    <n v="0"/>
    <n v="0"/>
    <n v="0"/>
    <n v="4178950"/>
    <n v="-90085.8"/>
    <n v="408539"/>
    <n v="99.302199999999999"/>
    <n v="98.274000000000001"/>
    <n v="3.0865499999999999"/>
    <n v="0"/>
    <n v="0"/>
    <n v="2.1867100000000002"/>
    <n v="1.8843099999999999"/>
    <n v="0"/>
    <n v="1.6892400000000001"/>
    <n v="2.9635199999999999"/>
    <n v="323624000"/>
    <n v="0"/>
    <n v="0"/>
    <n v="0"/>
    <n v="0"/>
    <n v="5657530"/>
    <n v="941292"/>
    <n v="0"/>
    <n v="44"/>
    <x v="14"/>
    <n v="8.5341406256456683E-6"/>
    <n v="-1.1057360205769102E-6"/>
  </r>
  <r>
    <n v="60.044899999999998"/>
    <n v="85.138999999999996"/>
    <n v="1.6583399999999999"/>
    <n v="0.02"/>
    <n v="0"/>
    <n v="2.7957800000000002"/>
    <n v="3.0981800000000002"/>
    <n v="0"/>
    <n v="0.52384500000000001"/>
    <n v="5.3222399999999999"/>
    <n v="110421000"/>
    <n v="0"/>
    <n v="0"/>
    <n v="0"/>
    <n v="0"/>
    <n v="4179630"/>
    <n v="-90039.3"/>
    <n v="408539"/>
    <n v="99.302199999999999"/>
    <n v="98.274000000000001"/>
    <n v="3.9865599999999999"/>
    <n v="0"/>
    <n v="0"/>
    <n v="2.1869800000000001"/>
    <n v="1.8845799999999999"/>
    <n v="0"/>
    <n v="1.6894499999999999"/>
    <n v="2.9635199999999999"/>
    <n v="324565000"/>
    <n v="0"/>
    <n v="0"/>
    <n v="0"/>
    <n v="0"/>
    <n v="5658240"/>
    <n v="941315"/>
    <n v="0"/>
    <n v="45"/>
    <x v="14"/>
    <n v="8.5332782568779386E-6"/>
    <n v="-1.1049854641838E-6"/>
  </r>
  <r>
    <n v="58.518900000000002"/>
    <n v="85.138999999999996"/>
    <n v="1.32646"/>
    <n v="0.02"/>
    <n v="0"/>
    <n v="2.7161900000000001"/>
    <n v="3.0185900000000001"/>
    <n v="0"/>
    <n v="0.52393000000000001"/>
    <n v="5.3222399999999999"/>
    <n v="110323000"/>
    <n v="0"/>
    <n v="0"/>
    <n v="0"/>
    <n v="0"/>
    <n v="4060640"/>
    <n v="-98221.5"/>
    <n v="408539"/>
    <n v="99.2273"/>
    <n v="98.274000000000001"/>
    <n v="2.7338800000000001"/>
    <n v="0"/>
    <n v="0"/>
    <n v="2.10053"/>
    <n v="1.79813"/>
    <n v="0"/>
    <n v="1.6896599999999999"/>
    <n v="2.9635199999999999"/>
    <n v="325499000"/>
    <n v="0"/>
    <n v="0"/>
    <n v="0"/>
    <n v="0"/>
    <n v="5434580"/>
    <n v="934025"/>
    <n v="0"/>
    <n v="46"/>
    <x v="14"/>
    <n v="8.8156594961765358E-6"/>
    <n v="-1.2407216673932172E-6"/>
  </r>
  <r>
    <n v="56.923000000000002"/>
    <n v="85.138999999999996"/>
    <n v="1.21146"/>
    <n v="0.02"/>
    <n v="0"/>
    <n v="2.7166299999999999"/>
    <n v="3.0190299999999999"/>
    <n v="0"/>
    <n v="0.50901399999999997"/>
    <n v="5.3222399999999999"/>
    <n v="110225000"/>
    <n v="0"/>
    <n v="0"/>
    <n v="0"/>
    <n v="0"/>
    <n v="4061300"/>
    <n v="-98176.1"/>
    <n v="408539"/>
    <n v="99.032799999999995"/>
    <n v="98.274000000000001"/>
    <n v="2.63239"/>
    <n v="0"/>
    <n v="0"/>
    <n v="2.1008"/>
    <n v="1.7984"/>
    <n v="0"/>
    <n v="1.62287"/>
    <n v="2.9635199999999999"/>
    <n v="326433000"/>
    <n v="0"/>
    <n v="0"/>
    <n v="0"/>
    <n v="0"/>
    <n v="5435260"/>
    <n v="934047"/>
    <n v="0"/>
    <n v="47"/>
    <x v="14"/>
    <n v="8.814764195571846E-6"/>
    <n v="-1.2399466443761578E-6"/>
  </r>
  <r>
    <n v="55.762099999999997"/>
    <n v="85.138999999999996"/>
    <n v="1.7035899999999999"/>
    <n v="0.02"/>
    <n v="0"/>
    <n v="2.7170700000000001"/>
    <n v="3.0194700000000001"/>
    <n v="0"/>
    <n v="0.50909700000000002"/>
    <n v="5.3222399999999999"/>
    <n v="110126000"/>
    <n v="0"/>
    <n v="0"/>
    <n v="0"/>
    <n v="0"/>
    <n v="4061960"/>
    <n v="-98130.8"/>
    <n v="408539"/>
    <n v="99.079700000000003"/>
    <n v="98.274000000000001"/>
    <n v="3.2487499999999998"/>
    <n v="0"/>
    <n v="0"/>
    <n v="2.1010599999999999"/>
    <n v="1.7986599999999999"/>
    <n v="0"/>
    <n v="1.6230800000000001"/>
    <n v="2.9635199999999999"/>
    <n v="327367000"/>
    <n v="0"/>
    <n v="0"/>
    <n v="0"/>
    <n v="0"/>
    <n v="5435940"/>
    <n v="934069"/>
    <n v="0"/>
    <n v="48"/>
    <x v="14"/>
    <n v="8.8138691189594812E-6"/>
    <n v="-1.239173135992402E-6"/>
  </r>
  <r>
    <n v="56.482399999999998"/>
    <n v="85.138999999999996"/>
    <n v="3.6335099999999998"/>
    <n v="0.02"/>
    <n v="0"/>
    <n v="2.7175199999999999"/>
    <n v="3.0199199999999999"/>
    <n v="0"/>
    <n v="0.50917999999999997"/>
    <n v="5.3222399999999999"/>
    <n v="110028000"/>
    <n v="0"/>
    <n v="0"/>
    <n v="0"/>
    <n v="0"/>
    <n v="4062620"/>
    <n v="-98085.4"/>
    <n v="408539"/>
    <n v="99.302199999999999"/>
    <n v="98.274000000000001"/>
    <n v="5.4681800000000003"/>
    <n v="0"/>
    <n v="0"/>
    <n v="2.1013199999999999"/>
    <n v="1.7989200000000001"/>
    <n v="0"/>
    <n v="1.6232800000000001"/>
    <n v="2.9635199999999999"/>
    <n v="328301000"/>
    <n v="0"/>
    <n v="0"/>
    <n v="0"/>
    <n v="0"/>
    <n v="5436620"/>
    <n v="934091"/>
    <n v="0"/>
    <n v="49"/>
    <x v="14"/>
    <n v="8.812974266255387E-6"/>
    <n v="-1.2383986163601302E-6"/>
  </r>
  <r>
    <n v="56.840400000000002"/>
    <n v="85.138999999999996"/>
    <n v="3.1015700000000002"/>
    <n v="0.02"/>
    <n v="0"/>
    <n v="2.4904899999999999"/>
    <n v="2.7928899999999999"/>
    <n v="0"/>
    <n v="0.50926199999999999"/>
    <n v="5.3222399999999999"/>
    <n v="109907000"/>
    <n v="0"/>
    <n v="0"/>
    <n v="0"/>
    <n v="0"/>
    <n v="3723220"/>
    <n v="-121424"/>
    <n v="408539"/>
    <n v="99.302199999999999"/>
    <n v="98.274000000000001"/>
    <n v="4.3120599999999998"/>
    <n v="0"/>
    <n v="0"/>
    <n v="1.92086"/>
    <n v="1.61846"/>
    <n v="0"/>
    <n v="1.62348"/>
    <n v="2.9635199999999999"/>
    <n v="329220000"/>
    <n v="0"/>
    <n v="0"/>
    <n v="0"/>
    <n v="0"/>
    <n v="4969730"/>
    <n v="918872"/>
    <n v="0"/>
    <n v="50"/>
    <x v="14"/>
    <n v="9.4838464973131669E-6"/>
    <n v="-1.6728158293456695E-6"/>
  </r>
  <r>
    <n v="57.356699999999996"/>
    <n v="85.138999999999996"/>
    <n v="3.24512"/>
    <n v="0.02"/>
    <n v="0"/>
    <n v="2.4908999999999999"/>
    <n v="2.7932999999999999"/>
    <n v="0"/>
    <n v="0.46671800000000002"/>
    <n v="5.3222399999999999"/>
    <n v="109786000"/>
    <n v="0"/>
    <n v="0"/>
    <n v="0"/>
    <n v="0"/>
    <n v="3723830"/>
    <n v="-121382"/>
    <n v="408539"/>
    <n v="99.302199999999999"/>
    <n v="98.274000000000001"/>
    <n v="3.9621300000000002"/>
    <n v="0"/>
    <n v="0"/>
    <n v="1.9211"/>
    <n v="1.6187"/>
    <n v="0"/>
    <n v="1.4840599999999999"/>
    <n v="2.9635199999999999"/>
    <n v="330139000"/>
    <n v="0"/>
    <n v="0"/>
    <n v="0"/>
    <n v="0"/>
    <n v="4970350"/>
    <n v="918892"/>
    <n v="0"/>
    <n v="51"/>
    <x v="14"/>
    <n v="9.4828698830051563E-6"/>
    <n v="-1.6719632811758609E-6"/>
  </r>
  <r>
    <n v="57.713000000000001"/>
    <n v="85.138999999999996"/>
    <n v="3.0677599999999998"/>
    <n v="0.02"/>
    <n v="0"/>
    <n v="2.4913099999999999"/>
    <n v="2.7937099999999999"/>
    <n v="0"/>
    <n v="0.46679399999999999"/>
    <n v="5.3222399999999999"/>
    <n v="109664000"/>
    <n v="0"/>
    <n v="0"/>
    <n v="0"/>
    <n v="0"/>
    <n v="3724440"/>
    <n v="-121340"/>
    <n v="408539"/>
    <n v="99.302199999999999"/>
    <n v="98.274000000000001"/>
    <n v="4.7339000000000002"/>
    <n v="0"/>
    <n v="0"/>
    <n v="1.92134"/>
    <n v="1.61894"/>
    <n v="0"/>
    <n v="1.48424"/>
    <n v="2.9635199999999999"/>
    <n v="331058000"/>
    <n v="0"/>
    <n v="0"/>
    <n v="0"/>
    <n v="0"/>
    <n v="4970960"/>
    <n v="918912"/>
    <n v="0"/>
    <n v="52"/>
    <x v="14"/>
    <n v="9.4819125868840613E-6"/>
    <n v="-1.6711110122718663E-6"/>
  </r>
  <r>
    <n v="60.396799999999999"/>
    <n v="85.138999999999996"/>
    <n v="5.74444"/>
    <n v="0.03"/>
    <n v="0"/>
    <n v="2.4917099999999999"/>
    <n v="2.7941099999999999"/>
    <n v="0"/>
    <n v="0.46687099999999998"/>
    <n v="5.3222399999999999"/>
    <n v="109543000"/>
    <n v="0"/>
    <n v="0"/>
    <n v="0"/>
    <n v="0"/>
    <n v="3725050"/>
    <n v="-121298"/>
    <n v="408539"/>
    <n v="99.302199999999999"/>
    <n v="98.274000000000001"/>
    <n v="7.6317599999999999"/>
    <n v="0"/>
    <n v="0"/>
    <n v="1.92157"/>
    <n v="1.61917"/>
    <n v="0"/>
    <n v="1.4844299999999999"/>
    <n v="2.9635199999999999"/>
    <n v="331977000"/>
    <n v="0"/>
    <n v="0"/>
    <n v="0"/>
    <n v="0"/>
    <n v="4971570"/>
    <n v="918932"/>
    <n v="0"/>
    <n v="1"/>
    <x v="15"/>
    <n v="4.6821018258339808E-6"/>
    <n v="-8.248454280441811E-7"/>
  </r>
  <r>
    <n v="62.346400000000003"/>
    <n v="85.138999999999996"/>
    <n v="4.8056099999999997"/>
    <n v="0.02"/>
    <n v="0"/>
    <n v="2.4921199999999999"/>
    <n v="2.7945199999999999"/>
    <n v="0"/>
    <n v="0.466947"/>
    <n v="5.3222399999999999"/>
    <n v="109422000"/>
    <n v="0"/>
    <n v="0"/>
    <n v="0"/>
    <n v="0"/>
    <n v="3725660"/>
    <n v="-121256"/>
    <n v="408539"/>
    <n v="99.302199999999999"/>
    <n v="98.274000000000001"/>
    <n v="6.2512800000000004"/>
    <n v="0"/>
    <n v="0"/>
    <n v="1.92181"/>
    <n v="1.61941"/>
    <n v="0"/>
    <n v="1.48461"/>
    <n v="2.9635199999999999"/>
    <n v="332896000"/>
    <n v="0"/>
    <n v="0"/>
    <n v="0"/>
    <n v="0"/>
    <n v="4972180"/>
    <n v="918952"/>
    <n v="0"/>
    <n v="2"/>
    <x v="15"/>
    <n v="4.6816293039971266E-6"/>
    <n v="-8.2442481678771027E-7"/>
  </r>
  <r>
    <n v="64.481700000000004"/>
    <n v="85.138999999999996"/>
    <n v="5.2626099999999996"/>
    <n v="0.02"/>
    <n v="0"/>
    <n v="2.5800800000000002"/>
    <n v="2.8824800000000002"/>
    <n v="0"/>
    <n v="0.46702399999999999"/>
    <n v="5.3222399999999999"/>
    <n v="109309000"/>
    <n v="0"/>
    <n v="0"/>
    <n v="0"/>
    <n v="29016000"/>
    <n v="3857160"/>
    <n v="-112214"/>
    <n v="408539"/>
    <n v="99.302199999999999"/>
    <n v="98.274000000000001"/>
    <n v="7.1131900000000003"/>
    <n v="0"/>
    <n v="0"/>
    <n v="1.97441"/>
    <n v="1.67201"/>
    <n v="0"/>
    <n v="1.4847900000000001"/>
    <n v="2.9635199999999999"/>
    <n v="333819000"/>
    <n v="0"/>
    <n v="0"/>
    <n v="0"/>
    <n v="7883220"/>
    <n v="5108280"/>
    <n v="923388"/>
    <n v="0"/>
    <n v="3"/>
    <x v="15"/>
    <n v="4.3670182727454072E-5"/>
    <n v="1.8981831621655104E-4"/>
  </r>
  <r>
    <n v="65.836200000000005"/>
    <n v="85.138999999999996"/>
    <n v="4.2933899999999996"/>
    <n v="0.01"/>
    <n v="0"/>
    <n v="2.5804800000000001"/>
    <n v="2.8828800000000001"/>
    <n v="0"/>
    <n v="0.48350700000000002"/>
    <n v="5.3222399999999999"/>
    <n v="109197000"/>
    <n v="0"/>
    <n v="0"/>
    <n v="0"/>
    <n v="0"/>
    <n v="3857760"/>
    <n v="-112173"/>
    <n v="408539"/>
    <n v="99.302199999999999"/>
    <n v="98.274000000000001"/>
    <n v="6.90482"/>
    <n v="0"/>
    <n v="0"/>
    <n v="1.97465"/>
    <n v="1.67225"/>
    <n v="0"/>
    <n v="1.5254300000000001"/>
    <n v="2.9635199999999999"/>
    <n v="334742000"/>
    <n v="0"/>
    <n v="0"/>
    <n v="0"/>
    <n v="0"/>
    <n v="5108880"/>
    <n v="923408"/>
    <n v="0"/>
    <n v="4"/>
    <x v="15"/>
    <n v="4.578455197939558E-6"/>
    <n v="-7.3655327885807232E-7"/>
  </r>
  <r>
    <n v="67.827399999999997"/>
    <n v="85.138999999999996"/>
    <n v="4.9920999999999998"/>
    <n v="0.02"/>
    <n v="0"/>
    <n v="2.5808800000000001"/>
    <n v="2.8832800000000001"/>
    <n v="0"/>
    <n v="0.48358299999999999"/>
    <n v="5.3222399999999999"/>
    <n v="109085000"/>
    <n v="0"/>
    <n v="0"/>
    <n v="0"/>
    <n v="0"/>
    <n v="3858360"/>
    <n v="-112131"/>
    <n v="408539"/>
    <n v="99.302199999999999"/>
    <n v="98.274000000000001"/>
    <n v="8.4939400000000003"/>
    <n v="0"/>
    <n v="0"/>
    <n v="1.97488"/>
    <n v="1.67248"/>
    <n v="0"/>
    <n v="1.5256099999999999"/>
    <n v="2.9635199999999999"/>
    <n v="335666000"/>
    <n v="0"/>
    <n v="0"/>
    <n v="0"/>
    <n v="0"/>
    <n v="5109480"/>
    <n v="923428"/>
    <n v="0"/>
    <n v="5"/>
    <x v="15"/>
    <n v="4.5780167081848718E-6"/>
    <n v="-7.3616300143709788E-7"/>
  </r>
  <r>
    <n v="71.696100000000001"/>
    <n v="85.138999999999996"/>
    <n v="6.9775600000000004"/>
    <n v="0.02"/>
    <n v="0"/>
    <n v="2.5812900000000001"/>
    <n v="2.8836900000000001"/>
    <n v="0"/>
    <n v="0.48365799999999998"/>
    <n v="5.3222399999999999"/>
    <n v="108973000"/>
    <n v="0"/>
    <n v="0"/>
    <n v="0"/>
    <n v="0"/>
    <n v="3858960"/>
    <n v="-112090"/>
    <n v="408539"/>
    <n v="99.302199999999999"/>
    <n v="98.274000000000001"/>
    <n v="9.7107500000000009"/>
    <n v="0"/>
    <n v="0"/>
    <n v="1.9751099999999999"/>
    <n v="1.6727099999999999"/>
    <n v="0"/>
    <n v="1.52579"/>
    <n v="2.9635199999999999"/>
    <n v="336589000"/>
    <n v="0"/>
    <n v="0"/>
    <n v="0"/>
    <n v="0"/>
    <n v="5110080"/>
    <n v="923447"/>
    <n v="0"/>
    <n v="6"/>
    <x v="15"/>
    <n v="4.5775733643502798E-6"/>
    <n v="-7.3577940956281354E-7"/>
  </r>
  <r>
    <n v="74.327500000000001"/>
    <n v="85.138999999999996"/>
    <n v="6.3873300000000004"/>
    <n v="0"/>
    <n v="0"/>
    <n v="3.1654"/>
    <n v="3.1654"/>
    <n v="0"/>
    <n v="0.48373300000000002"/>
    <n v="5.3222399999999999"/>
    <n v="109298000"/>
    <n v="0"/>
    <n v="0"/>
    <n v="0"/>
    <n v="0"/>
    <n v="4732190"/>
    <n v="325409"/>
    <n v="0"/>
    <n v="99.302199999999999"/>
    <n v="98.274000000000001"/>
    <n v="8.6009399999999996"/>
    <n v="0"/>
    <n v="0"/>
    <n v="1.86965"/>
    <n v="1.86965"/>
    <n v="0"/>
    <n v="1.52597"/>
    <n v="2.9635199999999999"/>
    <n v="336747000"/>
    <n v="0"/>
    <n v="0"/>
    <n v="0"/>
    <n v="0"/>
    <n v="4837220"/>
    <n v="157675"/>
    <n v="0"/>
    <n v="7"/>
    <x v="15"/>
    <n v="8.256919256917893E-7"/>
    <n v="1.7418807701340166E-6"/>
  </r>
  <r>
    <n v="76.647800000000004"/>
    <n v="85.138999999999996"/>
    <n v="5.9596600000000004"/>
    <n v="0"/>
    <n v="0"/>
    <n v="3.1658400000000002"/>
    <n v="3.1658400000000002"/>
    <n v="0"/>
    <n v="0.59319500000000003"/>
    <n v="5.3222399999999999"/>
    <n v="109624000"/>
    <n v="0"/>
    <n v="0"/>
    <n v="0"/>
    <n v="0"/>
    <n v="4732850"/>
    <n v="325454"/>
    <n v="0"/>
    <n v="99.302199999999999"/>
    <n v="98.274000000000001"/>
    <n v="7.5710899999999999"/>
    <n v="0"/>
    <n v="0"/>
    <n v="1.86991"/>
    <n v="1.86991"/>
    <n v="0"/>
    <n v="1.4444900000000001"/>
    <n v="2.9635199999999999"/>
    <n v="336905000"/>
    <n v="0"/>
    <n v="0"/>
    <n v="0"/>
    <n v="0"/>
    <n v="4837900"/>
    <n v="157697"/>
    <n v="0"/>
    <n v="8"/>
    <x v="15"/>
    <n v="8.2569105957761099E-7"/>
    <n v="1.7418787101252345E-6"/>
  </r>
  <r>
    <n v="79.240099999999998"/>
    <n v="85.138999999999996"/>
    <n v="6.27644"/>
    <n v="0"/>
    <n v="0"/>
    <n v="3.16628"/>
    <n v="3.16628"/>
    <n v="0"/>
    <n v="0.59327799999999997"/>
    <n v="5.3222399999999999"/>
    <n v="109949000"/>
    <n v="0"/>
    <n v="0"/>
    <n v="0"/>
    <n v="0"/>
    <n v="4733500"/>
    <n v="325500"/>
    <n v="0"/>
    <n v="99.302199999999999"/>
    <n v="98.274000000000001"/>
    <n v="7.8546199999999997"/>
    <n v="0"/>
    <n v="0"/>
    <n v="1.8701700000000001"/>
    <n v="1.8701700000000001"/>
    <n v="0"/>
    <n v="1.44469"/>
    <n v="2.9635199999999999"/>
    <n v="337062000"/>
    <n v="0"/>
    <n v="0"/>
    <n v="0"/>
    <n v="0"/>
    <n v="4838570"/>
    <n v="157719"/>
    <n v="0"/>
    <n v="9"/>
    <x v="15"/>
    <n v="8.2569190018253564E-7"/>
    <n v="1.7418856819977371E-6"/>
  </r>
  <r>
    <n v="81.9983"/>
    <n v="85.138999999999996"/>
    <n v="6.4800399999999998"/>
    <n v="0"/>
    <n v="0"/>
    <n v="3.1667200000000002"/>
    <n v="3.1667200000000002"/>
    <n v="0"/>
    <n v="0.59336"/>
    <n v="5.3222399999999999"/>
    <n v="110275000"/>
    <n v="0"/>
    <n v="0"/>
    <n v="0"/>
    <n v="0"/>
    <n v="4734160"/>
    <n v="325545"/>
    <n v="0"/>
    <n v="99.302199999999999"/>
    <n v="98.274000000000001"/>
    <n v="7.6587199999999998"/>
    <n v="0"/>
    <n v="0"/>
    <n v="1.87043"/>
    <n v="1.87043"/>
    <n v="0"/>
    <n v="1.44489"/>
    <n v="2.9635199999999999"/>
    <n v="337220000"/>
    <n v="0"/>
    <n v="0"/>
    <n v="0"/>
    <n v="0"/>
    <n v="4839250"/>
    <n v="157741"/>
    <n v="0"/>
    <n v="10"/>
    <x v="15"/>
    <n v="8.2569103431356077E-7"/>
    <n v="1.7418836218742108E-6"/>
  </r>
  <r>
    <n v="85.138999999999996"/>
    <n v="85.138999999999996"/>
    <n v="8.0181699999999996"/>
    <n v="0"/>
    <n v="0"/>
    <n v="2.7656999999999998"/>
    <n v="2.7656999999999998"/>
    <n v="0"/>
    <n v="0.59344300000000005"/>
    <n v="5.3222399999999999"/>
    <n v="110559000"/>
    <n v="0"/>
    <n v="0"/>
    <n v="0"/>
    <n v="0"/>
    <n v="4134650"/>
    <n v="284320"/>
    <n v="0"/>
    <n v="99.302199999999999"/>
    <n v="98.274000000000001"/>
    <n v="8.14527"/>
    <n v="0"/>
    <n v="0"/>
    <n v="1.60656"/>
    <n v="1.60656"/>
    <n v="0"/>
    <n v="1.44509"/>
    <n v="2.9635199999999999"/>
    <n v="337356000"/>
    <n v="0"/>
    <n v="0"/>
    <n v="0"/>
    <n v="0"/>
    <n v="4156570"/>
    <n v="135488"/>
    <n v="0"/>
    <n v="11"/>
    <x v="15"/>
    <n v="8.2568951762011713E-7"/>
    <n v="1.7418858696690564E-6"/>
  </r>
  <r>
    <n v="85.138999999999996"/>
    <n v="85.138999999999996"/>
    <n v="4.2477"/>
    <n v="0"/>
    <n v="0"/>
    <n v="2.7660900000000002"/>
    <n v="2.7660900000000002"/>
    <n v="0"/>
    <n v="0.518293"/>
    <n v="5.3222399999999999"/>
    <n v="110844000"/>
    <n v="0"/>
    <n v="0"/>
    <n v="0"/>
    <n v="0"/>
    <n v="4135230"/>
    <n v="284359"/>
    <n v="0"/>
    <n v="99.302199999999999"/>
    <n v="98.274000000000001"/>
    <n v="5.2426199999999996"/>
    <n v="0"/>
    <n v="0"/>
    <n v="1.6067899999999999"/>
    <n v="1.6067899999999999"/>
    <n v="0"/>
    <n v="1.2412300000000001"/>
    <n v="2.9635199999999999"/>
    <n v="337491000"/>
    <n v="0"/>
    <n v="0"/>
    <n v="0"/>
    <n v="0"/>
    <n v="4157150"/>
    <n v="135507"/>
    <n v="0"/>
    <n v="12"/>
    <x v="15"/>
    <n v="8.2569009196610401E-7"/>
    <n v="1.7418804557610559E-6"/>
  </r>
  <r>
    <n v="85.138999999999996"/>
    <n v="85.138999999999996"/>
    <n v="4.4579899999999997"/>
    <n v="0"/>
    <n v="0"/>
    <n v="2.76647"/>
    <n v="2.76647"/>
    <n v="0"/>
    <n v="0.51836499999999996"/>
    <n v="5.3222399999999999"/>
    <n v="111128000"/>
    <n v="0"/>
    <n v="0"/>
    <n v="0"/>
    <n v="0"/>
    <n v="4135810"/>
    <n v="284399"/>
    <n v="0"/>
    <n v="99.302199999999999"/>
    <n v="98.274000000000001"/>
    <n v="5.5631700000000004"/>
    <n v="0"/>
    <n v="0"/>
    <n v="1.60701"/>
    <n v="1.60701"/>
    <n v="0"/>
    <n v="1.2414000000000001"/>
    <n v="2.9635199999999999"/>
    <n v="337627000"/>
    <n v="0"/>
    <n v="0"/>
    <n v="0"/>
    <n v="0"/>
    <n v="4157720"/>
    <n v="135526"/>
    <n v="0"/>
    <n v="13"/>
    <x v="15"/>
    <n v="8.2569265207361914E-7"/>
    <n v="1.7418811681510436E-6"/>
  </r>
  <r>
    <n v="85.138999999999996"/>
    <n v="85.138999999999996"/>
    <n v="3.4272100000000001"/>
    <n v="0"/>
    <n v="0"/>
    <n v="2.7668599999999999"/>
    <n v="2.7668599999999999"/>
    <n v="0"/>
    <n v="0.51843700000000004"/>
    <n v="5.3222399999999999"/>
    <n v="111412000"/>
    <n v="0"/>
    <n v="0"/>
    <n v="0"/>
    <n v="0"/>
    <n v="4136380"/>
    <n v="284438"/>
    <n v="0"/>
    <n v="99.302199999999999"/>
    <n v="98.274000000000001"/>
    <n v="4.3821700000000003"/>
    <n v="0"/>
    <n v="0"/>
    <n v="1.60724"/>
    <n v="1.60724"/>
    <n v="0"/>
    <n v="1.2415799999999999"/>
    <n v="2.9635199999999999"/>
    <n v="337762000"/>
    <n v="0"/>
    <n v="0"/>
    <n v="0"/>
    <n v="0"/>
    <n v="4158300"/>
    <n v="135545"/>
    <n v="0"/>
    <n v="14"/>
    <x v="15"/>
    <n v="8.2569322582357371E-7"/>
    <n v="1.7418799675320922E-6"/>
  </r>
  <r>
    <n v="85.138999999999996"/>
    <n v="85.138999999999996"/>
    <n v="4.1509200000000002"/>
    <n v="0"/>
    <n v="0"/>
    <n v="2.7672400000000001"/>
    <n v="2.7672400000000001"/>
    <n v="0"/>
    <n v="0.518509"/>
    <n v="5.3222399999999999"/>
    <n v="111697000"/>
    <n v="0"/>
    <n v="0"/>
    <n v="0"/>
    <n v="0"/>
    <n v="4136960"/>
    <n v="284478"/>
    <n v="0"/>
    <n v="99.302199999999999"/>
    <n v="98.274000000000001"/>
    <n v="4.7575000000000003"/>
    <n v="0"/>
    <n v="0"/>
    <n v="1.6074600000000001"/>
    <n v="1.6074600000000001"/>
    <n v="0"/>
    <n v="1.2417499999999999"/>
    <n v="2.9635199999999999"/>
    <n v="337898000"/>
    <n v="0"/>
    <n v="0"/>
    <n v="0"/>
    <n v="0"/>
    <n v="4158880"/>
    <n v="135564"/>
    <n v="0"/>
    <n v="15"/>
    <x v="15"/>
    <n v="8.2569379941349729E-7"/>
    <n v="1.7418806797924979E-6"/>
  </r>
  <r>
    <n v="85.138999999999996"/>
    <n v="85.138999999999996"/>
    <n v="4.8819699999999999"/>
    <n v="0"/>
    <n v="0"/>
    <n v="2.8687499999999999"/>
    <n v="2.8687499999999999"/>
    <n v="0"/>
    <n v="0.51858099999999996"/>
    <n v="5.3222399999999999"/>
    <n v="111992000"/>
    <n v="0"/>
    <n v="0"/>
    <n v="0"/>
    <n v="0"/>
    <n v="4288710"/>
    <n v="294913"/>
    <n v="0"/>
    <n v="99.302199999999999"/>
    <n v="98.274000000000001"/>
    <n v="5.1885199999999996"/>
    <n v="0"/>
    <n v="0"/>
    <n v="1.6723399999999999"/>
    <n v="1.6723399999999999"/>
    <n v="0"/>
    <n v="1.2419199999999999"/>
    <n v="2.9635199999999999"/>
    <n v="338039000"/>
    <n v="0"/>
    <n v="0"/>
    <n v="0"/>
    <n v="0"/>
    <n v="4326750"/>
    <n v="141035"/>
    <n v="0"/>
    <n v="16"/>
    <x v="15"/>
    <n v="8.256883146982109E-7"/>
    <n v="1.741880167383799E-6"/>
  </r>
  <r>
    <n v="85.138999999999996"/>
    <n v="85.138999999999996"/>
    <n v="4.6847799999999999"/>
    <n v="0"/>
    <n v="0"/>
    <n v="2.8691499999999999"/>
    <n v="2.8691499999999999"/>
    <n v="0"/>
    <n v="0.53760399999999997"/>
    <n v="5.3222399999999999"/>
    <n v="112287000"/>
    <n v="0"/>
    <n v="0"/>
    <n v="0"/>
    <n v="0"/>
    <n v="4289310"/>
    <n v="294954"/>
    <n v="0"/>
    <n v="99.302199999999999"/>
    <n v="98.274000000000001"/>
    <n v="4.8953899999999999"/>
    <n v="0"/>
    <n v="0"/>
    <n v="1.67258"/>
    <n v="1.67258"/>
    <n v="0"/>
    <n v="1.2920499999999999"/>
    <n v="2.9635199999999999"/>
    <n v="338180000"/>
    <n v="0"/>
    <n v="0"/>
    <n v="0"/>
    <n v="0"/>
    <n v="4327360"/>
    <n v="141055"/>
    <n v="0"/>
    <n v="17"/>
    <x v="15"/>
    <n v="8.2568899608709986E-7"/>
    <n v="1.7418786379531671E-6"/>
  </r>
  <r>
    <n v="85.138999999999996"/>
    <n v="85.138999999999996"/>
    <n v="4.0473999999999997"/>
    <n v="0"/>
    <n v="0"/>
    <n v="2.8695499999999998"/>
    <n v="2.8695499999999998"/>
    <n v="0"/>
    <n v="0.53767900000000002"/>
    <n v="5.3222399999999999"/>
    <n v="112582000"/>
    <n v="0"/>
    <n v="0"/>
    <n v="0"/>
    <n v="0"/>
    <n v="4289910"/>
    <n v="294996"/>
    <n v="0"/>
    <n v="99.302199999999999"/>
    <n v="98.274000000000001"/>
    <n v="5.2453700000000003"/>
    <n v="0"/>
    <n v="0"/>
    <n v="1.6728099999999999"/>
    <n v="1.6728099999999999"/>
    <n v="0"/>
    <n v="1.29223"/>
    <n v="2.9635199999999999"/>
    <n v="338321000"/>
    <n v="0"/>
    <n v="0"/>
    <n v="0"/>
    <n v="0"/>
    <n v="4327960"/>
    <n v="141075"/>
    <n v="0"/>
    <n v="18"/>
    <x v="15"/>
    <n v="8.2569158508730692E-7"/>
    <n v="1.7418830137186034E-6"/>
  </r>
  <r>
    <n v="85.138999999999996"/>
    <n v="85.138999999999996"/>
    <n v="5.5196399999999999"/>
    <n v="0"/>
    <n v="0"/>
    <n v="2.8699499999999998"/>
    <n v="2.8699499999999998"/>
    <n v="0"/>
    <n v="0.53775399999999995"/>
    <n v="5.3222399999999999"/>
    <n v="112877000"/>
    <n v="0"/>
    <n v="0"/>
    <n v="0"/>
    <n v="0"/>
    <n v="4290510"/>
    <n v="295037"/>
    <n v="0"/>
    <n v="99.302199999999999"/>
    <n v="98.274000000000001"/>
    <n v="6.5751600000000003"/>
    <n v="0"/>
    <n v="0"/>
    <n v="1.6730400000000001"/>
    <n v="1.6730400000000001"/>
    <n v="0"/>
    <n v="1.2924100000000001"/>
    <n v="2.9635199999999999"/>
    <n v="338462000"/>
    <n v="0"/>
    <n v="0"/>
    <n v="0"/>
    <n v="0"/>
    <n v="4328560"/>
    <n v="141094"/>
    <n v="0"/>
    <n v="19"/>
    <x v="15"/>
    <n v="8.2568832132559086E-7"/>
    <n v="1.741881484317692E-6"/>
  </r>
  <r>
    <n v="85.033600000000007"/>
    <n v="85.138999999999996"/>
    <n v="3.0848200000000001"/>
    <n v="0"/>
    <n v="0"/>
    <n v="2.8307899999999999"/>
    <n v="2.8307899999999999"/>
    <n v="0"/>
    <n v="0.537829"/>
    <n v="5.3222399999999999"/>
    <n v="113168000"/>
    <n v="0"/>
    <n v="0"/>
    <n v="0"/>
    <n v="0"/>
    <n v="4231960"/>
    <n v="291011"/>
    <n v="0"/>
    <n v="99.302199999999999"/>
    <n v="98.274000000000001"/>
    <n v="3.7467999999999999"/>
    <n v="0"/>
    <n v="0"/>
    <n v="1.64815"/>
    <n v="1.64815"/>
    <n v="0"/>
    <n v="1.2925899999999999"/>
    <n v="2.9635199999999999"/>
    <n v="338601000"/>
    <n v="0"/>
    <n v="0"/>
    <n v="0"/>
    <n v="0"/>
    <n v="4264150"/>
    <n v="138995"/>
    <n v="0"/>
    <n v="20"/>
    <x v="15"/>
    <n v="8.2569136403448917E-7"/>
    <n v="1.7418826325979298E-6"/>
  </r>
  <r>
    <n v="84.296800000000005"/>
    <n v="85.138999999999996"/>
    <n v="2.43133"/>
    <n v="0"/>
    <n v="0"/>
    <n v="2.8311899999999999"/>
    <n v="2.8311899999999999"/>
    <n v="0"/>
    <n v="0.53049000000000002"/>
    <n v="5.3222399999999999"/>
    <n v="113459000"/>
    <n v="0"/>
    <n v="0"/>
    <n v="0"/>
    <n v="0"/>
    <n v="4232550"/>
    <n v="291051"/>
    <n v="0"/>
    <n v="99.302199999999999"/>
    <n v="98.274000000000001"/>
    <n v="3.40381"/>
    <n v="0"/>
    <n v="0"/>
    <n v="1.64838"/>
    <n v="1.64838"/>
    <n v="0"/>
    <n v="1.27336"/>
    <n v="2.9635199999999999"/>
    <n v="338740000"/>
    <n v="0"/>
    <n v="0"/>
    <n v="0"/>
    <n v="0"/>
    <n v="4264750"/>
    <n v="139014"/>
    <n v="0"/>
    <n v="21"/>
    <x v="15"/>
    <n v="8.2568805147084958E-7"/>
    <n v="1.7418792129621887E-6"/>
  </r>
  <r>
    <n v="83.421999999999997"/>
    <n v="85.138999999999996"/>
    <n v="2.2801300000000002"/>
    <n v="0"/>
    <n v="0"/>
    <n v="2.8315800000000002"/>
    <n v="2.8315800000000002"/>
    <n v="0"/>
    <n v="0.53056400000000004"/>
    <n v="5.3222399999999999"/>
    <n v="113750000"/>
    <n v="0"/>
    <n v="0"/>
    <n v="0"/>
    <n v="0"/>
    <n v="4233140"/>
    <n v="291092"/>
    <n v="0"/>
    <n v="99.302199999999999"/>
    <n v="98.274000000000001"/>
    <n v="3.3247900000000001"/>
    <n v="0"/>
    <n v="0"/>
    <n v="1.6486099999999999"/>
    <n v="1.6486099999999999"/>
    <n v="0"/>
    <n v="1.2735399999999999"/>
    <n v="2.9635199999999999"/>
    <n v="338879000"/>
    <n v="0"/>
    <n v="0"/>
    <n v="0"/>
    <n v="0"/>
    <n v="4265340"/>
    <n v="139034"/>
    <n v="0"/>
    <n v="22"/>
    <x v="15"/>
    <n v="8.2569261442166251E-7"/>
    <n v="1.7418817782358811E-6"/>
  </r>
  <r>
    <n v="83.788899999999998"/>
    <n v="85.138999999999996"/>
    <n v="3.5559500000000002"/>
    <n v="0"/>
    <n v="0"/>
    <n v="2.8319700000000001"/>
    <n v="2.8319700000000001"/>
    <n v="0"/>
    <n v="0.53063800000000005"/>
    <n v="5.3222399999999999"/>
    <n v="114041000"/>
    <n v="0"/>
    <n v="0"/>
    <n v="0"/>
    <n v="0"/>
    <n v="4233730"/>
    <n v="291132"/>
    <n v="0"/>
    <n v="99.302199999999999"/>
    <n v="98.274000000000001"/>
    <n v="4.0267400000000002"/>
    <n v="0"/>
    <n v="0"/>
    <n v="1.6488400000000001"/>
    <n v="1.6488400000000001"/>
    <n v="0"/>
    <n v="1.2737099999999999"/>
    <n v="2.9635199999999999"/>
    <n v="339018000"/>
    <n v="0"/>
    <n v="0"/>
    <n v="0"/>
    <n v="0"/>
    <n v="4265940"/>
    <n v="139053"/>
    <n v="0"/>
    <n v="23"/>
    <x v="15"/>
    <n v="8.2568930260620945E-7"/>
    <n v="1.7418783596723019E-6"/>
  </r>
  <r>
    <n v="82.800299999999993"/>
    <n v="85.138999999999996"/>
    <n v="2.2082899999999999"/>
    <n v="0"/>
    <n v="0"/>
    <n v="2.9667300000000001"/>
    <n v="2.9667300000000001"/>
    <n v="0"/>
    <n v="0.53071199999999996"/>
    <n v="5.3222399999999999"/>
    <n v="114346000"/>
    <n v="0"/>
    <n v="0"/>
    <n v="0"/>
    <n v="0"/>
    <n v="4435180"/>
    <n v="304985"/>
    <n v="0"/>
    <n v="99.194199999999995"/>
    <n v="98.274000000000001"/>
    <n v="3.1773799999999999"/>
    <n v="0"/>
    <n v="0"/>
    <n v="1.7382200000000001"/>
    <n v="1.7382200000000001"/>
    <n v="0"/>
    <n v="1.27389"/>
    <n v="2.9635199999999999"/>
    <n v="339165000"/>
    <n v="0"/>
    <n v="0"/>
    <n v="0"/>
    <n v="0"/>
    <n v="4497200"/>
    <n v="146591"/>
    <n v="0"/>
    <n v="24"/>
    <x v="15"/>
    <n v="8.2568832413632094E-7"/>
    <n v="1.7418801407627048E-6"/>
  </r>
  <r>
    <n v="81.631500000000003"/>
    <n v="85.138999999999996"/>
    <n v="1.9694799999999999"/>
    <n v="0"/>
    <n v="0"/>
    <n v="2.9671400000000001"/>
    <n v="2.9671400000000001"/>
    <n v="0"/>
    <n v="0.55596500000000004"/>
    <n v="5.3222399999999999"/>
    <n v="114651000"/>
    <n v="0"/>
    <n v="0"/>
    <n v="0"/>
    <n v="0"/>
    <n v="4435800"/>
    <n v="305028"/>
    <n v="0"/>
    <n v="99.168999999999997"/>
    <n v="98.274000000000001"/>
    <n v="2.6901799999999998"/>
    <n v="0"/>
    <n v="0"/>
    <n v="1.73847"/>
    <n v="1.73847"/>
    <n v="0"/>
    <n v="1.3429500000000001"/>
    <n v="2.9635199999999999"/>
    <n v="339311000"/>
    <n v="0"/>
    <n v="0"/>
    <n v="0"/>
    <n v="0"/>
    <n v="4497830"/>
    <n v="146612"/>
    <n v="0"/>
    <n v="25"/>
    <x v="15"/>
    <n v="8.2569094001267294E-7"/>
    <n v="1.741882229238234E-6"/>
  </r>
  <r>
    <n v="80.420199999999994"/>
    <n v="85.138999999999996"/>
    <n v="1.91103"/>
    <n v="0"/>
    <n v="0"/>
    <n v="2.9675500000000001"/>
    <n v="2.9675500000000001"/>
    <n v="0"/>
    <n v="0.55604200000000004"/>
    <n v="5.3222399999999999"/>
    <n v="114956000"/>
    <n v="0"/>
    <n v="0"/>
    <n v="0"/>
    <n v="0"/>
    <n v="4436420"/>
    <n v="305070"/>
    <n v="0"/>
    <n v="99.087999999999994"/>
    <n v="98.274000000000001"/>
    <n v="2.4605100000000002"/>
    <n v="0"/>
    <n v="0"/>
    <n v="1.73871"/>
    <n v="1.73871"/>
    <n v="0"/>
    <n v="1.34314"/>
    <n v="2.9635199999999999"/>
    <n v="339458000"/>
    <n v="0"/>
    <n v="0"/>
    <n v="0"/>
    <n v="0"/>
    <n v="4498460"/>
    <n v="146632"/>
    <n v="0"/>
    <n v="26"/>
    <x v="15"/>
    <n v="8.2568792413496815E-7"/>
    <n v="1.7418786073630616E-6"/>
  </r>
  <r>
    <n v="79.008799999999994"/>
    <n v="85.138999999999996"/>
    <n v="1.6771100000000001"/>
    <n v="0"/>
    <n v="0"/>
    <n v="2.9679700000000002"/>
    <n v="2.9679700000000002"/>
    <n v="0"/>
    <n v="0.55611999999999995"/>
    <n v="5.3222399999999999"/>
    <n v="115261000"/>
    <n v="0"/>
    <n v="0"/>
    <n v="0"/>
    <n v="0"/>
    <n v="4437040"/>
    <n v="305113"/>
    <n v="0"/>
    <n v="99.034199999999998"/>
    <n v="98.274000000000001"/>
    <n v="2.3068300000000002"/>
    <n v="0"/>
    <n v="0"/>
    <n v="1.73895"/>
    <n v="1.73895"/>
    <n v="0"/>
    <n v="1.3433299999999999"/>
    <n v="2.9635199999999999"/>
    <n v="339605000"/>
    <n v="0"/>
    <n v="0"/>
    <n v="0"/>
    <n v="0"/>
    <n v="4499080"/>
    <n v="146653"/>
    <n v="0"/>
    <n v="27"/>
    <x v="15"/>
    <n v="8.2569237457780857E-7"/>
    <n v="1.7418806954692001E-6"/>
  </r>
  <r>
    <n v="77.556299999999993"/>
    <n v="85.138999999999996"/>
    <n v="1.5835399999999999"/>
    <n v="0"/>
    <n v="0"/>
    <n v="2.9683799999999998"/>
    <n v="2.9683799999999998"/>
    <n v="0"/>
    <n v="0.55619700000000005"/>
    <n v="5.3222399999999999"/>
    <n v="115566000"/>
    <n v="0"/>
    <n v="0"/>
    <n v="0"/>
    <n v="0"/>
    <n v="4437660"/>
    <n v="305155"/>
    <n v="0"/>
    <n v="98.956900000000005"/>
    <n v="98.274000000000001"/>
    <n v="2.2072600000000002"/>
    <n v="0"/>
    <n v="0"/>
    <n v="1.73919"/>
    <n v="1.73919"/>
    <n v="0"/>
    <n v="1.34351"/>
    <n v="2.9635199999999999"/>
    <n v="339751000"/>
    <n v="0"/>
    <n v="0"/>
    <n v="0"/>
    <n v="0"/>
    <n v="4499710"/>
    <n v="146673"/>
    <n v="0"/>
    <n v="28"/>
    <x v="15"/>
    <n v="8.2568935933704958E-7"/>
    <n v="1.7418770748203635E-6"/>
  </r>
  <r>
    <n v="75.730900000000005"/>
    <n v="85.138999999999996"/>
    <n v="1.1918"/>
    <n v="0"/>
    <n v="0"/>
    <n v="2.9422100000000002"/>
    <n v="2.9422100000000002"/>
    <n v="0"/>
    <n v="0.55627499999999996"/>
    <n v="5.3222399999999999"/>
    <n v="115869000"/>
    <n v="0"/>
    <n v="0"/>
    <n v="0"/>
    <n v="0"/>
    <n v="4398520"/>
    <n v="302464"/>
    <n v="0"/>
    <n v="98.731399999999994"/>
    <n v="98.274000000000001"/>
    <n v="2.0044499999999998"/>
    <n v="0"/>
    <n v="0"/>
    <n v="1.78847"/>
    <n v="1.78847"/>
    <n v="0"/>
    <n v="1.3436999999999999"/>
    <n v="2.9635199999999999"/>
    <n v="339902000"/>
    <n v="0"/>
    <n v="0"/>
    <n v="0"/>
    <n v="0"/>
    <n v="4627200"/>
    <n v="150829"/>
    <n v="0"/>
    <n v="29"/>
    <x v="15"/>
    <n v="8.2569112826303295E-7"/>
    <n v="1.7418797009955723E-6"/>
  </r>
  <r>
    <n v="73.847999999999999"/>
    <n v="85.138999999999996"/>
    <n v="1.12103"/>
    <n v="0"/>
    <n v="0"/>
    <n v="2.9426199999999998"/>
    <n v="2.9426199999999998"/>
    <n v="0"/>
    <n v="0.551369"/>
    <n v="5.3222399999999999"/>
    <n v="116171000"/>
    <n v="0"/>
    <n v="0"/>
    <n v="0"/>
    <n v="0"/>
    <n v="4399140"/>
    <n v="302507"/>
    <n v="0"/>
    <n v="98.4679"/>
    <n v="98.274000000000001"/>
    <n v="1.9137599999999999"/>
    <n v="0"/>
    <n v="0"/>
    <n v="1.7887200000000001"/>
    <n v="1.7887200000000001"/>
    <n v="0"/>
    <n v="1.3817699999999999"/>
    <n v="2.9635199999999999"/>
    <n v="340053000"/>
    <n v="0"/>
    <n v="0"/>
    <n v="0"/>
    <n v="0"/>
    <n v="4627850"/>
    <n v="150850"/>
    <n v="0"/>
    <n v="30"/>
    <x v="15"/>
    <n v="8.256901019069425E-7"/>
    <n v="1.7418818069372808E-6"/>
  </r>
  <r>
    <n v="71.885099999999994"/>
    <n v="85.138999999999996"/>
    <n v="1.02522"/>
    <n v="0"/>
    <n v="0"/>
    <n v="2.9430299999999998"/>
    <n v="2.9430299999999998"/>
    <n v="0"/>
    <n v="0.55144599999999999"/>
    <n v="5.3222399999999999"/>
    <n v="116474000"/>
    <n v="0"/>
    <n v="0"/>
    <n v="0"/>
    <n v="0"/>
    <n v="4399750"/>
    <n v="302549"/>
    <n v="0"/>
    <n v="98.084999999999994"/>
    <n v="98.274000000000001"/>
    <n v="1.8733500000000001"/>
    <n v="0"/>
    <n v="0"/>
    <n v="1.7889699999999999"/>
    <n v="1.7889699999999999"/>
    <n v="0"/>
    <n v="1.3819699999999999"/>
    <n v="2.9635199999999999"/>
    <n v="340204000"/>
    <n v="0"/>
    <n v="0"/>
    <n v="0"/>
    <n v="0"/>
    <n v="4628490"/>
    <n v="150871"/>
    <n v="0"/>
    <n v="31"/>
    <x v="15"/>
    <n v="8.2569085976665849E-7"/>
    <n v="1.7418821139821E-6"/>
  </r>
  <r>
    <n v="70.098799999999997"/>
    <n v="85.138999999999996"/>
    <n v="0.92923599999999995"/>
    <n v="0.01"/>
    <n v="0"/>
    <n v="2.6410399999999998"/>
    <n v="2.9434399999999998"/>
    <n v="0"/>
    <n v="0.55152299999999999"/>
    <n v="5.3222399999999999"/>
    <n v="116368000"/>
    <n v="0"/>
    <n v="0"/>
    <n v="0"/>
    <n v="0"/>
    <n v="3948280"/>
    <n v="-105948"/>
    <n v="408539"/>
    <n v="97.527100000000004"/>
    <n v="98.274000000000001"/>
    <n v="1.71574"/>
    <n v="0"/>
    <n v="0"/>
    <n v="2.0916199999999998"/>
    <n v="1.78922"/>
    <n v="0"/>
    <n v="1.3821600000000001"/>
    <n v="2.9635199999999999"/>
    <n v="341137000"/>
    <n v="0"/>
    <n v="0"/>
    <n v="0"/>
    <n v="0"/>
    <n v="5411520"/>
    <n v="933273"/>
    <n v="0"/>
    <n v="32"/>
    <x v="15"/>
    <n v="4.368581795938383E-6"/>
    <n v="-6.7972909038172979E-7"/>
  </r>
  <r>
    <n v="68.268600000000006"/>
    <n v="85.138999999999996"/>
    <n v="0.89068400000000003"/>
    <n v="0.01"/>
    <n v="0"/>
    <n v="2.7101500000000001"/>
    <n v="3.0125500000000001"/>
    <n v="0"/>
    <n v="0.49492999999999998"/>
    <n v="5.3222399999999999"/>
    <n v="116269000"/>
    <n v="0"/>
    <n v="0"/>
    <n v="0"/>
    <n v="0"/>
    <n v="4051600"/>
    <n v="-98842.7"/>
    <n v="408539"/>
    <n v="97.001199999999997"/>
    <n v="98.274000000000001"/>
    <n v="1.8163899999999999"/>
    <n v="0"/>
    <n v="0"/>
    <n v="2.1356000000000002"/>
    <n v="1.8331999999999999"/>
    <n v="0"/>
    <n v="1.61599"/>
    <n v="2.9635199999999999"/>
    <n v="342074000"/>
    <n v="0"/>
    <n v="0"/>
    <n v="0"/>
    <n v="0"/>
    <n v="5525300"/>
    <n v="936982"/>
    <n v="0"/>
    <n v="33"/>
    <x v="15"/>
    <n v="4.2956256056265685E-6"/>
    <n v="-6.1797239515066649E-7"/>
  </r>
  <r>
    <n v="66.428299999999993"/>
    <n v="85.138999999999996"/>
    <n v="0.88141899999999995"/>
    <n v="0.02"/>
    <n v="0"/>
    <n v="2.7105700000000001"/>
    <n v="3.0129700000000001"/>
    <n v="0"/>
    <n v="0.50788199999999994"/>
    <n v="5.3222399999999999"/>
    <n v="116170000"/>
    <n v="0"/>
    <n v="0"/>
    <n v="0"/>
    <n v="0"/>
    <n v="4052230"/>
    <n v="-98799.5"/>
    <n v="408539"/>
    <n v="96.444500000000005"/>
    <n v="98.274000000000001"/>
    <n v="1.8068299999999999"/>
    <n v="0"/>
    <n v="0"/>
    <n v="2.13585"/>
    <n v="1.83345"/>
    <n v="0"/>
    <n v="1.6499600000000001"/>
    <n v="2.9635199999999999"/>
    <n v="343011000"/>
    <n v="0"/>
    <n v="0"/>
    <n v="0"/>
    <n v="0"/>
    <n v="5525960"/>
    <n v="937003"/>
    <n v="0"/>
    <n v="34"/>
    <x v="15"/>
    <n v="4.2952088158763033E-6"/>
    <n v="-6.1760627117921376E-7"/>
  </r>
  <r>
    <n v="64.552300000000002"/>
    <n v="85.138999999999996"/>
    <n v="0.81457400000000002"/>
    <n v="0.02"/>
    <n v="0"/>
    <n v="2.7109899999999998"/>
    <n v="3.0133899999999998"/>
    <n v="0"/>
    <n v="0.507961"/>
    <n v="5.3222399999999999"/>
    <n v="116072000"/>
    <n v="0"/>
    <n v="0"/>
    <n v="0"/>
    <n v="0"/>
    <n v="4052860"/>
    <n v="-98756.4"/>
    <n v="408539"/>
    <n v="95.702500000000001"/>
    <n v="98.274000000000001"/>
    <n v="1.7198500000000001"/>
    <n v="0"/>
    <n v="0"/>
    <n v="2.13611"/>
    <n v="1.83371"/>
    <n v="0"/>
    <n v="1.6501600000000001"/>
    <n v="2.9635199999999999"/>
    <n v="343948000"/>
    <n v="0"/>
    <n v="0"/>
    <n v="0"/>
    <n v="0"/>
    <n v="5526620"/>
    <n v="937025"/>
    <n v="0"/>
    <n v="35"/>
    <x v="15"/>
    <n v="4.2947967091125323E-6"/>
    <n v="-6.172408860461711E-7"/>
  </r>
  <r>
    <n v="62.625500000000002"/>
    <n v="85.138999999999996"/>
    <n v="0.74169700000000005"/>
    <n v="0.02"/>
    <n v="0"/>
    <n v="2.7114099999999999"/>
    <n v="3.0138099999999999"/>
    <n v="0"/>
    <n v="0.50803900000000002"/>
    <n v="5.3222399999999999"/>
    <n v="115973000"/>
    <n v="0"/>
    <n v="0"/>
    <n v="0"/>
    <n v="0"/>
    <n v="4053490"/>
    <n v="-98713.2"/>
    <n v="408539"/>
    <n v="95.279499999999999"/>
    <n v="98.274000000000001"/>
    <n v="1.5388500000000001"/>
    <n v="0"/>
    <n v="0"/>
    <n v="2.1363599999999998"/>
    <n v="1.83396"/>
    <n v="0"/>
    <n v="1.65036"/>
    <n v="2.9635199999999999"/>
    <n v="344885000"/>
    <n v="0"/>
    <n v="0"/>
    <n v="0"/>
    <n v="0"/>
    <n v="5527280"/>
    <n v="937046"/>
    <n v="0"/>
    <n v="36"/>
    <x v="15"/>
    <n v="4.294380117874767E-6"/>
    <n v="-6.1687498957421632E-7"/>
  </r>
  <r>
    <n v="60.667000000000002"/>
    <n v="85.138999999999996"/>
    <n v="0.84314"/>
    <n v="0.02"/>
    <n v="0"/>
    <n v="2.9131399999999998"/>
    <n v="3.2155399999999998"/>
    <n v="0"/>
    <n v="0.50811799999999996"/>
    <n v="5.3222399999999999"/>
    <n v="115895000"/>
    <n v="0"/>
    <n v="0"/>
    <n v="0"/>
    <n v="0"/>
    <n v="4355060"/>
    <n v="-77975.3"/>
    <n v="408539"/>
    <n v="94.588999999999999"/>
    <n v="98.274000000000001"/>
    <n v="2.0697399999999999"/>
    <n v="0"/>
    <n v="0"/>
    <n v="2.29454"/>
    <n v="1.99214"/>
    <n v="0"/>
    <n v="1.65055"/>
    <n v="2.9635199999999999"/>
    <n v="345836000"/>
    <n v="0"/>
    <n v="0"/>
    <n v="0"/>
    <n v="0"/>
    <n v="5936510"/>
    <n v="950386"/>
    <n v="0"/>
    <n v="37"/>
    <x v="15"/>
    <n v="4.0552708356842842E-6"/>
    <n v="-4.5353828085568246E-7"/>
  </r>
  <r>
    <n v="58.5687"/>
    <n v="85.138999999999996"/>
    <n v="0.67081500000000005"/>
    <n v="0.02"/>
    <n v="0"/>
    <n v="2.9135800000000001"/>
    <n v="3.2159800000000001"/>
    <n v="0"/>
    <n v="0.54592200000000002"/>
    <n v="5.3222399999999999"/>
    <n v="115817000"/>
    <n v="0"/>
    <n v="0"/>
    <n v="0"/>
    <n v="0"/>
    <n v="4355730"/>
    <n v="-77929.2"/>
    <n v="408539"/>
    <n v="93.991900000000001"/>
    <n v="98.274000000000001"/>
    <n v="1.6572199999999999"/>
    <n v="0"/>
    <n v="0"/>
    <n v="2.29481"/>
    <n v="1.99241"/>
    <n v="0"/>
    <n v="1.7727599999999999"/>
    <n v="2.9635199999999999"/>
    <n v="346786000"/>
    <n v="0"/>
    <n v="0"/>
    <n v="0"/>
    <n v="0"/>
    <n v="5937230"/>
    <n v="950409"/>
    <n v="0"/>
    <n v="38"/>
    <x v="15"/>
    <n v="4.0548771868376571E-6"/>
    <n v="-4.5320042101113705E-7"/>
  </r>
  <r>
    <n v="56.5336"/>
    <n v="85.138999999999996"/>
    <n v="0.72480599999999995"/>
    <n v="0.02"/>
    <n v="0"/>
    <n v="2.9140299999999999"/>
    <n v="3.2164299999999999"/>
    <n v="0"/>
    <n v="0.54600599999999999"/>
    <n v="5.3222399999999999"/>
    <n v="115739000"/>
    <n v="0"/>
    <n v="0"/>
    <n v="0"/>
    <n v="0"/>
    <n v="4356400"/>
    <n v="-77883.199999999997"/>
    <n v="408539"/>
    <n v="93.138400000000004"/>
    <n v="98.274000000000001"/>
    <n v="2.00963"/>
    <n v="0"/>
    <n v="0"/>
    <n v="2.2950900000000001"/>
    <n v="1.9926900000000001"/>
    <n v="0"/>
    <n v="1.7729699999999999"/>
    <n v="2.9635199999999999"/>
    <n v="347736000"/>
    <n v="0"/>
    <n v="0"/>
    <n v="0"/>
    <n v="0"/>
    <n v="5937950"/>
    <n v="950432"/>
    <n v="0"/>
    <n v="39"/>
    <x v="15"/>
    <n v="4.0544836334540005E-6"/>
    <n v="-4.5286324655467049E-7"/>
  </r>
  <r>
    <n v="54.405500000000004"/>
    <n v="85.138999999999996"/>
    <n v="0.60231299999999999"/>
    <n v="0.02"/>
    <n v="0"/>
    <n v="2.9144800000000002"/>
    <n v="3.2168800000000002"/>
    <n v="0"/>
    <n v="0.54608900000000005"/>
    <n v="5.3222399999999999"/>
    <n v="115661000"/>
    <n v="0"/>
    <n v="0"/>
    <n v="0"/>
    <n v="0"/>
    <n v="4357070"/>
    <n v="-77837.100000000006"/>
    <n v="408539"/>
    <n v="92.759399999999999"/>
    <n v="98.274000000000001"/>
    <n v="1.44594"/>
    <n v="0"/>
    <n v="0"/>
    <n v="2.2953700000000001"/>
    <n v="1.9929699999999999"/>
    <n v="0"/>
    <n v="1.77319"/>
    <n v="2.9635199999999999"/>
    <n v="348687000"/>
    <n v="0"/>
    <n v="0"/>
    <n v="0"/>
    <n v="0"/>
    <n v="5938670"/>
    <n v="950456"/>
    <n v="0"/>
    <n v="40"/>
    <x v="15"/>
    <n v="4.0540944409190215E-6"/>
    <n v="-4.5252559441970371E-7"/>
  </r>
  <r>
    <n v="52.438000000000002"/>
    <n v="85.138999999999996"/>
    <n v="0.73459099999999999"/>
    <n v="0.03"/>
    <n v="0"/>
    <n v="2.91493"/>
    <n v="3.21733"/>
    <n v="0"/>
    <n v="0.54617300000000002"/>
    <n v="5.3222399999999999"/>
    <n v="115583000"/>
    <n v="0"/>
    <n v="0"/>
    <n v="0"/>
    <n v="0"/>
    <n v="4357740"/>
    <n v="-77791"/>
    <n v="408539"/>
    <n v="92.260400000000004"/>
    <n v="98.274000000000001"/>
    <n v="2.6301100000000002"/>
    <n v="0"/>
    <n v="0"/>
    <n v="2.2956500000000002"/>
    <n v="1.99325"/>
    <n v="0"/>
    <n v="1.7734000000000001"/>
    <n v="2.9635199999999999"/>
    <n v="349637000"/>
    <n v="0"/>
    <n v="0"/>
    <n v="0"/>
    <n v="0"/>
    <n v="5939380"/>
    <n v="950479"/>
    <n v="0"/>
    <n v="41"/>
    <x v="15"/>
    <n v="4.0537079029650576E-6"/>
    <n v="-4.5218804611237711E-7"/>
  </r>
  <r>
    <n v="50.488100000000003"/>
    <n v="85.138999999999996"/>
    <n v="0.660223"/>
    <n v="0.03"/>
    <n v="0"/>
    <n v="2.8172000000000001"/>
    <n v="3.1196000000000002"/>
    <n v="0"/>
    <n v="0.54625699999999999"/>
    <n v="5.3222399999999999"/>
    <n v="115496000"/>
    <n v="0"/>
    <n v="0"/>
    <n v="0"/>
    <n v="0"/>
    <n v="4211640"/>
    <n v="-87837.8"/>
    <n v="408539"/>
    <n v="91.498800000000003"/>
    <n v="98.274000000000001"/>
    <n v="1.88832"/>
    <n v="0"/>
    <n v="0"/>
    <n v="2.2000099999999998"/>
    <n v="1.89761"/>
    <n v="0"/>
    <n v="1.77362"/>
    <n v="2.9635199999999999"/>
    <n v="350580000"/>
    <n v="0"/>
    <n v="0"/>
    <n v="0"/>
    <n v="0"/>
    <n v="5691940"/>
    <n v="942414"/>
    <n v="0"/>
    <n v="42"/>
    <x v="15"/>
    <n v="4.1940388935643259E-6"/>
    <n v="-5.2830077281522298E-7"/>
  </r>
  <r>
    <n v="48.556399999999996"/>
    <n v="85.138999999999996"/>
    <n v="0.67620000000000002"/>
    <n v="0.03"/>
    <n v="0"/>
    <n v="2.8176299999999999"/>
    <n v="3.1200299999999999"/>
    <n v="0"/>
    <n v="0.52794300000000005"/>
    <n v="5.3222399999999999"/>
    <n v="115408000"/>
    <n v="0"/>
    <n v="0"/>
    <n v="0"/>
    <n v="0"/>
    <n v="4212290"/>
    <n v="-87793.1"/>
    <n v="408539"/>
    <n v="90.957099999999997"/>
    <n v="98.274000000000001"/>
    <n v="1.68435"/>
    <n v="0"/>
    <n v="0"/>
    <n v="2.2002700000000002"/>
    <n v="1.8978699999999999"/>
    <n v="0"/>
    <n v="1.69973"/>
    <n v="2.9635199999999999"/>
    <n v="351522000"/>
    <n v="0"/>
    <n v="0"/>
    <n v="0"/>
    <n v="0"/>
    <n v="5692630"/>
    <n v="942436"/>
    <n v="0"/>
    <n v="43"/>
    <x v="15"/>
    <n v="4.1936284318795034E-6"/>
    <n v="-5.2795044370190241E-7"/>
  </r>
  <r>
    <n v="46.956299999999999"/>
    <n v="85.138999999999996"/>
    <n v="1.0011300000000001"/>
    <n v="0.06"/>
    <n v="0"/>
    <n v="2.8180700000000001"/>
    <n v="3.1204700000000001"/>
    <n v="0"/>
    <n v="0.52802400000000005"/>
    <n v="5.3222399999999999"/>
    <n v="115320000"/>
    <n v="0"/>
    <n v="0"/>
    <n v="0"/>
    <n v="0"/>
    <n v="4212940"/>
    <n v="-87748.5"/>
    <n v="408539"/>
    <n v="90.7517"/>
    <n v="98.274000000000001"/>
    <n v="1.97841"/>
    <n v="0"/>
    <n v="0"/>
    <n v="2.2005400000000002"/>
    <n v="1.8981399999999999"/>
    <n v="0"/>
    <n v="1.6999299999999999"/>
    <n v="2.9635199999999999"/>
    <n v="352465000"/>
    <n v="0"/>
    <n v="0"/>
    <n v="0"/>
    <n v="0"/>
    <n v="5693310"/>
    <n v="942458"/>
    <n v="0"/>
    <n v="44"/>
    <x v="15"/>
    <n v="4.1932254348535217E-6"/>
    <n v="-5.2760082395550426E-7"/>
  </r>
  <r>
    <n v="45.714199999999998"/>
    <n v="85.138999999999996"/>
    <n v="1.3879600000000001"/>
    <n v="0.06"/>
    <n v="0"/>
    <n v="2.8184999999999998"/>
    <n v="3.1208999999999998"/>
    <n v="0"/>
    <n v="0.52810599999999996"/>
    <n v="5.3222399999999999"/>
    <n v="115232000"/>
    <n v="0"/>
    <n v="0"/>
    <n v="0"/>
    <n v="0"/>
    <n v="4213590"/>
    <n v="-87703.8"/>
    <n v="408539"/>
    <n v="90.636300000000006"/>
    <n v="98.274000000000001"/>
    <n v="3.1911900000000002"/>
    <n v="0"/>
    <n v="0"/>
    <n v="2.2008000000000001"/>
    <n v="1.8984000000000001"/>
    <n v="0"/>
    <n v="1.7001299999999999"/>
    <n v="2.9635199999999999"/>
    <n v="353407000"/>
    <n v="0"/>
    <n v="0"/>
    <n v="0"/>
    <n v="0"/>
    <n v="5693990"/>
    <n v="942480"/>
    <n v="0"/>
    <n v="45"/>
    <x v="15"/>
    <n v="4.1928225340827065E-6"/>
    <n v="-5.2725071090369103E-7"/>
  </r>
  <r>
    <n v="44.368099999999998"/>
    <n v="85.138999999999996"/>
    <n v="1.19685"/>
    <n v="0.06"/>
    <n v="0"/>
    <n v="2.7383000000000002"/>
    <n v="3.0407000000000002"/>
    <n v="0"/>
    <n v="0.52818699999999996"/>
    <n v="5.3222399999999999"/>
    <n v="115136000"/>
    <n v="0"/>
    <n v="0"/>
    <n v="0"/>
    <n v="0"/>
    <n v="4093700"/>
    <n v="-95948.2"/>
    <n v="408539"/>
    <n v="90.018699999999995"/>
    <n v="98.274000000000001"/>
    <n v="2.0926399999999998"/>
    <n v="0"/>
    <n v="0"/>
    <n v="2.1137100000000002"/>
    <n v="1.81131"/>
    <n v="0"/>
    <n v="1.70034"/>
    <n v="2.9635199999999999"/>
    <n v="354342000"/>
    <n v="0"/>
    <n v="0"/>
    <n v="0"/>
    <n v="0"/>
    <n v="5468660"/>
    <n v="935136"/>
    <n v="0"/>
    <n v="46"/>
    <x v="15"/>
    <n v="4.3315655521497865E-6"/>
    <n v="-5.9370657245597959E-7"/>
  </r>
  <r>
    <n v="43.210900000000002"/>
    <n v="85.138999999999996"/>
    <n v="1.4096599999999999"/>
    <n v="0.09"/>
    <n v="0"/>
    <n v="2.7387299999999999"/>
    <n v="3.0411299999999999"/>
    <n v="0"/>
    <n v="0.513158"/>
    <n v="5.3222399999999999"/>
    <n v="115041000"/>
    <n v="0"/>
    <n v="0"/>
    <n v="0"/>
    <n v="0"/>
    <n v="4094330"/>
    <n v="-95904.6"/>
    <n v="408539"/>
    <n v="89.372699999999995"/>
    <n v="98.274000000000001"/>
    <n v="1.4092499999999999"/>
    <n v="0"/>
    <n v="0"/>
    <n v="2.1139600000000001"/>
    <n v="1.8115600000000001"/>
    <n v="0"/>
    <n v="1.6330499999999999"/>
    <n v="2.9635199999999999"/>
    <n v="355277000"/>
    <n v="0"/>
    <n v="0"/>
    <n v="0"/>
    <n v="0"/>
    <n v="5469320"/>
    <n v="935157"/>
    <n v="0"/>
    <n v="47"/>
    <x v="15"/>
    <n v="4.331140109159966E-6"/>
    <n v="-5.9334547224122354E-7"/>
  </r>
  <r>
    <n v="41.876600000000003"/>
    <n v="85.138999999999996"/>
    <n v="1.19554"/>
    <n v="0.09"/>
    <n v="0"/>
    <n v="2.73915"/>
    <n v="3.04155"/>
    <n v="0"/>
    <n v="0.51323799999999997"/>
    <n v="5.3222399999999999"/>
    <n v="114945000"/>
    <n v="0"/>
    <n v="0"/>
    <n v="0"/>
    <n v="0"/>
    <n v="4094960"/>
    <n v="-95861.1"/>
    <n v="408539"/>
    <n v="89.161799999999999"/>
    <n v="98.274000000000001"/>
    <n v="1.6548499999999999"/>
    <n v="0"/>
    <n v="0"/>
    <n v="2.1142099999999999"/>
    <n v="1.8118099999999999"/>
    <n v="0"/>
    <n v="1.6332500000000001"/>
    <n v="2.9635199999999999"/>
    <n v="356213000"/>
    <n v="0"/>
    <n v="0"/>
    <n v="0"/>
    <n v="0"/>
    <n v="5469970"/>
    <n v="935178"/>
    <n v="0"/>
    <n v="48"/>
    <x v="15"/>
    <n v="4.3307226860919025E-6"/>
    <n v="-5.9298510172314478E-7"/>
  </r>
  <r>
    <n v="42.9343"/>
    <n v="85.138999999999996"/>
    <n v="3.7052999999999998"/>
    <n v="0.09"/>
    <n v="0"/>
    <n v="2.7395800000000001"/>
    <n v="3.0419800000000001"/>
    <n v="0"/>
    <n v="0.51331700000000002"/>
    <n v="5.3222399999999999"/>
    <n v="114849000"/>
    <n v="0"/>
    <n v="0"/>
    <n v="0"/>
    <n v="0"/>
    <n v="4095600"/>
    <n v="-95817.5"/>
    <n v="408539"/>
    <n v="89.748500000000007"/>
    <n v="98.274000000000001"/>
    <n v="5.0370699999999999"/>
    <n v="0"/>
    <n v="0"/>
    <n v="2.1144599999999998"/>
    <n v="1.81206"/>
    <n v="0"/>
    <n v="1.63344"/>
    <n v="2.9635199999999999"/>
    <n v="357148000"/>
    <n v="0"/>
    <n v="0"/>
    <n v="0"/>
    <n v="0"/>
    <n v="5470620"/>
    <n v="935199"/>
    <n v="0"/>
    <n v="49"/>
    <x v="15"/>
    <n v="4.3303053622173474E-6"/>
    <n v="-5.9262277660185914E-7"/>
  </r>
  <r>
    <n v="43.643099999999997"/>
    <n v="85.138999999999996"/>
    <n v="3.20052"/>
    <n v="0.09"/>
    <n v="0"/>
    <n v="2.5108700000000002"/>
    <n v="2.8132700000000002"/>
    <n v="0"/>
    <n v="0.51339699999999999"/>
    <n v="5.3222399999999999"/>
    <n v="114730000"/>
    <n v="0"/>
    <n v="0"/>
    <n v="0"/>
    <n v="0"/>
    <n v="3753690"/>
    <n v="-119329"/>
    <n v="408539"/>
    <n v="90.262600000000006"/>
    <n v="98.274000000000001"/>
    <n v="3.2588499999999998"/>
    <n v="0"/>
    <n v="0"/>
    <n v="1.93268"/>
    <n v="1.63028"/>
    <n v="0"/>
    <n v="1.63364"/>
    <n v="2.9635199999999999"/>
    <n v="358068000"/>
    <n v="0"/>
    <n v="0"/>
    <n v="0"/>
    <n v="0"/>
    <n v="5000290"/>
    <n v="919868"/>
    <n v="0"/>
    <n v="50"/>
    <x v="15"/>
    <n v="4.65995106672863E-6"/>
    <n v="-8.052646520335904E-7"/>
  </r>
  <r>
    <n v="44.6004"/>
    <n v="85.138999999999996"/>
    <n v="3.5189900000000001"/>
    <n v="0.1"/>
    <n v="0"/>
    <n v="2.51126"/>
    <n v="2.81366"/>
    <n v="0"/>
    <n v="0.47053699999999998"/>
    <n v="5.3222399999999999"/>
    <n v="114610000"/>
    <n v="0"/>
    <n v="0"/>
    <n v="0"/>
    <n v="0"/>
    <n v="3754280"/>
    <n v="-119288"/>
    <n v="408539"/>
    <n v="90.729799999999997"/>
    <n v="98.274000000000001"/>
    <n v="4.4190100000000001"/>
    <n v="0"/>
    <n v="0"/>
    <n v="1.9329000000000001"/>
    <n v="1.6305000000000001"/>
    <n v="0"/>
    <n v="1.49319"/>
    <n v="2.9635199999999999"/>
    <n v="358988000"/>
    <n v="0"/>
    <n v="0"/>
    <n v="0"/>
    <n v="0"/>
    <n v="5000880"/>
    <n v="919888"/>
    <n v="0"/>
    <n v="51"/>
    <x v="15"/>
    <n v="4.659502595131154E-6"/>
    <n v="-8.0486146579201391E-7"/>
  </r>
  <r>
    <n v="47.217300000000002"/>
    <n v="85.138999999999996"/>
    <n v="5.2330800000000002"/>
    <n v="0.1"/>
    <n v="0"/>
    <n v="2.51166"/>
    <n v="2.81406"/>
    <n v="0"/>
    <n v="0.470611"/>
    <n v="5.3222399999999999"/>
    <n v="114491000"/>
    <n v="0"/>
    <n v="0"/>
    <n v="0"/>
    <n v="0"/>
    <n v="3754860"/>
    <n v="-119248"/>
    <n v="408539"/>
    <n v="91.448800000000006"/>
    <n v="98.274000000000001"/>
    <n v="5.2864899999999997"/>
    <n v="0"/>
    <n v="0"/>
    <n v="1.93313"/>
    <n v="1.63073"/>
    <n v="0"/>
    <n v="1.49336"/>
    <n v="2.9635199999999999"/>
    <n v="359907000"/>
    <n v="0"/>
    <n v="0"/>
    <n v="0"/>
    <n v="0"/>
    <n v="5001470"/>
    <n v="919907"/>
    <n v="0"/>
    <n v="52"/>
    <x v="15"/>
    <n v="4.6590491646460191E-6"/>
    <n v="-8.0446729487109105E-7"/>
  </r>
  <r>
    <n v="47.668199999999999"/>
    <n v="85.138999999999996"/>
    <n v="3.0595599999999998"/>
    <n v="7.0000000000000007E-2"/>
    <n v="0"/>
    <n v="2.5120499999999999"/>
    <n v="2.8144499999999999"/>
    <n v="0"/>
    <n v="0.47068399999999999"/>
    <n v="5.3222399999999999"/>
    <n v="114372000"/>
    <n v="0"/>
    <n v="0"/>
    <n v="0"/>
    <n v="0"/>
    <n v="3755450"/>
    <n v="-119208"/>
    <n v="408539"/>
    <n v="91.979699999999994"/>
    <n v="98.274000000000001"/>
    <n v="4.1772799999999997"/>
    <n v="0"/>
    <n v="0"/>
    <n v="1.93336"/>
    <n v="1.63096"/>
    <n v="0"/>
    <n v="1.4935400000000001"/>
    <n v="2.9635199999999999"/>
    <n v="360827000"/>
    <n v="0"/>
    <n v="0"/>
    <n v="0"/>
    <n v="0"/>
    <n v="5002060"/>
    <n v="919926"/>
    <n v="0"/>
    <n v="1"/>
    <x v="16"/>
    <n v="2.3005838798319084E-6"/>
    <n v="-3.9707952452051432E-7"/>
  </r>
  <r>
    <n v="47.674100000000003"/>
    <n v="85.138999999999996"/>
    <n v="2.6377299999999999"/>
    <n v="7.0000000000000007E-2"/>
    <n v="0"/>
    <n v="2.5124399999999998"/>
    <n v="2.8148399999999998"/>
    <n v="0"/>
    <n v="0.47075800000000001"/>
    <n v="5.3222399999999999"/>
    <n v="114253000"/>
    <n v="0"/>
    <n v="0"/>
    <n v="0"/>
    <n v="0"/>
    <n v="3756030"/>
    <n v="-119167"/>
    <n v="408539"/>
    <n v="92.220399999999998"/>
    <n v="98.274000000000001"/>
    <n v="3.5579200000000002"/>
    <n v="0"/>
    <n v="0"/>
    <n v="1.9335800000000001"/>
    <n v="1.6311800000000001"/>
    <n v="0"/>
    <n v="1.4937100000000001"/>
    <n v="2.9635199999999999"/>
    <n v="361747000"/>
    <n v="0"/>
    <n v="0"/>
    <n v="0"/>
    <n v="0"/>
    <n v="5002640"/>
    <n v="919945"/>
    <n v="0"/>
    <n v="2"/>
    <x v="16"/>
    <n v="2.3003646633050342E-6"/>
    <n v="-3.9688165903885417E-7"/>
  </r>
  <r>
    <n v="50.927999999999997"/>
    <n v="85.138999999999996"/>
    <n v="5.9712100000000001"/>
    <n v="7.0000000000000007E-2"/>
    <n v="0"/>
    <n v="2.6010200000000001"/>
    <n v="2.9034200000000001"/>
    <n v="0"/>
    <n v="0.470831"/>
    <n v="5.3222399999999999"/>
    <n v="114143000"/>
    <n v="0"/>
    <n v="0"/>
    <n v="0"/>
    <n v="29016000"/>
    <n v="3888460"/>
    <n v="-110062"/>
    <n v="408539"/>
    <n v="92.823099999999997"/>
    <n v="98.274000000000001"/>
    <n v="5.6710500000000001"/>
    <n v="0"/>
    <n v="0"/>
    <n v="1.9865600000000001"/>
    <n v="1.6841600000000001"/>
    <n v="0"/>
    <n v="1.4938899999999999"/>
    <n v="2.9635199999999999"/>
    <n v="362672000"/>
    <n v="0"/>
    <n v="0"/>
    <n v="0"/>
    <n v="7883220"/>
    <n v="5139700"/>
    <n v="924412"/>
    <n v="0"/>
    <n v="3"/>
    <x v="16"/>
    <n v="2.1436578367516693E-5"/>
    <n v="9.2991554280427306E-5"/>
  </r>
  <r>
    <n v="53.974800000000002"/>
    <n v="85.138999999999996"/>
    <n v="5.8325800000000001"/>
    <n v="0.06"/>
    <n v="0"/>
    <n v="2.6013999999999999"/>
    <n v="2.9037999999999999"/>
    <n v="0"/>
    <n v="0.487431"/>
    <n v="5.3222399999999999"/>
    <n v="114033000"/>
    <n v="0"/>
    <n v="0"/>
    <n v="0"/>
    <n v="0"/>
    <n v="3889030"/>
    <n v="-110022"/>
    <n v="408539"/>
    <n v="93.101799999999997"/>
    <n v="98.274000000000001"/>
    <n v="4.1974499999999999"/>
    <n v="0"/>
    <n v="0"/>
    <n v="1.98678"/>
    <n v="1.68438"/>
    <n v="0"/>
    <n v="1.53481"/>
    <n v="2.9635199999999999"/>
    <n v="363596000"/>
    <n v="0"/>
    <n v="0"/>
    <n v="0"/>
    <n v="0"/>
    <n v="5140270"/>
    <n v="924431"/>
    <n v="0"/>
    <n v="4"/>
    <x v="16"/>
    <n v="2.249689828937514E-6"/>
    <n v="-3.5389328137525957E-7"/>
  </r>
  <r>
    <n v="56.298699999999997"/>
    <n v="85.138999999999996"/>
    <n v="5.2103400000000004"/>
    <n v="7.0000000000000007E-2"/>
    <n v="0"/>
    <n v="2.6017899999999998"/>
    <n v="2.9041899999999998"/>
    <n v="0"/>
    <n v="0.48750300000000002"/>
    <n v="5.3222399999999999"/>
    <n v="113923000"/>
    <n v="0"/>
    <n v="0"/>
    <n v="0"/>
    <n v="0"/>
    <n v="3889600"/>
    <n v="-109983"/>
    <n v="408539"/>
    <n v="93.238200000000006"/>
    <n v="98.274000000000001"/>
    <n v="3.9406099999999999"/>
    <n v="0"/>
    <n v="0"/>
    <n v="1.9870000000000001"/>
    <n v="1.6846000000000001"/>
    <n v="0"/>
    <n v="1.5349900000000001"/>
    <n v="2.9635199999999999"/>
    <n v="364521000"/>
    <n v="0"/>
    <n v="0"/>
    <n v="0"/>
    <n v="0"/>
    <n v="5140850"/>
    <n v="924450"/>
    <n v="0"/>
    <n v="5"/>
    <x v="16"/>
    <n v="2.2494822479311661E-6"/>
    <n v="-3.5371599243301948E-7"/>
  </r>
  <r>
    <n v="57.762700000000002"/>
    <n v="85.138999999999996"/>
    <n v="4.2788500000000003"/>
    <n v="0.05"/>
    <n v="0"/>
    <n v="2.6021700000000001"/>
    <n v="2.9045700000000001"/>
    <n v="0"/>
    <n v="0.48757499999999998"/>
    <n v="5.3222399999999999"/>
    <n v="113813000"/>
    <n v="0"/>
    <n v="0"/>
    <n v="0"/>
    <n v="0"/>
    <n v="3890180"/>
    <n v="-109943"/>
    <n v="408539"/>
    <n v="93.072999999999993"/>
    <n v="98.274000000000001"/>
    <n v="2.97315"/>
    <n v="0"/>
    <n v="0"/>
    <n v="1.9872300000000001"/>
    <n v="1.68483"/>
    <n v="0"/>
    <n v="1.5351600000000001"/>
    <n v="2.9635199999999999"/>
    <n v="365445000"/>
    <n v="0"/>
    <n v="0"/>
    <n v="0"/>
    <n v="0"/>
    <n v="5141430"/>
    <n v="924469"/>
    <n v="0"/>
    <n v="6"/>
    <x v="16"/>
    <n v="2.2492747137588635E-6"/>
    <n v="-3.5353463102924983E-7"/>
  </r>
  <r>
    <n v="58.4985"/>
    <n v="85.138999999999996"/>
    <n v="3.7810700000000002"/>
    <n v="0.04"/>
    <n v="0"/>
    <n v="2.8858999999999999"/>
    <n v="3.1882999999999999"/>
    <n v="0"/>
    <n v="0.487647"/>
    <n v="5.3222399999999999"/>
    <n v="113732000"/>
    <n v="0"/>
    <n v="0"/>
    <n v="0"/>
    <n v="0"/>
    <n v="4314340"/>
    <n v="-80775.399999999994"/>
    <n v="408539"/>
    <n v="92.586100000000002"/>
    <n v="98.274000000000001"/>
    <n v="2.4313099999999999"/>
    <n v="0"/>
    <n v="0"/>
    <n v="2.1855699999999998"/>
    <n v="1.88317"/>
    <n v="0"/>
    <n v="1.5353300000000001"/>
    <n v="2.9635199999999999"/>
    <n v="366386000"/>
    <n v="0"/>
    <n v="0"/>
    <n v="0"/>
    <n v="0"/>
    <n v="5654600"/>
    <n v="941196"/>
    <n v="0"/>
    <n v="7"/>
    <x v="16"/>
    <n v="2.0821511808192665E-6"/>
    <n v="-2.3420643604275499E-7"/>
  </r>
  <r>
    <n v="59.6509"/>
    <n v="85.138999999999996"/>
    <n v="4.2197699999999996"/>
    <n v="0.04"/>
    <n v="0"/>
    <n v="2.88632"/>
    <n v="3.18872"/>
    <n v="0"/>
    <n v="0.54081699999999999"/>
    <n v="5.3222399999999999"/>
    <n v="113651000"/>
    <n v="0"/>
    <n v="0"/>
    <n v="0"/>
    <n v="0"/>
    <n v="4314970"/>
    <n v="-80732"/>
    <n v="408539"/>
    <n v="92.370999999999995"/>
    <n v="98.274000000000001"/>
    <n v="2.1615799999999998"/>
    <n v="0"/>
    <n v="0"/>
    <n v="2.1858200000000001"/>
    <n v="1.8834200000000001"/>
    <n v="0"/>
    <n v="1.6885699999999999"/>
    <n v="2.9635199999999999"/>
    <n v="367328000"/>
    <n v="0"/>
    <n v="0"/>
    <n v="0"/>
    <n v="0"/>
    <n v="5655250"/>
    <n v="941217"/>
    <n v="0"/>
    <n v="8"/>
    <x v="16"/>
    <n v="2.08195831537181E-6"/>
    <n v="-2.3404642218185416E-7"/>
  </r>
  <r>
    <n v="61.792900000000003"/>
    <n v="85.138999999999996"/>
    <n v="5.2744600000000004"/>
    <n v="0.04"/>
    <n v="0"/>
    <n v="2.8867400000000001"/>
    <n v="3.1891400000000001"/>
    <n v="0"/>
    <n v="0.54089600000000004"/>
    <n v="5.3222399999999999"/>
    <n v="113570000"/>
    <n v="0"/>
    <n v="0"/>
    <n v="0"/>
    <n v="0"/>
    <n v="4315610"/>
    <n v="-80688.600000000006"/>
    <n v="408539"/>
    <n v="92.3643"/>
    <n v="98.274000000000001"/>
    <n v="3.77007"/>
    <n v="0"/>
    <n v="0"/>
    <n v="2.18607"/>
    <n v="1.88367"/>
    <n v="0"/>
    <n v="1.6887700000000001"/>
    <n v="2.9635199999999999"/>
    <n v="368269000"/>
    <n v="0"/>
    <n v="0"/>
    <n v="0"/>
    <n v="0"/>
    <n v="5655890"/>
    <n v="941238"/>
    <n v="0"/>
    <n v="9"/>
    <x v="16"/>
    <n v="2.081769174957829E-6"/>
    <n v="-2.3388591308467882E-7"/>
  </r>
  <r>
    <n v="64.6374"/>
    <n v="85.138999999999996"/>
    <n v="6.0282999999999998"/>
    <n v="0.04"/>
    <n v="0"/>
    <n v="2.8871600000000002"/>
    <n v="3.1895600000000002"/>
    <n v="0"/>
    <n v="0.54097499999999998"/>
    <n v="5.3222399999999999"/>
    <n v="113490000"/>
    <n v="0"/>
    <n v="0"/>
    <n v="0"/>
    <n v="0"/>
    <n v="4316240"/>
    <n v="-80645.2"/>
    <n v="408539"/>
    <n v="92.586399999999998"/>
    <n v="98.274000000000001"/>
    <n v="4.1644300000000003"/>
    <n v="0"/>
    <n v="0"/>
    <n v="2.1863199999999998"/>
    <n v="1.88392"/>
    <n v="0"/>
    <n v="1.68896"/>
    <n v="2.9635199999999999"/>
    <n v="369210000"/>
    <n v="0"/>
    <n v="0"/>
    <n v="0"/>
    <n v="0"/>
    <n v="5656540"/>
    <n v="941259"/>
    <n v="0"/>
    <n v="10"/>
    <x v="16"/>
    <n v="2.0815763973909916E-6"/>
    <n v="-2.3372599308951914E-7"/>
  </r>
  <r>
    <n v="67.342600000000004"/>
    <n v="85.138999999999996"/>
    <n v="5.5862400000000001"/>
    <n v="0.03"/>
    <n v="0"/>
    <n v="2.4832299999999998"/>
    <n v="2.7856299999999998"/>
    <n v="0"/>
    <n v="0.54105400000000003"/>
    <n v="5.3222399999999999"/>
    <n v="113368000"/>
    <n v="0"/>
    <n v="0"/>
    <n v="0"/>
    <n v="0"/>
    <n v="3712370"/>
    <n v="-122170"/>
    <n v="408539"/>
    <n v="92.941900000000004"/>
    <n v="98.274000000000001"/>
    <n v="4.5242199999999997"/>
    <n v="0"/>
    <n v="0"/>
    <n v="1.9205399999999999"/>
    <n v="1.6181399999999999"/>
    <n v="0"/>
    <n v="1.6891499999999999"/>
    <n v="2.9635199999999999"/>
    <n v="370129000"/>
    <n v="0"/>
    <n v="0"/>
    <n v="0"/>
    <n v="0"/>
    <n v="4968900"/>
    <n v="918845"/>
    <n v="0"/>
    <n v="11"/>
    <x v="16"/>
    <n v="2.31321540288764E-6"/>
    <n v="-4.1166827068688777E-7"/>
  </r>
  <r>
    <n v="70.297300000000007"/>
    <n v="85.138999999999996"/>
    <n v="5.8726099999999999"/>
    <n v="0.03"/>
    <n v="0"/>
    <n v="2.4836"/>
    <n v="2.786"/>
    <n v="0"/>
    <n v="0.46535799999999999"/>
    <n v="5.3222399999999999"/>
    <n v="113245000"/>
    <n v="0"/>
    <n v="0"/>
    <n v="0"/>
    <n v="0"/>
    <n v="3712920"/>
    <n v="-122132"/>
    <n v="408539"/>
    <n v="93.719099999999997"/>
    <n v="98.274000000000001"/>
    <n v="5.2203200000000001"/>
    <n v="0"/>
    <n v="0"/>
    <n v="1.92076"/>
    <n v="1.61836"/>
    <n v="0"/>
    <n v="1.4838100000000001"/>
    <n v="2.9635199999999999"/>
    <n v="371048000"/>
    <n v="0"/>
    <n v="0"/>
    <n v="0"/>
    <n v="0"/>
    <n v="4969460"/>
    <n v="918863"/>
    <n v="0"/>
    <n v="12"/>
    <x v="16"/>
    <n v="2.3130000409223421E-6"/>
    <n v="-4.1147926254303388E-7"/>
  </r>
  <r>
    <n v="72.579099999999997"/>
    <n v="85.138999999999996"/>
    <n v="5.2257999999999996"/>
    <n v="0.01"/>
    <n v="0"/>
    <n v="2.4839699999999998"/>
    <n v="2.7863699999999998"/>
    <n v="0"/>
    <n v="0.46542699999999998"/>
    <n v="5.3222399999999999"/>
    <n v="113123000"/>
    <n v="0"/>
    <n v="0"/>
    <n v="0"/>
    <n v="0"/>
    <n v="3713470"/>
    <n v="-122094"/>
    <n v="408539"/>
    <n v="93.895799999999994"/>
    <n v="98.274000000000001"/>
    <n v="3.73881"/>
    <n v="0"/>
    <n v="0"/>
    <n v="1.9209700000000001"/>
    <n v="1.6185700000000001"/>
    <n v="0"/>
    <n v="1.4839800000000001"/>
    <n v="2.9635199999999999"/>
    <n v="371967000"/>
    <n v="0"/>
    <n v="0"/>
    <n v="0"/>
    <n v="0"/>
    <n v="4970010"/>
    <n v="918881"/>
    <n v="0"/>
    <n v="13"/>
    <x v="16"/>
    <n v="2.3127893809701565E-6"/>
    <n v="-4.1129031038696445E-7"/>
  </r>
  <r>
    <n v="73.985799999999998"/>
    <n v="85.138999999999996"/>
    <n v="4.3271899999999999"/>
    <n v="0.02"/>
    <n v="0"/>
    <n v="2.48434"/>
    <n v="2.78674"/>
    <n v="0"/>
    <n v="0.46549600000000002"/>
    <n v="5.3222399999999999"/>
    <n v="113001000"/>
    <n v="0"/>
    <n v="0"/>
    <n v="0"/>
    <n v="0"/>
    <n v="3714030"/>
    <n v="-122056"/>
    <n v="408539"/>
    <n v="94.002700000000004"/>
    <n v="98.274000000000001"/>
    <n v="3.2381000000000002"/>
    <n v="0"/>
    <n v="0"/>
    <n v="1.92119"/>
    <n v="1.61879"/>
    <n v="0"/>
    <n v="1.48414"/>
    <n v="2.9635199999999999"/>
    <n v="372885000"/>
    <n v="0"/>
    <n v="0"/>
    <n v="0"/>
    <n v="0"/>
    <n v="4970570"/>
    <n v="918899"/>
    <n v="0"/>
    <n v="14"/>
    <x v="16"/>
    <n v="2.3125741150952577E-6"/>
    <n v="-4.1110030730610164E-7"/>
  </r>
  <r>
    <n v="76.069100000000006"/>
    <n v="85.138999999999996"/>
    <n v="5.0694999999999997"/>
    <n v="0.01"/>
    <n v="0"/>
    <n v="2.4847100000000002"/>
    <n v="2.7871100000000002"/>
    <n v="0"/>
    <n v="0.46556500000000001"/>
    <n v="5.3222399999999999"/>
    <n v="112879000"/>
    <n v="0"/>
    <n v="0"/>
    <n v="0"/>
    <n v="0"/>
    <n v="3714580"/>
    <n v="-122018"/>
    <n v="408539"/>
    <n v="94.177300000000002"/>
    <n v="98.274000000000001"/>
    <n v="3.6406999999999998"/>
    <n v="0"/>
    <n v="0"/>
    <n v="1.9214"/>
    <n v="1.619"/>
    <n v="0"/>
    <n v="1.48431"/>
    <n v="2.9635199999999999"/>
    <n v="373804000"/>
    <n v="0"/>
    <n v="0"/>
    <n v="0"/>
    <n v="0"/>
    <n v="4971120"/>
    <n v="918918"/>
    <n v="0"/>
    <n v="15"/>
    <x v="16"/>
    <n v="2.3123660657061863E-6"/>
    <n v="-4.1091146772326359E-7"/>
  </r>
  <r>
    <n v="77.361500000000007"/>
    <n v="85.138999999999996"/>
    <n v="4.6463900000000002"/>
    <n v="0"/>
    <n v="0"/>
    <n v="2.8893300000000002"/>
    <n v="2.8893300000000002"/>
    <n v="0"/>
    <n v="0.46563399999999999"/>
    <n v="5.3222399999999999"/>
    <n v="113176000"/>
    <n v="0"/>
    <n v="0"/>
    <n v="0"/>
    <n v="0"/>
    <n v="4319470"/>
    <n v="297028"/>
    <n v="0"/>
    <n v="94.191100000000006"/>
    <n v="98.274000000000001"/>
    <n v="3.2665099999999998"/>
    <n v="0"/>
    <n v="0"/>
    <n v="1.6843399999999999"/>
    <n v="1.6843399999999999"/>
    <n v="0"/>
    <n v="1.48447"/>
    <n v="2.9635199999999999"/>
    <n v="373946000"/>
    <n v="0"/>
    <n v="0"/>
    <n v="0"/>
    <n v="0"/>
    <n v="4357780"/>
    <n v="142047"/>
    <n v="0"/>
    <n v="16"/>
    <x v="16"/>
    <n v="4.0775645062855004E-7"/>
    <n v="8.6020310241645303E-7"/>
  </r>
  <r>
    <n v="79.068399999999997"/>
    <n v="85.138999999999996"/>
    <n v="5.0799300000000001"/>
    <n v="0"/>
    <n v="0"/>
    <n v="2.88971"/>
    <n v="2.88971"/>
    <n v="0"/>
    <n v="0.54146000000000005"/>
    <n v="5.3222399999999999"/>
    <n v="113473000"/>
    <n v="0"/>
    <n v="0"/>
    <n v="0"/>
    <n v="0"/>
    <n v="4320040"/>
    <n v="297068"/>
    <n v="0"/>
    <n v="94.650700000000001"/>
    <n v="98.274000000000001"/>
    <n v="4.4532800000000003"/>
    <n v="0"/>
    <n v="0"/>
    <n v="1.6845600000000001"/>
    <n v="1.6845600000000001"/>
    <n v="0"/>
    <n v="1.30132"/>
    <n v="2.9635199999999999"/>
    <n v="374089000"/>
    <n v="0"/>
    <n v="0"/>
    <n v="0"/>
    <n v="0"/>
    <n v="4358360"/>
    <n v="142066"/>
    <n v="0"/>
    <n v="17"/>
    <x v="16"/>
    <n v="4.0775672103827658E-7"/>
    <n v="8.6020543051103726E-7"/>
  </r>
  <r>
    <n v="80.428200000000004"/>
    <n v="85.138999999999996"/>
    <n v="4.7902399999999998"/>
    <n v="0"/>
    <n v="0"/>
    <n v="2.8900899999999998"/>
    <n v="2.8900899999999998"/>
    <n v="0"/>
    <n v="0.54153099999999998"/>
    <n v="5.3222399999999999"/>
    <n v="113771000"/>
    <n v="0"/>
    <n v="0"/>
    <n v="0"/>
    <n v="0"/>
    <n v="4320610"/>
    <n v="297107"/>
    <n v="0"/>
    <n v="95.286799999999999"/>
    <n v="98.274000000000001"/>
    <n v="4.9209399999999999"/>
    <n v="0"/>
    <n v="0"/>
    <n v="1.6847799999999999"/>
    <n v="1.6847799999999999"/>
    <n v="0"/>
    <n v="1.30149"/>
    <n v="2.9635199999999999"/>
    <n v="374231000"/>
    <n v="0"/>
    <n v="0"/>
    <n v="0"/>
    <n v="0"/>
    <n v="4358940"/>
    <n v="142084"/>
    <n v="0"/>
    <n v="18"/>
    <x v="16"/>
    <n v="4.0775412156577762E-7"/>
    <n v="8.6020486272175804E-7"/>
  </r>
  <r>
    <n v="80.539299999999997"/>
    <n v="85.138999999999996"/>
    <n v="3.5682700000000001"/>
    <n v="0"/>
    <n v="0"/>
    <n v="2.8904700000000001"/>
    <n v="2.8904700000000001"/>
    <n v="0"/>
    <n v="0.54160299999999995"/>
    <n v="5.3222399999999999"/>
    <n v="114068000"/>
    <n v="0"/>
    <n v="0"/>
    <n v="0"/>
    <n v="0"/>
    <n v="4321180"/>
    <n v="297146"/>
    <n v="0"/>
    <n v="95.611000000000004"/>
    <n v="98.274000000000001"/>
    <n v="4.6404899999999998"/>
    <n v="0"/>
    <n v="0"/>
    <n v="1.6850099999999999"/>
    <n v="1.6850099999999999"/>
    <n v="0"/>
    <n v="1.30166"/>
    <n v="2.9635199999999999"/>
    <n v="374373000"/>
    <n v="0"/>
    <n v="0"/>
    <n v="0"/>
    <n v="0"/>
    <n v="4359510"/>
    <n v="142103"/>
    <n v="0"/>
    <n v="19"/>
    <x v="16"/>
    <n v="4.0775532753502818E-7"/>
    <n v="8.6020429508227088E-7"/>
  </r>
  <r>
    <n v="80.554599999999994"/>
    <n v="85.138999999999996"/>
    <n v="3.2687400000000002"/>
    <n v="0"/>
    <n v="0"/>
    <n v="2.85101"/>
    <n v="2.85101"/>
    <n v="0"/>
    <n v="0.54167500000000002"/>
    <n v="5.3222399999999999"/>
    <n v="114361000"/>
    <n v="0"/>
    <n v="0"/>
    <n v="0"/>
    <n v="0"/>
    <n v="4262190"/>
    <n v="293090"/>
    <n v="0"/>
    <n v="95.899100000000004"/>
    <n v="98.274000000000001"/>
    <n v="4.1959299999999997"/>
    <n v="0"/>
    <n v="0"/>
    <n v="1.6599200000000001"/>
    <n v="1.6599200000000001"/>
    <n v="0"/>
    <n v="1.3018400000000001"/>
    <n v="2.9635199999999999"/>
    <n v="374513000"/>
    <n v="0"/>
    <n v="0"/>
    <n v="0"/>
    <n v="0"/>
    <n v="4294620"/>
    <n v="139988"/>
    <n v="0"/>
    <n v="20"/>
    <x v="16"/>
    <n v="4.0775579525089527E-7"/>
    <n v="8.6020561032964368E-7"/>
  </r>
  <r>
    <n v="80.430800000000005"/>
    <n v="85.138999999999996"/>
    <n v="3.0417800000000002"/>
    <n v="0"/>
    <n v="0"/>
    <n v="2.8513899999999999"/>
    <n v="2.8513899999999999"/>
    <n v="0"/>
    <n v="0.53427999999999998"/>
    <n v="5.3222399999999999"/>
    <n v="114654000"/>
    <n v="0"/>
    <n v="0"/>
    <n v="0"/>
    <n v="0"/>
    <n v="4262760"/>
    <n v="293128"/>
    <n v="0"/>
    <n v="96.063400000000001"/>
    <n v="98.274000000000001"/>
    <n v="3.6993499999999999"/>
    <n v="0"/>
    <n v="0"/>
    <n v="1.6601399999999999"/>
    <n v="1.6601399999999999"/>
    <n v="0"/>
    <n v="1.2824599999999999"/>
    <n v="2.9635199999999999"/>
    <n v="374653000"/>
    <n v="0"/>
    <n v="0"/>
    <n v="0"/>
    <n v="0"/>
    <n v="4295180"/>
    <n v="140006"/>
    <n v="0"/>
    <n v="21"/>
    <x v="16"/>
    <n v="4.0775505598227484E-7"/>
    <n v="8.6020210024948734E-7"/>
  </r>
  <r>
    <n v="79.772499999999994"/>
    <n v="85.138999999999996"/>
    <n v="2.4772099999999999"/>
    <n v="0"/>
    <n v="0"/>
    <n v="2.8517700000000001"/>
    <n v="2.8517700000000001"/>
    <n v="0"/>
    <n v="0.53435100000000002"/>
    <n v="5.3222399999999999"/>
    <n v="114947000"/>
    <n v="0"/>
    <n v="0"/>
    <n v="0"/>
    <n v="0"/>
    <n v="4263320"/>
    <n v="293167"/>
    <n v="0"/>
    <n v="96.137900000000002"/>
    <n v="98.274000000000001"/>
    <n v="3.3316499999999998"/>
    <n v="0"/>
    <n v="0"/>
    <n v="1.6603600000000001"/>
    <n v="1.6603600000000001"/>
    <n v="0"/>
    <n v="1.2826299999999999"/>
    <n v="2.9635199999999999"/>
    <n v="374793000"/>
    <n v="0"/>
    <n v="0"/>
    <n v="0"/>
    <n v="0"/>
    <n v="4295750"/>
    <n v="140025"/>
    <n v="0"/>
    <n v="22"/>
    <x v="16"/>
    <n v="4.0775627972722977E-7"/>
    <n v="8.6020354295686408E-7"/>
  </r>
  <r>
    <n v="78.869200000000006"/>
    <n v="85.138999999999996"/>
    <n v="2.2199800000000001"/>
    <n v="0"/>
    <n v="0"/>
    <n v="2.8521399999999999"/>
    <n v="2.8521399999999999"/>
    <n v="0"/>
    <n v="0.53442100000000003"/>
    <n v="5.3222399999999999"/>
    <n v="115240000"/>
    <n v="0"/>
    <n v="0"/>
    <n v="0"/>
    <n v="0"/>
    <n v="4263880"/>
    <n v="293206"/>
    <n v="0"/>
    <n v="96.107799999999997"/>
    <n v="98.274000000000001"/>
    <n v="2.6311100000000001"/>
    <n v="0"/>
    <n v="0"/>
    <n v="1.6605799999999999"/>
    <n v="1.6605799999999999"/>
    <n v="0"/>
    <n v="1.2827999999999999"/>
    <n v="2.9635199999999999"/>
    <n v="374933000"/>
    <n v="0"/>
    <n v="0"/>
    <n v="0"/>
    <n v="0"/>
    <n v="4296320"/>
    <n v="140043"/>
    <n v="0"/>
    <n v="23"/>
    <x v="16"/>
    <n v="4.0775459150896459E-7"/>
    <n v="8.6020498528528262E-7"/>
  </r>
  <r>
    <n v="78.302300000000002"/>
    <n v="85.138999999999996"/>
    <n v="2.6781600000000001"/>
    <n v="0"/>
    <n v="0"/>
    <n v="2.9878399999999998"/>
    <n v="2.9878399999999998"/>
    <n v="0"/>
    <n v="0.53449199999999997"/>
    <n v="5.3222399999999999"/>
    <n v="115547000"/>
    <n v="0"/>
    <n v="0"/>
    <n v="0"/>
    <n v="0"/>
    <n v="4466740"/>
    <n v="307155"/>
    <n v="0"/>
    <n v="96.129199999999997"/>
    <n v="98.274000000000001"/>
    <n v="2.9478800000000001"/>
    <n v="0"/>
    <n v="0"/>
    <n v="1.7505900000000001"/>
    <n v="1.7505900000000001"/>
    <n v="0"/>
    <n v="1.2829699999999999"/>
    <n v="2.9635199999999999"/>
    <n v="375080000"/>
    <n v="0"/>
    <n v="0"/>
    <n v="0"/>
    <n v="0"/>
    <n v="4529200"/>
    <n v="147634"/>
    <n v="0"/>
    <n v="24"/>
    <x v="16"/>
    <n v="4.0775468876072505E-7"/>
    <n v="8.6020307591817956E-7"/>
  </r>
  <r>
    <n v="77.479600000000005"/>
    <n v="85.138999999999996"/>
    <n v="2.3546399999999998"/>
    <n v="0"/>
    <n v="0"/>
    <n v="2.9882300000000002"/>
    <n v="2.9882300000000002"/>
    <n v="0"/>
    <n v="0.559921"/>
    <n v="5.3222399999999999"/>
    <n v="115855000"/>
    <n v="0"/>
    <n v="0"/>
    <n v="0"/>
    <n v="0"/>
    <n v="4467330"/>
    <n v="307196"/>
    <n v="0"/>
    <n v="96.204400000000007"/>
    <n v="98.274000000000001"/>
    <n v="3.2279499999999999"/>
    <n v="0"/>
    <n v="0"/>
    <n v="1.75082"/>
    <n v="1.75082"/>
    <n v="0"/>
    <n v="1.3525100000000001"/>
    <n v="2.9635199999999999"/>
    <n v="375228000"/>
    <n v="0"/>
    <n v="0"/>
    <n v="0"/>
    <n v="0"/>
    <n v="4529800"/>
    <n v="147654"/>
    <n v="0"/>
    <n v="25"/>
    <x v="16"/>
    <n v="4.0775591040446128E-7"/>
    <n v="8.6020427635469673E-7"/>
  </r>
  <r>
    <n v="76.478499999999997"/>
    <n v="85.138999999999996"/>
    <n v="2.1539100000000002"/>
    <n v="0"/>
    <n v="0"/>
    <n v="2.9886300000000001"/>
    <n v="2.9886300000000001"/>
    <n v="0"/>
    <n v="0.55999500000000002"/>
    <n v="5.3222399999999999"/>
    <n v="116162000"/>
    <n v="0"/>
    <n v="0"/>
    <n v="0"/>
    <n v="0"/>
    <n v="4467920"/>
    <n v="307237"/>
    <n v="0"/>
    <n v="96.215400000000002"/>
    <n v="98.274000000000001"/>
    <n v="2.94123"/>
    <n v="0"/>
    <n v="0"/>
    <n v="1.7510600000000001"/>
    <n v="1.7510600000000001"/>
    <n v="0"/>
    <n v="1.3526899999999999"/>
    <n v="2.9635199999999999"/>
    <n v="375376000"/>
    <n v="0"/>
    <n v="0"/>
    <n v="0"/>
    <n v="0"/>
    <n v="4530400"/>
    <n v="147674"/>
    <n v="0"/>
    <n v="26"/>
    <x v="16"/>
    <n v="4.0775713172461182E-7"/>
    <n v="8.6020547647417264E-7"/>
  </r>
  <r>
    <n v="75.382199999999997"/>
    <n v="85.138999999999996"/>
    <n v="1.9946200000000001"/>
    <n v="0"/>
    <n v="0"/>
    <n v="2.98902"/>
    <n v="2.98902"/>
    <n v="0"/>
    <n v="0.56006900000000004"/>
    <n v="5.3222399999999999"/>
    <n v="116469000"/>
    <n v="0"/>
    <n v="0"/>
    <n v="0"/>
    <n v="0"/>
    <n v="4468510"/>
    <n v="307277"/>
    <n v="0"/>
    <n v="96.169200000000004"/>
    <n v="98.274000000000001"/>
    <n v="2.8300100000000001"/>
    <n v="0"/>
    <n v="0"/>
    <n v="1.75129"/>
    <n v="1.75129"/>
    <n v="0"/>
    <n v="1.35287"/>
    <n v="2.9635199999999999"/>
    <n v="375523000"/>
    <n v="0"/>
    <n v="0"/>
    <n v="0"/>
    <n v="0"/>
    <n v="4531000"/>
    <n v="147693"/>
    <n v="0"/>
    <n v="27"/>
    <x v="16"/>
    <n v="4.0775559188909331E-7"/>
    <n v="8.6020387683558754E-7"/>
  </r>
  <r>
    <n v="74.191000000000003"/>
    <n v="85.138999999999996"/>
    <n v="1.8832500000000001"/>
    <n v="0"/>
    <n v="0"/>
    <n v="2.98942"/>
    <n v="2.98942"/>
    <n v="0"/>
    <n v="0.56014299999999995"/>
    <n v="5.3222399999999999"/>
    <n v="116776000"/>
    <n v="0"/>
    <n v="0"/>
    <n v="0"/>
    <n v="0"/>
    <n v="4469110"/>
    <n v="307318"/>
    <n v="0"/>
    <n v="96.088999999999999"/>
    <n v="98.274000000000001"/>
    <n v="2.6792799999999999"/>
    <n v="0"/>
    <n v="0"/>
    <n v="1.75152"/>
    <n v="1.75152"/>
    <n v="0"/>
    <n v="1.3530500000000001"/>
    <n v="2.9635199999999999"/>
    <n v="375671000"/>
    <n v="0"/>
    <n v="0"/>
    <n v="0"/>
    <n v="0"/>
    <n v="4531600"/>
    <n v="147713"/>
    <n v="0"/>
    <n v="28"/>
    <x v="16"/>
    <n v="4.0775681292800212E-7"/>
    <n v="8.6020315191155487E-7"/>
  </r>
  <r>
    <n v="73.850300000000004"/>
    <n v="85.138999999999996"/>
    <n v="2.7327499999999998"/>
    <n v="0"/>
    <n v="0"/>
    <n v="2.9630399999999999"/>
    <n v="2.9630399999999999"/>
    <n v="0"/>
    <n v="0.56021699999999996"/>
    <n v="5.3222399999999999"/>
    <n v="117081000"/>
    <n v="0"/>
    <n v="0"/>
    <n v="0"/>
    <n v="0"/>
    <n v="4429670"/>
    <n v="304606"/>
    <n v="0"/>
    <n v="96.125299999999996"/>
    <n v="98.274000000000001"/>
    <n v="2.7787799999999998"/>
    <n v="0"/>
    <n v="0"/>
    <n v="1.80114"/>
    <n v="1.80114"/>
    <n v="0"/>
    <n v="1.3532200000000001"/>
    <n v="2.9635199999999999"/>
    <n v="375823000"/>
    <n v="0"/>
    <n v="0"/>
    <n v="0"/>
    <n v="0"/>
    <n v="4659970"/>
    <n v="151897"/>
    <n v="0"/>
    <n v="29"/>
    <x v="16"/>
    <n v="4.0775580386431132E-7"/>
    <n v="8.6020340188733995E-7"/>
  </r>
  <r>
    <n v="73.539500000000004"/>
    <n v="85.138999999999996"/>
    <n v="2.7439900000000002"/>
    <n v="0"/>
    <n v="0"/>
    <n v="2.9634299999999998"/>
    <n v="2.9634299999999998"/>
    <n v="0"/>
    <n v="0.55527300000000002"/>
    <n v="5.3222399999999999"/>
    <n v="117386000"/>
    <n v="0"/>
    <n v="0"/>
    <n v="0"/>
    <n v="0"/>
    <n v="4430250"/>
    <n v="304646"/>
    <n v="0"/>
    <n v="96.146199999999993"/>
    <n v="98.274000000000001"/>
    <n v="2.74065"/>
    <n v="0"/>
    <n v="0"/>
    <n v="1.8013699999999999"/>
    <n v="1.8013699999999999"/>
    <n v="0"/>
    <n v="1.3915599999999999"/>
    <n v="2.9635199999999999"/>
    <n v="375975000"/>
    <n v="0"/>
    <n v="0"/>
    <n v="0"/>
    <n v="0"/>
    <n v="4660580"/>
    <n v="151917"/>
    <n v="0"/>
    <n v="30"/>
    <x v="16"/>
    <n v="4.0775611618052425E-7"/>
    <n v="8.6020373036925641E-7"/>
  </r>
  <r>
    <n v="73.336699999999993"/>
    <n v="85.138999999999996"/>
    <n v="2.5879799999999999"/>
    <n v="0.01"/>
    <n v="0"/>
    <n v="2.6614200000000001"/>
    <n v="2.9638200000000001"/>
    <n v="0"/>
    <n v="0.55534700000000004"/>
    <n v="5.3222399999999999"/>
    <n v="117282000"/>
    <n v="0"/>
    <n v="0"/>
    <n v="0"/>
    <n v="0"/>
    <n v="3978760"/>
    <n v="-103852"/>
    <n v="408539"/>
    <n v="95.894300000000001"/>
    <n v="98.274000000000001"/>
    <n v="2.5841599999999998"/>
    <n v="0"/>
    <n v="0"/>
    <n v="2.1040100000000002"/>
    <n v="1.8016099999999999"/>
    <n v="0"/>
    <n v="1.39174"/>
    <n v="2.9635199999999999"/>
    <n v="376909000"/>
    <n v="0"/>
    <n v="0"/>
    <n v="0"/>
    <n v="0"/>
    <n v="5443580"/>
    <n v="934318"/>
    <n v="0"/>
    <n v="31"/>
    <x v="16"/>
    <n v="2.1470600028187286E-6"/>
    <n v="-3.2651354123471739E-7"/>
  </r>
  <r>
    <n v="72.965999999999994"/>
    <n v="85.138999999999996"/>
    <n v="2.4136199999999999"/>
    <n v="0.01"/>
    <n v="0"/>
    <n v="2.66181"/>
    <n v="2.96421"/>
    <n v="0"/>
    <n v="0.49875000000000003"/>
    <n v="5.3222399999999999"/>
    <n v="117178000"/>
    <n v="0"/>
    <n v="0"/>
    <n v="0"/>
    <n v="0"/>
    <n v="3979340"/>
    <n v="-103812"/>
    <n v="408539"/>
    <n v="95.575199999999995"/>
    <n v="98.274000000000001"/>
    <n v="2.42117"/>
    <n v="0"/>
    <n v="0"/>
    <n v="2.10425"/>
    <n v="1.80185"/>
    <n v="0"/>
    <n v="1.6255599999999999"/>
    <n v="2.9635199999999999"/>
    <n v="377844000"/>
    <n v="0"/>
    <n v="0"/>
    <n v="0"/>
    <n v="0"/>
    <n v="5444200"/>
    <n v="934338"/>
    <n v="0"/>
    <n v="32"/>
    <x v="16"/>
    <n v="2.1468614446124362E-6"/>
    <n v="-3.2634020819858027E-7"/>
  </r>
  <r>
    <n v="72.371899999999997"/>
    <n v="85.138999999999996"/>
    <n v="2.2219699999999998"/>
    <n v="0.01"/>
    <n v="0"/>
    <n v="2.7313900000000002"/>
    <n v="3.0337900000000002"/>
    <n v="0"/>
    <n v="0.49882399999999999"/>
    <n v="5.3222399999999999"/>
    <n v="117081000"/>
    <n v="0"/>
    <n v="0"/>
    <n v="0"/>
    <n v="0"/>
    <n v="4083360"/>
    <n v="-96658.7"/>
    <n v="408539"/>
    <n v="95.230999999999995"/>
    <n v="98.274000000000001"/>
    <n v="2.2143700000000002"/>
    <n v="0"/>
    <n v="0"/>
    <n v="2.14852"/>
    <n v="1.84612"/>
    <n v="0"/>
    <n v="1.62574"/>
    <n v="2.9635199999999999"/>
    <n v="378782000"/>
    <n v="0"/>
    <n v="0"/>
    <n v="0"/>
    <n v="0"/>
    <n v="5558740"/>
    <n v="938072"/>
    <n v="0"/>
    <n v="33"/>
    <x v="16"/>
    <n v="2.1110274842481171E-6"/>
    <n v="-2.9611291887565331E-7"/>
  </r>
  <r>
    <n v="71.967799999999997"/>
    <n v="85.138999999999996"/>
    <n v="2.4160599999999999"/>
    <n v="0.01"/>
    <n v="0"/>
    <n v="2.7317900000000002"/>
    <n v="3.0341900000000002"/>
    <n v="0"/>
    <n v="0.51186299999999996"/>
    <n v="5.3222399999999999"/>
    <n v="116985000"/>
    <n v="0"/>
    <n v="0"/>
    <n v="0"/>
    <n v="0"/>
    <n v="4083960"/>
    <n v="-96617.4"/>
    <n v="408539"/>
    <n v="95.046800000000005"/>
    <n v="98.274000000000001"/>
    <n v="2.5870099999999998"/>
    <n v="0"/>
    <n v="0"/>
    <n v="2.1487699999999998"/>
    <n v="1.8463700000000001"/>
    <n v="0"/>
    <n v="1.65995"/>
    <n v="2.9635199999999999"/>
    <n v="379720000"/>
    <n v="0"/>
    <n v="0"/>
    <n v="0"/>
    <n v="0"/>
    <n v="5559370"/>
    <n v="938092"/>
    <n v="0"/>
    <n v="34"/>
    <x v="16"/>
    <n v="2.110833260676018E-6"/>
    <n v="-2.9594291155153419E-7"/>
  </r>
  <r>
    <n v="71.384200000000007"/>
    <n v="85.138999999999996"/>
    <n v="2.2117900000000001"/>
    <n v="0.01"/>
    <n v="0"/>
    <n v="2.7322000000000002"/>
    <n v="3.0346000000000002"/>
    <n v="0"/>
    <n v="0.511938"/>
    <n v="5.3222399999999999"/>
    <n v="116888000"/>
    <n v="0"/>
    <n v="0"/>
    <n v="0"/>
    <n v="0"/>
    <n v="4084560"/>
    <n v="-96576.2"/>
    <n v="408539"/>
    <n v="94.740200000000002"/>
    <n v="98.274000000000001"/>
    <n v="2.5428500000000001"/>
    <n v="0"/>
    <n v="0"/>
    <n v="2.1490100000000001"/>
    <n v="1.8466100000000001"/>
    <n v="0"/>
    <n v="1.6601399999999999"/>
    <n v="2.9635199999999999"/>
    <n v="380658000"/>
    <n v="0"/>
    <n v="0"/>
    <n v="0"/>
    <n v="0"/>
    <n v="5560010"/>
    <n v="938113"/>
    <n v="0"/>
    <n v="35"/>
    <x v="16"/>
    <n v="2.11063753488757E-6"/>
    <n v="-2.9577326043270136E-7"/>
  </r>
  <r>
    <n v="70.626900000000006"/>
    <n v="85.138999999999996"/>
    <n v="2.0287799999999998"/>
    <n v="0.01"/>
    <n v="0"/>
    <n v="2.7326000000000001"/>
    <n v="3.0350000000000001"/>
    <n v="0"/>
    <n v="0.51201399999999997"/>
    <n v="5.3222399999999999"/>
    <n v="116792000"/>
    <n v="0"/>
    <n v="0"/>
    <n v="0"/>
    <n v="0"/>
    <n v="4085160"/>
    <n v="-96534.9"/>
    <n v="408539"/>
    <n v="94.383899999999997"/>
    <n v="98.274000000000001"/>
    <n v="2.2298200000000001"/>
    <n v="0"/>
    <n v="0"/>
    <n v="2.1492599999999999"/>
    <n v="1.8468599999999999"/>
    <n v="0"/>
    <n v="1.6603300000000001"/>
    <n v="2.9635199999999999"/>
    <n v="381596000"/>
    <n v="0"/>
    <n v="0"/>
    <n v="0"/>
    <n v="0"/>
    <n v="5560640"/>
    <n v="938134"/>
    <n v="0"/>
    <n v="36"/>
    <x v="16"/>
    <n v="2.1104456494748882E-6"/>
    <n v="-2.9560335293425734E-7"/>
  </r>
  <r>
    <n v="69.827299999999994"/>
    <n v="85.138999999999996"/>
    <n v="2.1362000000000001"/>
    <n v="0.01"/>
    <n v="0"/>
    <n v="2.9357199999999999"/>
    <n v="3.2381199999999999"/>
    <n v="0"/>
    <n v="0.51208900000000002"/>
    <n v="5.3222399999999999"/>
    <n v="116716000"/>
    <n v="0"/>
    <n v="0"/>
    <n v="0"/>
    <n v="0"/>
    <n v="4388830"/>
    <n v="-75653.399999999994"/>
    <n v="408539"/>
    <n v="94.114999999999995"/>
    <n v="98.274000000000001"/>
    <n v="2.6756600000000001"/>
    <n v="0"/>
    <n v="0"/>
    <n v="2.3085300000000002"/>
    <n v="2.0061300000000002"/>
    <n v="0"/>
    <n v="1.66052"/>
    <n v="2.9635199999999999"/>
    <n v="382548000"/>
    <n v="0"/>
    <n v="0"/>
    <n v="0"/>
    <n v="0"/>
    <n v="5972710"/>
    <n v="951566"/>
    <n v="0"/>
    <n v="37"/>
    <x v="16"/>
    <n v="1.9929736797811191E-6"/>
    <n v="-2.1563227629269846E-7"/>
  </r>
  <r>
    <n v="69.196299999999994"/>
    <n v="85.138999999999996"/>
    <n v="2.31752"/>
    <n v="0.01"/>
    <n v="0"/>
    <n v="2.93615"/>
    <n v="3.23855"/>
    <n v="0"/>
    <n v="0.55015400000000003"/>
    <n v="5.3222399999999999"/>
    <n v="116640000"/>
    <n v="0"/>
    <n v="0"/>
    <n v="0"/>
    <n v="0"/>
    <n v="4389470"/>
    <n v="-75609.399999999994"/>
    <n v="408539"/>
    <n v="93.851799999999997"/>
    <n v="98.274000000000001"/>
    <n v="2.2886600000000001"/>
    <n v="0"/>
    <n v="0"/>
    <n v="2.3087900000000001"/>
    <n v="2.0063900000000001"/>
    <n v="0"/>
    <n v="1.7835700000000001"/>
    <n v="2.9635199999999999"/>
    <n v="383499000"/>
    <n v="0"/>
    <n v="0"/>
    <n v="0"/>
    <n v="0"/>
    <n v="5973400"/>
    <n v="951588"/>
    <n v="0"/>
    <n v="38"/>
    <x v="16"/>
    <n v="1.992789538996559E-6"/>
    <n v="-2.1547544295975771E-7"/>
  </r>
  <r>
    <n v="68.834100000000007"/>
    <n v="85.138999999999996"/>
    <n v="2.60629"/>
    <n v="0.01"/>
    <n v="0"/>
    <n v="2.9365800000000002"/>
    <n v="3.2389800000000002"/>
    <n v="0"/>
    <n v="0.550234"/>
    <n v="5.3222399999999999"/>
    <n v="116565000"/>
    <n v="0"/>
    <n v="0"/>
    <n v="0"/>
    <n v="0"/>
    <n v="4390110"/>
    <n v="-75565.3"/>
    <n v="408539"/>
    <n v="93.644199999999998"/>
    <n v="98.274000000000001"/>
    <n v="2.79176"/>
    <n v="0"/>
    <n v="0"/>
    <n v="2.3090600000000001"/>
    <n v="2.0066600000000001"/>
    <n v="0"/>
    <n v="1.7837700000000001"/>
    <n v="2.9635199999999999"/>
    <n v="384451000"/>
    <n v="0"/>
    <n v="0"/>
    <n v="0"/>
    <n v="0"/>
    <n v="5974090"/>
    <n v="951610"/>
    <n v="0"/>
    <n v="39"/>
    <x v="16"/>
    <n v="1.9926054407480644E-6"/>
    <n v="-2.1531837041039436E-7"/>
  </r>
  <r>
    <n v="67.956199999999995"/>
    <n v="85.138999999999996"/>
    <n v="2.0922399999999999"/>
    <n v="0.02"/>
    <n v="0"/>
    <n v="2.9370099999999999"/>
    <n v="3.2394099999999999"/>
    <n v="0"/>
    <n v="0.550315"/>
    <n v="5.3222399999999999"/>
    <n v="116489000"/>
    <n v="0"/>
    <n v="0"/>
    <n v="0"/>
    <n v="0"/>
    <n v="4390750"/>
    <n v="-75521.3"/>
    <n v="408539"/>
    <n v="93.306100000000001"/>
    <n v="98.274000000000001"/>
    <n v="2.0380799999999999"/>
    <n v="0"/>
    <n v="0"/>
    <n v="2.3093300000000001"/>
    <n v="2.0069300000000001"/>
    <n v="0"/>
    <n v="1.7839799999999999"/>
    <n v="2.9635199999999999"/>
    <n v="385402000"/>
    <n v="0"/>
    <n v="0"/>
    <n v="0"/>
    <n v="0"/>
    <n v="5974770"/>
    <n v="951633"/>
    <n v="0"/>
    <n v="40"/>
    <x v="16"/>
    <n v="1.9924268134381599E-6"/>
    <n v="-2.1516162855303999E-7"/>
  </r>
  <r>
    <n v="67.551000000000002"/>
    <n v="85.138999999999996"/>
    <n v="2.5414300000000001"/>
    <n v="0.02"/>
    <n v="0"/>
    <n v="2.9374400000000001"/>
    <n v="3.2398400000000001"/>
    <n v="0"/>
    <n v="0.55039499999999997"/>
    <n v="5.3222399999999999"/>
    <n v="116414000"/>
    <n v="0"/>
    <n v="0"/>
    <n v="0"/>
    <n v="0"/>
    <n v="4391390"/>
    <n v="-75477.2"/>
    <n v="408539"/>
    <n v="93.302700000000002"/>
    <n v="98.274000000000001"/>
    <n v="3.4819"/>
    <n v="0"/>
    <n v="0"/>
    <n v="2.30959"/>
    <n v="2.00719"/>
    <n v="0"/>
    <n v="1.7841800000000001"/>
    <n v="2.9635199999999999"/>
    <n v="386354000"/>
    <n v="0"/>
    <n v="0"/>
    <n v="0"/>
    <n v="0"/>
    <n v="5975460"/>
    <n v="951655"/>
    <n v="0"/>
    <n v="41"/>
    <x v="16"/>
    <n v="1.9922427992828121E-6"/>
    <n v="-2.1500464752232636E-7"/>
  </r>
  <r>
    <n v="66.375699999999995"/>
    <n v="85.138999999999996"/>
    <n v="1.7298199999999999"/>
    <n v="0.02"/>
    <n v="0"/>
    <n v="2.839"/>
    <n v="3.1414"/>
    <n v="0"/>
    <n v="0.55047500000000005"/>
    <n v="5.3222399999999999"/>
    <n v="116328000"/>
    <n v="0"/>
    <n v="0"/>
    <n v="0"/>
    <n v="0"/>
    <n v="4244230"/>
    <n v="-85596.6"/>
    <n v="408539"/>
    <n v="92.944699999999997"/>
    <n v="98.274000000000001"/>
    <n v="1.9609000000000001"/>
    <n v="0"/>
    <n v="0"/>
    <n v="2.2132700000000001"/>
    <n v="1.9108700000000001"/>
    <n v="0"/>
    <n v="1.7843899999999999"/>
    <n v="2.9635199999999999"/>
    <n v="387298000"/>
    <n v="0"/>
    <n v="0"/>
    <n v="0"/>
    <n v="0"/>
    <n v="5726250"/>
    <n v="943532"/>
    <n v="0"/>
    <n v="42"/>
    <x v="16"/>
    <n v="2.0612012859548202E-6"/>
    <n v="-2.5228514493826253E-7"/>
  </r>
  <r>
    <n v="65.384299999999996"/>
    <n v="85.138999999999996"/>
    <n v="1.9396899999999999"/>
    <n v="0.02"/>
    <n v="0"/>
    <n v="2.8394200000000001"/>
    <n v="3.1418200000000001"/>
    <n v="0"/>
    <n v="0.53202899999999997"/>
    <n v="5.3222399999999999"/>
    <n v="116243000"/>
    <n v="0"/>
    <n v="0"/>
    <n v="0"/>
    <n v="0"/>
    <n v="4244850"/>
    <n v="-85553.8"/>
    <n v="408539"/>
    <n v="92.893699999999995"/>
    <n v="98.274000000000001"/>
    <n v="2.8434499999999998"/>
    <n v="0"/>
    <n v="0"/>
    <n v="2.2135199999999999"/>
    <n v="1.9111199999999999"/>
    <n v="0"/>
    <n v="1.70997"/>
    <n v="2.9635199999999999"/>
    <n v="388241000"/>
    <n v="0"/>
    <n v="0"/>
    <n v="0"/>
    <n v="0"/>
    <n v="5726910"/>
    <n v="943553"/>
    <n v="0"/>
    <n v="43"/>
    <x v="16"/>
    <n v="2.0610096124514952E-6"/>
    <n v="-2.5212216717790004E-7"/>
  </r>
  <r>
    <n v="64.335599999999999"/>
    <n v="85.138999999999996"/>
    <n v="1.8681700000000001"/>
    <n v="0.02"/>
    <n v="0"/>
    <n v="2.8398300000000001"/>
    <n v="3.1422300000000001"/>
    <n v="0"/>
    <n v="0.53210599999999997"/>
    <n v="5.3222399999999999"/>
    <n v="116157000"/>
    <n v="0"/>
    <n v="0"/>
    <n v="0"/>
    <n v="0"/>
    <n v="4245480"/>
    <n v="-85511.1"/>
    <n v="408539"/>
    <n v="92.775800000000004"/>
    <n v="98.274000000000001"/>
    <n v="2.6807300000000001"/>
    <n v="0"/>
    <n v="0"/>
    <n v="2.2137699999999998"/>
    <n v="1.91137"/>
    <n v="0"/>
    <n v="1.71017"/>
    <n v="2.9635199999999999"/>
    <n v="389185000"/>
    <n v="0"/>
    <n v="0"/>
    <n v="0"/>
    <n v="0"/>
    <n v="5727560"/>
    <n v="943575"/>
    <n v="0"/>
    <n v="44"/>
    <x v="16"/>
    <n v="2.0608237652545156E-6"/>
    <n v="-2.5195893819355439E-7"/>
  </r>
  <r>
    <n v="63.268900000000002"/>
    <n v="85.138999999999996"/>
    <n v="1.83717"/>
    <n v="0.02"/>
    <n v="0"/>
    <n v="2.8402500000000002"/>
    <n v="3.1426500000000002"/>
    <n v="0"/>
    <n v="0.53218399999999999"/>
    <n v="5.3222399999999999"/>
    <n v="116072000"/>
    <n v="0"/>
    <n v="0"/>
    <n v="0"/>
    <n v="0"/>
    <n v="4246100"/>
    <n v="-85468.4"/>
    <n v="408539"/>
    <n v="92.765900000000002"/>
    <n v="98.274000000000001"/>
    <n v="3.15923"/>
    <n v="0"/>
    <n v="0"/>
    <n v="2.2140300000000002"/>
    <n v="1.9116299999999999"/>
    <n v="0"/>
    <n v="1.7103600000000001"/>
    <n v="2.9635199999999999"/>
    <n v="390128000"/>
    <n v="0"/>
    <n v="0"/>
    <n v="0"/>
    <n v="0"/>
    <n v="5728220"/>
    <n v="943596"/>
    <n v="0"/>
    <n v="45"/>
    <x v="16"/>
    <n v="2.0606321790830234E-6"/>
    <n v="-2.5179635065091106E-7"/>
  </r>
  <r>
    <n v="62.734000000000002"/>
    <n v="85.138999999999996"/>
    <n v="2.3730899999999999"/>
    <n v="0.02"/>
    <n v="0"/>
    <n v="2.7594699999999999"/>
    <n v="3.0618699999999999"/>
    <n v="0"/>
    <n v="0.53226200000000001"/>
    <n v="5.3222399999999999"/>
    <n v="115978000"/>
    <n v="0"/>
    <n v="0"/>
    <n v="0"/>
    <n v="0"/>
    <n v="4125340"/>
    <n v="-93772.4"/>
    <n v="408539"/>
    <n v="92.7791"/>
    <n v="98.274000000000001"/>
    <n v="3.1786099999999999"/>
    <n v="0"/>
    <n v="0"/>
    <n v="2.1263200000000002"/>
    <n v="1.82392"/>
    <n v="0"/>
    <n v="1.7105600000000001"/>
    <n v="2.9635199999999999"/>
    <n v="391065000"/>
    <n v="0"/>
    <n v="0"/>
    <n v="0"/>
    <n v="0"/>
    <n v="5501280"/>
    <n v="936199"/>
    <n v="0"/>
    <n v="46"/>
    <x v="16"/>
    <n v="2.1288178280854069E-6"/>
    <n v="-2.8434746398327072E-7"/>
  </r>
  <r>
    <n v="61.563400000000001"/>
    <n v="85.138999999999996"/>
    <n v="1.6420399999999999"/>
    <n v="0.02"/>
    <n v="0"/>
    <n v="2.7598699999999998"/>
    <n v="3.0622699999999998"/>
    <n v="0"/>
    <n v="0.51712499999999995"/>
    <n v="5.3222399999999999"/>
    <n v="115884000"/>
    <n v="0"/>
    <n v="0"/>
    <n v="0"/>
    <n v="0"/>
    <n v="4125940"/>
    <n v="-93730.7"/>
    <n v="408539"/>
    <n v="92.457800000000006"/>
    <n v="98.274000000000001"/>
    <n v="2.4123299999999999"/>
    <n v="0"/>
    <n v="0"/>
    <n v="2.12656"/>
    <n v="1.82416"/>
    <n v="0"/>
    <n v="1.64279"/>
    <n v="2.9635199999999999"/>
    <n v="392001000"/>
    <n v="0"/>
    <n v="0"/>
    <n v="0"/>
    <n v="0"/>
    <n v="5501910"/>
    <n v="936219"/>
    <n v="0"/>
    <n v="47"/>
    <x v="16"/>
    <n v="2.1286195390154944E-6"/>
    <n v="-2.8417968462371267E-7"/>
  </r>
  <r>
    <n v="60.677999999999997"/>
    <n v="85.138999999999996"/>
    <n v="2.0145200000000001"/>
    <n v="0.02"/>
    <n v="0"/>
    <n v="2.7602799999999998"/>
    <n v="3.0626799999999998"/>
    <n v="0"/>
    <n v="0.51720100000000002"/>
    <n v="5.3222399999999999"/>
    <n v="115790000"/>
    <n v="0"/>
    <n v="0"/>
    <n v="0"/>
    <n v="0"/>
    <n v="4126550"/>
    <n v="-93689.1"/>
    <n v="408539"/>
    <n v="92.253799999999998"/>
    <n v="98.274000000000001"/>
    <n v="1.8744000000000001"/>
    <n v="0"/>
    <n v="0"/>
    <n v="2.1267999999999998"/>
    <n v="1.8244"/>
    <n v="0"/>
    <n v="1.6429800000000001"/>
    <n v="2.9635199999999999"/>
    <n v="392937000"/>
    <n v="0"/>
    <n v="0"/>
    <n v="0"/>
    <n v="0"/>
    <n v="5502530"/>
    <n v="936240"/>
    <n v="0"/>
    <n v="48"/>
    <x v="16"/>
    <n v="2.1284274368064408E-6"/>
    <n v="-2.8401156894186462E-7"/>
  </r>
  <r>
    <n v="59.859900000000003"/>
    <n v="85.138999999999996"/>
    <n v="2.0728"/>
    <n v="0.02"/>
    <n v="0"/>
    <n v="2.7606899999999999"/>
    <n v="3.0630899999999999"/>
    <n v="0"/>
    <n v="0.51727599999999996"/>
    <n v="5.3222399999999999"/>
    <n v="115697000"/>
    <n v="0"/>
    <n v="0"/>
    <n v="0"/>
    <n v="0"/>
    <n v="4127150"/>
    <n v="-93647.4"/>
    <n v="408539"/>
    <n v="92.199600000000004"/>
    <n v="98.274000000000001"/>
    <n v="3.28505"/>
    <n v="0"/>
    <n v="0"/>
    <n v="2.12704"/>
    <n v="1.82464"/>
    <n v="0"/>
    <n v="1.64316"/>
    <n v="2.9635199999999999"/>
    <n v="393873000"/>
    <n v="0"/>
    <n v="0"/>
    <n v="0"/>
    <n v="0"/>
    <n v="5503160"/>
    <n v="936260"/>
    <n v="0"/>
    <n v="49"/>
    <x v="16"/>
    <n v="2.1282292374682181E-6"/>
    <n v="-2.8384388760395582E-7"/>
  </r>
  <r>
    <n v="62.785699999999999"/>
    <n v="85.138999999999996"/>
    <n v="5.8395999999999999"/>
    <n v="0.02"/>
    <n v="0"/>
    <n v="2.53037"/>
    <n v="2.83277"/>
    <n v="0"/>
    <n v="0.51735200000000003"/>
    <n v="5.3222399999999999"/>
    <n v="115580000"/>
    <n v="0"/>
    <n v="0"/>
    <n v="0"/>
    <n v="0"/>
    <n v="3782850"/>
    <n v="-117324"/>
    <n v="408539"/>
    <n v="93.742000000000004"/>
    <n v="98.274000000000001"/>
    <n v="7.4031900000000004"/>
    <n v="0"/>
    <n v="0"/>
    <n v="1.94398"/>
    <n v="1.64158"/>
    <n v="0"/>
    <n v="1.6433500000000001"/>
    <n v="2.9635199999999999"/>
    <n v="394794000"/>
    <n v="0"/>
    <n v="0"/>
    <n v="0"/>
    <n v="0"/>
    <n v="5029530"/>
    <n v="920822"/>
    <n v="0"/>
    <n v="50"/>
    <x v="16"/>
    <n v="2.2902471925421187E-6"/>
    <n v="-3.8797327972893293E-7"/>
  </r>
  <r>
    <n v="66.634100000000004"/>
    <n v="85.138999999999996"/>
    <n v="6.9858000000000002"/>
    <n v="0.02"/>
    <n v="0"/>
    <n v="2.5307499999999998"/>
    <n v="2.8331499999999998"/>
    <n v="0"/>
    <n v="0.474192"/>
    <n v="5.3222399999999999"/>
    <n v="115462000"/>
    <n v="0"/>
    <n v="0"/>
    <n v="0"/>
    <n v="0"/>
    <n v="3783410"/>
    <n v="-117285"/>
    <n v="408539"/>
    <n v="96.253500000000003"/>
    <n v="98.274000000000001"/>
    <n v="6.3944599999999996"/>
    <n v="0"/>
    <n v="0"/>
    <n v="1.9441900000000001"/>
    <n v="1.6417900000000001"/>
    <n v="0"/>
    <n v="1.5019199999999999"/>
    <n v="2.9635199999999999"/>
    <n v="395715000"/>
    <n v="0"/>
    <n v="0"/>
    <n v="0"/>
    <n v="0"/>
    <n v="5030090"/>
    <n v="920840"/>
    <n v="0"/>
    <n v="51"/>
    <x v="16"/>
    <n v="2.2900369834853669E-6"/>
    <n v="-3.8778690581333798E-7"/>
  </r>
  <r>
    <n v="70.525000000000006"/>
    <n v="85.138999999999996"/>
    <n v="7.0564299999999998"/>
    <n v="0.02"/>
    <n v="0"/>
    <n v="2.53112"/>
    <n v="2.83352"/>
    <n v="0"/>
    <n v="0.47426200000000002"/>
    <n v="5.3222399999999999"/>
    <n v="115345000"/>
    <n v="0"/>
    <n v="0"/>
    <n v="0"/>
    <n v="0"/>
    <n v="3783970"/>
    <n v="-117247"/>
    <n v="408539"/>
    <n v="98.550899999999999"/>
    <n v="98.274000000000001"/>
    <n v="6.3144099999999996"/>
    <n v="0"/>
    <n v="0"/>
    <n v="1.94441"/>
    <n v="1.64201"/>
    <n v="0"/>
    <n v="1.5020800000000001"/>
    <n v="2.9635199999999999"/>
    <n v="396636000"/>
    <n v="0"/>
    <n v="0"/>
    <n v="0"/>
    <n v="0"/>
    <n v="5030660"/>
    <n v="920858"/>
    <n v="0"/>
    <n v="52"/>
    <x v="16"/>
    <n v="2.2898222694862019E-6"/>
    <n v="-3.8760389293642413E-7"/>
  </r>
  <r>
    <n v="72.960300000000004"/>
    <n v="85.138999999999996"/>
    <n v="5.5760699999999996"/>
    <n v="0.01"/>
    <n v="0"/>
    <n v="2.5314999999999999"/>
    <n v="2.8338999999999999"/>
    <n v="0"/>
    <n v="0.474333"/>
    <n v="5.3222399999999999"/>
    <n v="115228000"/>
    <n v="0"/>
    <n v="0"/>
    <n v="0"/>
    <n v="0"/>
    <n v="3784530"/>
    <n v="-117208"/>
    <n v="408539"/>
    <n v="99.302199999999999"/>
    <n v="98.274000000000001"/>
    <n v="7.4884500000000003"/>
    <n v="0"/>
    <n v="0"/>
    <n v="1.9446300000000001"/>
    <n v="1.6422300000000001"/>
    <n v="0"/>
    <n v="1.5022500000000001"/>
    <n v="2.9635199999999999"/>
    <n v="397557000"/>
    <n v="0"/>
    <n v="0"/>
    <n v="0"/>
    <n v="0"/>
    <n v="5031220"/>
    <n v="920877"/>
    <n v="0"/>
    <n v="1"/>
    <x v="17"/>
    <n v="1.1306875567049442E-6"/>
    <n v="-1.9131965889561375E-7"/>
  </r>
  <r>
    <n v="75.510599999999997"/>
    <n v="85.138999999999996"/>
    <n v="5.68452"/>
    <n v="0.01"/>
    <n v="0"/>
    <n v="2.5318700000000001"/>
    <n v="2.8342700000000001"/>
    <n v="0"/>
    <n v="0.47440300000000002"/>
    <n v="5.3222399999999999"/>
    <n v="115111000"/>
    <n v="0"/>
    <n v="0"/>
    <n v="0"/>
    <n v="0"/>
    <n v="3785090"/>
    <n v="-117170"/>
    <n v="408539"/>
    <n v="99.302199999999999"/>
    <n v="98.274000000000001"/>
    <n v="11.3203"/>
    <n v="0"/>
    <n v="0"/>
    <n v="1.94485"/>
    <n v="1.64245"/>
    <n v="0"/>
    <n v="1.5024200000000001"/>
    <n v="2.9635199999999999"/>
    <n v="398478000"/>
    <n v="0"/>
    <n v="0"/>
    <n v="0"/>
    <n v="0"/>
    <n v="5031780"/>
    <n v="920895"/>
    <n v="0"/>
    <n v="2"/>
    <x v="17"/>
    <n v="1.1305838181398093E-6"/>
    <n v="-1.9122933479717137E-7"/>
  </r>
  <r>
    <n v="77.586699999999993"/>
    <n v="85.138999999999996"/>
    <n v="5.6710500000000001"/>
    <n v="0"/>
    <n v="0"/>
    <n v="2.9234399999999998"/>
    <n v="2.9234399999999998"/>
    <n v="0"/>
    <n v="0.47447299999999998"/>
    <n v="5.3222399999999999"/>
    <n v="115411000"/>
    <n v="0"/>
    <n v="0"/>
    <n v="0"/>
    <n v="0"/>
    <n v="4370470"/>
    <n v="300536"/>
    <n v="0"/>
    <n v="99.302199999999999"/>
    <n v="98.274000000000001"/>
    <n v="8.1516000000000002"/>
    <n v="0"/>
    <n v="0"/>
    <n v="1.69577"/>
    <n v="1.69577"/>
    <n v="0"/>
    <n v="1.5025900000000001"/>
    <n v="2.9635199999999999"/>
    <n v="398621000"/>
    <n v="0"/>
    <n v="0"/>
    <n v="0"/>
    <n v="0"/>
    <n v="4387370"/>
    <n v="143011"/>
    <n v="0"/>
    <n v="3"/>
    <x v="17"/>
    <n v="2.0136290913866148E-7"/>
    <n v="4.2479818564547349E-7"/>
  </r>
  <r>
    <n v="78.2136"/>
    <n v="85.138999999999996"/>
    <n v="4.1366199999999997"/>
    <n v="0"/>
    <n v="0"/>
    <n v="2.92381"/>
    <n v="2.92381"/>
    <n v="0"/>
    <n v="0.54785300000000003"/>
    <n v="5.3222399999999999"/>
    <n v="115712000"/>
    <n v="0"/>
    <n v="0"/>
    <n v="0"/>
    <n v="29016000"/>
    <n v="4371020"/>
    <n v="300573"/>
    <n v="0"/>
    <n v="99.302199999999999"/>
    <n v="98.274000000000001"/>
    <n v="5.09755"/>
    <n v="0"/>
    <n v="0"/>
    <n v="1.6959900000000001"/>
    <n v="1.6959900000000001"/>
    <n v="0"/>
    <n v="1.3101499999999999"/>
    <n v="2.9635199999999999"/>
    <n v="398764000"/>
    <n v="0"/>
    <n v="0"/>
    <n v="0"/>
    <n v="7883220"/>
    <n v="4387920"/>
    <n v="143029"/>
    <n v="0"/>
    <n v="4"/>
    <x v="17"/>
    <n v="1.1299734064734055E-5"/>
    <n v="4.1432839977151757E-5"/>
  </r>
  <r>
    <n v="78.362499999999997"/>
    <n v="85.138999999999996"/>
    <n v="3.4917400000000001"/>
    <n v="0"/>
    <n v="0"/>
    <n v="2.9241799999999998"/>
    <n v="2.9241799999999998"/>
    <n v="0"/>
    <n v="0.54792200000000002"/>
    <n v="5.3222399999999999"/>
    <n v="116012000"/>
    <n v="0"/>
    <n v="0"/>
    <n v="0"/>
    <n v="0"/>
    <n v="4371570"/>
    <n v="300611"/>
    <n v="0"/>
    <n v="99.302199999999999"/>
    <n v="98.274000000000001"/>
    <n v="5.5228400000000004"/>
    <n v="0"/>
    <n v="0"/>
    <n v="1.6961999999999999"/>
    <n v="1.6961999999999999"/>
    <n v="0"/>
    <n v="1.3103199999999999"/>
    <n v="2.9635199999999999"/>
    <n v="398907000"/>
    <n v="0"/>
    <n v="0"/>
    <n v="0"/>
    <n v="0"/>
    <n v="4388470"/>
    <n v="143047"/>
    <n v="0"/>
    <n v="5"/>
    <x v="17"/>
    <n v="2.0136311230489209E-7"/>
    <n v="4.2479727890932552E-7"/>
  </r>
  <r>
    <n v="79.9512"/>
    <n v="85.138999999999996"/>
    <n v="5.0335700000000001"/>
    <n v="0"/>
    <n v="0"/>
    <n v="2.9245399999999999"/>
    <n v="2.9245399999999999"/>
    <n v="0"/>
    <n v="0.54799100000000001"/>
    <n v="5.3222399999999999"/>
    <n v="116313000"/>
    <n v="0"/>
    <n v="0"/>
    <n v="0"/>
    <n v="0"/>
    <n v="4372120"/>
    <n v="300649"/>
    <n v="0"/>
    <n v="99.302199999999999"/>
    <n v="98.274000000000001"/>
    <n v="6.2587599999999997"/>
    <n v="0"/>
    <n v="0"/>
    <n v="1.69641"/>
    <n v="1.69641"/>
    <n v="0"/>
    <n v="1.3104800000000001"/>
    <n v="2.9635199999999999"/>
    <n v="399050000"/>
    <n v="0"/>
    <n v="0"/>
    <n v="0"/>
    <n v="0"/>
    <n v="4389020"/>
    <n v="143065"/>
    <n v="0"/>
    <n v="6"/>
    <x v="17"/>
    <n v="2.0136321384981842E-7"/>
    <n v="4.247975321799109E-7"/>
  </r>
  <r>
    <n v="81.590299999999999"/>
    <n v="85.138999999999996"/>
    <n v="5.4875600000000002"/>
    <n v="0"/>
    <n v="0"/>
    <n v="3.2101999999999999"/>
    <n v="3.2101999999999999"/>
    <n v="0"/>
    <n v="0.54805899999999996"/>
    <n v="5.3222399999999999"/>
    <n v="116643000"/>
    <n v="0"/>
    <n v="0"/>
    <n v="0"/>
    <n v="0"/>
    <n v="4799170"/>
    <n v="330015"/>
    <n v="0"/>
    <n v="99.302199999999999"/>
    <n v="98.274000000000001"/>
    <n v="7.3415100000000004"/>
    <n v="0"/>
    <n v="0"/>
    <n v="1.89611"/>
    <n v="1.89611"/>
    <n v="0"/>
    <n v="1.3106500000000001"/>
    <n v="2.9635199999999999"/>
    <n v="399210000"/>
    <n v="0"/>
    <n v="0"/>
    <n v="0"/>
    <n v="0"/>
    <n v="4905690"/>
    <n v="159907"/>
    <n v="0"/>
    <n v="7"/>
    <x v="17"/>
    <n v="2.0136392575828737E-7"/>
    <n v="4.2479739100033601E-7"/>
  </r>
  <r>
    <n v="83.787499999999994"/>
    <n v="85.138999999999996"/>
    <n v="6.1790799999999999"/>
    <n v="0"/>
    <n v="0"/>
    <n v="3.2105999999999999"/>
    <n v="3.2105999999999999"/>
    <n v="0"/>
    <n v="0.60159099999999999"/>
    <n v="5.3222399999999999"/>
    <n v="116973000"/>
    <n v="0"/>
    <n v="0"/>
    <n v="0"/>
    <n v="0"/>
    <n v="4799770"/>
    <n v="330056"/>
    <n v="0"/>
    <n v="99.302199999999999"/>
    <n v="98.274000000000001"/>
    <n v="8.3073499999999996"/>
    <n v="0"/>
    <n v="0"/>
    <n v="1.89635"/>
    <n v="1.89635"/>
    <n v="0"/>
    <n v="1.4649300000000001"/>
    <n v="2.9635199999999999"/>
    <n v="399370000"/>
    <n v="0"/>
    <n v="0"/>
    <n v="0"/>
    <n v="0"/>
    <n v="4906300"/>
    <n v="159927"/>
    <n v="0"/>
    <n v="8"/>
    <x v="17"/>
    <n v="2.0136407219115916E-7"/>
    <n v="4.2479705764351651E-7"/>
  </r>
  <r>
    <n v="85.138999999999996"/>
    <n v="85.138999999999996"/>
    <n v="5.5483900000000004"/>
    <n v="0"/>
    <n v="0"/>
    <n v="3.2109999999999999"/>
    <n v="3.2109999999999999"/>
    <n v="0"/>
    <n v="0.60166699999999995"/>
    <n v="5.3222399999999999"/>
    <n v="117303000"/>
    <n v="0"/>
    <n v="0"/>
    <n v="0"/>
    <n v="0"/>
    <n v="4800370"/>
    <n v="330097"/>
    <n v="0"/>
    <n v="99.302199999999999"/>
    <n v="98.274000000000001"/>
    <n v="6.0943699999999996"/>
    <n v="0"/>
    <n v="0"/>
    <n v="1.89659"/>
    <n v="1.89659"/>
    <n v="0"/>
    <n v="1.46512"/>
    <n v="2.9635199999999999"/>
    <n v="399529000"/>
    <n v="0"/>
    <n v="0"/>
    <n v="0"/>
    <n v="0"/>
    <n v="4906920"/>
    <n v="159947"/>
    <n v="0"/>
    <n v="9"/>
    <x v="17"/>
    <n v="2.0136380821977852E-7"/>
    <n v="4.247967243700297E-7"/>
  </r>
  <r>
    <n v="85.138999999999996"/>
    <n v="85.138999999999996"/>
    <n v="4.3765299999999998"/>
    <n v="0"/>
    <n v="0"/>
    <n v="3.2114099999999999"/>
    <n v="3.2114099999999999"/>
    <n v="0"/>
    <n v="0.601742"/>
    <n v="5.3222399999999999"/>
    <n v="117633000"/>
    <n v="0"/>
    <n v="0"/>
    <n v="0"/>
    <n v="0"/>
    <n v="4800970"/>
    <n v="330139"/>
    <n v="0"/>
    <n v="99.302199999999999"/>
    <n v="98.274000000000001"/>
    <n v="5.48637"/>
    <n v="0"/>
    <n v="0"/>
    <n v="1.89682"/>
    <n v="1.89682"/>
    <n v="0"/>
    <n v="1.4653"/>
    <n v="2.9635199999999999"/>
    <n v="399689000"/>
    <n v="0"/>
    <n v="0"/>
    <n v="0"/>
    <n v="0"/>
    <n v="4907530"/>
    <n v="159967"/>
    <n v="0"/>
    <n v="10"/>
    <x v="17"/>
    <n v="2.0136395463055893E-7"/>
    <n v="4.2479767790355142E-7"/>
  </r>
  <r>
    <n v="85.138999999999996"/>
    <n v="85.138999999999996"/>
    <n v="5.5882199999999997"/>
    <n v="0"/>
    <n v="0"/>
    <n v="2.8046899999999999"/>
    <n v="2.8046899999999999"/>
    <n v="0"/>
    <n v="0.60181799999999996"/>
    <n v="5.3222399999999999"/>
    <n v="117922000"/>
    <n v="0"/>
    <n v="0"/>
    <n v="0"/>
    <n v="0"/>
    <n v="4192940"/>
    <n v="288328"/>
    <n v="0"/>
    <n v="99.302199999999999"/>
    <n v="98.274000000000001"/>
    <n v="5.7362200000000003"/>
    <n v="0"/>
    <n v="0"/>
    <n v="1.62921"/>
    <n v="1.62921"/>
    <n v="0"/>
    <n v="1.46549"/>
    <n v="2.9635199999999999"/>
    <n v="399827000"/>
    <n v="0"/>
    <n v="0"/>
    <n v="0"/>
    <n v="0"/>
    <n v="4215160"/>
    <n v="137398"/>
    <n v="0"/>
    <n v="11"/>
    <x v="17"/>
    <n v="2.0136344911120589E-7"/>
    <n v="4.2479800304146608E-7"/>
  </r>
  <r>
    <n v="85.138999999999996"/>
    <n v="85.138999999999996"/>
    <n v="5.1234400000000004"/>
    <n v="0"/>
    <n v="0"/>
    <n v="2.80504"/>
    <n v="2.80504"/>
    <n v="0"/>
    <n v="0.52559900000000004"/>
    <n v="5.3222399999999999"/>
    <n v="118210000"/>
    <n v="0"/>
    <n v="0"/>
    <n v="0"/>
    <n v="0"/>
    <n v="4193470"/>
    <n v="288364"/>
    <n v="0"/>
    <n v="99.302199999999999"/>
    <n v="98.274000000000001"/>
    <n v="5.0887900000000004"/>
    <n v="0"/>
    <n v="0"/>
    <n v="1.6294200000000001"/>
    <n v="1.6294200000000001"/>
    <n v="0"/>
    <n v="1.2587299999999999"/>
    <n v="2.9635199999999999"/>
    <n v="399964000"/>
    <n v="0"/>
    <n v="0"/>
    <n v="0"/>
    <n v="0"/>
    <n v="4215690"/>
    <n v="137415"/>
    <n v="0"/>
    <n v="12"/>
    <x v="17"/>
    <n v="2.0136304472770896E-7"/>
    <n v="4.2479734674664303E-7"/>
  </r>
  <r>
    <n v="85.138999999999996"/>
    <n v="85.138999999999996"/>
    <n v="5.2965200000000001"/>
    <n v="0"/>
    <n v="0"/>
    <n v="2.8054000000000001"/>
    <n v="2.8054000000000001"/>
    <n v="0"/>
    <n v="0.52566500000000005"/>
    <n v="5.3222399999999999"/>
    <n v="118498000"/>
    <n v="0"/>
    <n v="0"/>
    <n v="0"/>
    <n v="0"/>
    <n v="4193990"/>
    <n v="288400"/>
    <n v="0"/>
    <n v="99.302199999999999"/>
    <n v="98.274000000000001"/>
    <n v="9.5676199999999998"/>
    <n v="0"/>
    <n v="0"/>
    <n v="1.6296200000000001"/>
    <n v="1.6296200000000001"/>
    <n v="0"/>
    <n v="1.2588900000000001"/>
    <n v="2.9635199999999999"/>
    <n v="400102000"/>
    <n v="0"/>
    <n v="0"/>
    <n v="0"/>
    <n v="0"/>
    <n v="4216220"/>
    <n v="137433"/>
    <n v="0"/>
    <n v="13"/>
    <x v="17"/>
    <n v="2.0136410562604315E-7"/>
    <n v="4.2479770348775405E-7"/>
  </r>
  <r>
    <n v="85.138999999999996"/>
    <n v="85.138999999999996"/>
    <n v="4.8557300000000003"/>
    <n v="0"/>
    <n v="0"/>
    <n v="2.8057500000000002"/>
    <n v="2.8057500000000002"/>
    <n v="0"/>
    <n v="0.52573099999999995"/>
    <n v="5.3222399999999999"/>
    <n v="118787000"/>
    <n v="0"/>
    <n v="0"/>
    <n v="0"/>
    <n v="0"/>
    <n v="4194520"/>
    <n v="288436"/>
    <n v="0"/>
    <n v="99.302199999999999"/>
    <n v="98.274000000000001"/>
    <n v="6.2637400000000003"/>
    <n v="0"/>
    <n v="0"/>
    <n v="1.6298299999999999"/>
    <n v="1.6298299999999999"/>
    <n v="0"/>
    <n v="1.25905"/>
    <n v="2.9635199999999999"/>
    <n v="400239000"/>
    <n v="0"/>
    <n v="0"/>
    <n v="0"/>
    <n v="0"/>
    <n v="4216750"/>
    <n v="137450"/>
    <n v="0"/>
    <n v="14"/>
    <x v="17"/>
    <n v="2.0136370126168265E-7"/>
    <n v="4.2479704739506938E-7"/>
  </r>
  <r>
    <n v="85.138999999999996"/>
    <n v="85.138999999999996"/>
    <n v="6.9090499999999997"/>
    <n v="0"/>
    <n v="0"/>
    <n v="2.8060999999999998"/>
    <n v="2.8060999999999998"/>
    <n v="0"/>
    <n v="0.52579699999999996"/>
    <n v="5.3222399999999999"/>
    <n v="119075000"/>
    <n v="0"/>
    <n v="0"/>
    <n v="0"/>
    <n v="0"/>
    <n v="4195050"/>
    <n v="288472"/>
    <n v="0"/>
    <n v="99.302199999999999"/>
    <n v="98.274000000000001"/>
    <n v="12.319599999999999"/>
    <n v="0"/>
    <n v="0"/>
    <n v="1.6300300000000001"/>
    <n v="1.6300300000000001"/>
    <n v="0"/>
    <n v="1.2592000000000001"/>
    <n v="2.9635199999999999"/>
    <n v="400377000"/>
    <n v="0"/>
    <n v="0"/>
    <n v="0"/>
    <n v="0"/>
    <n v="4217280"/>
    <n v="137467"/>
    <n v="0"/>
    <n v="15"/>
    <x v="17"/>
    <n v="2.0136329699895785E-7"/>
    <n v="4.247963914681653E-7"/>
  </r>
  <r>
    <n v="85.138999999999996"/>
    <n v="85.138999999999996"/>
    <n v="7.2116199999999999"/>
    <n v="0"/>
    <n v="0"/>
    <n v="2.9089900000000002"/>
    <n v="2.9089900000000002"/>
    <n v="0"/>
    <n v="0.52586299999999997"/>
    <n v="5.3222399999999999"/>
    <n v="119374000"/>
    <n v="0"/>
    <n v="0"/>
    <n v="0"/>
    <n v="0"/>
    <n v="4348870"/>
    <n v="299050"/>
    <n v="0"/>
    <n v="99.302199999999999"/>
    <n v="98.274000000000001"/>
    <n v="10.218"/>
    <n v="0"/>
    <n v="0"/>
    <n v="1.6958"/>
    <n v="1.6958"/>
    <n v="0"/>
    <n v="1.25936"/>
    <n v="2.9635199999999999"/>
    <n v="400520000"/>
    <n v="0"/>
    <n v="0"/>
    <n v="0"/>
    <n v="0"/>
    <n v="4387440"/>
    <n v="143014"/>
    <n v="0"/>
    <n v="16"/>
    <x v="17"/>
    <n v="2.0136392047149044E-7"/>
    <n v="4.2479722982094989E-7"/>
  </r>
  <r>
    <n v="85.138999999999996"/>
    <n v="85.138999999999996"/>
    <n v="5.0164099999999996"/>
    <n v="0"/>
    <n v="0"/>
    <n v="2.9093599999999999"/>
    <n v="2.9093599999999999"/>
    <n v="0"/>
    <n v="0.54514499999999999"/>
    <n v="5.3222399999999999"/>
    <n v="119673000"/>
    <n v="0"/>
    <n v="0"/>
    <n v="0"/>
    <n v="0"/>
    <n v="4349420"/>
    <n v="299088"/>
    <n v="0"/>
    <n v="99.302199999999999"/>
    <n v="98.274000000000001"/>
    <n v="6.5588699999999998"/>
    <n v="0"/>
    <n v="0"/>
    <n v="1.69601"/>
    <n v="1.69601"/>
    <n v="0"/>
    <n v="1.3101799999999999"/>
    <n v="2.9635199999999999"/>
    <n v="400663000"/>
    <n v="0"/>
    <n v="0"/>
    <n v="0"/>
    <n v="0"/>
    <n v="4387990"/>
    <n v="143032"/>
    <n v="0"/>
    <n v="17"/>
    <x v="17"/>
    <n v="2.0136402193895524E-7"/>
    <n v="4.2479748441958372E-7"/>
  </r>
  <r>
    <n v="85.138999999999996"/>
    <n v="85.138999999999996"/>
    <n v="4.3839100000000002"/>
    <n v="0"/>
    <n v="0"/>
    <n v="2.9097200000000001"/>
    <n v="2.9097200000000001"/>
    <n v="0"/>
    <n v="0.54521399999999998"/>
    <n v="5.3222399999999999"/>
    <n v="119973000"/>
    <n v="0"/>
    <n v="0"/>
    <n v="0"/>
    <n v="0"/>
    <n v="4349960"/>
    <n v="299125"/>
    <n v="0"/>
    <n v="99.302199999999999"/>
    <n v="98.274000000000001"/>
    <n v="5.5625099999999996"/>
    <n v="0"/>
    <n v="0"/>
    <n v="1.6962299999999999"/>
    <n v="1.6962299999999999"/>
    <n v="0"/>
    <n v="1.3103400000000001"/>
    <n v="2.9635199999999999"/>
    <n v="400806000"/>
    <n v="0"/>
    <n v="0"/>
    <n v="0"/>
    <n v="0"/>
    <n v="4388540"/>
    <n v="143050"/>
    <n v="0"/>
    <n v="18"/>
    <x v="17"/>
    <n v="2.0136412338098695E-7"/>
    <n v="4.2479729537630278E-7"/>
  </r>
  <r>
    <n v="85.138999999999996"/>
    <n v="85.138999999999996"/>
    <n v="3.9589500000000002"/>
    <n v="0"/>
    <n v="0"/>
    <n v="2.9100899999999998"/>
    <n v="2.9100899999999998"/>
    <n v="0"/>
    <n v="0.54528200000000004"/>
    <n v="5.3222399999999999"/>
    <n v="120272000"/>
    <n v="0"/>
    <n v="0"/>
    <n v="0"/>
    <n v="0"/>
    <n v="4350510"/>
    <n v="299163"/>
    <n v="0"/>
    <n v="99.302199999999999"/>
    <n v="98.274000000000001"/>
    <n v="6.0843800000000003"/>
    <n v="0"/>
    <n v="0"/>
    <n v="1.6964399999999999"/>
    <n v="1.6964399999999999"/>
    <n v="0"/>
    <n v="1.3105100000000001"/>
    <n v="2.9635199999999999"/>
    <n v="400949000"/>
    <n v="0"/>
    <n v="0"/>
    <n v="0"/>
    <n v="0"/>
    <n v="4389090"/>
    <n v="143068"/>
    <n v="0"/>
    <n v="19"/>
    <x v="17"/>
    <n v="2.0136422479759512E-7"/>
    <n v="4.2479754990286057E-7"/>
  </r>
  <r>
    <n v="85.101100000000002"/>
    <n v="85.138999999999996"/>
    <n v="3.3147500000000001"/>
    <n v="0"/>
    <n v="0"/>
    <n v="2.8703400000000001"/>
    <n v="2.8703400000000001"/>
    <n v="0"/>
    <n v="0.54535"/>
    <n v="5.3222399999999999"/>
    <n v="120567000"/>
    <n v="0"/>
    <n v="0"/>
    <n v="0"/>
    <n v="0"/>
    <n v="4291080"/>
    <n v="295076"/>
    <n v="0"/>
    <n v="99.302199999999999"/>
    <n v="98.274000000000001"/>
    <n v="4.1559999999999997"/>
    <n v="0"/>
    <n v="0"/>
    <n v="1.67117"/>
    <n v="1.67117"/>
    <n v="0"/>
    <n v="1.31067"/>
    <n v="2.9635199999999999"/>
    <n v="401090000"/>
    <n v="0"/>
    <n v="0"/>
    <n v="0"/>
    <n v="0"/>
    <n v="4323730"/>
    <n v="140937"/>
    <n v="0"/>
    <n v="20"/>
    <x v="17"/>
    <n v="2.0136350008321415E-7"/>
    <n v="4.2479712724045137E-7"/>
  </r>
  <r>
    <n v="84.911500000000004"/>
    <n v="85.138999999999996"/>
    <n v="3.0899800000000002"/>
    <n v="0"/>
    <n v="0"/>
    <n v="2.8706999999999998"/>
    <n v="2.8706999999999998"/>
    <n v="0"/>
    <n v="0.53790099999999996"/>
    <n v="5.3222399999999999"/>
    <n v="120862000"/>
    <n v="0"/>
    <n v="0"/>
    <n v="0"/>
    <n v="0"/>
    <n v="4291620"/>
    <n v="295113"/>
    <n v="0"/>
    <n v="99.302199999999999"/>
    <n v="98.274000000000001"/>
    <n v="3.5686399999999998"/>
    <n v="0"/>
    <n v="0"/>
    <n v="1.6713800000000001"/>
    <n v="1.6713800000000001"/>
    <n v="0"/>
    <n v="1.29115"/>
    <n v="2.9635199999999999"/>
    <n v="401231000"/>
    <n v="0"/>
    <n v="0"/>
    <n v="0"/>
    <n v="0"/>
    <n v="4324270"/>
    <n v="140954"/>
    <n v="0"/>
    <n v="21"/>
    <x v="17"/>
    <n v="2.013626401883694E-7"/>
    <n v="4.2479693567227109E-7"/>
  </r>
  <r>
    <n v="84.543300000000002"/>
    <n v="85.138999999999996"/>
    <n v="2.8887700000000001"/>
    <n v="0"/>
    <n v="0"/>
    <n v="2.8710599999999999"/>
    <n v="2.8710599999999999"/>
    <n v="0"/>
    <n v="0.53796900000000003"/>
    <n v="5.3222399999999999"/>
    <n v="121157000"/>
    <n v="0"/>
    <n v="0"/>
    <n v="0"/>
    <n v="0"/>
    <n v="4292160"/>
    <n v="295150"/>
    <n v="0"/>
    <n v="99.302199999999999"/>
    <n v="98.274000000000001"/>
    <n v="3.48326"/>
    <n v="0"/>
    <n v="0"/>
    <n v="1.6715899999999999"/>
    <n v="1.6715899999999999"/>
    <n v="0"/>
    <n v="1.29131"/>
    <n v="2.9635199999999999"/>
    <n v="401372000"/>
    <n v="0"/>
    <n v="0"/>
    <n v="0"/>
    <n v="0"/>
    <n v="4324810"/>
    <n v="140972"/>
    <n v="0"/>
    <n v="22"/>
    <x v="17"/>
    <n v="2.0136320889977606E-7"/>
    <n v="4.247967441522936E-7"/>
  </r>
  <r>
    <n v="84.064300000000003"/>
    <n v="85.138999999999996"/>
    <n v="2.7641300000000002"/>
    <n v="0"/>
    <n v="0"/>
    <n v="2.8714200000000001"/>
    <n v="2.8714200000000001"/>
    <n v="0"/>
    <n v="0.53803599999999996"/>
    <n v="5.3222399999999999"/>
    <n v="121452000"/>
    <n v="0"/>
    <n v="0"/>
    <n v="0"/>
    <n v="0"/>
    <n v="4292700"/>
    <n v="295187"/>
    <n v="0"/>
    <n v="99.302199999999999"/>
    <n v="98.274000000000001"/>
    <n v="4.2468899999999996"/>
    <n v="0"/>
    <n v="0"/>
    <n v="1.6718"/>
    <n v="1.6718"/>
    <n v="0"/>
    <n v="1.2914699999999999"/>
    <n v="2.9635199999999999"/>
    <n v="401513000"/>
    <n v="0"/>
    <n v="0"/>
    <n v="0"/>
    <n v="0"/>
    <n v="4325350"/>
    <n v="140990"/>
    <n v="0"/>
    <n v="23"/>
    <x v="17"/>
    <n v="2.013637774691807E-7"/>
    <n v="4.2479655268050048E-7"/>
  </r>
  <r>
    <n v="83.271100000000004"/>
    <n v="85.138999999999996"/>
    <n v="2.53403"/>
    <n v="0"/>
    <n v="0"/>
    <n v="3.0080100000000001"/>
    <n v="3.0080100000000001"/>
    <n v="0"/>
    <n v="0.53810400000000003"/>
    <n v="5.3222399999999999"/>
    <n v="121761000"/>
    <n v="0"/>
    <n v="0"/>
    <n v="0"/>
    <n v="0"/>
    <n v="4496890"/>
    <n v="309229"/>
    <n v="0"/>
    <n v="99.302199999999999"/>
    <n v="98.274000000000001"/>
    <n v="3.5169899999999998"/>
    <n v="0"/>
    <n v="0"/>
    <n v="1.76241"/>
    <n v="1.76241"/>
    <n v="0"/>
    <n v="1.2916399999999999"/>
    <n v="2.9635199999999999"/>
    <n v="401661000"/>
    <n v="0"/>
    <n v="0"/>
    <n v="0"/>
    <n v="0"/>
    <n v="4559780"/>
    <n v="148631"/>
    <n v="0"/>
    <n v="24"/>
    <x v="17"/>
    <n v="2.0136306133918676E-7"/>
    <n v="4.2479778790008846E-7"/>
  </r>
  <r>
    <n v="82.624200000000002"/>
    <n v="85.138999999999996"/>
    <n v="2.6407400000000001"/>
    <n v="0"/>
    <n v="0"/>
    <n v="3.0083799999999998"/>
    <n v="3.0083799999999998"/>
    <n v="0"/>
    <n v="0.56369999999999998"/>
    <n v="5.3222399999999999"/>
    <n v="122071000"/>
    <n v="0"/>
    <n v="0"/>
    <n v="0"/>
    <n v="0"/>
    <n v="4497460"/>
    <n v="309268"/>
    <n v="0"/>
    <n v="99.302199999999999"/>
    <n v="98.274000000000001"/>
    <n v="3.5626899999999999"/>
    <n v="0"/>
    <n v="0"/>
    <n v="1.7626299999999999"/>
    <n v="1.7626299999999999"/>
    <n v="0"/>
    <n v="1.36164"/>
    <n v="2.9635199999999999"/>
    <n v="401810000"/>
    <n v="0"/>
    <n v="0"/>
    <n v="0"/>
    <n v="0"/>
    <n v="4560350"/>
    <n v="148650"/>
    <n v="0"/>
    <n v="25"/>
    <x v="17"/>
    <n v="2.0136363058747525E-7"/>
    <n v="4.2479751855152384E-7"/>
  </r>
  <r>
    <n v="81.694900000000004"/>
    <n v="85.138999999999996"/>
    <n v="2.34192"/>
    <n v="0"/>
    <n v="0"/>
    <n v="3.0087600000000001"/>
    <n v="3.0087600000000001"/>
    <n v="0"/>
    <n v="0.56377100000000002"/>
    <n v="5.3222399999999999"/>
    <n v="122380000"/>
    <n v="0"/>
    <n v="0"/>
    <n v="0"/>
    <n v="0"/>
    <n v="4498020"/>
    <n v="309306"/>
    <n v="0"/>
    <n v="99.302199999999999"/>
    <n v="98.274000000000001"/>
    <n v="3.3642500000000002"/>
    <n v="0"/>
    <n v="0"/>
    <n v="1.76285"/>
    <n v="1.76285"/>
    <n v="0"/>
    <n v="1.36181"/>
    <n v="2.9635199999999999"/>
    <n v="401959000"/>
    <n v="0"/>
    <n v="0"/>
    <n v="0"/>
    <n v="0"/>
    <n v="4560920"/>
    <n v="148668"/>
    <n v="0"/>
    <n v="26"/>
    <x v="17"/>
    <n v="2.0136284524702757E-7"/>
    <n v="4.2479682029371322E-7"/>
  </r>
  <r>
    <n v="80.589799999999997"/>
    <n v="85.138999999999996"/>
    <n v="2.1372100000000001"/>
    <n v="0"/>
    <n v="0"/>
    <n v="3.0091399999999999"/>
    <n v="3.0091399999999999"/>
    <n v="0"/>
    <n v="0.56384199999999995"/>
    <n v="5.3222399999999999"/>
    <n v="122689000"/>
    <n v="0"/>
    <n v="0"/>
    <n v="0"/>
    <n v="0"/>
    <n v="4498590"/>
    <n v="309345"/>
    <n v="0"/>
    <n v="99.302199999999999"/>
    <n v="98.274000000000001"/>
    <n v="3.1944300000000001"/>
    <n v="0"/>
    <n v="0"/>
    <n v="1.7630699999999999"/>
    <n v="1.7630699999999999"/>
    <n v="0"/>
    <n v="1.36198"/>
    <n v="2.9635199999999999"/>
    <n v="402107000"/>
    <n v="0"/>
    <n v="0"/>
    <n v="0"/>
    <n v="0"/>
    <n v="4561490"/>
    <n v="148687"/>
    <n v="0"/>
    <n v="27"/>
    <x v="17"/>
    <n v="2.013634143800532E-7"/>
    <n v="4.2479655113540804E-7"/>
  </r>
  <r>
    <n v="79.4268"/>
    <n v="85.138999999999996"/>
    <n v="2.0405899999999999"/>
    <n v="0"/>
    <n v="0"/>
    <n v="3.0095200000000002"/>
    <n v="3.0095200000000002"/>
    <n v="0"/>
    <n v="0.563913"/>
    <n v="5.3222399999999999"/>
    <n v="122999000"/>
    <n v="0"/>
    <n v="0"/>
    <n v="0"/>
    <n v="0"/>
    <n v="4499150"/>
    <n v="309384"/>
    <n v="0"/>
    <n v="99.302199999999999"/>
    <n v="98.274000000000001"/>
    <n v="2.8218999999999999"/>
    <n v="0"/>
    <n v="0"/>
    <n v="1.76329"/>
    <n v="1.76329"/>
    <n v="0"/>
    <n v="1.36215"/>
    <n v="2.9635199999999999"/>
    <n v="402256000"/>
    <n v="0"/>
    <n v="0"/>
    <n v="0"/>
    <n v="0"/>
    <n v="4562060"/>
    <n v="148706"/>
    <n v="0"/>
    <n v="28"/>
    <x v="17"/>
    <n v="2.0136398337085982E-7"/>
    <n v="4.2479722621538342E-7"/>
  </r>
  <r>
    <n v="78.963300000000004"/>
    <n v="85.138999999999996"/>
    <n v="2.6886000000000001"/>
    <n v="0"/>
    <n v="0"/>
    <n v="2.9829400000000001"/>
    <n v="2.9829400000000001"/>
    <n v="0"/>
    <n v="0.56398300000000001"/>
    <n v="5.3222399999999999"/>
    <n v="123305000"/>
    <n v="0"/>
    <n v="0"/>
    <n v="0"/>
    <n v="0"/>
    <n v="4459410"/>
    <n v="306652"/>
    <n v="0"/>
    <n v="99.302199999999999"/>
    <n v="98.274000000000001"/>
    <n v="3.4597199999999999"/>
    <n v="0"/>
    <n v="0"/>
    <n v="1.8132299999999999"/>
    <n v="1.8132299999999999"/>
    <n v="0"/>
    <n v="1.36232"/>
    <n v="2.9635199999999999"/>
    <n v="402409000"/>
    <n v="0"/>
    <n v="0"/>
    <n v="0"/>
    <n v="0"/>
    <n v="4691260"/>
    <n v="152917"/>
    <n v="0"/>
    <n v="29"/>
    <x v="17"/>
    <n v="2.0136341169820755E-7"/>
    <n v="4.2479822453051035E-7"/>
  </r>
  <r>
    <n v="78.581599999999995"/>
    <n v="85.138999999999996"/>
    <n v="2.7572000000000001"/>
    <n v="0"/>
    <n v="0"/>
    <n v="2.9833099999999999"/>
    <n v="2.9833099999999999"/>
    <n v="0"/>
    <n v="0.559002"/>
    <n v="5.3222399999999999"/>
    <n v="123612000"/>
    <n v="0"/>
    <n v="0"/>
    <n v="0"/>
    <n v="0"/>
    <n v="4459970"/>
    <n v="306690"/>
    <n v="0"/>
    <n v="99.302199999999999"/>
    <n v="98.274000000000001"/>
    <n v="3.33453"/>
    <n v="0"/>
    <n v="0"/>
    <n v="1.8134600000000001"/>
    <n v="1.8134600000000001"/>
    <n v="0"/>
    <n v="1.4009"/>
    <n v="2.9635199999999999"/>
    <n v="402562000"/>
    <n v="0"/>
    <n v="0"/>
    <n v="0"/>
    <n v="0"/>
    <n v="4691850"/>
    <n v="152936"/>
    <n v="0"/>
    <n v="30"/>
    <x v="17"/>
    <n v="2.0136310659542164E-7"/>
    <n v="4.247975202269062E-7"/>
  </r>
  <r>
    <n v="77.993300000000005"/>
    <n v="85.138999999999996"/>
    <n v="2.51878"/>
    <n v="0"/>
    <n v="0"/>
    <n v="2.9836800000000001"/>
    <n v="2.9836800000000001"/>
    <n v="0"/>
    <n v="0.55907200000000001"/>
    <n v="5.3222399999999999"/>
    <n v="123919000"/>
    <n v="0"/>
    <n v="0"/>
    <n v="0"/>
    <n v="0"/>
    <n v="4460530"/>
    <n v="306728"/>
    <n v="0"/>
    <n v="99.302199999999999"/>
    <n v="98.274000000000001"/>
    <n v="3.19658"/>
    <n v="0"/>
    <n v="0"/>
    <n v="1.81369"/>
    <n v="1.81369"/>
    <n v="0"/>
    <n v="1.4010800000000001"/>
    <n v="2.9635199999999999"/>
    <n v="402715000"/>
    <n v="0"/>
    <n v="0"/>
    <n v="0"/>
    <n v="0"/>
    <n v="4692440"/>
    <n v="152955"/>
    <n v="0"/>
    <n v="31"/>
    <x v="17"/>
    <n v="2.0136280156935939E-7"/>
    <n v="4.2479681610014654E-7"/>
  </r>
  <r>
    <n v="77.299000000000007"/>
    <n v="85.138999999999996"/>
    <n v="2.3696299999999999"/>
    <n v="0"/>
    <n v="0"/>
    <n v="2.9840599999999999"/>
    <n v="2.9840599999999999"/>
    <n v="0"/>
    <n v="0.55914200000000003"/>
    <n v="5.3222399999999999"/>
    <n v="124226000"/>
    <n v="0"/>
    <n v="0"/>
    <n v="0"/>
    <n v="0"/>
    <n v="4461090"/>
    <n v="306767"/>
    <n v="0"/>
    <n v="99.302199999999999"/>
    <n v="98.274000000000001"/>
    <n v="3.0827100000000001"/>
    <n v="0"/>
    <n v="0"/>
    <n v="1.8139099999999999"/>
    <n v="1.8139099999999999"/>
    <n v="0"/>
    <n v="1.4012500000000001"/>
    <n v="2.9635199999999999"/>
    <n v="402868000"/>
    <n v="0"/>
    <n v="0"/>
    <n v="0"/>
    <n v="0"/>
    <n v="4693030"/>
    <n v="152975"/>
    <n v="0"/>
    <n v="32"/>
    <x v="17"/>
    <n v="2.0136381293842916E-7"/>
    <n v="4.2479749690633766E-7"/>
  </r>
  <r>
    <n v="76.288399999999996"/>
    <n v="85.138999999999996"/>
    <n v="2.0969899999999999"/>
    <n v="0"/>
    <n v="0"/>
    <n v="3.0540799999999999"/>
    <n v="3.0540799999999999"/>
    <n v="0"/>
    <n v="0.55921200000000004"/>
    <n v="5.3222399999999999"/>
    <n v="124540000"/>
    <n v="0"/>
    <n v="0"/>
    <n v="0"/>
    <n v="0"/>
    <n v="4565780"/>
    <n v="313966"/>
    <n v="0"/>
    <n v="99.282499999999999"/>
    <n v="98.274000000000001"/>
    <n v="2.9265300000000001"/>
    <n v="0"/>
    <n v="0"/>
    <n v="1.8584700000000001"/>
    <n v="1.8584700000000001"/>
    <n v="0"/>
    <n v="1.40143"/>
    <n v="2.9635199999999999"/>
    <n v="403024000"/>
    <n v="0"/>
    <n v="0"/>
    <n v="0"/>
    <n v="0"/>
    <n v="4808300"/>
    <n v="156732"/>
    <n v="0"/>
    <n v="33"/>
    <x v="17"/>
    <n v="2.0136334356659019E-7"/>
    <n v="4.2479748164477653E-7"/>
  </r>
  <r>
    <n v="75.483999999999995"/>
    <n v="85.138999999999996"/>
    <n v="2.3239399999999999"/>
    <n v="0"/>
    <n v="0"/>
    <n v="3.0544699999999998"/>
    <n v="3.0544699999999998"/>
    <n v="0"/>
    <n v="0.57233500000000004"/>
    <n v="5.3222399999999999"/>
    <n v="124854000"/>
    <n v="0"/>
    <n v="0"/>
    <n v="0"/>
    <n v="0"/>
    <n v="4566350"/>
    <n v="314005"/>
    <n v="0"/>
    <n v="99.302199999999999"/>
    <n v="98.274000000000001"/>
    <n v="3.41987"/>
    <n v="0"/>
    <n v="0"/>
    <n v="1.8587"/>
    <n v="1.8587"/>
    <n v="0"/>
    <n v="1.4358500000000001"/>
    <n v="2.9635199999999999"/>
    <n v="403181000"/>
    <n v="0"/>
    <n v="0"/>
    <n v="0"/>
    <n v="0"/>
    <n v="4808910"/>
    <n v="156752"/>
    <n v="0"/>
    <n v="34"/>
    <x v="17"/>
    <n v="2.013634930388689E-7"/>
    <n v="4.247972163979535E-7"/>
  </r>
  <r>
    <n v="74.490099999999998"/>
    <n v="85.138999999999996"/>
    <n v="2.0995499999999998"/>
    <n v="0"/>
    <n v="0"/>
    <n v="3.0548500000000001"/>
    <n v="3.0548500000000001"/>
    <n v="0"/>
    <n v="0.572407"/>
    <n v="5.3222399999999999"/>
    <n v="125168000"/>
    <n v="0"/>
    <n v="0"/>
    <n v="0"/>
    <n v="0"/>
    <n v="4566920"/>
    <n v="314044"/>
    <n v="0"/>
    <n v="99.255499999999998"/>
    <n v="98.274000000000001"/>
    <n v="3.2662200000000001"/>
    <n v="0"/>
    <n v="0"/>
    <n v="1.85894"/>
    <n v="1.85894"/>
    <n v="0"/>
    <n v="1.4360299999999999"/>
    <n v="2.9635199999999999"/>
    <n v="403338000"/>
    <n v="0"/>
    <n v="0"/>
    <n v="0"/>
    <n v="0"/>
    <n v="4809510"/>
    <n v="156771"/>
    <n v="0"/>
    <n v="35"/>
    <x v="17"/>
    <n v="2.0136277671237669E-7"/>
    <n v="4.2479695121734166E-7"/>
  </r>
  <r>
    <n v="73.324399999999997"/>
    <n v="85.138999999999996"/>
    <n v="1.91228"/>
    <n v="0"/>
    <n v="0"/>
    <n v="3.0552299999999999"/>
    <n v="3.0552299999999999"/>
    <n v="0"/>
    <n v="0.57247899999999996"/>
    <n v="5.3222399999999999"/>
    <n v="125482000"/>
    <n v="0"/>
    <n v="0"/>
    <n v="0"/>
    <n v="0"/>
    <n v="4567490"/>
    <n v="314084"/>
    <n v="0"/>
    <n v="99.155799999999999"/>
    <n v="98.274000000000001"/>
    <n v="2.8448699999999998"/>
    <n v="0"/>
    <n v="0"/>
    <n v="1.85917"/>
    <n v="1.85917"/>
    <n v="0"/>
    <n v="1.43621"/>
    <n v="2.9635199999999999"/>
    <n v="403495000"/>
    <n v="0"/>
    <n v="0"/>
    <n v="0"/>
    <n v="0"/>
    <n v="4810110"/>
    <n v="156791"/>
    <n v="0"/>
    <n v="36"/>
    <x v="17"/>
    <n v="2.0136334484331006E-7"/>
    <n v="4.2479803860109711E-7"/>
  </r>
  <r>
    <n v="72.415499999999994"/>
    <n v="85.138999999999996"/>
    <n v="2.07294"/>
    <n v="0.01"/>
    <n v="0"/>
    <n v="2.95729"/>
    <n v="3.25969"/>
    <n v="0"/>
    <n v="0.57255"/>
    <n v="5.3222399999999999"/>
    <n v="125408000"/>
    <n v="0"/>
    <n v="0"/>
    <n v="0"/>
    <n v="0"/>
    <n v="4421070"/>
    <n v="-73436.5"/>
    <n v="408539"/>
    <n v="99.040999999999997"/>
    <n v="98.274000000000001"/>
    <n v="3.5868099999999998"/>
    <n v="0"/>
    <n v="0"/>
    <n v="2.3218899999999998"/>
    <n v="2.0194899999999998"/>
    <n v="0"/>
    <n v="1.4363900000000001"/>
    <n v="2.9635199999999999"/>
    <n v="404447000"/>
    <n v="0"/>
    <n v="0"/>
    <n v="0"/>
    <n v="0"/>
    <n v="6007280"/>
    <n v="952692"/>
    <n v="0"/>
    <n v="37"/>
    <x v="17"/>
    <n v="9.7969059354465488E-7"/>
    <n v="-1.0261217039151421E-7"/>
  </r>
  <r>
    <n v="71.066400000000002"/>
    <n v="85.138999999999996"/>
    <n v="1.61131"/>
    <n v="0.01"/>
    <n v="0"/>
    <n v="2.9576899999999999"/>
    <n v="3.2600899999999999"/>
    <n v="0"/>
    <n v="0.55419499999999999"/>
    <n v="5.3222399999999999"/>
    <n v="125335000"/>
    <n v="0"/>
    <n v="0"/>
    <n v="0"/>
    <n v="0"/>
    <n v="4421680"/>
    <n v="-73394.5"/>
    <n v="408539"/>
    <n v="98.7577"/>
    <n v="98.274000000000001"/>
    <n v="2.7742800000000001"/>
    <n v="0"/>
    <n v="0"/>
    <n v="2.3221400000000001"/>
    <n v="2.0197400000000001"/>
    <n v="0"/>
    <n v="1.79389"/>
    <n v="2.9635199999999999"/>
    <n v="405400000"/>
    <n v="0"/>
    <n v="0"/>
    <n v="0"/>
    <n v="0"/>
    <n v="6007940"/>
    <n v="952714"/>
    <n v="0"/>
    <n v="38"/>
    <x v="17"/>
    <n v="9.7960559097978277E-7"/>
    <n v="-1.0253933623246318E-7"/>
  </r>
  <r>
    <n v="69.790599999999998"/>
    <n v="85.138999999999996"/>
    <n v="1.6962999999999999"/>
    <n v="0.01"/>
    <n v="0"/>
    <n v="2.9581"/>
    <n v="3.2605"/>
    <n v="0"/>
    <n v="0.55427199999999999"/>
    <n v="5.3222399999999999"/>
    <n v="125262000"/>
    <n v="0"/>
    <n v="0"/>
    <n v="0"/>
    <n v="0"/>
    <n v="4422290"/>
    <n v="-73352.5"/>
    <n v="408539"/>
    <n v="98.603899999999996"/>
    <n v="98.274000000000001"/>
    <n v="3.2355700000000001"/>
    <n v="0"/>
    <n v="0"/>
    <n v="2.3224"/>
    <n v="2.02"/>
    <n v="0"/>
    <n v="1.79409"/>
    <n v="2.9635199999999999"/>
    <n v="406353000"/>
    <n v="0"/>
    <n v="0"/>
    <n v="0"/>
    <n v="0"/>
    <n v="6008590"/>
    <n v="952735"/>
    <n v="0"/>
    <n v="39"/>
    <x v="17"/>
    <n v="9.7952120917408292E-7"/>
    <n v="-1.0246652216654807E-7"/>
  </r>
  <r>
    <n v="68.212100000000007"/>
    <n v="85.138999999999996"/>
    <n v="1.38073"/>
    <n v="0.01"/>
    <n v="0"/>
    <n v="2.95851"/>
    <n v="3.26091"/>
    <n v="0"/>
    <n v="0.55434899999999998"/>
    <n v="5.3222399999999999"/>
    <n v="125188000"/>
    <n v="0"/>
    <n v="0"/>
    <n v="0"/>
    <n v="0"/>
    <n v="4422900"/>
    <n v="-73310.399999999994"/>
    <n v="408539"/>
    <n v="98.223699999999994"/>
    <n v="98.274000000000001"/>
    <n v="2.3094700000000001"/>
    <n v="0"/>
    <n v="0"/>
    <n v="2.3226499999999999"/>
    <n v="2.0202499999999999"/>
    <n v="0"/>
    <n v="1.7942800000000001"/>
    <n v="2.9635199999999999"/>
    <n v="407306000"/>
    <n v="0"/>
    <n v="0"/>
    <n v="0"/>
    <n v="0"/>
    <n v="6009250"/>
    <n v="952756"/>
    <n v="0"/>
    <n v="40"/>
    <x v="17"/>
    <n v="9.7943521574098765E-7"/>
    <n v="-1.0239358851415547E-7"/>
  </r>
  <r>
    <n v="66.960999999999999"/>
    <n v="85.138999999999996"/>
    <n v="1.68594"/>
    <n v="0.02"/>
    <n v="0"/>
    <n v="2.95892"/>
    <n v="3.26132"/>
    <n v="0"/>
    <n v="0.55442499999999995"/>
    <n v="5.3222399999999999"/>
    <n v="125115000"/>
    <n v="0"/>
    <n v="0"/>
    <n v="0"/>
    <n v="0"/>
    <n v="4423510"/>
    <n v="-73268.399999999994"/>
    <n v="408539"/>
    <n v="98.264399999999995"/>
    <n v="98.274000000000001"/>
    <n v="4.1598899999999999"/>
    <n v="0"/>
    <n v="0"/>
    <n v="2.3229000000000002"/>
    <n v="2.0205000000000002"/>
    <n v="0"/>
    <n v="1.7944800000000001"/>
    <n v="2.9635199999999999"/>
    <n v="408258000"/>
    <n v="0"/>
    <n v="0"/>
    <n v="0"/>
    <n v="0"/>
    <n v="6009900"/>
    <n v="952778"/>
    <n v="0"/>
    <n v="41"/>
    <x v="17"/>
    <n v="9.793518986461793E-7"/>
    <n v="-1.0232081462883643E-7"/>
  </r>
  <r>
    <n v="65.964500000000001"/>
    <n v="85.138999999999996"/>
    <n v="1.9234899999999999"/>
    <n v="0.02"/>
    <n v="0"/>
    <n v="2.85981"/>
    <n v="3.16221"/>
    <n v="0"/>
    <n v="0.55450200000000005"/>
    <n v="5.3222399999999999"/>
    <n v="125031000"/>
    <n v="0"/>
    <n v="0"/>
    <n v="0"/>
    <n v="0"/>
    <n v="4275340"/>
    <n v="-83457.100000000006"/>
    <n v="408539"/>
    <n v="98.198099999999997"/>
    <n v="98.274000000000001"/>
    <n v="3.2429100000000002"/>
    <n v="0"/>
    <n v="0"/>
    <n v="2.22593"/>
    <n v="1.92353"/>
    <n v="0"/>
    <n v="1.79467"/>
    <n v="2.9635199999999999"/>
    <n v="409203000"/>
    <n v="0"/>
    <n v="0"/>
    <n v="0"/>
    <n v="0"/>
    <n v="5759010"/>
    <n v="944600"/>
    <n v="0"/>
    <n v="42"/>
    <x v="17"/>
    <n v="1.0132448461537894E-6"/>
    <n v="-1.2058878691752704E-7"/>
  </r>
  <r>
    <n v="65.754599999999996"/>
    <n v="85.138999999999996"/>
    <n v="2.74288"/>
    <n v="0.02"/>
    <n v="0"/>
    <n v="2.8602099999999999"/>
    <n v="3.1626099999999999"/>
    <n v="0"/>
    <n v="0.53592899999999999"/>
    <n v="5.3222399999999999"/>
    <n v="124948000"/>
    <n v="0"/>
    <n v="0"/>
    <n v="0"/>
    <n v="0"/>
    <n v="4275940"/>
    <n v="-83416.399999999994"/>
    <n v="408539"/>
    <n v="98.345500000000001"/>
    <n v="98.274000000000001"/>
    <n v="3.7307600000000001"/>
    <n v="0"/>
    <n v="0"/>
    <n v="2.2261700000000002"/>
    <n v="1.92377"/>
    <n v="0"/>
    <n v="1.7197499999999999"/>
    <n v="2.9635199999999999"/>
    <n v="410148000"/>
    <n v="0"/>
    <n v="0"/>
    <n v="0"/>
    <n v="0"/>
    <n v="5759630"/>
    <n v="944620"/>
    <n v="0"/>
    <n v="43"/>
    <x v="17"/>
    <n v="1.0131572257048536E-6"/>
    <n v="-1.205130659265603E-7"/>
  </r>
  <r>
    <n v="65.088399999999993"/>
    <n v="85.138999999999996"/>
    <n v="2.28003"/>
    <n v="0.02"/>
    <n v="0"/>
    <n v="2.8605999999999998"/>
    <n v="3.1629999999999998"/>
    <n v="0"/>
    <n v="0.53600300000000001"/>
    <n v="5.3222399999999999"/>
    <n v="124865000"/>
    <n v="0"/>
    <n v="0"/>
    <n v="0"/>
    <n v="0"/>
    <n v="4276530"/>
    <n v="-83375.600000000006"/>
    <n v="408539"/>
    <n v="98.944199999999995"/>
    <n v="98.274000000000001"/>
    <n v="5.6958700000000002"/>
    <n v="0"/>
    <n v="0"/>
    <n v="2.22641"/>
    <n v="1.92401"/>
    <n v="0"/>
    <n v="1.71994"/>
    <n v="2.9635199999999999"/>
    <n v="411092000"/>
    <n v="0"/>
    <n v="0"/>
    <n v="0"/>
    <n v="0"/>
    <n v="5760250"/>
    <n v="944640"/>
    <n v="0"/>
    <n v="44"/>
    <x v="17"/>
    <n v="1.0130696241178348E-6"/>
    <n v="-1.2043750335525791E-7"/>
  </r>
  <r>
    <n v="64.067700000000002"/>
    <n v="85.138999999999996"/>
    <n v="1.91255"/>
    <n v="0.02"/>
    <n v="0"/>
    <n v="2.8610000000000002"/>
    <n v="3.1634000000000002"/>
    <n v="0"/>
    <n v="0.53607700000000003"/>
    <n v="5.3222399999999999"/>
    <n v="124781000"/>
    <n v="0"/>
    <n v="0"/>
    <n v="0"/>
    <n v="0"/>
    <n v="4277120"/>
    <n v="-83334.8"/>
    <n v="408539"/>
    <n v="98.808099999999996"/>
    <n v="98.274000000000001"/>
    <n v="3.12236"/>
    <n v="0"/>
    <n v="0"/>
    <n v="2.2266499999999998"/>
    <n v="1.92425"/>
    <n v="0"/>
    <n v="1.7201200000000001"/>
    <n v="2.9635199999999999"/>
    <n v="412037000"/>
    <n v="0"/>
    <n v="0"/>
    <n v="0"/>
    <n v="0"/>
    <n v="5760880"/>
    <n v="944661"/>
    <n v="0"/>
    <n v="45"/>
    <x v="17"/>
    <n v="1.0129813553285235E-6"/>
    <n v="-1.203619616306547E-7"/>
  </r>
  <r>
    <n v="63.453400000000002"/>
    <n v="85.138999999999996"/>
    <n v="2.3004099999999998"/>
    <n v="0.02"/>
    <n v="0"/>
    <n v="2.7796699999999999"/>
    <n v="3.0820699999999999"/>
    <n v="0"/>
    <n v="0.53615100000000004"/>
    <n v="5.3222399999999999"/>
    <n v="124690000"/>
    <n v="0"/>
    <n v="0"/>
    <n v="0"/>
    <n v="0"/>
    <n v="4155530"/>
    <n v="-91695.9"/>
    <n v="408539"/>
    <n v="98.779700000000005"/>
    <n v="98.274000000000001"/>
    <n v="3.2842099999999999"/>
    <n v="0"/>
    <n v="0"/>
    <n v="2.13835"/>
    <n v="1.83595"/>
    <n v="0"/>
    <n v="1.72031"/>
    <n v="2.9635199999999999"/>
    <n v="412974000"/>
    <n v="0"/>
    <n v="0"/>
    <n v="0"/>
    <n v="0"/>
    <n v="5532410"/>
    <n v="937214"/>
    <n v="0"/>
    <n v="46"/>
    <x v="17"/>
    <n v="1.0464987274225392E-6"/>
    <n v="-1.3631316145425116E-7"/>
  </r>
  <r>
    <n v="62.594700000000003"/>
    <n v="85.138999999999996"/>
    <n v="2.1059399999999999"/>
    <n v="0.02"/>
    <n v="0"/>
    <n v="2.7800500000000001"/>
    <n v="3.0824500000000001"/>
    <n v="0"/>
    <n v="0.52090999999999998"/>
    <n v="5.3222399999999999"/>
    <n v="124598000"/>
    <n v="0"/>
    <n v="0"/>
    <n v="0"/>
    <n v="0"/>
    <n v="4156110"/>
    <n v="-91656.2"/>
    <n v="408539"/>
    <n v="98.613100000000003"/>
    <n v="98.274000000000001"/>
    <n v="2.5556800000000002"/>
    <n v="0"/>
    <n v="0"/>
    <n v="2.1385800000000001"/>
    <n v="1.8361799999999999"/>
    <n v="0"/>
    <n v="1.6520900000000001"/>
    <n v="2.9635199999999999"/>
    <n v="413911000"/>
    <n v="0"/>
    <n v="0"/>
    <n v="0"/>
    <n v="0"/>
    <n v="5533010"/>
    <n v="937233"/>
    <n v="0"/>
    <n v="47"/>
    <x v="17"/>
    <n v="1.0464064582381244E-6"/>
    <n v="-1.3623512953168617E-7"/>
  </r>
  <r>
    <n v="62.729599999999998"/>
    <n v="85.138999999999996"/>
    <n v="3.1895899999999999"/>
    <n v="0.02"/>
    <n v="0"/>
    <n v="2.78044"/>
    <n v="3.08284"/>
    <n v="0"/>
    <n v="0.52098199999999995"/>
    <n v="5.3222399999999999"/>
    <n v="124506000"/>
    <n v="0"/>
    <n v="0"/>
    <n v="0"/>
    <n v="0"/>
    <n v="4156690"/>
    <n v="-91616.5"/>
    <n v="408539"/>
    <n v="99.302199999999999"/>
    <n v="98.274000000000001"/>
    <n v="6.9399100000000002"/>
    <n v="0"/>
    <n v="0"/>
    <n v="2.1388099999999999"/>
    <n v="1.8364100000000001"/>
    <n v="0"/>
    <n v="1.6522600000000001"/>
    <n v="2.9635199999999999"/>
    <n v="414849000"/>
    <n v="0"/>
    <n v="0"/>
    <n v="0"/>
    <n v="0"/>
    <n v="5533600"/>
    <n v="937252"/>
    <n v="0"/>
    <n v="48"/>
    <x v="17"/>
    <n v="1.0463160999010627E-6"/>
    <n v="-1.3615711938534943E-7"/>
  </r>
  <r>
    <n v="61.872100000000003"/>
    <n v="85.138999999999996"/>
    <n v="2.11524"/>
    <n v="0.02"/>
    <n v="0"/>
    <n v="2.7808299999999999"/>
    <n v="3.0832299999999999"/>
    <n v="0"/>
    <n v="0.52105500000000005"/>
    <n v="5.3222399999999999"/>
    <n v="124415000"/>
    <n v="0"/>
    <n v="0"/>
    <n v="0"/>
    <n v="0"/>
    <n v="4157270"/>
    <n v="-91576.7"/>
    <n v="408539"/>
    <n v="99.302199999999999"/>
    <n v="98.274000000000001"/>
    <n v="3.1077400000000002"/>
    <n v="0"/>
    <n v="0"/>
    <n v="2.1390400000000001"/>
    <n v="1.8366400000000001"/>
    <n v="0"/>
    <n v="1.6524399999999999"/>
    <n v="2.9635199999999999"/>
    <n v="415786000"/>
    <n v="0"/>
    <n v="0"/>
    <n v="0"/>
    <n v="0"/>
    <n v="5534200"/>
    <n v="937272"/>
    <n v="0"/>
    <n v="49"/>
    <x v="17"/>
    <n v="1.0462249866016465E-6"/>
    <n v="-1.3607898241048773E-7"/>
  </r>
  <r>
    <n v="62.918700000000001"/>
    <n v="85.138999999999996"/>
    <n v="3.9620899999999999"/>
    <n v="0.02"/>
    <n v="0"/>
    <n v="2.5489799999999998"/>
    <n v="2.8513799999999998"/>
    <n v="0"/>
    <n v="0.52112700000000001"/>
    <n v="5.3222399999999999"/>
    <n v="124299000"/>
    <n v="0"/>
    <n v="0"/>
    <n v="0"/>
    <n v="0"/>
    <n v="3810670"/>
    <n v="-115411"/>
    <n v="408539"/>
    <n v="99.302199999999999"/>
    <n v="98.274000000000001"/>
    <n v="5.3322200000000004"/>
    <n v="0"/>
    <n v="0"/>
    <n v="1.9547600000000001"/>
    <n v="1.6523600000000001"/>
    <n v="0"/>
    <n v="1.65262"/>
    <n v="2.9635199999999999"/>
    <n v="416708000"/>
    <n v="0"/>
    <n v="0"/>
    <n v="0"/>
    <n v="0"/>
    <n v="5057430"/>
    <n v="921731"/>
    <n v="0"/>
    <n v="50"/>
    <x v="17"/>
    <n v="1.1258709369701504E-6"/>
    <n v="-1.8709412827611324E-7"/>
  </r>
  <r>
    <n v="62.495899999999999"/>
    <n v="85.138999999999996"/>
    <n v="2.4225300000000001"/>
    <n v="0.02"/>
    <n v="0"/>
    <n v="2.5493399999999999"/>
    <n v="2.8517399999999999"/>
    <n v="0"/>
    <n v="0.47767900000000002"/>
    <n v="5.3222399999999999"/>
    <n v="124184000"/>
    <n v="0"/>
    <n v="0"/>
    <n v="0"/>
    <n v="0"/>
    <n v="3811200"/>
    <n v="-115374"/>
    <n v="408539"/>
    <n v="99.302199999999999"/>
    <n v="98.274000000000001"/>
    <n v="4.6766100000000002"/>
    <n v="0"/>
    <n v="0"/>
    <n v="1.9549700000000001"/>
    <n v="1.6525700000000001"/>
    <n v="0"/>
    <n v="1.5102500000000001"/>
    <n v="2.9635199999999999"/>
    <n v="417629000"/>
    <n v="0"/>
    <n v="0"/>
    <n v="0"/>
    <n v="0"/>
    <n v="5057970"/>
    <n v="921748"/>
    <n v="0"/>
    <n v="51"/>
    <x v="17"/>
    <n v="1.125771499363087E-6"/>
    <n v="-1.8700813745987099E-7"/>
  </r>
  <r>
    <n v="63.462299999999999"/>
    <n v="85.138999999999996"/>
    <n v="3.9078200000000001"/>
    <n v="0.02"/>
    <n v="0"/>
    <n v="2.5497000000000001"/>
    <n v="2.8521000000000001"/>
    <n v="0"/>
    <n v="0.477746"/>
    <n v="5.3222399999999999"/>
    <n v="124069000"/>
    <n v="0"/>
    <n v="0"/>
    <n v="0"/>
    <n v="0"/>
    <n v="3811730"/>
    <n v="-115337"/>
    <n v="408539"/>
    <n v="99.302199999999999"/>
    <n v="98.274000000000001"/>
    <n v="6.4570499999999997"/>
    <n v="0"/>
    <n v="0"/>
    <n v="1.9551799999999999"/>
    <n v="1.6527799999999999"/>
    <n v="0"/>
    <n v="1.51041"/>
    <n v="2.9635199999999999"/>
    <n v="418551000"/>
    <n v="0"/>
    <n v="0"/>
    <n v="0"/>
    <n v="0"/>
    <n v="5058500"/>
    <n v="921766"/>
    <n v="0"/>
    <n v="52"/>
    <x v="17"/>
    <n v="1.1256755295103278E-6"/>
    <n v="-1.8692217055672468E-7"/>
  </r>
  <r>
    <n v="64.857500000000002"/>
    <n v="85.138999999999996"/>
    <n v="4.3364599999999998"/>
    <n v="0.02"/>
    <n v="0"/>
    <n v="2.5500600000000002"/>
    <n v="2.8524600000000002"/>
    <n v="0"/>
    <n v="0.47781299999999999"/>
    <n v="5.3222399999999999"/>
    <n v="123953000"/>
    <n v="0"/>
    <n v="0"/>
    <n v="0"/>
    <n v="0"/>
    <n v="3812270"/>
    <n v="-115301"/>
    <n v="408539"/>
    <n v="99.302199999999999"/>
    <n v="98.274000000000001"/>
    <n v="7.55715"/>
    <n v="0"/>
    <n v="0"/>
    <n v="1.9553799999999999"/>
    <n v="1.6529799999999999"/>
    <n v="0"/>
    <n v="1.51057"/>
    <n v="2.9635199999999999"/>
    <n v="419473000"/>
    <n v="0"/>
    <n v="0"/>
    <n v="0"/>
    <n v="0"/>
    <n v="5059040"/>
    <n v="921783"/>
    <n v="0"/>
    <n v="1"/>
    <x v="18"/>
    <n v="5.5584499974720377E-7"/>
    <n v="-9.2266180878162048E-8"/>
  </r>
  <r>
    <n v="65.235799999999998"/>
    <n v="85.138999999999996"/>
    <n v="3.28627"/>
    <n v="0.02"/>
    <n v="0"/>
    <n v="2.5504099999999998"/>
    <n v="2.8528099999999998"/>
    <n v="0"/>
    <n v="0.47788000000000003"/>
    <n v="5.3222399999999999"/>
    <n v="123838000"/>
    <n v="0"/>
    <n v="0"/>
    <n v="0"/>
    <n v="0"/>
    <n v="3812800"/>
    <n v="-115264"/>
    <n v="408539"/>
    <n v="99.202500000000001"/>
    <n v="98.274000000000001"/>
    <n v="3.5951900000000001"/>
    <n v="0"/>
    <n v="0"/>
    <n v="1.9555899999999999"/>
    <n v="1.6531899999999999"/>
    <n v="0"/>
    <n v="1.5107299999999999"/>
    <n v="2.9635199999999999"/>
    <n v="420395000"/>
    <n v="0"/>
    <n v="0"/>
    <n v="0"/>
    <n v="0"/>
    <n v="5059580"/>
    <n v="921801"/>
    <n v="0"/>
    <n v="2"/>
    <x v="18"/>
    <n v="5.5579652843010813E-7"/>
    <n v="-9.2223751346669333E-8"/>
  </r>
  <r>
    <n v="65.245900000000006"/>
    <n v="85.138999999999996"/>
    <n v="2.8414700000000002"/>
    <n v="0.01"/>
    <n v="0"/>
    <n v="2.5504099999999998"/>
    <n v="2.8528099999999998"/>
    <n v="0"/>
    <n v="0.47794700000000001"/>
    <n v="5.3222399999999999"/>
    <n v="123723000"/>
    <n v="0"/>
    <n v="0"/>
    <n v="0"/>
    <n v="0"/>
    <n v="3812800"/>
    <n v="-115264"/>
    <n v="408539"/>
    <n v="99.302199999999999"/>
    <n v="98.274000000000001"/>
    <n v="3.9325800000000002"/>
    <n v="0"/>
    <n v="0"/>
    <n v="1.9555899999999999"/>
    <n v="1.6531899999999999"/>
    <n v="0"/>
    <n v="1.5108900000000001"/>
    <n v="2.9635199999999999"/>
    <n v="421317000"/>
    <n v="0"/>
    <n v="0"/>
    <n v="0"/>
    <n v="0"/>
    <n v="5059580"/>
    <n v="921801"/>
    <n v="0"/>
    <n v="3"/>
    <x v="18"/>
    <n v="5.5579652843010813E-7"/>
    <n v="-9.2223751346669333E-8"/>
  </r>
  <r>
    <n v="64.658000000000001"/>
    <n v="85.138999999999996"/>
    <n v="2.2639999999999998"/>
    <n v="0.01"/>
    <n v="0"/>
    <n v="2.6401500000000002"/>
    <n v="2.9425500000000002"/>
    <n v="0"/>
    <n v="0.47794700000000001"/>
    <n v="5.3222399999999999"/>
    <n v="123617000"/>
    <n v="0"/>
    <n v="0"/>
    <n v="0"/>
    <n v="29016000"/>
    <n v="3946950"/>
    <n v="-106039"/>
    <n v="408539"/>
    <n v="99.302199999999999"/>
    <n v="98.274000000000001"/>
    <n v="4.0896400000000002"/>
    <n v="0"/>
    <n v="0"/>
    <n v="2.0092500000000002"/>
    <n v="1.70685"/>
    <n v="0"/>
    <n v="1.5108900000000001"/>
    <n v="2.9635199999999999"/>
    <n v="422243000"/>
    <n v="0"/>
    <n v="0"/>
    <n v="0"/>
    <n v="7883220"/>
    <n v="5198420"/>
    <n v="926327"/>
    <n v="0"/>
    <n v="4"/>
    <x v="18"/>
    <n v="5.169818949738689E-6"/>
    <n v="2.2344930236104826E-5"/>
  </r>
  <r>
    <n v="65.652799999999999"/>
    <n v="85.138999999999996"/>
    <n v="3.8562599999999998"/>
    <n v="0.02"/>
    <n v="0"/>
    <n v="2.6404899999999998"/>
    <n v="2.9428899999999998"/>
    <n v="0"/>
    <n v="0.49476300000000001"/>
    <n v="5.3222399999999999"/>
    <n v="123511000"/>
    <n v="0"/>
    <n v="0"/>
    <n v="0"/>
    <n v="0"/>
    <n v="3947470"/>
    <n v="-106003"/>
    <n v="408539"/>
    <n v="99.302199999999999"/>
    <n v="98.274000000000001"/>
    <n v="5.2591099999999997"/>
    <n v="0"/>
    <n v="0"/>
    <n v="2.0094599999999998"/>
    <n v="1.70706"/>
    <n v="0"/>
    <n v="1.5523499999999999"/>
    <n v="2.9635199999999999"/>
    <n v="423169000"/>
    <n v="0"/>
    <n v="0"/>
    <n v="0"/>
    <n v="0"/>
    <n v="5198940"/>
    <n v="926344"/>
    <n v="0"/>
    <n v="5"/>
    <x v="18"/>
    <n v="5.4356390452968401E-7"/>
    <n v="-8.1920470953566299E-8"/>
  </r>
  <r>
    <n v="68.740499999999997"/>
    <n v="85.138999999999996"/>
    <n v="6.0752800000000002"/>
    <n v="0.02"/>
    <n v="0"/>
    <n v="2.6408399999999999"/>
    <n v="2.9432399999999999"/>
    <n v="0"/>
    <n v="0.49482900000000002"/>
    <n v="5.3222399999999999"/>
    <n v="123405000"/>
    <n v="0"/>
    <n v="0"/>
    <n v="0"/>
    <n v="0"/>
    <n v="3947990"/>
    <n v="-105967"/>
    <n v="408539"/>
    <n v="99.302199999999999"/>
    <n v="98.274000000000001"/>
    <n v="4.8043399999999998"/>
    <n v="0"/>
    <n v="0"/>
    <n v="2.0096599999999998"/>
    <n v="1.70726"/>
    <n v="0"/>
    <n v="1.5525100000000001"/>
    <n v="2.9635199999999999"/>
    <n v="424096000"/>
    <n v="0"/>
    <n v="0"/>
    <n v="0"/>
    <n v="0"/>
    <n v="5199460"/>
    <n v="926361"/>
    <n v="0"/>
    <n v="6"/>
    <x v="18"/>
    <n v="5.4351951682553263E-7"/>
    <n v="-8.1881863400983423E-8"/>
  </r>
  <r>
    <n v="71.629400000000004"/>
    <n v="85.138999999999996"/>
    <n v="5.9936999999999996"/>
    <n v="0.04"/>
    <n v="0"/>
    <n v="2.6411899999999999"/>
    <n v="2.9435899999999999"/>
    <n v="0"/>
    <n v="0.494894"/>
    <n v="5.3222399999999999"/>
    <n v="123299000"/>
    <n v="0"/>
    <n v="0"/>
    <n v="0"/>
    <n v="0"/>
    <n v="3948510"/>
    <n v="-105932"/>
    <n v="408539"/>
    <n v="99.302199999999999"/>
    <n v="98.274000000000001"/>
    <n v="5.2373799999999999"/>
    <n v="0"/>
    <n v="0"/>
    <n v="2.0098600000000002"/>
    <n v="1.70746"/>
    <n v="0"/>
    <n v="1.5526599999999999"/>
    <n v="2.9635199999999999"/>
    <n v="425022000"/>
    <n v="0"/>
    <n v="0"/>
    <n v="0"/>
    <n v="0"/>
    <n v="5199990"/>
    <n v="926378"/>
    <n v="0"/>
    <n v="7"/>
    <x v="18"/>
    <n v="5.4347409285245036E-7"/>
    <n v="-8.1844038626470922E-8"/>
  </r>
  <r>
    <n v="73.974199999999996"/>
    <n v="85.138999999999996"/>
    <n v="5.7198700000000002"/>
    <n v="0.02"/>
    <n v="0"/>
    <n v="2.92869"/>
    <n v="3.23109"/>
    <n v="0"/>
    <n v="0.49495899999999998"/>
    <n v="5.3222399999999999"/>
    <n v="123223000"/>
    <n v="0"/>
    <n v="0"/>
    <n v="0"/>
    <n v="0"/>
    <n v="4378310"/>
    <n v="-76376.600000000006"/>
    <n v="408539"/>
    <n v="99.302199999999999"/>
    <n v="98.274000000000001"/>
    <n v="6.8954199999999997"/>
    <n v="0"/>
    <n v="0"/>
    <n v="2.2108500000000002"/>
    <n v="1.90845"/>
    <n v="0"/>
    <n v="1.5528200000000001"/>
    <n v="2.9635199999999999"/>
    <n v="425965000"/>
    <n v="0"/>
    <n v="0"/>
    <n v="0"/>
    <n v="0"/>
    <n v="5719990"/>
    <n v="943328"/>
    <n v="0"/>
    <n v="8"/>
    <x v="18"/>
    <n v="5.0310725254091285E-7"/>
    <n v="-5.321657688246684E-8"/>
  </r>
  <r>
    <n v="75.352900000000005"/>
    <n v="85.138999999999996"/>
    <n v="5.0484299999999998"/>
    <n v="0"/>
    <n v="0"/>
    <n v="3.2314699999999998"/>
    <n v="3.2314699999999998"/>
    <n v="0"/>
    <n v="0.54883599999999999"/>
    <n v="5.3222399999999999"/>
    <n v="123555000"/>
    <n v="0"/>
    <n v="0"/>
    <n v="0"/>
    <n v="0"/>
    <n v="4830960"/>
    <n v="332201"/>
    <n v="0"/>
    <n v="99.302199999999999"/>
    <n v="98.274000000000001"/>
    <n v="5.1431399999999998"/>
    <n v="0"/>
    <n v="0"/>
    <n v="1.9086700000000001"/>
    <n v="1.9086700000000001"/>
    <n v="0"/>
    <n v="1.7081"/>
    <n v="2.9635199999999999"/>
    <n v="426126000"/>
    <n v="0"/>
    <n v="0"/>
    <n v="0"/>
    <n v="0"/>
    <n v="4938190"/>
    <n v="160966"/>
    <n v="0"/>
    <n v="9"/>
    <x v="18"/>
    <n v="9.943962511692133E-8"/>
    <n v="2.0977832621203456E-7"/>
  </r>
  <r>
    <n v="76.798000000000002"/>
    <n v="85.138999999999996"/>
    <n v="5.0211199999999998"/>
    <n v="0"/>
    <n v="0"/>
    <n v="3.2318500000000001"/>
    <n v="3.2318500000000001"/>
    <n v="0"/>
    <n v="0.60557700000000003"/>
    <n v="5.3222399999999999"/>
    <n v="123887000"/>
    <n v="0"/>
    <n v="0"/>
    <n v="0"/>
    <n v="0"/>
    <n v="4831540"/>
    <n v="332241"/>
    <n v="0"/>
    <n v="99.302199999999999"/>
    <n v="98.274000000000001"/>
    <n v="3.9200900000000001"/>
    <n v="0"/>
    <n v="0"/>
    <n v="1.9089"/>
    <n v="1.9089"/>
    <n v="0"/>
    <n v="1.47464"/>
    <n v="2.9635199999999999"/>
    <n v="426287000"/>
    <n v="0"/>
    <n v="0"/>
    <n v="0"/>
    <n v="0"/>
    <n v="4938780"/>
    <n v="160985"/>
    <n v="0"/>
    <n v="10"/>
    <x v="18"/>
    <n v="9.9439481978267261E-8"/>
    <n v="2.0977839964165724E-7"/>
  </r>
  <r>
    <n v="79.790999999999997"/>
    <n v="85.138999999999996"/>
    <n v="6.6792800000000003"/>
    <n v="0"/>
    <n v="0"/>
    <n v="3.2322299999999999"/>
    <n v="3.2322299999999999"/>
    <n v="0"/>
    <n v="0.60564899999999999"/>
    <n v="5.3222399999999999"/>
    <n v="124219000"/>
    <n v="0"/>
    <n v="0"/>
    <n v="0"/>
    <n v="0"/>
    <n v="4832110"/>
    <n v="332280"/>
    <n v="0"/>
    <n v="99.302199999999999"/>
    <n v="98.274000000000001"/>
    <n v="5.8509200000000003"/>
    <n v="0"/>
    <n v="0"/>
    <n v="1.90913"/>
    <n v="1.90913"/>
    <n v="0"/>
    <n v="1.47482"/>
    <n v="2.9635199999999999"/>
    <n v="426448000"/>
    <n v="0"/>
    <n v="0"/>
    <n v="0"/>
    <n v="0"/>
    <n v="4939360"/>
    <n v="161004"/>
    <n v="0"/>
    <n v="11"/>
    <x v="18"/>
    <n v="9.9439540194098786E-8"/>
    <n v="2.0977827585813043E-7"/>
  </r>
  <r>
    <n v="81.873500000000007"/>
    <n v="85.138999999999996"/>
    <n v="5.4430100000000001"/>
    <n v="0"/>
    <n v="0"/>
    <n v="2.8228599999999999"/>
    <n v="2.8228599999999999"/>
    <n v="0"/>
    <n v="0.60572099999999995"/>
    <n v="5.3222399999999999"/>
    <n v="124509000"/>
    <n v="0"/>
    <n v="0"/>
    <n v="0"/>
    <n v="0"/>
    <n v="4220110"/>
    <n v="290196"/>
    <n v="0"/>
    <n v="99.302199999999999"/>
    <n v="98.274000000000001"/>
    <n v="7.3610600000000002"/>
    <n v="0"/>
    <n v="0"/>
    <n v="1.6397699999999999"/>
    <n v="1.6397699999999999"/>
    <n v="0"/>
    <n v="1.47499"/>
    <n v="2.9635199999999999"/>
    <n v="426587000"/>
    <n v="0"/>
    <n v="0"/>
    <n v="0"/>
    <n v="0"/>
    <n v="4242470"/>
    <n v="138288"/>
    <n v="0"/>
    <n v="12"/>
    <x v="18"/>
    <n v="9.9439478438785971E-8"/>
    <n v="2.0977840193530081E-7"/>
  </r>
  <r>
    <n v="83.364099999999993"/>
    <n v="85.138999999999996"/>
    <n v="4.8283500000000004"/>
    <n v="0"/>
    <n v="0"/>
    <n v="2.8231999999999999"/>
    <n v="2.8231999999999999"/>
    <n v="0"/>
    <n v="0.52900499999999995"/>
    <n v="5.3222399999999999"/>
    <n v="124800000"/>
    <n v="0"/>
    <n v="0"/>
    <n v="0"/>
    <n v="0"/>
    <n v="4220610"/>
    <n v="290230"/>
    <n v="0"/>
    <n v="99.302199999999999"/>
    <n v="98.274000000000001"/>
    <n v="7.0914999999999999"/>
    <n v="0"/>
    <n v="0"/>
    <n v="1.6399600000000001"/>
    <n v="1.6399600000000001"/>
    <n v="0"/>
    <n v="1.2668900000000001"/>
    <n v="2.9635199999999999"/>
    <n v="426725000"/>
    <n v="0"/>
    <n v="0"/>
    <n v="0"/>
    <n v="0"/>
    <n v="4242980"/>
    <n v="138305"/>
    <n v="0"/>
    <n v="13"/>
    <x v="18"/>
    <n v="9.9439748768630831E-8"/>
    <n v="2.0977812545282317E-7"/>
  </r>
  <r>
    <n v="85.138999999999996"/>
    <n v="85.138999999999996"/>
    <n v="5.8348800000000001"/>
    <n v="0"/>
    <n v="0"/>
    <n v="2.8235299999999999"/>
    <n v="2.8235299999999999"/>
    <n v="0"/>
    <n v="0.52906699999999995"/>
    <n v="5.3222399999999999"/>
    <n v="125090000"/>
    <n v="0"/>
    <n v="0"/>
    <n v="0"/>
    <n v="0"/>
    <n v="4221110"/>
    <n v="290265"/>
    <n v="0"/>
    <n v="99.302199999999999"/>
    <n v="98.274000000000001"/>
    <n v="6.6592099999999999"/>
    <n v="0"/>
    <n v="0"/>
    <n v="1.6401600000000001"/>
    <n v="1.6401600000000001"/>
    <n v="0"/>
    <n v="1.2670399999999999"/>
    <n v="2.9635199999999999"/>
    <n v="426863000"/>
    <n v="0"/>
    <n v="0"/>
    <n v="0"/>
    <n v="0"/>
    <n v="4243480"/>
    <n v="138321"/>
    <n v="0"/>
    <n v="14"/>
    <x v="18"/>
    <n v="9.9439534465408115E-8"/>
    <n v="2.0977857174981979E-7"/>
  </r>
  <r>
    <n v="85.138999999999996"/>
    <n v="85.138999999999996"/>
    <n v="4.73407"/>
    <n v="0"/>
    <n v="0"/>
    <n v="2.8238699999999999"/>
    <n v="2.8238699999999999"/>
    <n v="0"/>
    <n v="0.52912999999999999"/>
    <n v="5.3222399999999999"/>
    <n v="125380000"/>
    <n v="0"/>
    <n v="0"/>
    <n v="0"/>
    <n v="0"/>
    <n v="4221610"/>
    <n v="290299"/>
    <n v="0"/>
    <n v="99.302199999999999"/>
    <n v="98.274000000000001"/>
    <n v="5.7332900000000002"/>
    <n v="0"/>
    <n v="0"/>
    <n v="1.64035"/>
    <n v="1.64035"/>
    <n v="0"/>
    <n v="1.26719"/>
    <n v="2.9635199999999999"/>
    <n v="427002000"/>
    <n v="0"/>
    <n v="0"/>
    <n v="0"/>
    <n v="0"/>
    <n v="4243980"/>
    <n v="138337"/>
    <n v="0"/>
    <n v="15"/>
    <x v="18"/>
    <n v="9.9439320212681229E-8"/>
    <n v="2.0977829531272181E-7"/>
  </r>
  <r>
    <n v="85.138999999999996"/>
    <n v="85.138999999999996"/>
    <n v="6.0696099999999999"/>
    <n v="0"/>
    <n v="0"/>
    <n v="2.8241999999999998"/>
    <n v="2.8241999999999998"/>
    <n v="0"/>
    <n v="0.52919300000000002"/>
    <n v="5.3222399999999999"/>
    <n v="125671000"/>
    <n v="0"/>
    <n v="0"/>
    <n v="0"/>
    <n v="0"/>
    <n v="4222110"/>
    <n v="290333"/>
    <n v="0"/>
    <n v="99.302199999999999"/>
    <n v="98.274000000000001"/>
    <n v="7.3157300000000003"/>
    <n v="0"/>
    <n v="0"/>
    <n v="1.64055"/>
    <n v="1.64055"/>
    <n v="0"/>
    <n v="1.2673399999999999"/>
    <n v="2.9635199999999999"/>
    <n v="427140000"/>
    <n v="0"/>
    <n v="0"/>
    <n v="0"/>
    <n v="0"/>
    <n v="4244490"/>
    <n v="138354"/>
    <n v="0"/>
    <n v="16"/>
    <x v="18"/>
    <n v="9.9439590465366562E-8"/>
    <n v="2.0977801894109754E-7"/>
  </r>
  <r>
    <n v="85.138999999999996"/>
    <n v="85.138999999999996"/>
    <n v="5.4547999999999996"/>
    <n v="0"/>
    <n v="0"/>
    <n v="2.92774"/>
    <n v="2.92774"/>
    <n v="0"/>
    <n v="0.52925500000000003"/>
    <n v="5.3222399999999999"/>
    <n v="125972000"/>
    <n v="0"/>
    <n v="0"/>
    <n v="0"/>
    <n v="0"/>
    <n v="4376900"/>
    <n v="300977"/>
    <n v="0"/>
    <n v="99.302199999999999"/>
    <n v="98.274000000000001"/>
    <n v="6.8134300000000003"/>
    <n v="0"/>
    <n v="0"/>
    <n v="1.7067300000000001"/>
    <n v="1.7067300000000001"/>
    <n v="0"/>
    <n v="1.26749"/>
    <n v="2.9635199999999999"/>
    <n v="427284000"/>
    <n v="0"/>
    <n v="0"/>
    <n v="0"/>
    <n v="0"/>
    <n v="4415720"/>
    <n v="143935"/>
    <n v="0"/>
    <n v="17"/>
    <x v="18"/>
    <n v="9.9439288251188594E-8"/>
    <n v="2.097779353721693E-7"/>
  </r>
  <r>
    <n v="85.138999999999996"/>
    <n v="85.138999999999996"/>
    <n v="4.7562600000000002"/>
    <n v="0"/>
    <n v="0"/>
    <n v="2.9280900000000001"/>
    <n v="2.9280900000000001"/>
    <n v="0"/>
    <n v="0.54865799999999998"/>
    <n v="5.3222399999999999"/>
    <n v="126273000"/>
    <n v="0"/>
    <n v="0"/>
    <n v="0"/>
    <n v="0"/>
    <n v="4377410"/>
    <n v="301013"/>
    <n v="0"/>
    <n v="99.302199999999999"/>
    <n v="98.274000000000001"/>
    <n v="5.6339199999999998"/>
    <n v="0"/>
    <n v="0"/>
    <n v="1.7069300000000001"/>
    <n v="1.7069300000000001"/>
    <n v="0"/>
    <n v="1.3186199999999999"/>
    <n v="2.9635199999999999"/>
    <n v="427428000"/>
    <n v="0"/>
    <n v="0"/>
    <n v="0"/>
    <n v="0"/>
    <n v="4416240"/>
    <n v="143952"/>
    <n v="0"/>
    <n v="18"/>
    <x v="18"/>
    <n v="9.9439322829979221E-8"/>
    <n v="2.0977858343565574E-7"/>
  </r>
  <r>
    <n v="85.138999999999996"/>
    <n v="85.138999999999996"/>
    <n v="4.1082400000000003"/>
    <n v="0"/>
    <n v="0"/>
    <n v="2.9284300000000001"/>
    <n v="2.9284300000000001"/>
    <n v="0"/>
    <n v="0.54872299999999996"/>
    <n v="5.3222399999999999"/>
    <n v="126574000"/>
    <n v="0"/>
    <n v="0"/>
    <n v="0"/>
    <n v="0"/>
    <n v="4377930"/>
    <n v="301049"/>
    <n v="0"/>
    <n v="99.302199999999999"/>
    <n v="98.274000000000001"/>
    <n v="5.5827400000000003"/>
    <n v="0"/>
    <n v="0"/>
    <n v="1.7071400000000001"/>
    <n v="1.7071400000000001"/>
    <n v="0"/>
    <n v="1.3187800000000001"/>
    <n v="2.9635199999999999"/>
    <n v="427572000"/>
    <n v="0"/>
    <n v="0"/>
    <n v="0"/>
    <n v="0"/>
    <n v="4416770"/>
    <n v="143969"/>
    <n v="0"/>
    <n v="19"/>
    <x v="18"/>
    <n v="9.9439132260180235E-8"/>
    <n v="2.097787521736756E-7"/>
  </r>
  <r>
    <n v="85.138999999999996"/>
    <n v="85.138999999999996"/>
    <n v="4.6329200000000004"/>
    <n v="0"/>
    <n v="0"/>
    <n v="2.9287800000000002"/>
    <n v="2.9287800000000002"/>
    <n v="0"/>
    <n v="0.54878800000000005"/>
    <n v="5.3222399999999999"/>
    <n v="126875000"/>
    <n v="0"/>
    <n v="0"/>
    <n v="0"/>
    <n v="0"/>
    <n v="4378450"/>
    <n v="301084"/>
    <n v="0"/>
    <n v="99.302199999999999"/>
    <n v="98.274000000000001"/>
    <n v="6.28728"/>
    <n v="0"/>
    <n v="0"/>
    <n v="1.7073400000000001"/>
    <n v="1.7073400000000001"/>
    <n v="0"/>
    <n v="1.3189299999999999"/>
    <n v="2.9635199999999999"/>
    <n v="427716000"/>
    <n v="0"/>
    <n v="0"/>
    <n v="0"/>
    <n v="0"/>
    <n v="4417290"/>
    <n v="143987"/>
    <n v="0"/>
    <n v="20"/>
    <x v="18"/>
    <n v="9.9439857466027634E-8"/>
    <n v="2.0977822412843389E-7"/>
  </r>
  <r>
    <n v="85.138999999999996"/>
    <n v="85.138999999999996"/>
    <n v="3.71889"/>
    <n v="0"/>
    <n v="0"/>
    <n v="2.88876"/>
    <n v="2.88876"/>
    <n v="0"/>
    <n v="0.54885300000000004"/>
    <n v="5.3222399999999999"/>
    <n v="127172000"/>
    <n v="0"/>
    <n v="0"/>
    <n v="0"/>
    <n v="0"/>
    <n v="4318620"/>
    <n v="296970"/>
    <n v="0"/>
    <n v="99.302199999999999"/>
    <n v="98.274000000000001"/>
    <n v="5.9659800000000001"/>
    <n v="0"/>
    <n v="0"/>
    <n v="1.6819"/>
    <n v="1.6819"/>
    <n v="0"/>
    <n v="1.3190900000000001"/>
    <n v="2.9635199999999999"/>
    <n v="427858000"/>
    <n v="0"/>
    <n v="0"/>
    <n v="0"/>
    <n v="0"/>
    <n v="4351470"/>
    <n v="141841"/>
    <n v="0"/>
    <n v="21"/>
    <x v="18"/>
    <n v="9.9439495609790126E-8"/>
    <n v="2.0977837133342392E-7"/>
  </r>
  <r>
    <n v="85.138999999999996"/>
    <n v="85.138999999999996"/>
    <n v="3.7817500000000002"/>
    <n v="0"/>
    <n v="0"/>
    <n v="2.8891"/>
    <n v="2.8891"/>
    <n v="0"/>
    <n v="0.54135299999999997"/>
    <n v="5.3222399999999999"/>
    <n v="127469000"/>
    <n v="0"/>
    <n v="0"/>
    <n v="0"/>
    <n v="0"/>
    <n v="4319130"/>
    <n v="297005"/>
    <n v="0"/>
    <n v="99.302199999999999"/>
    <n v="98.274000000000001"/>
    <n v="5.0893499999999996"/>
    <n v="0"/>
    <n v="0"/>
    <n v="1.6820999999999999"/>
    <n v="1.6820999999999999"/>
    <n v="0"/>
    <n v="1.2994300000000001"/>
    <n v="2.9635199999999999"/>
    <n v="427999000"/>
    <n v="0"/>
    <n v="0"/>
    <n v="0"/>
    <n v="0"/>
    <n v="4351990"/>
    <n v="141858"/>
    <n v="0"/>
    <n v="22"/>
    <x v="18"/>
    <n v="9.9439530674303552E-8"/>
    <n v="2.0977832177762488E-7"/>
  </r>
  <r>
    <n v="85.138999999999996"/>
    <n v="85.138999999999996"/>
    <n v="3.8711799999999998"/>
    <n v="0"/>
    <n v="0"/>
    <n v="2.88944"/>
    <n v="2.88944"/>
    <n v="0"/>
    <n v="0.54141700000000004"/>
    <n v="5.3222399999999999"/>
    <n v="127766000"/>
    <n v="0"/>
    <n v="0"/>
    <n v="0"/>
    <n v="0"/>
    <n v="4319640"/>
    <n v="297040"/>
    <n v="0"/>
    <n v="99.302199999999999"/>
    <n v="98.274000000000001"/>
    <n v="5.3706800000000001"/>
    <n v="0"/>
    <n v="0"/>
    <n v="1.6822999999999999"/>
    <n v="1.6822999999999999"/>
    <n v="0"/>
    <n v="1.29959"/>
    <n v="2.9635199999999999"/>
    <n v="428141000"/>
    <n v="0"/>
    <n v="0"/>
    <n v="0"/>
    <n v="0"/>
    <n v="4352500"/>
    <n v="141875"/>
    <n v="0"/>
    <n v="23"/>
    <x v="18"/>
    <n v="9.9439794195839447E-8"/>
    <n v="2.0977827223352751E-7"/>
  </r>
  <r>
    <n v="85.135999999999996"/>
    <n v="85.138999999999996"/>
    <n v="3.0822799999999999"/>
    <n v="0"/>
    <n v="0"/>
    <n v="2.88978"/>
    <n v="2.88978"/>
    <n v="0"/>
    <n v="0.54148099999999999"/>
    <n v="5.3222399999999999"/>
    <n v="128063000"/>
    <n v="0"/>
    <n v="0"/>
    <n v="0"/>
    <n v="0"/>
    <n v="4320150"/>
    <n v="297075"/>
    <n v="0"/>
    <n v="99.302199999999999"/>
    <n v="98.274000000000001"/>
    <n v="4.8753799999999998"/>
    <n v="0"/>
    <n v="0"/>
    <n v="1.6825000000000001"/>
    <n v="1.6825000000000001"/>
    <n v="0"/>
    <n v="1.2997399999999999"/>
    <n v="2.9635199999999999"/>
    <n v="428283000"/>
    <n v="0"/>
    <n v="0"/>
    <n v="0"/>
    <n v="0"/>
    <n v="4353020"/>
    <n v="141892"/>
    <n v="0"/>
    <n v="24"/>
    <x v="18"/>
    <n v="9.9439829216387719E-8"/>
    <n v="2.0977822270112763E-7"/>
  </r>
  <r>
    <n v="84.423400000000001"/>
    <n v="85.138999999999996"/>
    <n v="2.48943"/>
    <n v="0"/>
    <n v="0"/>
    <n v="3.0272299999999999"/>
    <n v="3.0272299999999999"/>
    <n v="0"/>
    <n v="0.54154599999999997"/>
    <n v="5.3222399999999999"/>
    <n v="128374000"/>
    <n v="0"/>
    <n v="0"/>
    <n v="0"/>
    <n v="0"/>
    <n v="4525630"/>
    <n v="311205"/>
    <n v="0"/>
    <n v="99.302199999999999"/>
    <n v="98.274000000000001"/>
    <n v="4.1452400000000003"/>
    <n v="0"/>
    <n v="0"/>
    <n v="1.7736700000000001"/>
    <n v="1.7736700000000001"/>
    <n v="0"/>
    <n v="1.2999000000000001"/>
    <n v="2.9635199999999999"/>
    <n v="428433000"/>
    <n v="0"/>
    <n v="0"/>
    <n v="0"/>
    <n v="0"/>
    <n v="4588910"/>
    <n v="149581"/>
    <n v="0"/>
    <n v="25"/>
    <x v="18"/>
    <n v="9.9439747801917383E-8"/>
    <n v="2.0977833949150344E-7"/>
  </r>
  <r>
    <n v="83.583500000000001"/>
    <n v="85.138999999999996"/>
    <n v="2.35785"/>
    <n v="0"/>
    <n v="0"/>
    <n v="3.0275799999999999"/>
    <n v="3.0275799999999999"/>
    <n v="0"/>
    <n v="0.56730199999999997"/>
    <n v="5.3222399999999999"/>
    <n v="128685000"/>
    <n v="0"/>
    <n v="0"/>
    <n v="0"/>
    <n v="0"/>
    <n v="4526160"/>
    <n v="311242"/>
    <n v="0"/>
    <n v="99.302199999999999"/>
    <n v="98.274000000000001"/>
    <n v="3.6983700000000002"/>
    <n v="0"/>
    <n v="0"/>
    <n v="1.7738799999999999"/>
    <n v="1.7738799999999999"/>
    <n v="0"/>
    <n v="1.3703399999999999"/>
    <n v="2.9635199999999999"/>
    <n v="428582000"/>
    <n v="0"/>
    <n v="0"/>
    <n v="0"/>
    <n v="0"/>
    <n v="4589450"/>
    <n v="149598"/>
    <n v="0"/>
    <n v="26"/>
    <x v="18"/>
    <n v="9.9439347683017679E-8"/>
    <n v="2.0977871325687617E-7"/>
  </r>
  <r>
    <n v="82.529899999999998"/>
    <n v="85.138999999999996"/>
    <n v="2.0978599999999998"/>
    <n v="0"/>
    <n v="0"/>
    <n v="3.0279400000000001"/>
    <n v="3.0279400000000001"/>
    <n v="0"/>
    <n v="0.56736900000000001"/>
    <n v="5.3222399999999999"/>
    <n v="128997000"/>
    <n v="0"/>
    <n v="0"/>
    <n v="0"/>
    <n v="0"/>
    <n v="4526700"/>
    <n v="311278"/>
    <n v="0"/>
    <n v="99.302199999999999"/>
    <n v="98.274000000000001"/>
    <n v="3.5426299999999999"/>
    <n v="0"/>
    <n v="0"/>
    <n v="1.7740899999999999"/>
    <n v="1.7740899999999999"/>
    <n v="0"/>
    <n v="1.3705000000000001"/>
    <n v="2.9635199999999999"/>
    <n v="428732000"/>
    <n v="0"/>
    <n v="0"/>
    <n v="0"/>
    <n v="0"/>
    <n v="4590000"/>
    <n v="149616"/>
    <n v="0"/>
    <n v="27"/>
    <x v="18"/>
    <n v="9.94393956464354E-8"/>
    <n v="2.097779495838842E-7"/>
  </r>
  <r>
    <n v="81.397599999999997"/>
    <n v="85.138999999999996"/>
    <n v="1.9867600000000001"/>
    <n v="0"/>
    <n v="0"/>
    <n v="3.0283000000000002"/>
    <n v="3.0283000000000002"/>
    <n v="0"/>
    <n v="0.56743699999999997"/>
    <n v="5.3222399999999999"/>
    <n v="129308000"/>
    <n v="0"/>
    <n v="0"/>
    <n v="0"/>
    <n v="0"/>
    <n v="4527240"/>
    <n v="311315"/>
    <n v="0"/>
    <n v="99.302199999999999"/>
    <n v="98.274000000000001"/>
    <n v="3.3708900000000002"/>
    <n v="0"/>
    <n v="0"/>
    <n v="1.7743"/>
    <n v="1.7743"/>
    <n v="0"/>
    <n v="1.37066"/>
    <n v="2.9635199999999999"/>
    <n v="428882000"/>
    <n v="0"/>
    <n v="0"/>
    <n v="0"/>
    <n v="0"/>
    <n v="4590540"/>
    <n v="149634"/>
    <n v="0"/>
    <n v="28"/>
    <x v="18"/>
    <n v="9.9439660216543463E-8"/>
    <n v="2.0977785993744056E-7"/>
  </r>
  <r>
    <n v="80.211200000000005"/>
    <n v="85.138999999999996"/>
    <n v="1.92624"/>
    <n v="0"/>
    <n v="0"/>
    <n v="3.0286599999999999"/>
    <n v="3.0286599999999999"/>
    <n v="0"/>
    <n v="0.56750400000000001"/>
    <n v="5.3222399999999999"/>
    <n v="129619000"/>
    <n v="0"/>
    <n v="0"/>
    <n v="0"/>
    <n v="0"/>
    <n v="4527770"/>
    <n v="311352"/>
    <n v="0"/>
    <n v="99.282200000000003"/>
    <n v="98.274000000000001"/>
    <n v="2.6644199999999998"/>
    <n v="0"/>
    <n v="0"/>
    <n v="1.77451"/>
    <n v="1.77451"/>
    <n v="0"/>
    <n v="1.37083"/>
    <n v="2.9635199999999999"/>
    <n v="429031000"/>
    <n v="0"/>
    <n v="0"/>
    <n v="0"/>
    <n v="0"/>
    <n v="4591090"/>
    <n v="149652"/>
    <n v="0"/>
    <n v="29"/>
    <x v="18"/>
    <n v="9.9439708131133203E-8"/>
    <n v="2.0977823362604294E-7"/>
  </r>
  <r>
    <n v="79.066199999999995"/>
    <n v="85.138999999999996"/>
    <n v="1.9337299999999999"/>
    <n v="0"/>
    <n v="0"/>
    <n v="3.0018899999999999"/>
    <n v="3.0018899999999999"/>
    <n v="0"/>
    <n v="0.56757100000000005"/>
    <n v="5.3222399999999999"/>
    <n v="129928000"/>
    <n v="0"/>
    <n v="0"/>
    <n v="0"/>
    <n v="0"/>
    <n v="4487750"/>
    <n v="308600"/>
    <n v="0"/>
    <n v="99.202399999999997"/>
    <n v="98.274000000000001"/>
    <n v="2.3002699999999998"/>
    <n v="0"/>
    <n v="0"/>
    <n v="1.8247500000000001"/>
    <n v="1.8247500000000001"/>
    <n v="0"/>
    <n v="1.3709899999999999"/>
    <n v="2.9635199999999999"/>
    <n v="429185000"/>
    <n v="0"/>
    <n v="0"/>
    <n v="0"/>
    <n v="0"/>
    <n v="4721070"/>
    <n v="153889"/>
    <n v="0"/>
    <n v="30"/>
    <x v="18"/>
    <n v="9.9439804031415141E-8"/>
    <n v="2.0977821621045669E-7"/>
  </r>
  <r>
    <n v="77.885499999999993"/>
    <n v="85.138999999999996"/>
    <n v="1.8844099999999999"/>
    <n v="0"/>
    <n v="0"/>
    <n v="3.0022500000000001"/>
    <n v="3.0022500000000001"/>
    <n v="0"/>
    <n v="0.562554"/>
    <n v="5.3222399999999999"/>
    <n v="130236000"/>
    <n v="0"/>
    <n v="0"/>
    <n v="0"/>
    <n v="0"/>
    <n v="4488280"/>
    <n v="308637"/>
    <n v="0"/>
    <n v="99.041799999999995"/>
    <n v="98.274000000000001"/>
    <n v="2.26552"/>
    <n v="0"/>
    <n v="0"/>
    <n v="1.82497"/>
    <n v="1.82497"/>
    <n v="0"/>
    <n v="1.4097999999999999"/>
    <n v="2.9635199999999999"/>
    <n v="429339000"/>
    <n v="0"/>
    <n v="0"/>
    <n v="0"/>
    <n v="0"/>
    <n v="4721630"/>
    <n v="153907"/>
    <n v="0"/>
    <n v="31"/>
    <x v="18"/>
    <n v="9.9439639999725945E-8"/>
    <n v="2.0977859314487664E-7"/>
  </r>
  <r>
    <n v="76.612499999999997"/>
    <n v="85.138999999999996"/>
    <n v="1.7566299999999999"/>
    <n v="0"/>
    <n v="0"/>
    <n v="3.0026000000000002"/>
    <n v="3.0026000000000002"/>
    <n v="0"/>
    <n v="0.56262100000000004"/>
    <n v="5.3222399999999999"/>
    <n v="130545000"/>
    <n v="0"/>
    <n v="0"/>
    <n v="0"/>
    <n v="0"/>
    <n v="4488820"/>
    <n v="308673"/>
    <n v="0"/>
    <n v="98.773200000000003"/>
    <n v="98.274000000000001"/>
    <n v="2.16628"/>
    <n v="0"/>
    <n v="0"/>
    <n v="1.8251900000000001"/>
    <n v="1.8251900000000001"/>
    <n v="0"/>
    <n v="1.4099699999999999"/>
    <n v="2.9635199999999999"/>
    <n v="429493000"/>
    <n v="0"/>
    <n v="0"/>
    <n v="0"/>
    <n v="0"/>
    <n v="4722190"/>
    <n v="153925"/>
    <n v="0"/>
    <n v="32"/>
    <x v="18"/>
    <n v="9.9439476006941462E-8"/>
    <n v="2.097778230418936E-7"/>
  </r>
  <r>
    <n v="75.121799999999993"/>
    <n v="85.138999999999996"/>
    <n v="1.51206"/>
    <n v="0"/>
    <n v="0"/>
    <n v="3.0029599999999999"/>
    <n v="3.0029599999999999"/>
    <n v="0"/>
    <n v="0.56268799999999997"/>
    <n v="5.3222399999999999"/>
    <n v="130854000"/>
    <n v="0"/>
    <n v="0"/>
    <n v="0"/>
    <n v="0"/>
    <n v="4489350"/>
    <n v="308710"/>
    <n v="0"/>
    <n v="98.215299999999999"/>
    <n v="98.274000000000001"/>
    <n v="2.0236999999999998"/>
    <n v="0"/>
    <n v="0"/>
    <n v="1.8253999999999999"/>
    <n v="1.8253999999999999"/>
    <n v="0"/>
    <n v="1.4101399999999999"/>
    <n v="2.9635199999999999"/>
    <n v="429647000"/>
    <n v="0"/>
    <n v="0"/>
    <n v="0"/>
    <n v="0"/>
    <n v="4722750"/>
    <n v="153943"/>
    <n v="0"/>
    <n v="33"/>
    <x v="18"/>
    <n v="9.9439312053047888E-8"/>
    <n v="2.0977819993289069E-7"/>
  </r>
  <r>
    <n v="73.483699999999999"/>
    <n v="85.138999999999996"/>
    <n v="1.41272"/>
    <n v="0"/>
    <n v="0"/>
    <n v="3.07341"/>
    <n v="3.07341"/>
    <n v="0"/>
    <n v="0.56275399999999998"/>
    <n v="5.3222399999999999"/>
    <n v="131170000"/>
    <n v="0"/>
    <n v="0"/>
    <n v="0"/>
    <n v="0"/>
    <n v="4594660"/>
    <n v="315952"/>
    <n v="0"/>
    <n v="97.749099999999999"/>
    <n v="98.274000000000001"/>
    <n v="1.6926600000000001"/>
    <n v="0"/>
    <n v="0"/>
    <n v="1.8702300000000001"/>
    <n v="1.8702300000000001"/>
    <n v="0"/>
    <n v="1.41031"/>
    <n v="2.9635199999999999"/>
    <n v="429805000"/>
    <n v="0"/>
    <n v="0"/>
    <n v="0"/>
    <n v="0"/>
    <n v="4838730"/>
    <n v="157724"/>
    <n v="0"/>
    <n v="34"/>
    <x v="18"/>
    <n v="9.9439633591755032E-8"/>
    <n v="2.0977843990885682E-7"/>
  </r>
  <r>
    <n v="72.015799999999999"/>
    <n v="85.138999999999996"/>
    <n v="1.3082400000000001"/>
    <n v="0.01"/>
    <n v="0"/>
    <n v="2.7713700000000001"/>
    <n v="3.0737700000000001"/>
    <n v="0"/>
    <n v="0.57595600000000002"/>
    <n v="5.3222399999999999"/>
    <n v="131077000"/>
    <n v="0"/>
    <n v="0"/>
    <n v="0"/>
    <n v="0"/>
    <n v="4143130"/>
    <n v="-92549"/>
    <n v="408539"/>
    <n v="96.912700000000001"/>
    <n v="98.274000000000001"/>
    <n v="1.70061"/>
    <n v="0"/>
    <n v="0"/>
    <n v="2.1728499999999999"/>
    <n v="1.8704499999999999"/>
    <n v="0"/>
    <n v="1.4449399999999999"/>
    <n v="2.9635199999999999"/>
    <n v="430745000"/>
    <n v="0"/>
    <n v="0"/>
    <n v="0"/>
    <n v="0"/>
    <n v="5621680"/>
    <n v="940123"/>
    <n v="0"/>
    <n v="35"/>
    <x v="18"/>
    <n v="5.101661965100485E-7"/>
    <n v="-6.8145360302196039E-8"/>
  </r>
  <r>
    <n v="70.465000000000003"/>
    <n v="85.138999999999996"/>
    <n v="1.2120200000000001"/>
    <n v="0.01"/>
    <n v="0"/>
    <n v="2.7717299999999998"/>
    <n v="3.0741299999999998"/>
    <n v="0"/>
    <n v="0.51935500000000001"/>
    <n v="5.3222399999999999"/>
    <n v="130985000"/>
    <n v="0"/>
    <n v="0"/>
    <n v="0"/>
    <n v="0"/>
    <n v="4143670"/>
    <n v="-92511.5"/>
    <n v="408539"/>
    <n v="96.201899999999995"/>
    <n v="98.274000000000001"/>
    <n v="1.51386"/>
    <n v="0"/>
    <n v="0"/>
    <n v="2.1730700000000001"/>
    <n v="1.8706700000000001"/>
    <n v="0"/>
    <n v="1.6787399999999999"/>
    <n v="2.9635199999999999"/>
    <n v="431685000"/>
    <n v="0"/>
    <n v="0"/>
    <n v="0"/>
    <n v="0"/>
    <n v="5622260"/>
    <n v="940142"/>
    <n v="0"/>
    <n v="36"/>
    <x v="18"/>
    <n v="5.1012387652742962E-7"/>
    <n v="-6.8108871377169398E-8"/>
  </r>
  <r>
    <n v="68.955299999999994"/>
    <n v="85.138999999999996"/>
    <n v="1.2340500000000001"/>
    <n v="0.01"/>
    <n v="0"/>
    <n v="2.7721"/>
    <n v="3.0745"/>
    <n v="0"/>
    <n v="0.51942299999999997"/>
    <n v="5.3222399999999999"/>
    <n v="130892000"/>
    <n v="0"/>
    <n v="0"/>
    <n v="0"/>
    <n v="0"/>
    <n v="4144220"/>
    <n v="-92474.1"/>
    <n v="408539"/>
    <n v="95.104399999999998"/>
    <n v="98.274000000000001"/>
    <n v="1.72922"/>
    <n v="0"/>
    <n v="0"/>
    <n v="2.1732900000000002"/>
    <n v="1.8708899999999999"/>
    <n v="0"/>
    <n v="1.67892"/>
    <n v="2.9635199999999999"/>
    <n v="432625000"/>
    <n v="0"/>
    <n v="0"/>
    <n v="0"/>
    <n v="0"/>
    <n v="5622830"/>
    <n v="940161"/>
    <n v="0"/>
    <n v="37"/>
    <x v="18"/>
    <n v="5.100824724371186E-7"/>
    <n v="-6.8072301314976516E-8"/>
  </r>
  <r>
    <n v="67.097700000000003"/>
    <n v="85.138999999999996"/>
    <n v="1.02773"/>
    <n v="0.02"/>
    <n v="0"/>
    <n v="2.9778199999999999"/>
    <n v="3.2802199999999999"/>
    <n v="0"/>
    <n v="0.51949100000000004"/>
    <n v="5.3222399999999999"/>
    <n v="130821000"/>
    <n v="0"/>
    <n v="0"/>
    <n v="0"/>
    <n v="0"/>
    <n v="4451770"/>
    <n v="-71325.5"/>
    <n v="408539"/>
    <n v="93.876800000000003"/>
    <n v="98.274000000000001"/>
    <n v="1.18214"/>
    <n v="0"/>
    <n v="0"/>
    <n v="2.3346100000000001"/>
    <n v="2.0322100000000001"/>
    <n v="0"/>
    <n v="1.67909"/>
    <n v="2.9635199999999999"/>
    <n v="433579000"/>
    <n v="0"/>
    <n v="0"/>
    <n v="0"/>
    <n v="0"/>
    <n v="6040190"/>
    <n v="953765"/>
    <n v="0"/>
    <n v="38"/>
    <x v="18"/>
    <n v="4.8170804918677188E-7"/>
    <n v="-4.8877077281644791E-8"/>
  </r>
  <r>
    <n v="65.251900000000006"/>
    <n v="85.138999999999996"/>
    <n v="1.0265"/>
    <n v="0.02"/>
    <n v="0"/>
    <n v="2.9782099999999998"/>
    <n v="3.2806099999999998"/>
    <n v="0"/>
    <n v="0.55804399999999998"/>
    <n v="5.3222399999999999"/>
    <n v="130750000"/>
    <n v="0"/>
    <n v="0"/>
    <n v="0"/>
    <n v="0"/>
    <n v="4452350"/>
    <n v="-71285.600000000006"/>
    <n v="408539"/>
    <n v="92.567800000000005"/>
    <n v="98.274000000000001"/>
    <n v="1.0893600000000001"/>
    <n v="0"/>
    <n v="0"/>
    <n v="2.3348499999999999"/>
    <n v="2.0324499999999999"/>
    <n v="0"/>
    <n v="1.80372"/>
    <n v="2.9635199999999999"/>
    <n v="434533000"/>
    <n v="0"/>
    <n v="0"/>
    <n v="0"/>
    <n v="0"/>
    <n v="6040820"/>
    <n v="953786"/>
    <n v="0"/>
    <n v="39"/>
    <x v="18"/>
    <n v="4.8166841676731187E-7"/>
    <n v="-4.8843371520267758E-8"/>
  </r>
  <r>
    <n v="63.219799999999999"/>
    <n v="85.138999999999996"/>
    <n v="0.827874"/>
    <n v="0.02"/>
    <n v="0"/>
    <n v="2.9786000000000001"/>
    <n v="3.2810000000000001"/>
    <n v="0"/>
    <n v="0.55811599999999995"/>
    <n v="5.3222399999999999"/>
    <n v="130678000"/>
    <n v="0"/>
    <n v="0"/>
    <n v="0"/>
    <n v="0"/>
    <n v="4452930"/>
    <n v="-71245.600000000006"/>
    <n v="408539"/>
    <n v="91.498699999999999"/>
    <n v="98.274000000000001"/>
    <n v="0.82832300000000003"/>
    <n v="0"/>
    <n v="0"/>
    <n v="2.3350900000000001"/>
    <n v="2.0326900000000001"/>
    <n v="0"/>
    <n v="1.8039099999999999"/>
    <n v="2.9635199999999999"/>
    <n v="435486000"/>
    <n v="0"/>
    <n v="0"/>
    <n v="0"/>
    <n v="0"/>
    <n v="6041440"/>
    <n v="953806"/>
    <n v="0"/>
    <n v="40"/>
    <x v="18"/>
    <n v="4.8162908486718303E-7"/>
    <n v="-4.880960603038945E-8"/>
  </r>
  <r>
    <n v="61.374899999999997"/>
    <n v="85.138999999999996"/>
    <n v="0.98897199999999996"/>
    <n v="0.02"/>
    <n v="0"/>
    <n v="2.97899"/>
    <n v="3.28139"/>
    <n v="0"/>
    <n v="0.55818900000000005"/>
    <n v="5.3222399999999999"/>
    <n v="130607000"/>
    <n v="0"/>
    <n v="0"/>
    <n v="0"/>
    <n v="0"/>
    <n v="4453510"/>
    <n v="-71205.600000000006"/>
    <n v="408539"/>
    <n v="90.638300000000001"/>
    <n v="98.274000000000001"/>
    <n v="1.32558"/>
    <n v="0"/>
    <n v="0"/>
    <n v="2.3353299999999999"/>
    <n v="2.0329299999999999"/>
    <n v="0"/>
    <n v="1.80409"/>
    <n v="2.9635199999999999"/>
    <n v="436440000"/>
    <n v="0"/>
    <n v="0"/>
    <n v="0"/>
    <n v="0"/>
    <n v="6042060"/>
    <n v="953826"/>
    <n v="0"/>
    <n v="41"/>
    <x v="18"/>
    <n v="4.8158976103906198E-7"/>
    <n v="-4.8775849335364684E-8"/>
  </r>
  <r>
    <n v="59.319000000000003"/>
    <n v="85.138999999999996"/>
    <n v="0.75924400000000003"/>
    <n v="0.02"/>
    <n v="0"/>
    <n v="2.9793799999999999"/>
    <n v="3.2817799999999999"/>
    <n v="0"/>
    <n v="0.55826200000000004"/>
    <n v="5.3222399999999999"/>
    <n v="130536000"/>
    <n v="0"/>
    <n v="0"/>
    <n v="0"/>
    <n v="0"/>
    <n v="4454090"/>
    <n v="-71165.600000000006"/>
    <n v="408539"/>
    <n v="89.625100000000003"/>
    <n v="98.274000000000001"/>
    <n v="1.5276400000000001"/>
    <n v="0"/>
    <n v="0"/>
    <n v="2.3355700000000001"/>
    <n v="2.0331700000000001"/>
    <n v="0"/>
    <n v="1.8042800000000001"/>
    <n v="2.9635199999999999"/>
    <n v="437394000"/>
    <n v="0"/>
    <n v="0"/>
    <n v="0"/>
    <n v="0"/>
    <n v="6042690"/>
    <n v="953847"/>
    <n v="0"/>
    <n v="42"/>
    <x v="18"/>
    <n v="4.8155015321695139E-7"/>
    <n v="-4.8742101431757757E-8"/>
  </r>
  <r>
    <n v="57.275599999999997"/>
    <n v="85.138999999999996"/>
    <n v="0.67221299999999995"/>
    <n v="0.02"/>
    <n v="0"/>
    <n v="2.8796200000000001"/>
    <n v="3.1820200000000001"/>
    <n v="0"/>
    <n v="0.55833500000000003"/>
    <n v="5.3222399999999999"/>
    <n v="130455000"/>
    <n v="0"/>
    <n v="0"/>
    <n v="0"/>
    <n v="0"/>
    <n v="4304960"/>
    <n v="-81420.5"/>
    <n v="408539"/>
    <n v="88.478899999999996"/>
    <n v="98.274000000000001"/>
    <n v="1.06443"/>
    <n v="0"/>
    <n v="0"/>
    <n v="2.2379799999999999"/>
    <n v="1.9355800000000001"/>
    <n v="0"/>
    <n v="1.80446"/>
    <n v="2.9635199999999999"/>
    <n v="438340000"/>
    <n v="0"/>
    <n v="0"/>
    <n v="0"/>
    <n v="0"/>
    <n v="5790180"/>
    <n v="945616"/>
    <n v="0"/>
    <n v="43"/>
    <x v="18"/>
    <n v="4.9821393333585607E-7"/>
    <n v="-5.7697602396564365E-8"/>
  </r>
  <r>
    <n v="55.136400000000002"/>
    <n v="85.138999999999996"/>
    <n v="0.550342"/>
    <n v="0.03"/>
    <n v="0"/>
    <n v="2.88"/>
    <n v="3.1823999999999999"/>
    <n v="0"/>
    <n v="0.53964100000000004"/>
    <n v="5.3222399999999999"/>
    <n v="130373000"/>
    <n v="0"/>
    <n v="0"/>
    <n v="0"/>
    <n v="0"/>
    <n v="4305530"/>
    <n v="-81381.7"/>
    <n v="408539"/>
    <n v="87.473299999999995"/>
    <n v="98.274000000000001"/>
    <n v="0.86027200000000004"/>
    <n v="0"/>
    <n v="0"/>
    <n v="2.23821"/>
    <n v="1.93581"/>
    <n v="0"/>
    <n v="1.72906"/>
    <n v="2.9635199999999999"/>
    <n v="439285000"/>
    <n v="0"/>
    <n v="0"/>
    <n v="0"/>
    <n v="0"/>
    <n v="5790780"/>
    <n v="945635"/>
    <n v="0"/>
    <n v="44"/>
    <x v="18"/>
    <n v="4.9817232134032103E-7"/>
    <n v="-5.7662472446359101E-8"/>
  </r>
  <r>
    <n v="53.303400000000003"/>
    <n v="85.138999999999996"/>
    <n v="0.90224700000000002"/>
    <n v="0.03"/>
    <n v="0"/>
    <n v="2.8803800000000002"/>
    <n v="3.1827800000000002"/>
    <n v="0"/>
    <n v="0.53971199999999997"/>
    <n v="5.3222399999999999"/>
    <n v="130292000"/>
    <n v="0"/>
    <n v="0"/>
    <n v="0"/>
    <n v="0"/>
    <n v="4306090"/>
    <n v="-81342.899999999994"/>
    <n v="408539"/>
    <n v="86.858599999999996"/>
    <n v="98.274000000000001"/>
    <n v="1.1665000000000001"/>
    <n v="0"/>
    <n v="0"/>
    <n v="2.2384400000000002"/>
    <n v="1.93604"/>
    <n v="0"/>
    <n v="1.7292400000000001"/>
    <n v="2.9635199999999999"/>
    <n v="440231000"/>
    <n v="0"/>
    <n v="0"/>
    <n v="0"/>
    <n v="0"/>
    <n v="5791370"/>
    <n v="945655"/>
    <n v="0"/>
    <n v="45"/>
    <x v="18"/>
    <n v="4.9813210485166467E-7"/>
    <n v="-5.7627485624042064E-8"/>
  </r>
  <r>
    <n v="52.508800000000001"/>
    <n v="85.138999999999996"/>
    <n v="2.0267499999999998"/>
    <n v="0.05"/>
    <n v="0"/>
    <n v="2.8807499999999999"/>
    <n v="3.1831499999999999"/>
    <n v="0"/>
    <n v="0.53978300000000001"/>
    <n v="5.3222399999999999"/>
    <n v="130211000"/>
    <n v="0"/>
    <n v="0"/>
    <n v="0"/>
    <n v="0"/>
    <n v="4306650"/>
    <n v="-81304.100000000006"/>
    <n v="408539"/>
    <n v="86.127099999999999"/>
    <n v="98.274000000000001"/>
    <n v="1.81403"/>
    <n v="0"/>
    <n v="0"/>
    <n v="2.2386699999999999"/>
    <n v="1.9362699999999999"/>
    <n v="0"/>
    <n v="1.72942"/>
    <n v="2.9635199999999999"/>
    <n v="441177000"/>
    <n v="0"/>
    <n v="0"/>
    <n v="0"/>
    <n v="0"/>
    <n v="5791970"/>
    <n v="945674"/>
    <n v="0"/>
    <n v="46"/>
    <x v="18"/>
    <n v="4.9809050988235139E-7"/>
    <n v="-5.7592507900500403E-8"/>
  </r>
  <r>
    <n v="50.650599999999997"/>
    <n v="85.138999999999996"/>
    <n v="0.83207100000000001"/>
    <n v="0.05"/>
    <n v="0"/>
    <n v="2.7988900000000001"/>
    <n v="3.1012900000000001"/>
    <n v="0"/>
    <n v="0.53985300000000003"/>
    <n v="5.3222399999999999"/>
    <n v="130121000"/>
    <n v="0"/>
    <n v="0"/>
    <n v="0"/>
    <n v="0"/>
    <n v="4184270"/>
    <n v="-89719.6"/>
    <n v="408539"/>
    <n v="85.215500000000006"/>
    <n v="98.274000000000001"/>
    <n v="1.11914"/>
    <n v="0"/>
    <n v="0"/>
    <n v="2.1497999999999999"/>
    <n v="1.8473999999999999"/>
    <n v="0"/>
    <n v="1.72959"/>
    <n v="2.9635199999999999"/>
    <n v="442115000"/>
    <n v="0"/>
    <n v="0"/>
    <n v="0"/>
    <n v="0"/>
    <n v="5562040"/>
    <n v="938179"/>
    <n v="0"/>
    <n v="47"/>
    <x v="18"/>
    <n v="5.1457030692314551E-7"/>
    <n v="-6.5412500352768938E-8"/>
  </r>
  <r>
    <n v="48.654499999999999"/>
    <n v="85.138999999999996"/>
    <n v="0.66781699999999999"/>
    <n v="0.04"/>
    <n v="0"/>
    <n v="2.7992599999999999"/>
    <n v="3.1016599999999999"/>
    <n v="0"/>
    <n v="0.52451300000000001"/>
    <n v="5.3222399999999999"/>
    <n v="130031000"/>
    <n v="0"/>
    <n v="0"/>
    <n v="0"/>
    <n v="0"/>
    <n v="4184820"/>
    <n v="-89681.8"/>
    <n v="408539"/>
    <n v="85.0274"/>
    <n v="98.274000000000001"/>
    <n v="0.93883099999999997"/>
    <n v="0"/>
    <n v="0"/>
    <n v="2.15002"/>
    <n v="1.84762"/>
    <n v="0"/>
    <n v="1.66093"/>
    <n v="2.9635199999999999"/>
    <n v="443053000"/>
    <n v="0"/>
    <n v="0"/>
    <n v="0"/>
    <n v="0"/>
    <n v="5562610"/>
    <n v="938198"/>
    <n v="0"/>
    <n v="48"/>
    <x v="18"/>
    <n v="5.1452799897301971E-7"/>
    <n v="-6.5376347868038124E-8"/>
  </r>
  <r>
    <n v="47.234999999999999"/>
    <n v="85.138999999999996"/>
    <n v="1.2529399999999999"/>
    <n v="0.08"/>
    <n v="0"/>
    <n v="2.7996300000000001"/>
    <n v="3.1020300000000001"/>
    <n v="0"/>
    <n v="0.52458099999999996"/>
    <n v="5.3222399999999999"/>
    <n v="129942000"/>
    <n v="0"/>
    <n v="0"/>
    <n v="0"/>
    <n v="0"/>
    <n v="4185370"/>
    <n v="-89644"/>
    <n v="408539"/>
    <n v="85.004499999999993"/>
    <n v="98.274000000000001"/>
    <n v="2.62025"/>
    <n v="0"/>
    <n v="0"/>
    <n v="2.1502400000000002"/>
    <n v="1.8478399999999999"/>
    <n v="0"/>
    <n v="1.6611"/>
    <n v="2.9635199999999999"/>
    <n v="443991000"/>
    <n v="0"/>
    <n v="0"/>
    <n v="0"/>
    <n v="0"/>
    <n v="5563170"/>
    <n v="938216"/>
    <n v="0"/>
    <n v="49"/>
    <x v="18"/>
    <n v="5.1448607613296406E-7"/>
    <n v="-6.5340204884912486E-8"/>
  </r>
  <r>
    <n v="46.810099999999998"/>
    <n v="85.138999999999996"/>
    <n v="2.3071199999999998"/>
    <n v="7.0000000000000007E-2"/>
    <n v="0"/>
    <n v="2.8"/>
    <n v="3.1023999999999998"/>
    <n v="0"/>
    <n v="0.52464999999999995"/>
    <n v="5.3222399999999999"/>
    <n v="129852000"/>
    <n v="0"/>
    <n v="0"/>
    <n v="0"/>
    <n v="0"/>
    <n v="4185920"/>
    <n v="-89606.2"/>
    <n v="408539"/>
    <n v="85.064400000000006"/>
    <n v="98.274000000000001"/>
    <n v="3.3618399999999999"/>
    <n v="0"/>
    <n v="0"/>
    <n v="2.1504599999999998"/>
    <n v="1.84806"/>
    <n v="0"/>
    <n v="1.66127"/>
    <n v="2.9635199999999999"/>
    <n v="444930000"/>
    <n v="0"/>
    <n v="0"/>
    <n v="0"/>
    <n v="0"/>
    <n v="5563740"/>
    <n v="938235"/>
    <n v="0"/>
    <n v="50"/>
    <x v="18"/>
    <n v="5.1444378540498277E-7"/>
    <n v="-6.5304071399646668E-8"/>
  </r>
  <r>
    <n v="45.9681"/>
    <n v="85.138999999999996"/>
    <n v="1.6925600000000001"/>
    <n v="7.0000000000000007E-2"/>
    <n v="0"/>
    <n v="2.5666899999999999"/>
    <n v="2.8690899999999999"/>
    <n v="0"/>
    <n v="0.52471900000000005"/>
    <n v="5.3222399999999999"/>
    <n v="129738000"/>
    <n v="0"/>
    <n v="0"/>
    <n v="0"/>
    <n v="0"/>
    <n v="3837140"/>
    <n v="-113591"/>
    <n v="408539"/>
    <n v="85.024799999999999"/>
    <n v="98.274000000000001"/>
    <n v="1.5976399999999999"/>
    <n v="0"/>
    <n v="0"/>
    <n v="1.96502"/>
    <n v="1.66262"/>
    <n v="0"/>
    <n v="1.66144"/>
    <n v="2.9635199999999999"/>
    <n v="445852000"/>
    <n v="0"/>
    <n v="0"/>
    <n v="0"/>
    <n v="0"/>
    <n v="5083980"/>
    <n v="922596"/>
    <n v="0"/>
    <n v="51"/>
    <x v="18"/>
    <n v="5.5360608621311024E-7"/>
    <n v="-9.0308660359450451E-8"/>
  </r>
  <r>
    <n v="45.257599999999996"/>
    <n v="85.138999999999996"/>
    <n v="1.81609"/>
    <n v="7.0000000000000007E-2"/>
    <n v="0"/>
    <n v="2.5670299999999999"/>
    <n v="2.8694299999999999"/>
    <n v="0"/>
    <n v="0.48099799999999998"/>
    <n v="5.3222399999999999"/>
    <n v="129625000"/>
    <n v="0"/>
    <n v="0"/>
    <n v="0"/>
    <n v="0"/>
    <n v="3837640"/>
    <n v="-113556"/>
    <n v="408539"/>
    <n v="84.602000000000004"/>
    <n v="98.274000000000001"/>
    <n v="2.4513799999999999"/>
    <n v="0"/>
    <n v="0"/>
    <n v="1.96522"/>
    <n v="1.66282"/>
    <n v="0"/>
    <n v="1.5181800000000001"/>
    <n v="2.9635199999999999"/>
    <n v="446775000"/>
    <n v="0"/>
    <n v="0"/>
    <n v="0"/>
    <n v="0"/>
    <n v="5084490"/>
    <n v="922613"/>
    <n v="0"/>
    <n v="52"/>
    <x v="18"/>
    <n v="5.535607565997488E-7"/>
    <n v="-9.0269071637834674E-8"/>
  </r>
  <r>
    <n v="44.187100000000001"/>
    <n v="85.138999999999996"/>
    <n v="1.40686"/>
    <n v="7.0000000000000007E-2"/>
    <n v="0"/>
    <n v="2.5673699999999999"/>
    <n v="2.8697699999999999"/>
    <n v="0"/>
    <n v="0.48106100000000002"/>
    <n v="5.3222399999999999"/>
    <n v="129511000"/>
    <n v="0"/>
    <n v="0"/>
    <n v="0"/>
    <n v="0"/>
    <n v="3838150"/>
    <n v="-113521"/>
    <n v="408539"/>
    <n v="83.895300000000006"/>
    <n v="98.274000000000001"/>
    <n v="1.6339900000000001"/>
    <n v="0"/>
    <n v="0"/>
    <n v="1.9654199999999999"/>
    <n v="1.6630199999999999"/>
    <n v="0"/>
    <n v="1.51833"/>
    <n v="2.9635199999999999"/>
    <n v="447697000"/>
    <n v="0"/>
    <n v="0"/>
    <n v="0"/>
    <n v="0"/>
    <n v="5085000"/>
    <n v="922630"/>
    <n v="0"/>
    <n v="1"/>
    <x v="19"/>
    <n v="2.7334294965428582E-7"/>
    <n v="-4.4557983316869108E-8"/>
  </r>
  <r>
    <n v="43.356999999999999"/>
    <n v="85.138999999999996"/>
    <n v="1.6423399999999999"/>
    <n v="0.1"/>
    <n v="0"/>
    <n v="2.5677099999999999"/>
    <n v="2.8701099999999999"/>
    <n v="0"/>
    <n v="0.48112500000000002"/>
    <n v="5.3222399999999999"/>
    <n v="129398000"/>
    <n v="0"/>
    <n v="0"/>
    <n v="0"/>
    <n v="0"/>
    <n v="3838660"/>
    <n v="-113486"/>
    <n v="408539"/>
    <n v="83.763099999999994"/>
    <n v="98.274000000000001"/>
    <n v="1.4830399999999999"/>
    <n v="0"/>
    <n v="0"/>
    <n v="1.9656100000000001"/>
    <n v="1.6632100000000001"/>
    <n v="0"/>
    <n v="1.5184800000000001"/>
    <n v="2.9635199999999999"/>
    <n v="448620000"/>
    <n v="0"/>
    <n v="0"/>
    <n v="0"/>
    <n v="0"/>
    <n v="5085510"/>
    <n v="922646"/>
    <n v="0"/>
    <n v="2"/>
    <x v="19"/>
    <n v="2.7332027724063789E-7"/>
    <n v="-4.4538327413610867E-8"/>
  </r>
  <r>
    <n v="43.072299999999998"/>
    <n v="85.138999999999996"/>
    <n v="2.1969799999999999"/>
    <n v="0.1"/>
    <n v="0"/>
    <n v="2.5680499999999999"/>
    <n v="2.8704499999999999"/>
    <n v="0"/>
    <n v="0.48118899999999998"/>
    <n v="5.3222399999999999"/>
    <n v="129284000"/>
    <n v="0"/>
    <n v="0"/>
    <n v="0"/>
    <n v="0"/>
    <n v="3839170"/>
    <n v="-113451"/>
    <n v="408539"/>
    <n v="83.770700000000005"/>
    <n v="98.274000000000001"/>
    <n v="2.6088200000000001"/>
    <n v="0"/>
    <n v="0"/>
    <n v="1.9658100000000001"/>
    <n v="1.6634100000000001"/>
    <n v="0"/>
    <n v="1.5186299999999999"/>
    <n v="2.9635199999999999"/>
    <n v="449543000"/>
    <n v="0"/>
    <n v="0"/>
    <n v="0"/>
    <n v="0"/>
    <n v="5086020"/>
    <n v="922663"/>
    <n v="0"/>
    <n v="3"/>
    <x v="19"/>
    <n v="2.7329790557949125E-7"/>
    <n v="-4.4518676732580696E-8"/>
  </r>
  <r>
    <n v="44.279299999999999"/>
    <n v="85.138999999999996"/>
    <n v="3.8565999999999998"/>
    <n v="0.12"/>
    <n v="0"/>
    <n v="2.6583199999999998"/>
    <n v="2.9607199999999998"/>
    <n v="0"/>
    <n v="0.48125299999999999"/>
    <n v="5.3222399999999999"/>
    <n v="129180000"/>
    <n v="0"/>
    <n v="0"/>
    <n v="0"/>
    <n v="29016000"/>
    <n v="3974120"/>
    <n v="-104171"/>
    <n v="408539"/>
    <n v="84.379900000000006"/>
    <n v="98.274000000000001"/>
    <n v="4.9543600000000003"/>
    <n v="0"/>
    <n v="0"/>
    <n v="2.01979"/>
    <n v="1.71739"/>
    <n v="0"/>
    <n v="1.5187900000000001"/>
    <n v="2.9635199999999999"/>
    <n v="450470000"/>
    <n v="0"/>
    <n v="0"/>
    <n v="0"/>
    <n v="7883220"/>
    <n v="5225690"/>
    <n v="927215"/>
    <n v="0"/>
    <n v="4"/>
    <x v="19"/>
    <n v="2.5399488489746331E-6"/>
    <n v="1.0959881332363526E-5"/>
  </r>
  <r>
    <n v="44.907200000000003"/>
    <n v="85.138999999999996"/>
    <n v="3.2614899999999998"/>
    <n v="0.12"/>
    <n v="0"/>
    <n v="2.6586500000000002"/>
    <n v="2.9610500000000002"/>
    <n v="0"/>
    <n v="0.49816899999999997"/>
    <n v="5.3222399999999999"/>
    <n v="129076000"/>
    <n v="0"/>
    <n v="0"/>
    <n v="0"/>
    <n v="0"/>
    <n v="3974610"/>
    <n v="-104137"/>
    <n v="408539"/>
    <n v="84.866900000000001"/>
    <n v="98.274000000000001"/>
    <n v="4.3537800000000004"/>
    <n v="0"/>
    <n v="0"/>
    <n v="2.01999"/>
    <n v="1.71759"/>
    <n v="0"/>
    <n v="1.5604899999999999"/>
    <n v="2.9635199999999999"/>
    <n v="451397000"/>
    <n v="0"/>
    <n v="0"/>
    <n v="0"/>
    <n v="0"/>
    <n v="5226180"/>
    <n v="927232"/>
    <n v="0"/>
    <n v="5"/>
    <x v="19"/>
    <n v="2.6728544480476706E-7"/>
    <n v="-3.9471333908170191E-8"/>
  </r>
  <r>
    <n v="46.060499999999998"/>
    <n v="85.138999999999996"/>
    <n v="3.85005"/>
    <n v="0.09"/>
    <n v="0"/>
    <n v="2.6589800000000001"/>
    <n v="2.9613800000000001"/>
    <n v="0"/>
    <n v="0.49823099999999998"/>
    <n v="5.3222399999999999"/>
    <n v="128972000"/>
    <n v="0"/>
    <n v="0"/>
    <n v="0"/>
    <n v="0"/>
    <n v="3975110"/>
    <n v="-104103"/>
    <n v="408539"/>
    <n v="85.7239"/>
    <n v="98.274000000000001"/>
    <n v="5.3020199999999997"/>
    <n v="0"/>
    <n v="0"/>
    <n v="2.0201799999999999"/>
    <n v="1.7177800000000001"/>
    <n v="0"/>
    <n v="1.56064"/>
    <n v="2.9635199999999999"/>
    <n v="452324000"/>
    <n v="0"/>
    <n v="0"/>
    <n v="0"/>
    <n v="0"/>
    <n v="5226680"/>
    <n v="927248"/>
    <n v="0"/>
    <n v="6"/>
    <x v="19"/>
    <n v="2.6726448721708051E-7"/>
    <n v="-3.9453483605237898E-8"/>
  </r>
  <r>
    <n v="47.463200000000001"/>
    <n v="85.138999999999996"/>
    <n v="4.1084199999999997"/>
    <n v="0.09"/>
    <n v="0"/>
    <n v="2.6593100000000001"/>
    <n v="2.9617100000000001"/>
    <n v="0"/>
    <n v="0.49829299999999999"/>
    <n v="5.3222399999999999"/>
    <n v="128868000"/>
    <n v="0"/>
    <n v="0"/>
    <n v="0"/>
    <n v="0"/>
    <n v="3975600"/>
    <n v="-104069"/>
    <n v="408539"/>
    <n v="86.211299999999994"/>
    <n v="98.274000000000001"/>
    <n v="4.6660199999999996"/>
    <n v="0"/>
    <n v="0"/>
    <n v="2.0203700000000002"/>
    <n v="1.71797"/>
    <n v="0"/>
    <n v="1.5607899999999999"/>
    <n v="2.9635199999999999"/>
    <n v="453252000"/>
    <n v="0"/>
    <n v="0"/>
    <n v="0"/>
    <n v="0"/>
    <n v="5227180"/>
    <n v="927264"/>
    <n v="0"/>
    <n v="7"/>
    <x v="19"/>
    <n v="2.6724353363874279E-7"/>
    <n v="-3.94357369864378E-8"/>
  </r>
  <r>
    <n v="52.080300000000001"/>
    <n v="85.138999999999996"/>
    <n v="7.7917800000000002"/>
    <n v="0.09"/>
    <n v="0"/>
    <n v="2.94855"/>
    <n v="3.25095"/>
    <n v="0"/>
    <n v="0.49835499999999999"/>
    <n v="5.3222399999999999"/>
    <n v="128793000"/>
    <n v="0"/>
    <n v="0"/>
    <n v="0"/>
    <n v="0"/>
    <n v="4408010"/>
    <n v="-74334.5"/>
    <n v="408539"/>
    <n v="87.156499999999994"/>
    <n v="98.274000000000001"/>
    <n v="7.8495900000000001"/>
    <n v="0"/>
    <n v="0"/>
    <n v="2.2225799999999998"/>
    <n v="1.92018"/>
    <n v="0"/>
    <n v="1.56094"/>
    <n v="2.9635199999999999"/>
    <n v="454196000"/>
    <n v="0"/>
    <n v="0"/>
    <n v="0"/>
    <n v="0"/>
    <n v="5750350"/>
    <n v="944317"/>
    <n v="0"/>
    <n v="8"/>
    <x v="19"/>
    <n v="2.4739720615687175E-7"/>
    <n v="-2.5404995096284121E-8"/>
  </r>
  <r>
    <n v="56.848500000000001"/>
    <n v="85.138999999999996"/>
    <n v="8.2209699999999994"/>
    <n v="0.06"/>
    <n v="0"/>
    <n v="2.9489100000000001"/>
    <n v="3.2513100000000001"/>
    <n v="0"/>
    <n v="0.55255799999999999"/>
    <n v="5.3222399999999999"/>
    <n v="128719000"/>
    <n v="0"/>
    <n v="0"/>
    <n v="0"/>
    <n v="0"/>
    <n v="4408550"/>
    <n v="-74297.2"/>
    <n v="408539"/>
    <n v="88.235699999999994"/>
    <n v="98.274000000000001"/>
    <n v="8.67014"/>
    <n v="0"/>
    <n v="0"/>
    <n v="2.2227999999999999"/>
    <n v="1.9204000000000001"/>
    <n v="0"/>
    <n v="1.7171700000000001"/>
    <n v="2.9635199999999999"/>
    <n v="455140000"/>
    <n v="0"/>
    <n v="0"/>
    <n v="0"/>
    <n v="0"/>
    <n v="5750900"/>
    <n v="944335"/>
    <n v="0"/>
    <n v="9"/>
    <x v="19"/>
    <n v="2.4737826106468719E-7"/>
    <n v="-2.5389136951900331E-8"/>
  </r>
  <r>
    <n v="60.839399999999998"/>
    <n v="85.138999999999996"/>
    <n v="7.44109"/>
    <n v="0.04"/>
    <n v="0"/>
    <n v="2.9492799999999999"/>
    <n v="3.2516799999999999"/>
    <n v="0"/>
    <n v="0.55262599999999995"/>
    <n v="5.3222399999999999"/>
    <n v="128645000"/>
    <n v="0"/>
    <n v="0"/>
    <n v="0"/>
    <n v="0"/>
    <n v="4409090"/>
    <n v="-74259.8"/>
    <n v="408539"/>
    <n v="89.381200000000007"/>
    <n v="98.274000000000001"/>
    <n v="8.8035599999999992"/>
    <n v="0"/>
    <n v="0"/>
    <n v="2.2230099999999999"/>
    <n v="1.9206099999999999"/>
    <n v="0"/>
    <n v="1.71733"/>
    <n v="2.9635199999999999"/>
    <n v="456085000"/>
    <n v="0"/>
    <n v="0"/>
    <n v="0"/>
    <n v="0"/>
    <n v="5751460"/>
    <n v="944353"/>
    <n v="0"/>
    <n v="10"/>
    <x v="19"/>
    <n v="2.4735888951494956E-7"/>
    <n v="-2.537324852372975E-8"/>
  </r>
  <r>
    <n v="65.001199999999997"/>
    <n v="85.138999999999996"/>
    <n v="7.7331599999999998"/>
    <n v="0.04"/>
    <n v="0"/>
    <n v="2.94964"/>
    <n v="3.25204"/>
    <n v="0"/>
    <n v="0.55269500000000005"/>
    <n v="5.3222399999999999"/>
    <n v="128571000"/>
    <n v="0"/>
    <n v="0"/>
    <n v="0"/>
    <n v="0"/>
    <n v="4409640"/>
    <n v="-74222.5"/>
    <n v="408539"/>
    <n v="90.825699999999998"/>
    <n v="98.274000000000001"/>
    <n v="9.5847499999999997"/>
    <n v="0"/>
    <n v="0"/>
    <n v="2.22322"/>
    <n v="1.92082"/>
    <n v="0"/>
    <n v="1.7175"/>
    <n v="2.9635199999999999"/>
    <n v="457029000"/>
    <n v="0"/>
    <n v="0"/>
    <n v="0"/>
    <n v="0"/>
    <n v="5752010"/>
    <n v="944372"/>
    <n v="0"/>
    <n v="11"/>
    <x v="19"/>
    <n v="2.4734021365223085E-7"/>
    <n v="-2.535734064649732E-8"/>
  </r>
  <r>
    <n v="66.815100000000001"/>
    <n v="85.138999999999996"/>
    <n v="4.8286499999999997"/>
    <n v="0.03"/>
    <n v="0"/>
    <n v="2.5377399999999999"/>
    <n v="2.8401399999999999"/>
    <n v="0"/>
    <n v="0.552763"/>
    <n v="5.3222399999999999"/>
    <n v="128454000"/>
    <n v="0"/>
    <n v="0"/>
    <n v="0"/>
    <n v="0"/>
    <n v="3793860"/>
    <n v="-116567"/>
    <n v="408539"/>
    <n v="91.732799999999997"/>
    <n v="98.274000000000001"/>
    <n v="6.6991300000000003"/>
    <n v="0"/>
    <n v="0"/>
    <n v="1.95221"/>
    <n v="1.64981"/>
    <n v="0"/>
    <n v="1.71766"/>
    <n v="2.9635199999999999"/>
    <n v="457951000"/>
    <n v="0"/>
    <n v="0"/>
    <n v="0"/>
    <n v="0"/>
    <n v="5050820"/>
    <n v="921515"/>
    <n v="0"/>
    <n v="12"/>
    <x v="19"/>
    <n v="2.748601500883831E-7"/>
    <n v="-4.6287697788151568E-8"/>
  </r>
  <r>
    <n v="69.058099999999996"/>
    <n v="85.138999999999996"/>
    <n v="5.3018599999999996"/>
    <n v="0.03"/>
    <n v="0"/>
    <n v="2.5380600000000002"/>
    <n v="2.8404600000000002"/>
    <n v="0"/>
    <n v="0.47557300000000002"/>
    <n v="5.3222399999999999"/>
    <n v="128338000"/>
    <n v="0"/>
    <n v="0"/>
    <n v="0"/>
    <n v="0"/>
    <n v="3794330"/>
    <n v="-116534"/>
    <n v="408539"/>
    <n v="92.889200000000002"/>
    <n v="98.274000000000001"/>
    <n v="7.0808799999999996"/>
    <n v="0"/>
    <n v="0"/>
    <n v="1.9523900000000001"/>
    <n v="1.6499900000000001"/>
    <n v="0"/>
    <n v="1.50827"/>
    <n v="2.9635199999999999"/>
    <n v="458872000"/>
    <n v="0"/>
    <n v="0"/>
    <n v="0"/>
    <n v="0"/>
    <n v="5051300"/>
    <n v="921531"/>
    <n v="0"/>
    <n v="13"/>
    <x v="19"/>
    <n v="2.7483880335505714E-7"/>
    <n v="-4.6268861798313843E-8"/>
  </r>
  <r>
    <n v="71.792500000000004"/>
    <n v="85.138999999999996"/>
    <n v="5.8568600000000002"/>
    <n v="0.02"/>
    <n v="0"/>
    <n v="2.5383800000000001"/>
    <n v="2.8407800000000001"/>
    <n v="0"/>
    <n v="0.475632"/>
    <n v="5.3222399999999999"/>
    <n v="128221000"/>
    <n v="0"/>
    <n v="0"/>
    <n v="0"/>
    <n v="0"/>
    <n v="3794810"/>
    <n v="-116501"/>
    <n v="408539"/>
    <n v="93.918000000000006"/>
    <n v="98.274000000000001"/>
    <n v="6.8820199999999998"/>
    <n v="0"/>
    <n v="0"/>
    <n v="1.9525699999999999"/>
    <n v="1.6501699999999999"/>
    <n v="0"/>
    <n v="1.5084200000000001"/>
    <n v="2.9635199999999999"/>
    <n v="459794000"/>
    <n v="0"/>
    <n v="0"/>
    <n v="0"/>
    <n v="0"/>
    <n v="5051770"/>
    <n v="921547"/>
    <n v="0"/>
    <n v="14"/>
    <x v="19"/>
    <n v="2.7481800468061552E-7"/>
    <n v="-4.6249908597225062E-8"/>
  </r>
  <r>
    <n v="73.854600000000005"/>
    <n v="85.138999999999996"/>
    <n v="5.1612999999999998"/>
    <n v="0.03"/>
    <n v="0"/>
    <n v="2.5386899999999999"/>
    <n v="2.8410899999999999"/>
    <n v="0"/>
    <n v="0.475692"/>
    <n v="5.3222399999999999"/>
    <n v="128105000"/>
    <n v="0"/>
    <n v="0"/>
    <n v="0"/>
    <n v="0"/>
    <n v="3795280"/>
    <n v="-116469"/>
    <n v="408539"/>
    <n v="94.885900000000007"/>
    <n v="98.274000000000001"/>
    <n v="7.3797199999999998"/>
    <n v="0"/>
    <n v="0"/>
    <n v="1.9527600000000001"/>
    <n v="1.65036"/>
    <n v="0"/>
    <n v="1.5085599999999999"/>
    <n v="2.9635199999999999"/>
    <n v="460715000"/>
    <n v="0"/>
    <n v="0"/>
    <n v="0"/>
    <n v="0"/>
    <n v="5052250"/>
    <n v="921562"/>
    <n v="0"/>
    <n v="15"/>
    <x v="19"/>
    <n v="2.7479636777990231E-7"/>
    <n v="-4.6231478944333394E-8"/>
  </r>
  <r>
    <n v="76.433400000000006"/>
    <n v="85.138999999999996"/>
    <n v="5.6902499999999998"/>
    <n v="0.01"/>
    <n v="0"/>
    <n v="2.5390100000000002"/>
    <n v="2.8414100000000002"/>
    <n v="0"/>
    <n v="0.47575099999999998"/>
    <n v="5.3222399999999999"/>
    <n v="127988000"/>
    <n v="0"/>
    <n v="0"/>
    <n v="0"/>
    <n v="0"/>
    <n v="3795760"/>
    <n v="-116436"/>
    <n v="408539"/>
    <n v="96.345100000000002"/>
    <n v="98.274000000000001"/>
    <n v="7.9965099999999998"/>
    <n v="0"/>
    <n v="0"/>
    <n v="1.9529399999999999"/>
    <n v="1.6505399999999999"/>
    <n v="0"/>
    <n v="1.5086999999999999"/>
    <n v="2.9635199999999999"/>
    <n v="461637000"/>
    <n v="0"/>
    <n v="0"/>
    <n v="0"/>
    <n v="0"/>
    <n v="5052730"/>
    <n v="921578"/>
    <n v="0"/>
    <n v="16"/>
    <x v="19"/>
    <n v="2.7477503314723017E-7"/>
    <n v="-4.6212535214157139E-8"/>
  </r>
  <r>
    <n v="77.410499999999999"/>
    <n v="85.138999999999996"/>
    <n v="4.4068399999999999"/>
    <n v="0"/>
    <n v="0"/>
    <n v="2.94556"/>
    <n v="2.94556"/>
    <n v="0"/>
    <n v="0.47581000000000001"/>
    <n v="5.3222399999999999"/>
    <n v="128291000"/>
    <n v="0"/>
    <n v="0"/>
    <n v="0"/>
    <n v="0"/>
    <n v="4403540"/>
    <n v="302809"/>
    <n v="0"/>
    <n v="97.200699999999998"/>
    <n v="98.274000000000001"/>
    <n v="4.7304500000000003"/>
    <n v="0"/>
    <n v="0"/>
    <n v="1.71712"/>
    <n v="1.71712"/>
    <n v="0"/>
    <n v="1.50884"/>
    <n v="2.9635199999999999"/>
    <n v="461782000"/>
    <n v="0"/>
    <n v="0"/>
    <n v="0"/>
    <n v="0"/>
    <n v="4442590"/>
    <n v="144811"/>
    <n v="0"/>
    <n v="17"/>
    <x v="19"/>
    <n v="4.9106228442796422E-8"/>
    <n v="1.0359483315326161E-7"/>
  </r>
  <r>
    <n v="77.710899999999995"/>
    <n v="85.138999999999996"/>
    <n v="3.70939"/>
    <n v="0"/>
    <n v="0"/>
    <n v="2.9458899999999999"/>
    <n v="2.9458899999999999"/>
    <n v="0"/>
    <n v="0.55199799999999999"/>
    <n v="5.3222399999999999"/>
    <n v="128594000"/>
    <n v="0"/>
    <n v="0"/>
    <n v="0"/>
    <n v="0"/>
    <n v="4404030"/>
    <n v="302843"/>
    <n v="0"/>
    <n v="97.833399999999997"/>
    <n v="98.274000000000001"/>
    <n v="3.9018099999999998"/>
    <n v="0"/>
    <n v="0"/>
    <n v="1.7173099999999999"/>
    <n v="1.7173099999999999"/>
    <n v="0"/>
    <n v="1.3266500000000001"/>
    <n v="2.9635199999999999"/>
    <n v="461926000"/>
    <n v="0"/>
    <n v="0"/>
    <n v="0"/>
    <n v="0"/>
    <n v="4443090"/>
    <n v="144828"/>
    <n v="0"/>
    <n v="18"/>
    <x v="19"/>
    <n v="4.9106466455338627E-8"/>
    <n v="1.035949375536608E-7"/>
  </r>
  <r>
    <n v="77.456500000000005"/>
    <n v="85.138999999999996"/>
    <n v="3.0077600000000002"/>
    <n v="0"/>
    <n v="0"/>
    <n v="2.9462199999999998"/>
    <n v="2.9462199999999998"/>
    <n v="0"/>
    <n v="0.55205899999999997"/>
    <n v="5.3222399999999999"/>
    <n v="128897000"/>
    <n v="0"/>
    <n v="0"/>
    <n v="0"/>
    <n v="0"/>
    <n v="4404520"/>
    <n v="302877"/>
    <n v="0"/>
    <n v="98.218199999999996"/>
    <n v="98.274000000000001"/>
    <n v="3.2559100000000001"/>
    <n v="0"/>
    <n v="0"/>
    <n v="1.7175"/>
    <n v="1.7175"/>
    <n v="0"/>
    <n v="1.3267899999999999"/>
    <n v="2.9635199999999999"/>
    <n v="462071000"/>
    <n v="0"/>
    <n v="0"/>
    <n v="0"/>
    <n v="0"/>
    <n v="4443590"/>
    <n v="144844"/>
    <n v="0"/>
    <n v="19"/>
    <x v="19"/>
    <n v="4.9106365384980052E-8"/>
    <n v="1.0359504193083101E-7"/>
  </r>
  <r>
    <n v="76.662999999999997"/>
    <n v="85.138999999999996"/>
    <n v="2.4511099999999999"/>
    <n v="0"/>
    <n v="0"/>
    <n v="2.9465499999999998"/>
    <n v="2.9465499999999998"/>
    <n v="0"/>
    <n v="0.55212099999999997"/>
    <n v="5.3222399999999999"/>
    <n v="129200000"/>
    <n v="0"/>
    <n v="0"/>
    <n v="0"/>
    <n v="0"/>
    <n v="4405010"/>
    <n v="302911"/>
    <n v="0"/>
    <n v="98.4255"/>
    <n v="98.274000000000001"/>
    <n v="2.8250600000000001"/>
    <n v="0"/>
    <n v="0"/>
    <n v="1.7176899999999999"/>
    <n v="1.7176899999999999"/>
    <n v="0"/>
    <n v="1.32694"/>
    <n v="2.9635199999999999"/>
    <n v="462216000"/>
    <n v="0"/>
    <n v="0"/>
    <n v="0"/>
    <n v="0"/>
    <n v="4444080"/>
    <n v="144860"/>
    <n v="0"/>
    <n v="20"/>
    <x v="19"/>
    <n v="4.9106374835519721E-8"/>
    <n v="1.0359514628478003E-7"/>
  </r>
  <r>
    <n v="76.291600000000003"/>
    <n v="85.138999999999996"/>
    <n v="2.82342"/>
    <n v="0"/>
    <n v="0"/>
    <n v="2.9062600000000001"/>
    <n v="2.9062600000000001"/>
    <n v="0"/>
    <n v="0.55218299999999998"/>
    <n v="5.3222399999999999"/>
    <n v="129498000"/>
    <n v="0"/>
    <n v="0"/>
    <n v="0"/>
    <n v="0"/>
    <n v="4344780"/>
    <n v="298769"/>
    <n v="0"/>
    <n v="98.801599999999993"/>
    <n v="98.274000000000001"/>
    <n v="3.1541800000000002"/>
    <n v="0"/>
    <n v="0"/>
    <n v="1.6920900000000001"/>
    <n v="1.6920900000000001"/>
    <n v="0"/>
    <n v="1.3270900000000001"/>
    <n v="2.9635199999999999"/>
    <n v="462359000"/>
    <n v="0"/>
    <n v="0"/>
    <n v="0"/>
    <n v="0"/>
    <n v="4377840"/>
    <n v="142701"/>
    <n v="0"/>
    <n v="21"/>
    <x v="19"/>
    <n v="4.910643350541759E-8"/>
    <n v="1.0359505010391403E-7"/>
  </r>
  <r>
    <n v="75.850999999999999"/>
    <n v="85.138999999999996"/>
    <n v="2.7456"/>
    <n v="0"/>
    <n v="0"/>
    <n v="2.9065799999999999"/>
    <n v="2.9065799999999999"/>
    <n v="0"/>
    <n v="0.54463300000000003"/>
    <n v="5.3222399999999999"/>
    <n v="129797000"/>
    <n v="0"/>
    <n v="0"/>
    <n v="0"/>
    <n v="0"/>
    <n v="4345270"/>
    <n v="298802"/>
    <n v="0"/>
    <n v="99.275999999999996"/>
    <n v="98.274000000000001"/>
    <n v="3.5101499999999999"/>
    <n v="0"/>
    <n v="0"/>
    <n v="1.69228"/>
    <n v="1.69228"/>
    <n v="0"/>
    <n v="1.30731"/>
    <n v="2.9635199999999999"/>
    <n v="462502000"/>
    <n v="0"/>
    <n v="0"/>
    <n v="0"/>
    <n v="0"/>
    <n v="4378330"/>
    <n v="142717"/>
    <n v="0"/>
    <n v="22"/>
    <x v="19"/>
    <n v="4.9106443090253659E-8"/>
    <n v="1.0359480919110759E-7"/>
  </r>
  <r>
    <n v="75.330100000000002"/>
    <n v="85.138999999999996"/>
    <n v="2.6532100000000001"/>
    <n v="0"/>
    <n v="0"/>
    <n v="2.9069099999999999"/>
    <n v="2.9069099999999999"/>
    <n v="0"/>
    <n v="0.54469400000000001"/>
    <n v="5.3222399999999999"/>
    <n v="130096000"/>
    <n v="0"/>
    <n v="0"/>
    <n v="0"/>
    <n v="0"/>
    <n v="4345760"/>
    <n v="298836"/>
    <n v="0"/>
    <n v="99.302199999999999"/>
    <n v="98.274000000000001"/>
    <n v="3.2179000000000002"/>
    <n v="0"/>
    <n v="0"/>
    <n v="1.6924699999999999"/>
    <n v="1.6924699999999999"/>
    <n v="0"/>
    <n v="1.30745"/>
    <n v="2.9635199999999999"/>
    <n v="462644000"/>
    <n v="0"/>
    <n v="0"/>
    <n v="0"/>
    <n v="0"/>
    <n v="4378810"/>
    <n v="142732"/>
    <n v="0"/>
    <n v="23"/>
    <x v="19"/>
    <n v="4.9106220773673383E-8"/>
    <n v="1.0359491499405839E-7"/>
  </r>
  <r>
    <n v="74.7119"/>
    <n v="85.138999999999996"/>
    <n v="2.52996"/>
    <n v="0"/>
    <n v="0"/>
    <n v="2.9072300000000002"/>
    <n v="2.9072300000000002"/>
    <n v="0"/>
    <n v="0.54475499999999999"/>
    <n v="5.3222399999999999"/>
    <n v="130395000"/>
    <n v="0"/>
    <n v="0"/>
    <n v="0"/>
    <n v="0"/>
    <n v="4346240"/>
    <n v="298869"/>
    <n v="0"/>
    <n v="99.302199999999999"/>
    <n v="98.274000000000001"/>
    <n v="2.9347300000000001"/>
    <n v="0"/>
    <n v="0"/>
    <n v="1.6926600000000001"/>
    <n v="1.6926600000000001"/>
    <n v="0"/>
    <n v="1.3076000000000001"/>
    <n v="2.9635199999999999"/>
    <n v="462787000"/>
    <n v="0"/>
    <n v="0"/>
    <n v="0"/>
    <n v="0"/>
    <n v="4379300"/>
    <n v="142748"/>
    <n v="0"/>
    <n v="24"/>
    <x v="19"/>
    <n v="4.9106230380189015E-8"/>
    <n v="1.0359491250550815E-7"/>
  </r>
  <r>
    <n v="73.742599999999996"/>
    <n v="85.138999999999996"/>
    <n v="2.2353499999999999"/>
    <n v="0"/>
    <n v="0"/>
    <n v="3.04548"/>
    <n v="3.04548"/>
    <n v="0"/>
    <n v="0.54481599999999997"/>
    <n v="5.3222399999999999"/>
    <n v="130708000"/>
    <n v="0"/>
    <n v="0"/>
    <n v="0"/>
    <n v="0"/>
    <n v="4552920"/>
    <n v="313082"/>
    <n v="0"/>
    <n v="99.302199999999999"/>
    <n v="98.274000000000001"/>
    <n v="2.63429"/>
    <n v="0"/>
    <n v="0"/>
    <n v="1.78437"/>
    <n v="1.78437"/>
    <n v="0"/>
    <n v="1.30775"/>
    <n v="2.9635199999999999"/>
    <n v="462937000"/>
    <n v="0"/>
    <n v="0"/>
    <n v="0"/>
    <n v="0"/>
    <n v="4616590"/>
    <n v="150483"/>
    <n v="0"/>
    <n v="25"/>
    <x v="19"/>
    <n v="4.9106320735910714E-8"/>
    <n v="1.0359513056293279E-7"/>
  </r>
  <r>
    <n v="72.851200000000006"/>
    <n v="85.138999999999996"/>
    <n v="1.99169"/>
    <n v="0.01"/>
    <n v="0"/>
    <n v="2.74342"/>
    <n v="3.04582"/>
    <n v="0"/>
    <n v="0.57072400000000001"/>
    <n v="5.3222399999999999"/>
    <n v="130613000"/>
    <n v="0"/>
    <n v="0"/>
    <n v="0"/>
    <n v="0"/>
    <n v="4101350"/>
    <n v="-95421.9"/>
    <n v="408539"/>
    <n v="99.161900000000003"/>
    <n v="98.274000000000001"/>
    <n v="2.49078"/>
    <n v="0"/>
    <n v="0"/>
    <n v="2.08697"/>
    <n v="1.78457"/>
    <n v="0"/>
    <n v="1.3786"/>
    <n v="2.9635199999999999"/>
    <n v="463870000"/>
    <n v="0"/>
    <n v="0"/>
    <n v="0"/>
    <n v="0"/>
    <n v="5399480"/>
    <n v="932881"/>
    <n v="0"/>
    <n v="26"/>
    <x v="19"/>
    <n v="2.6028286169940019E-7"/>
    <n v="-3.5050360501958602E-8"/>
  </r>
  <r>
    <n v="71.911299999999997"/>
    <n v="85.138999999999996"/>
    <n v="1.9314"/>
    <n v="0.01"/>
    <n v="0"/>
    <n v="2.74376"/>
    <n v="3.04616"/>
    <n v="0"/>
    <n v="0.51411799999999996"/>
    <n v="5.3222399999999999"/>
    <n v="130517000"/>
    <n v="0"/>
    <n v="0"/>
    <n v="0"/>
    <n v="0"/>
    <n v="4101860"/>
    <n v="-95386.9"/>
    <n v="408539"/>
    <n v="99.067899999999995"/>
    <n v="98.274000000000001"/>
    <n v="2.5366499999999998"/>
    <n v="0"/>
    <n v="0"/>
    <n v="2.08717"/>
    <n v="1.78477"/>
    <n v="0"/>
    <n v="1.61239"/>
    <n v="2.9635199999999999"/>
    <n v="464803000"/>
    <n v="0"/>
    <n v="0"/>
    <n v="0"/>
    <n v="0"/>
    <n v="5400000"/>
    <n v="932897"/>
    <n v="0"/>
    <n v="27"/>
    <x v="19"/>
    <n v="2.6026226114938344E-7"/>
    <n v="-3.503314795887677E-8"/>
  </r>
  <r>
    <n v="70.884699999999995"/>
    <n v="85.138999999999996"/>
    <n v="1.8313699999999999"/>
    <n v="0.01"/>
    <n v="0"/>
    <n v="2.7441"/>
    <n v="3.0465"/>
    <n v="0"/>
    <n v="0.51418200000000003"/>
    <n v="5.3222399999999999"/>
    <n v="130422000"/>
    <n v="0"/>
    <n v="0"/>
    <n v="0"/>
    <n v="0"/>
    <n v="4102370"/>
    <n v="-95351.9"/>
    <n v="408539"/>
    <n v="98.952200000000005"/>
    <n v="98.274000000000001"/>
    <n v="2.4304700000000001"/>
    <n v="0"/>
    <n v="0"/>
    <n v="2.0873699999999999"/>
    <n v="1.7849699999999999"/>
    <n v="0"/>
    <n v="1.6125499999999999"/>
    <n v="2.9635199999999999"/>
    <n v="465736000"/>
    <n v="0"/>
    <n v="0"/>
    <n v="0"/>
    <n v="0"/>
    <n v="5400520"/>
    <n v="932914"/>
    <n v="0"/>
    <n v="28"/>
    <x v="19"/>
    <n v="2.6024194352248265E-7"/>
    <n v="-3.5015939695465935E-8"/>
  </r>
  <r>
    <n v="69.761200000000002"/>
    <n v="85.138999999999996"/>
    <n v="1.71563"/>
    <n v="0.01"/>
    <n v="0"/>
    <n v="2.7444500000000001"/>
    <n v="3.0468500000000001"/>
    <n v="0"/>
    <n v="0.51424499999999995"/>
    <n v="5.3222399999999999"/>
    <n v="130327000"/>
    <n v="0"/>
    <n v="0"/>
    <n v="0"/>
    <n v="0"/>
    <n v="4102880"/>
    <n v="-95316.9"/>
    <n v="408539"/>
    <n v="98.711600000000004"/>
    <n v="98.274000000000001"/>
    <n v="2.2728700000000002"/>
    <n v="0"/>
    <n v="0"/>
    <n v="2.0875699999999999"/>
    <n v="1.7851699999999999"/>
    <n v="0"/>
    <n v="1.6127"/>
    <n v="2.9635199999999999"/>
    <n v="466669000"/>
    <n v="0"/>
    <n v="0"/>
    <n v="0"/>
    <n v="0"/>
    <n v="5401030"/>
    <n v="932931"/>
    <n v="0"/>
    <n v="29"/>
    <x v="19"/>
    <n v="2.6022211160786098E-7"/>
    <n v="-3.4998735710130181E-8"/>
  </r>
  <r>
    <n v="68.660600000000002"/>
    <n v="85.138999999999996"/>
    <n v="1.69868"/>
    <n v="0.01"/>
    <n v="0"/>
    <n v="2.7174900000000002"/>
    <n v="3.0198900000000002"/>
    <n v="0"/>
    <n v="0.51430900000000002"/>
    <n v="5.3222399999999999"/>
    <n v="130228000"/>
    <n v="0"/>
    <n v="0"/>
    <n v="0"/>
    <n v="0"/>
    <n v="4062580"/>
    <n v="-98087.6"/>
    <n v="408539"/>
    <n v="98.343199999999996"/>
    <n v="98.274000000000001"/>
    <n v="2.3649100000000001"/>
    <n v="0"/>
    <n v="0"/>
    <n v="2.1381000000000001"/>
    <n v="1.8357000000000001"/>
    <n v="0"/>
    <n v="1.6128499999999999"/>
    <n v="2.9635199999999999"/>
    <n v="467606000"/>
    <n v="0"/>
    <n v="0"/>
    <n v="0"/>
    <n v="0"/>
    <n v="5531770"/>
    <n v="937192"/>
    <n v="0"/>
    <n v="30"/>
    <x v="19"/>
    <n v="2.5523235047379301E-7"/>
    <n v="-3.6373361940707032E-8"/>
  </r>
  <r>
    <n v="67.518199999999993"/>
    <n v="85.138999999999996"/>
    <n v="1.64174"/>
    <n v="0.02"/>
    <n v="0"/>
    <n v="2.7178300000000002"/>
    <n v="3.0202300000000002"/>
    <n v="0"/>
    <n v="0.50925799999999999"/>
    <n v="5.3222399999999999"/>
    <n v="130130000"/>
    <n v="0"/>
    <n v="0"/>
    <n v="0"/>
    <n v="0"/>
    <n v="4063090"/>
    <n v="-98052.9"/>
    <n v="408539"/>
    <n v="97.947199999999995"/>
    <n v="98.274000000000001"/>
    <n v="2.3374600000000001"/>
    <n v="0"/>
    <n v="0"/>
    <n v="2.1383000000000001"/>
    <n v="1.8359000000000001"/>
    <n v="0"/>
    <n v="1.6518900000000001"/>
    <n v="2.9635199999999999"/>
    <n v="468543000"/>
    <n v="0"/>
    <n v="0"/>
    <n v="0"/>
    <n v="0"/>
    <n v="5532300"/>
    <n v="937210"/>
    <n v="0"/>
    <n v="31"/>
    <x v="19"/>
    <n v="2.5521280055549338E-7"/>
    <n v="-3.6355930325732458E-8"/>
  </r>
  <r>
    <n v="66.245199999999997"/>
    <n v="85.138999999999996"/>
    <n v="1.4680200000000001"/>
    <n v="0.02"/>
    <n v="0"/>
    <n v="2.7181700000000002"/>
    <n v="3.0205700000000002"/>
    <n v="0"/>
    <n v="0.50932200000000005"/>
    <n v="5.3222399999999999"/>
    <n v="130032000"/>
    <n v="0"/>
    <n v="0"/>
    <n v="0"/>
    <n v="0"/>
    <n v="4063590"/>
    <n v="-98018.2"/>
    <n v="408539"/>
    <n v="97.483599999999996"/>
    <n v="98.274000000000001"/>
    <n v="2.1572499999999999"/>
    <n v="0"/>
    <n v="0"/>
    <n v="2.1385100000000001"/>
    <n v="1.8361099999999999"/>
    <n v="0"/>
    <n v="1.65205"/>
    <n v="2.9635199999999999"/>
    <n v="469481000"/>
    <n v="0"/>
    <n v="0"/>
    <n v="0"/>
    <n v="0"/>
    <n v="5532830"/>
    <n v="937227"/>
    <n v="0"/>
    <n v="32"/>
    <x v="19"/>
    <n v="2.551929820975023E-7"/>
    <n v="-3.6338592510879049E-8"/>
  </r>
  <r>
    <n v="64.896799999999999"/>
    <n v="85.138999999999996"/>
    <n v="1.3748400000000001"/>
    <n v="0.02"/>
    <n v="0"/>
    <n v="2.7185100000000002"/>
    <n v="3.0209100000000002"/>
    <n v="0"/>
    <n v="0.50938499999999998"/>
    <n v="5.3222399999999999"/>
    <n v="129934000"/>
    <n v="0"/>
    <n v="0"/>
    <n v="0"/>
    <n v="0"/>
    <n v="4064100"/>
    <n v="-97983.5"/>
    <n v="408539"/>
    <n v="96.744799999999998"/>
    <n v="98.274000000000001"/>
    <n v="2.1975500000000001"/>
    <n v="0"/>
    <n v="0"/>
    <n v="2.1387100000000001"/>
    <n v="1.8363100000000001"/>
    <n v="0"/>
    <n v="1.65221"/>
    <n v="2.9635199999999999"/>
    <n v="470418000"/>
    <n v="0"/>
    <n v="0"/>
    <n v="0"/>
    <n v="0"/>
    <n v="5533360"/>
    <n v="937244"/>
    <n v="0"/>
    <n v="33"/>
    <x v="19"/>
    <n v="2.5517316743604089E-7"/>
    <n v="-3.6321169591148267E-8"/>
  </r>
  <r>
    <n v="63.432000000000002"/>
    <n v="85.138999999999996"/>
    <n v="1.2923100000000001"/>
    <n v="0.02"/>
    <n v="0"/>
    <n v="2.7893500000000002"/>
    <n v="3.0917500000000002"/>
    <n v="0"/>
    <n v="0.50944800000000001"/>
    <n v="5.3222399999999999"/>
    <n v="129844000"/>
    <n v="0"/>
    <n v="0"/>
    <n v="0"/>
    <n v="0"/>
    <n v="4170010"/>
    <n v="-90700.3"/>
    <n v="408539"/>
    <n v="96.077500000000001"/>
    <n v="98.274000000000001"/>
    <n v="1.6393800000000001"/>
    <n v="0"/>
    <n v="0"/>
    <n v="2.1837900000000001"/>
    <n v="1.8813899999999999"/>
    <n v="0"/>
    <n v="1.6523699999999999"/>
    <n v="2.9635199999999999"/>
    <n v="471359000"/>
    <n v="0"/>
    <n v="0"/>
    <n v="0"/>
    <n v="0"/>
    <n v="5649990"/>
    <n v="941046"/>
    <n v="0"/>
    <n v="34"/>
    <x v="19"/>
    <n v="2.5091951291984152E-7"/>
    <n v="-3.2767468381365145E-8"/>
  </r>
  <r>
    <n v="61.917700000000004"/>
    <n v="85.138999999999996"/>
    <n v="1.21946"/>
    <n v="0.02"/>
    <n v="0"/>
    <n v="2.7896999999999998"/>
    <n v="3.0920999999999998"/>
    <n v="0"/>
    <n v="0.522725"/>
    <n v="5.3222399999999999"/>
    <n v="129753000"/>
    <n v="0"/>
    <n v="0"/>
    <n v="0"/>
    <n v="0"/>
    <n v="4170530"/>
    <n v="-90664.8"/>
    <n v="408539"/>
    <n v="95.269599999999997"/>
    <n v="98.274000000000001"/>
    <n v="1.7046300000000001"/>
    <n v="0"/>
    <n v="0"/>
    <n v="2.1840000000000002"/>
    <n v="1.8815999999999999"/>
    <n v="0"/>
    <n v="1.6872"/>
    <n v="2.9635199999999999"/>
    <n v="472300000"/>
    <n v="0"/>
    <n v="0"/>
    <n v="0"/>
    <n v="0"/>
    <n v="5650540"/>
    <n v="941064"/>
    <n v="0"/>
    <n v="35"/>
    <x v="19"/>
    <n v="2.5089988849467796E-7"/>
    <n v="-3.2750559236638878E-8"/>
  </r>
  <r>
    <n v="60.343299999999999"/>
    <n v="85.138999999999996"/>
    <n v="1.1411500000000001"/>
    <n v="0.02"/>
    <n v="0"/>
    <n v="2.7900399999999999"/>
    <n v="3.0924399999999999"/>
    <n v="0"/>
    <n v="0.52278999999999998"/>
    <n v="5.3222399999999999"/>
    <n v="129662000"/>
    <n v="0"/>
    <n v="0"/>
    <n v="0"/>
    <n v="0"/>
    <n v="4171050"/>
    <n v="-90629.3"/>
    <n v="408539"/>
    <n v="94.533799999999999"/>
    <n v="98.274000000000001"/>
    <n v="1.55484"/>
    <n v="0"/>
    <n v="0"/>
    <n v="2.1842100000000002"/>
    <n v="1.88181"/>
    <n v="0"/>
    <n v="1.68736"/>
    <n v="2.9635199999999999"/>
    <n v="473241000"/>
    <n v="0"/>
    <n v="0"/>
    <n v="0"/>
    <n v="0"/>
    <n v="5651080"/>
    <n v="941082"/>
    <n v="0"/>
    <n v="36"/>
    <x v="19"/>
    <n v="2.5088071184047291E-7"/>
    <n v="-3.2733654307999804E-8"/>
  </r>
  <r>
    <n v="58.770600000000002"/>
    <n v="85.138999999999996"/>
    <n v="1.1217299999999999"/>
    <n v="0.02"/>
    <n v="0"/>
    <n v="2.7903899999999999"/>
    <n v="3.0927899999999999"/>
    <n v="0"/>
    <n v="0.52285400000000004"/>
    <n v="5.3222399999999999"/>
    <n v="129572000"/>
    <n v="0"/>
    <n v="0"/>
    <n v="0"/>
    <n v="0"/>
    <n v="4171560"/>
    <n v="-90593.7"/>
    <n v="408539"/>
    <n v="93.902900000000002"/>
    <n v="98.274000000000001"/>
    <n v="1.6757500000000001"/>
    <n v="0"/>
    <n v="0"/>
    <n v="2.1844199999999998"/>
    <n v="1.88202"/>
    <n v="0"/>
    <n v="1.6875199999999999"/>
    <n v="2.9635199999999999"/>
    <n v="474182000"/>
    <n v="0"/>
    <n v="0"/>
    <n v="0"/>
    <n v="0"/>
    <n v="5651630"/>
    <n v="941099"/>
    <n v="0"/>
    <n v="37"/>
    <x v="19"/>
    <n v="2.5086082841460378E-7"/>
    <n v="-3.2716795908208961E-8"/>
  </r>
  <r>
    <n v="57.131500000000003"/>
    <n v="85.138999999999996"/>
    <n v="1.18123"/>
    <n v="0.02"/>
    <n v="0"/>
    <n v="2.9973100000000001"/>
    <n v="3.2997100000000001"/>
    <n v="0"/>
    <n v="0.52291900000000002"/>
    <n v="5.3222399999999999"/>
    <n v="129502000"/>
    <n v="0"/>
    <n v="0"/>
    <n v="0"/>
    <n v="0"/>
    <n v="4480910"/>
    <n v="-69321.7"/>
    <n v="408539"/>
    <n v="93.317300000000003"/>
    <n v="98.274000000000001"/>
    <n v="1.87944"/>
    <n v="0"/>
    <n v="0"/>
    <n v="2.3466900000000002"/>
    <n v="2.0442900000000002"/>
    <n v="0"/>
    <n v="1.6876899999999999"/>
    <n v="2.9635199999999999"/>
    <n v="475137000"/>
    <n v="0"/>
    <n v="0"/>
    <n v="0"/>
    <n v="0"/>
    <n v="6071440"/>
    <n v="954784"/>
    <n v="0"/>
    <n v="38"/>
    <x v="19"/>
    <n v="2.3691070604563444E-7"/>
    <n v="-2.330634899321064E-8"/>
  </r>
  <r>
    <n v="55.698399999999999"/>
    <n v="85.138999999999996"/>
    <n v="1.3894899999999999"/>
    <n v="0.02"/>
    <n v="0"/>
    <n v="2.9976799999999999"/>
    <n v="3.3000799999999999"/>
    <n v="0"/>
    <n v="0.56169599999999997"/>
    <n v="5.3222399999999999"/>
    <n v="129433000"/>
    <n v="0"/>
    <n v="0"/>
    <n v="0"/>
    <n v="0"/>
    <n v="4481460"/>
    <n v="-69283.8"/>
    <n v="408539"/>
    <n v="92.719200000000001"/>
    <n v="98.274000000000001"/>
    <n v="2.1082299999999998"/>
    <n v="0"/>
    <n v="0"/>
    <n v="2.3469199999999999"/>
    <n v="2.0445199999999999"/>
    <n v="0"/>
    <n v="1.8130500000000001"/>
    <n v="2.9635199999999999"/>
    <n v="476092000"/>
    <n v="0"/>
    <n v="0"/>
    <n v="0"/>
    <n v="0"/>
    <n v="6072030"/>
    <n v="954803"/>
    <n v="0"/>
    <n v="39"/>
    <x v="19"/>
    <n v="2.3689240019463398E-7"/>
    <n v="-2.3290748023561875E-8"/>
  </r>
  <r>
    <n v="54.247999999999998"/>
    <n v="85.138999999999996"/>
    <n v="1.3455999999999999"/>
    <n v="0.02"/>
    <n v="0"/>
    <n v="2.9980500000000001"/>
    <n v="3.3004500000000001"/>
    <n v="0"/>
    <n v="0.56176499999999996"/>
    <n v="5.3222399999999999"/>
    <n v="129364000"/>
    <n v="0"/>
    <n v="0"/>
    <n v="0"/>
    <n v="0"/>
    <n v="4482010"/>
    <n v="-69245.899999999994"/>
    <n v="408539"/>
    <n v="91.869100000000003"/>
    <n v="98.274000000000001"/>
    <n v="1.72766"/>
    <n v="0"/>
    <n v="0"/>
    <n v="2.34714"/>
    <n v="2.04474"/>
    <n v="0"/>
    <n v="1.8132299999999999"/>
    <n v="2.9635199999999999"/>
    <n v="477047000"/>
    <n v="0"/>
    <n v="0"/>
    <n v="0"/>
    <n v="0"/>
    <n v="6072620"/>
    <n v="954822"/>
    <n v="0"/>
    <n v="40"/>
    <x v="19"/>
    <n v="2.3687409790073149E-7"/>
    <n v="-2.3275150882790466E-8"/>
  </r>
  <r>
    <n v="52.375399999999999"/>
    <n v="85.138999999999996"/>
    <n v="0.920099"/>
    <n v="0.05"/>
    <n v="0"/>
    <n v="2.9984199999999999"/>
    <n v="3.3008199999999999"/>
    <n v="0"/>
    <n v="0.56183499999999997"/>
    <n v="5.3222399999999999"/>
    <n v="129295000"/>
    <n v="0"/>
    <n v="0"/>
    <n v="0"/>
    <n v="0"/>
    <n v="4482560"/>
    <n v="-69208"/>
    <n v="408539"/>
    <n v="91.119399999999999"/>
    <n v="98.274000000000001"/>
    <n v="1.4746300000000001"/>
    <n v="0"/>
    <n v="0"/>
    <n v="2.3473700000000002"/>
    <n v="2.0449700000000002"/>
    <n v="0"/>
    <n v="1.8133999999999999"/>
    <n v="2.9635199999999999"/>
    <n v="478002000"/>
    <n v="0"/>
    <n v="0"/>
    <n v="0"/>
    <n v="0"/>
    <n v="6073210"/>
    <n v="954841"/>
    <n v="0"/>
    <n v="41"/>
    <x v="19"/>
    <n v="2.3685579916289026E-7"/>
    <n v="-2.3259557569487033E-8"/>
  </r>
  <r>
    <n v="50.425800000000002"/>
    <n v="85.138999999999996"/>
    <n v="0.82877699999999999"/>
    <n v="0.05"/>
    <n v="0"/>
    <n v="2.9987900000000001"/>
    <n v="3.3011900000000001"/>
    <n v="0"/>
    <n v="0.56190399999999996"/>
    <n v="5.3222399999999999"/>
    <n v="129226000"/>
    <n v="0"/>
    <n v="0"/>
    <n v="0"/>
    <n v="0"/>
    <n v="4483110"/>
    <n v="-69170.100000000006"/>
    <n v="408539"/>
    <n v="90.413399999999996"/>
    <n v="98.274000000000001"/>
    <n v="1.6169800000000001"/>
    <n v="0"/>
    <n v="0"/>
    <n v="2.3475999999999999"/>
    <n v="2.0451999999999999"/>
    <n v="0"/>
    <n v="1.81358"/>
    <n v="2.9635199999999999"/>
    <n v="478956000"/>
    <n v="0"/>
    <n v="0"/>
    <n v="0"/>
    <n v="0"/>
    <n v="6073800"/>
    <n v="954861"/>
    <n v="0"/>
    <n v="42"/>
    <x v="19"/>
    <n v="2.3683775201382132E-7"/>
    <n v="-2.3243968082242888E-8"/>
  </r>
  <r>
    <n v="48.5779"/>
    <n v="85.138999999999996"/>
    <n v="0.79668700000000003"/>
    <n v="0.05"/>
    <n v="0"/>
    <n v="2.8984200000000002"/>
    <n v="3.2008200000000002"/>
    <n v="0"/>
    <n v="0.56197299999999994"/>
    <n v="5.3222399999999999"/>
    <n v="129146000"/>
    <n v="0"/>
    <n v="0"/>
    <n v="0"/>
    <n v="0"/>
    <n v="4333070"/>
    <n v="-79487.8"/>
    <n v="408539"/>
    <n v="89.692899999999995"/>
    <n v="98.274000000000001"/>
    <n v="1.8592"/>
    <n v="0"/>
    <n v="0"/>
    <n v="2.2494100000000001"/>
    <n v="1.9470099999999999"/>
    <n v="0"/>
    <n v="1.81376"/>
    <n v="2.9635199999999999"/>
    <n v="479903000"/>
    <n v="0"/>
    <n v="0"/>
    <n v="0"/>
    <n v="0"/>
    <n v="5819770"/>
    <n v="946580"/>
    <n v="0"/>
    <n v="43"/>
    <x v="19"/>
    <n v="2.4503197731401776E-7"/>
    <n v="-2.7636054088141018E-8"/>
  </r>
  <r>
    <n v="46.828699999999998"/>
    <n v="85.138999999999996"/>
    <n v="0.90101100000000001"/>
    <n v="7.0000000000000007E-2"/>
    <n v="0"/>
    <n v="2.8987799999999999"/>
    <n v="3.2011799999999999"/>
    <n v="0"/>
    <n v="0.54316399999999998"/>
    <n v="5.3222399999999999"/>
    <n v="129067000"/>
    <n v="0"/>
    <n v="0"/>
    <n v="0"/>
    <n v="0"/>
    <n v="4333600"/>
    <n v="-79451.100000000006"/>
    <n v="408539"/>
    <n v="89.005200000000002"/>
    <n v="98.274000000000001"/>
    <n v="1.7538199999999999"/>
    <n v="0"/>
    <n v="0"/>
    <n v="2.2496299999999998"/>
    <n v="1.94723"/>
    <n v="0"/>
    <n v="1.7379"/>
    <n v="2.9635199999999999"/>
    <n v="480850000"/>
    <n v="0"/>
    <n v="0"/>
    <n v="0"/>
    <n v="0"/>
    <n v="5820330"/>
    <n v="946599"/>
    <n v="0"/>
    <n v="44"/>
    <x v="19"/>
    <n v="2.4501331956313775E-7"/>
    <n v="-2.7619916020642141E-8"/>
  </r>
  <r>
    <n v="45.589700000000001"/>
    <n v="85.138999999999996"/>
    <n v="1.4049799999999999"/>
    <n v="7.0000000000000007E-2"/>
    <n v="0"/>
    <n v="2.8991400000000001"/>
    <n v="3.2015400000000001"/>
    <n v="0"/>
    <n v="0.54323100000000002"/>
    <n v="5.3222399999999999"/>
    <n v="128987000"/>
    <n v="0"/>
    <n v="0"/>
    <n v="0"/>
    <n v="0"/>
    <n v="4334140"/>
    <n v="-79414.3"/>
    <n v="408539"/>
    <n v="88.490300000000005"/>
    <n v="98.274000000000001"/>
    <n v="3.0112800000000002"/>
    <n v="0"/>
    <n v="0"/>
    <n v="2.2498499999999999"/>
    <n v="1.9474499999999999"/>
    <n v="0"/>
    <n v="1.73807"/>
    <n v="2.9635199999999999"/>
    <n v="481796000"/>
    <n v="0"/>
    <n v="0"/>
    <n v="0"/>
    <n v="0"/>
    <n v="5820900"/>
    <n v="946617"/>
    <n v="0"/>
    <n v="45"/>
    <x v="19"/>
    <n v="2.4499398570421406E-7"/>
    <n v="-2.7603683451773802E-8"/>
  </r>
  <r>
    <n v="44.266399999999997"/>
    <n v="85.138999999999996"/>
    <n v="1.3492999999999999"/>
    <n v="0.09"/>
    <n v="0"/>
    <n v="2.8994900000000001"/>
    <n v="3.2018900000000001"/>
    <n v="0"/>
    <n v="0.54329799999999995"/>
    <n v="5.3222399999999999"/>
    <n v="128908000"/>
    <n v="0"/>
    <n v="0"/>
    <n v="0"/>
    <n v="0"/>
    <n v="4334670"/>
    <n v="-79377.5"/>
    <n v="408539"/>
    <n v="87.941900000000004"/>
    <n v="98.274000000000001"/>
    <n v="2.7279599999999999"/>
    <n v="0"/>
    <n v="0"/>
    <n v="2.25007"/>
    <n v="1.94767"/>
    <n v="0"/>
    <n v="1.7382299999999999"/>
    <n v="2.9635199999999999"/>
    <n v="482743000"/>
    <n v="0"/>
    <n v="0"/>
    <n v="0"/>
    <n v="0"/>
    <n v="5821460"/>
    <n v="946635"/>
    <n v="0"/>
    <n v="46"/>
    <x v="19"/>
    <n v="2.4497507644446613E-7"/>
    <n v="-2.7587518571030097E-8"/>
  </r>
  <r>
    <n v="43.450800000000001"/>
    <n v="85.138999999999996"/>
    <n v="1.7783800000000001"/>
    <n v="0.1"/>
    <n v="0"/>
    <n v="2.8171300000000001"/>
    <n v="3.1195300000000001"/>
    <n v="0"/>
    <n v="0.54336499999999999"/>
    <n v="5.3222399999999999"/>
    <n v="128820000"/>
    <n v="0"/>
    <n v="0"/>
    <n v="0"/>
    <n v="0"/>
    <n v="4211540"/>
    <n v="-87844.800000000003"/>
    <n v="408539"/>
    <n v="87.317300000000003"/>
    <n v="98.274000000000001"/>
    <n v="1.83748"/>
    <n v="0"/>
    <n v="0"/>
    <n v="2.16066"/>
    <n v="1.85826"/>
    <n v="0"/>
    <n v="1.7383999999999999"/>
    <n v="2.9635199999999999"/>
    <n v="483682000"/>
    <n v="0"/>
    <n v="0"/>
    <n v="0"/>
    <n v="0"/>
    <n v="5590150"/>
    <n v="939096"/>
    <n v="0"/>
    <n v="47"/>
    <x v="19"/>
    <n v="2.5307997986128811E-7"/>
    <n v="-3.1422909201127137E-8"/>
  </r>
  <r>
    <n v="42.437899999999999"/>
    <n v="85.138999999999996"/>
    <n v="1.5529900000000001"/>
    <n v="0.1"/>
    <n v="0"/>
    <n v="2.8174800000000002"/>
    <n v="3.1198800000000002"/>
    <n v="0"/>
    <n v="0.52793000000000001"/>
    <n v="5.3222399999999999"/>
    <n v="128732000"/>
    <n v="0"/>
    <n v="0"/>
    <n v="0"/>
    <n v="0"/>
    <n v="4212060"/>
    <n v="-87808.9"/>
    <n v="408539"/>
    <n v="86.736599999999996"/>
    <n v="98.274000000000001"/>
    <n v="1.58656"/>
    <n v="0"/>
    <n v="0"/>
    <n v="2.1608700000000001"/>
    <n v="1.8584700000000001"/>
    <n v="0"/>
    <n v="1.66933"/>
    <n v="2.9635199999999999"/>
    <n v="484621000"/>
    <n v="0"/>
    <n v="0"/>
    <n v="0"/>
    <n v="0"/>
    <n v="5590690"/>
    <n v="939113"/>
    <n v="0"/>
    <n v="48"/>
    <x v="19"/>
    <n v="2.5306011602269976E-7"/>
    <n v="-3.1406189703415474E-8"/>
  </r>
  <r>
    <n v="42.741799999999998"/>
    <n v="85.138999999999996"/>
    <n v="2.90937"/>
    <n v="0.1"/>
    <n v="0"/>
    <n v="2.8178299999999998"/>
    <n v="3.1202299999999998"/>
    <n v="0"/>
    <n v="0.52799600000000002"/>
    <n v="5.3222399999999999"/>
    <n v="128644000"/>
    <n v="0"/>
    <n v="0"/>
    <n v="0"/>
    <n v="0"/>
    <n v="4212580"/>
    <n v="-87773.1"/>
    <n v="408539"/>
    <n v="86.5685"/>
    <n v="98.274000000000001"/>
    <n v="4.6404500000000004"/>
    <n v="0"/>
    <n v="0"/>
    <n v="2.1610800000000001"/>
    <n v="1.8586800000000001"/>
    <n v="0"/>
    <n v="1.6694899999999999"/>
    <n v="2.9635199999999999"/>
    <n v="485560000"/>
    <n v="0"/>
    <n v="0"/>
    <n v="0"/>
    <n v="0"/>
    <n v="5591220"/>
    <n v="939131"/>
    <n v="0"/>
    <n v="49"/>
    <x v="19"/>
    <n v="2.5304097802978406E-7"/>
    <n v="-3.1389510095513653E-8"/>
  </r>
  <r>
    <n v="45.359699999999997"/>
    <n v="85.138999999999996"/>
    <n v="5.3511300000000004"/>
    <n v="0.1"/>
    <n v="0"/>
    <n v="2.8181799999999999"/>
    <n v="3.1205799999999999"/>
    <n v="0"/>
    <n v="0.528061"/>
    <n v="5.3222399999999999"/>
    <n v="128557000"/>
    <n v="0"/>
    <n v="0"/>
    <n v="0"/>
    <n v="0"/>
    <n v="4213100"/>
    <n v="-87737.3"/>
    <n v="408539"/>
    <n v="86.968199999999996"/>
    <n v="98.274000000000001"/>
    <n v="5.2526200000000003"/>
    <n v="0"/>
    <n v="0"/>
    <n v="2.1612900000000002"/>
    <n v="1.8588899999999999"/>
    <n v="0"/>
    <n v="1.6696500000000001"/>
    <n v="2.9635199999999999"/>
    <n v="486499000"/>
    <n v="0"/>
    <n v="0"/>
    <n v="0"/>
    <n v="0"/>
    <n v="5591760"/>
    <n v="939148"/>
    <n v="0"/>
    <n v="50"/>
    <x v="19"/>
    <n v="2.5302112175863359E-7"/>
    <n v="-3.1372834604958242E-8"/>
  </r>
  <r>
    <n v="47.558199999999999"/>
    <n v="85.138999999999996"/>
    <n v="4.8400100000000004"/>
    <n v="7.0000000000000007E-2"/>
    <n v="0"/>
    <n v="2.5834800000000002"/>
    <n v="2.8858799999999998"/>
    <n v="0"/>
    <n v="0.52812599999999998"/>
    <n v="5.3222399999999999"/>
    <n v="128445000"/>
    <n v="0"/>
    <n v="0"/>
    <n v="0"/>
    <n v="0"/>
    <n v="3862240"/>
    <n v="-111864"/>
    <n v="408539"/>
    <n v="87.491100000000003"/>
    <n v="98.274000000000001"/>
    <n v="4.5848000000000004"/>
    <n v="0"/>
    <n v="0"/>
    <n v="1.97475"/>
    <n v="1.67235"/>
    <n v="0"/>
    <n v="1.66981"/>
    <n v="2.9635199999999999"/>
    <n v="487423000"/>
    <n v="0"/>
    <n v="0"/>
    <n v="0"/>
    <n v="0"/>
    <n v="5109160"/>
    <n v="923417"/>
    <n v="0"/>
    <n v="51"/>
    <x v="19"/>
    <n v="2.7228243396092969E-7"/>
    <n v="-4.3633730930235331E-8"/>
  </r>
  <r>
    <n v="54.2166"/>
    <n v="85.138999999999996"/>
    <n v="9.4172399999999996"/>
    <n v="7.0000000000000007E-2"/>
    <n v="0"/>
    <n v="2.5838100000000002"/>
    <n v="2.8862100000000002"/>
    <n v="0"/>
    <n v="0.48414499999999999"/>
    <n v="5.3222399999999999"/>
    <n v="128333000"/>
    <n v="0"/>
    <n v="0"/>
    <n v="0"/>
    <n v="0"/>
    <n v="3862720"/>
    <n v="-111831"/>
    <n v="408539"/>
    <n v="89.340400000000002"/>
    <n v="98.274000000000001"/>
    <n v="8.4802"/>
    <n v="0"/>
    <n v="0"/>
    <n v="1.9749399999999999"/>
    <n v="1.6725399999999999"/>
    <n v="0"/>
    <n v="1.52569"/>
    <n v="2.9635199999999999"/>
    <n v="488346000"/>
    <n v="0"/>
    <n v="0"/>
    <n v="0"/>
    <n v="0"/>
    <n v="5109640"/>
    <n v="923433"/>
    <n v="0"/>
    <n v="52"/>
    <x v="19"/>
    <n v="2.7226157310765859E-7"/>
    <n v="-4.3615438396940905E-8"/>
  </r>
  <r>
    <n v="58.261600000000001"/>
    <n v="85.138999999999996"/>
    <n v="6.7859600000000002"/>
    <n v="0.05"/>
    <n v="0"/>
    <n v="2.58413"/>
    <n v="2.88653"/>
    <n v="0"/>
    <n v="0.484205"/>
    <n v="5.3222399999999999"/>
    <n v="128221000"/>
    <n v="0"/>
    <n v="0"/>
    <n v="0"/>
    <n v="0"/>
    <n v="3863210"/>
    <n v="-111798"/>
    <n v="408539"/>
    <n v="89.706999999999994"/>
    <n v="98.274000000000001"/>
    <n v="4.8951399999999996"/>
    <n v="0"/>
    <n v="0"/>
    <n v="1.9751300000000001"/>
    <n v="1.6727300000000001"/>
    <n v="0"/>
    <n v="1.5258400000000001"/>
    <n v="2.9635199999999999"/>
    <n v="489270000"/>
    <n v="0"/>
    <n v="0"/>
    <n v="0"/>
    <n v="0"/>
    <n v="5110120"/>
    <n v="923449"/>
    <n v="0"/>
    <n v="1"/>
    <x v="20"/>
    <n v="1.3444073527377783E-7"/>
    <n v="-2.1529541456294681E-8"/>
  </r>
  <r>
    <n v="61.222299999999997"/>
    <n v="85.138999999999996"/>
    <n v="5.8930600000000002"/>
    <n v="0.03"/>
    <n v="0"/>
    <n v="2.5844499999999999"/>
    <n v="2.8868499999999999"/>
    <n v="0"/>
    <n v="0.48426599999999997"/>
    <n v="5.3222399999999999"/>
    <n v="128109000"/>
    <n v="0"/>
    <n v="0"/>
    <n v="0"/>
    <n v="0"/>
    <n v="3863690"/>
    <n v="-111765"/>
    <n v="408539"/>
    <n v="89.734099999999998"/>
    <n v="98.274000000000001"/>
    <n v="4.1351599999999999"/>
    <n v="0"/>
    <n v="0"/>
    <n v="1.9753099999999999"/>
    <n v="1.6729099999999999"/>
    <n v="0"/>
    <n v="1.5259799999999999"/>
    <n v="2.9635199999999999"/>
    <n v="490193000"/>
    <n v="0"/>
    <n v="0"/>
    <n v="0"/>
    <n v="0"/>
    <n v="5110610"/>
    <n v="923464"/>
    <n v="0"/>
    <n v="2"/>
    <x v="20"/>
    <n v="1.3443002880747885E-7"/>
    <n v="-2.152051256673226E-8"/>
  </r>
  <r>
    <n v="63.989199999999997"/>
    <n v="85.138999999999996"/>
    <n v="5.7371100000000004"/>
    <n v="0.02"/>
    <n v="0"/>
    <n v="2.5847699999999998"/>
    <n v="2.8871699999999998"/>
    <n v="0"/>
    <n v="0.48432599999999998"/>
    <n v="5.3222399999999999"/>
    <n v="127998000"/>
    <n v="0"/>
    <n v="0"/>
    <n v="0"/>
    <n v="0"/>
    <n v="3864170"/>
    <n v="-111732"/>
    <n v="408539"/>
    <n v="89.7714"/>
    <n v="98.274000000000001"/>
    <n v="3.6828699999999999"/>
    <n v="0"/>
    <n v="0"/>
    <n v="1.9755"/>
    <n v="1.6731"/>
    <n v="0"/>
    <n v="1.52613"/>
    <n v="2.9635199999999999"/>
    <n v="491117000"/>
    <n v="0"/>
    <n v="0"/>
    <n v="0"/>
    <n v="0"/>
    <n v="5111090"/>
    <n v="923480"/>
    <n v="0"/>
    <n v="3"/>
    <x v="20"/>
    <n v="1.3441973294726663E-7"/>
    <n v="-2.1511485920273529E-8"/>
  </r>
  <r>
    <n v="67.574600000000004"/>
    <n v="85.138999999999996"/>
    <n v="6.6194899999999999"/>
    <n v="0.03"/>
    <n v="0"/>
    <n v="2.6755499999999999"/>
    <n v="2.9779499999999999"/>
    <n v="0"/>
    <n v="0.48438599999999998"/>
    <n v="5.3222399999999999"/>
    <n v="127895000"/>
    <n v="0"/>
    <n v="0"/>
    <n v="0"/>
    <n v="29016000"/>
    <n v="3999870"/>
    <n v="-102400"/>
    <n v="408539"/>
    <n v="91.473200000000006"/>
    <n v="98.274000000000001"/>
    <n v="6.5799399999999997"/>
    <n v="0"/>
    <n v="0"/>
    <n v="2.0297900000000002"/>
    <n v="1.72739"/>
    <n v="0"/>
    <n v="1.52627"/>
    <n v="2.9635199999999999"/>
    <n v="492045000"/>
    <n v="0"/>
    <n v="0"/>
    <n v="0"/>
    <n v="7883220"/>
    <n v="5251540"/>
    <n v="928058"/>
    <n v="0"/>
    <n v="4"/>
    <x v="20"/>
    <n v="1.248249176675036E-6"/>
    <n v="5.3778087622836008E-6"/>
  </r>
  <r>
    <n v="68.363399999999999"/>
    <n v="85.138999999999996"/>
    <n v="3.9211399999999998"/>
    <n v="0.02"/>
    <n v="0"/>
    <n v="2.6758600000000001"/>
    <n v="2.9782600000000001"/>
    <n v="0"/>
    <n v="0.50139699999999998"/>
    <n v="5.3222399999999999"/>
    <n v="127793000"/>
    <n v="0"/>
    <n v="0"/>
    <n v="0"/>
    <n v="0"/>
    <n v="4000340"/>
    <n v="-102368"/>
    <n v="408539"/>
    <n v="92.125900000000001"/>
    <n v="98.274000000000001"/>
    <n v="5.2520499999999997"/>
    <n v="0"/>
    <n v="0"/>
    <n v="2.0299700000000001"/>
    <n v="1.7275700000000001"/>
    <n v="0"/>
    <n v="1.5682100000000001"/>
    <n v="2.9635199999999999"/>
    <n v="492973000"/>
    <n v="0"/>
    <n v="0"/>
    <n v="0"/>
    <n v="0"/>
    <n v="5252010"/>
    <n v="928074"/>
    <n v="0"/>
    <n v="5"/>
    <x v="20"/>
    <n v="1.3146378262622712E-7"/>
    <n v="-1.9037783164351287E-8"/>
  </r>
  <r>
    <n v="68.4619"/>
    <n v="85.138999999999996"/>
    <n v="3.1426699999999999"/>
    <n v="0.03"/>
    <n v="0"/>
    <n v="2.6761699999999999"/>
    <n v="2.9785699999999999"/>
    <n v="0"/>
    <n v="0.50145600000000001"/>
    <n v="5.3222399999999999"/>
    <n v="127691000"/>
    <n v="0"/>
    <n v="0"/>
    <n v="0"/>
    <n v="0"/>
    <n v="4000810"/>
    <n v="-102336"/>
    <n v="408539"/>
    <n v="92.500500000000002"/>
    <n v="98.274000000000001"/>
    <n v="4.36029"/>
    <n v="0"/>
    <n v="0"/>
    <n v="2.0301499999999999"/>
    <n v="1.7277499999999999"/>
    <n v="0"/>
    <n v="1.5683499999999999"/>
    <n v="2.9635199999999999"/>
    <n v="493901000"/>
    <n v="0"/>
    <n v="0"/>
    <n v="0"/>
    <n v="0"/>
    <n v="5252480"/>
    <n v="928089"/>
    <n v="0"/>
    <n v="6"/>
    <x v="20"/>
    <n v="1.3145414363830478E-7"/>
    <n v="-1.9029596209860025E-8"/>
  </r>
  <r>
    <n v="68.288200000000003"/>
    <n v="85.138999999999996"/>
    <n v="2.8626200000000002"/>
    <n v="0.04"/>
    <n v="0"/>
    <n v="2.6764800000000002"/>
    <n v="2.9788800000000002"/>
    <n v="0"/>
    <n v="0.50151400000000002"/>
    <n v="5.3222399999999999"/>
    <n v="127588000"/>
    <n v="0"/>
    <n v="0"/>
    <n v="0"/>
    <n v="0"/>
    <n v="4001270"/>
    <n v="-102304"/>
    <n v="408539"/>
    <n v="92.961100000000002"/>
    <n v="98.274000000000001"/>
    <n v="4.1618199999999996"/>
    <n v="0"/>
    <n v="0"/>
    <n v="2.0303300000000002"/>
    <n v="1.72793"/>
    <n v="0"/>
    <n v="1.5684899999999999"/>
    <n v="2.9635199999999999"/>
    <n v="494829000"/>
    <n v="0"/>
    <n v="0"/>
    <n v="0"/>
    <n v="0"/>
    <n v="5252950"/>
    <n v="928104"/>
    <n v="0"/>
    <n v="7"/>
    <x v="20"/>
    <n v="1.3144450637525106E-7"/>
    <n v="-1.90214587171221E-8"/>
  </r>
  <r>
    <n v="67.155000000000001"/>
    <n v="85.138999999999996"/>
    <n v="2.10331"/>
    <n v="0.04"/>
    <n v="0"/>
    <n v="2.9673799999999999"/>
    <n v="3.2697799999999999"/>
    <n v="0"/>
    <n v="0.50157300000000005"/>
    <n v="5.3222399999999999"/>
    <n v="127516000"/>
    <n v="0"/>
    <n v="0"/>
    <n v="0"/>
    <n v="0"/>
    <n v="4436150"/>
    <n v="-72399.100000000006"/>
    <n v="408539"/>
    <n v="93.568600000000004"/>
    <n v="98.274000000000001"/>
    <n v="4.1749299999999998"/>
    <n v="0"/>
    <n v="0"/>
    <n v="2.2336999999999998"/>
    <n v="1.9313"/>
    <n v="0"/>
    <n v="1.56863"/>
    <n v="2.9635199999999999"/>
    <n v="495774000"/>
    <n v="0"/>
    <n v="0"/>
    <n v="0"/>
    <n v="0"/>
    <n v="5779120"/>
    <n v="945255"/>
    <n v="0"/>
    <n v="8"/>
    <x v="20"/>
    <n v="1.2168480016809357E-7"/>
    <n v="-1.2141602409250655E-8"/>
  </r>
  <r>
    <n v="68.255399999999995"/>
    <n v="85.138999999999996"/>
    <n v="4.4566699999999999"/>
    <n v="0.04"/>
    <n v="0"/>
    <n v="2.9677199999999999"/>
    <n v="3.2701199999999999"/>
    <n v="0"/>
    <n v="0.556087"/>
    <n v="5.3222399999999999"/>
    <n v="127444000"/>
    <n v="0"/>
    <n v="0"/>
    <n v="0"/>
    <n v="0"/>
    <n v="4436670"/>
    <n v="-72363.8"/>
    <n v="408539"/>
    <n v="94.343000000000004"/>
    <n v="98.274000000000001"/>
    <n v="4.8273799999999998"/>
    <n v="0"/>
    <n v="0"/>
    <n v="2.2339000000000002"/>
    <n v="1.9315"/>
    <n v="0"/>
    <n v="1.72576"/>
    <n v="2.9635199999999999"/>
    <n v="496719000"/>
    <n v="0"/>
    <n v="0"/>
    <n v="0"/>
    <n v="0"/>
    <n v="5779640"/>
    <n v="945272"/>
    <n v="0"/>
    <n v="9"/>
    <x v="20"/>
    <n v="1.21676040316039E-7"/>
    <n v="-1.2134260103060383E-8"/>
  </r>
  <r>
    <n v="67.295100000000005"/>
    <n v="85.138999999999996"/>
    <n v="2.2839200000000002"/>
    <n v="0.04"/>
    <n v="0"/>
    <n v="2.9680599999999999"/>
    <n v="3.2704599999999999"/>
    <n v="0"/>
    <n v="0.55615099999999995"/>
    <n v="5.3222399999999999"/>
    <n v="127371000"/>
    <n v="0"/>
    <n v="0"/>
    <n v="0"/>
    <n v="0"/>
    <n v="4437180"/>
    <n v="-72328.600000000006"/>
    <n v="408539"/>
    <n v="94.116500000000002"/>
    <n v="98.274000000000001"/>
    <n v="2.8834200000000001"/>
    <n v="0"/>
    <n v="0"/>
    <n v="2.2341099999999998"/>
    <n v="1.93171"/>
    <n v="0"/>
    <n v="1.7259100000000001"/>
    <n v="2.9635199999999999"/>
    <n v="497665000"/>
    <n v="0"/>
    <n v="0"/>
    <n v="0"/>
    <n v="0"/>
    <n v="5780160"/>
    <n v="945289"/>
    <n v="0"/>
    <n v="10"/>
    <x v="20"/>
    <n v="1.2166728204010801E-7"/>
    <n v="-1.2126963614503557E-8"/>
  </r>
  <r>
    <n v="66.068600000000004"/>
    <n v="85.138999999999996"/>
    <n v="1.9239999999999999"/>
    <n v="0.04"/>
    <n v="0"/>
    <n v="2.96841"/>
    <n v="3.27081"/>
    <n v="0"/>
    <n v="0.55621500000000001"/>
    <n v="5.3222399999999999"/>
    <n v="127299000"/>
    <n v="0"/>
    <n v="0"/>
    <n v="0"/>
    <n v="0"/>
    <n v="4437690"/>
    <n v="-72293.3"/>
    <n v="408539"/>
    <n v="94.107100000000003"/>
    <n v="98.274000000000001"/>
    <n v="2.40856"/>
    <n v="0"/>
    <n v="0"/>
    <n v="2.2343099999999998"/>
    <n v="1.93191"/>
    <n v="0"/>
    <n v="1.72607"/>
    <n v="2.9635199999999999"/>
    <n v="498610000"/>
    <n v="0"/>
    <n v="0"/>
    <n v="0"/>
    <n v="0"/>
    <n v="5780690"/>
    <n v="945306"/>
    <n v="0"/>
    <n v="11"/>
    <x v="20"/>
    <n v="1.2165831488312115E-7"/>
    <n v="-1.2119652038481847E-8"/>
  </r>
  <r>
    <n v="70.517099999999999"/>
    <n v="85.138999999999996"/>
    <n v="7.5459199999999997"/>
    <n v="0.03"/>
    <n v="0"/>
    <n v="2.5541100000000001"/>
    <n v="2.8565100000000001"/>
    <n v="0"/>
    <n v="0.55627899999999997"/>
    <n v="5.3222399999999999"/>
    <n v="127184000"/>
    <n v="0"/>
    <n v="0"/>
    <n v="0"/>
    <n v="0"/>
    <n v="3818330"/>
    <n v="-114884"/>
    <n v="408539"/>
    <n v="95.046300000000002"/>
    <n v="98.274000000000001"/>
    <n v="6.1024900000000004"/>
    <n v="0"/>
    <n v="0"/>
    <n v="1.9617100000000001"/>
    <n v="1.6593100000000001"/>
    <n v="0"/>
    <n v="1.7262299999999999"/>
    <n v="2.9635199999999999"/>
    <n v="499532000"/>
    <n v="0"/>
    <n v="0"/>
    <n v="0"/>
    <n v="0"/>
    <n v="5075420"/>
    <n v="922317"/>
    <n v="0"/>
    <n v="12"/>
    <x v="20"/>
    <n v="1.3519395999387503E-7"/>
    <n v="-2.2383868770554264E-8"/>
  </r>
  <r>
    <n v="72.531700000000001"/>
    <n v="85.138999999999996"/>
    <n v="5.0833500000000003"/>
    <n v="0.02"/>
    <n v="0"/>
    <n v="2.5544099999999998"/>
    <n v="2.8568099999999998"/>
    <n v="0"/>
    <n v="0.47864000000000001"/>
    <n v="5.3222399999999999"/>
    <n v="127069000"/>
    <n v="0"/>
    <n v="0"/>
    <n v="0"/>
    <n v="0"/>
    <n v="3818780"/>
    <n v="-114853"/>
    <n v="408539"/>
    <n v="96.104699999999994"/>
    <n v="98.274000000000001"/>
    <n v="5.73353"/>
    <n v="0"/>
    <n v="0"/>
    <n v="1.9618899999999999"/>
    <n v="1.6594899999999999"/>
    <n v="0"/>
    <n v="1.51562"/>
    <n v="2.9635199999999999"/>
    <n v="500455000"/>
    <n v="0"/>
    <n v="0"/>
    <n v="0"/>
    <n v="0"/>
    <n v="5075870"/>
    <n v="922332"/>
    <n v="0"/>
    <n v="13"/>
    <x v="20"/>
    <n v="1.3518417292378749E-7"/>
    <n v="-2.2375191791740554E-8"/>
  </r>
  <r>
    <n v="73.463499999999996"/>
    <n v="85.138999999999996"/>
    <n v="3.9908000000000001"/>
    <n v="0.03"/>
    <n v="0"/>
    <n v="2.55471"/>
    <n v="2.85711"/>
    <n v="0"/>
    <n v="0.47869600000000001"/>
    <n v="5.3222399999999999"/>
    <n v="126954000"/>
    <n v="0"/>
    <n v="0"/>
    <n v="0"/>
    <n v="0"/>
    <n v="3819230"/>
    <n v="-114822"/>
    <n v="408539"/>
    <n v="96.995999999999995"/>
    <n v="98.274000000000001"/>
    <n v="5.5108800000000002"/>
    <n v="0"/>
    <n v="0"/>
    <n v="1.9620599999999999"/>
    <n v="1.6596599999999999"/>
    <n v="0"/>
    <n v="1.5157499999999999"/>
    <n v="2.9635199999999999"/>
    <n v="501377000"/>
    <n v="0"/>
    <n v="0"/>
    <n v="0"/>
    <n v="0"/>
    <n v="5076320"/>
    <n v="922347"/>
    <n v="0"/>
    <n v="14"/>
    <x v="20"/>
    <n v="1.3517438758888668E-7"/>
    <n v="-2.2366516857653379E-8"/>
  </r>
  <r>
    <n v="75.145799999999994"/>
    <n v="85.138999999999996"/>
    <n v="4.7612100000000002"/>
    <n v="0.03"/>
    <n v="0"/>
    <n v="2.5550099999999998"/>
    <n v="2.8574099999999998"/>
    <n v="0"/>
    <n v="0.47875200000000001"/>
    <n v="5.3222399999999999"/>
    <n v="126840000"/>
    <n v="0"/>
    <n v="0"/>
    <n v="0"/>
    <n v="0"/>
    <n v="3819670"/>
    <n v="-114791"/>
    <n v="408539"/>
    <n v="97.820899999999995"/>
    <n v="98.274000000000001"/>
    <n v="5.0541400000000003"/>
    <n v="0"/>
    <n v="0"/>
    <n v="1.96224"/>
    <n v="1.65984"/>
    <n v="0"/>
    <n v="1.51589"/>
    <n v="2.9635199999999999"/>
    <n v="502299000"/>
    <n v="0"/>
    <n v="0"/>
    <n v="0"/>
    <n v="0"/>
    <n v="5076770"/>
    <n v="922361"/>
    <n v="0"/>
    <n v="15"/>
    <x v="20"/>
    <n v="1.3516445744689355E-7"/>
    <n v="-2.2357902501013976E-8"/>
  </r>
  <r>
    <n v="77.163399999999996"/>
    <n v="85.138999999999996"/>
    <n v="5.1455000000000002"/>
    <n v="0.01"/>
    <n v="0"/>
    <n v="2.55531"/>
    <n v="2.85771"/>
    <n v="0"/>
    <n v="0.47880899999999998"/>
    <n v="5.3222399999999999"/>
    <n v="126725000"/>
    <n v="0"/>
    <n v="0"/>
    <n v="0"/>
    <n v="0"/>
    <n v="3820120"/>
    <n v="-114761"/>
    <n v="408539"/>
    <n v="98.703100000000006"/>
    <n v="98.274000000000001"/>
    <n v="5.6117800000000004"/>
    <n v="0"/>
    <n v="0"/>
    <n v="1.96241"/>
    <n v="1.66001"/>
    <n v="0"/>
    <n v="1.5160199999999999"/>
    <n v="2.9635199999999999"/>
    <n v="503222000"/>
    <n v="0"/>
    <n v="0"/>
    <n v="0"/>
    <n v="0"/>
    <n v="5077220"/>
    <n v="922376"/>
    <n v="0"/>
    <n v="16"/>
    <x v="20"/>
    <n v="1.3515467559397027E-7"/>
    <n v="-2.2349426372193557E-8"/>
  </r>
  <r>
    <n v="80.394300000000001"/>
    <n v="85.138999999999996"/>
    <n v="6.8143099999999999"/>
    <n v="0"/>
    <n v="0"/>
    <n v="2.9624299999999999"/>
    <n v="2.9624299999999999"/>
    <n v="0"/>
    <n v="0.47886499999999999"/>
    <n v="5.3222399999999999"/>
    <n v="127029000"/>
    <n v="0"/>
    <n v="0"/>
    <n v="0"/>
    <n v="0"/>
    <n v="4428760"/>
    <n v="304544"/>
    <n v="0"/>
    <n v="99.302199999999999"/>
    <n v="98.274000000000001"/>
    <n v="7.6069500000000003"/>
    <n v="0"/>
    <n v="0"/>
    <n v="1.7269600000000001"/>
    <n v="1.7269600000000001"/>
    <n v="0"/>
    <n v="1.51616"/>
    <n v="2.9635199999999999"/>
    <n v="503367000"/>
    <n v="0"/>
    <n v="0"/>
    <n v="0"/>
    <n v="0"/>
    <n v="4468040"/>
    <n v="145641"/>
    <n v="0"/>
    <n v="17"/>
    <x v="20"/>
    <n v="2.4250218840475088E-8"/>
    <n v="5.1158401269467815E-8"/>
  </r>
  <r>
    <n v="81.877300000000005"/>
    <n v="85.138999999999996"/>
    <n v="4.9496799999999999"/>
    <n v="0"/>
    <n v="0"/>
    <n v="2.9627400000000002"/>
    <n v="2.9627400000000002"/>
    <n v="0"/>
    <n v="0.55515999999999999"/>
    <n v="5.3222399999999999"/>
    <n v="127334000"/>
    <n v="0"/>
    <n v="0"/>
    <n v="0"/>
    <n v="0"/>
    <n v="4429230"/>
    <n v="304576"/>
    <n v="0"/>
    <n v="99.302199999999999"/>
    <n v="98.274000000000001"/>
    <n v="5.4459999999999997"/>
    <n v="0"/>
    <n v="0"/>
    <n v="1.7271399999999999"/>
    <n v="1.7271399999999999"/>
    <n v="0"/>
    <n v="1.3342499999999999"/>
    <n v="2.9635199999999999"/>
    <n v="503513000"/>
    <n v="0"/>
    <n v="0"/>
    <n v="0"/>
    <n v="0"/>
    <n v="4468510"/>
    <n v="145656"/>
    <n v="0"/>
    <n v="18"/>
    <x v="20"/>
    <n v="2.4250165530467272E-8"/>
    <n v="5.115834759032139E-8"/>
  </r>
  <r>
    <n v="82.664299999999997"/>
    <n v="85.138999999999996"/>
    <n v="4.1930500000000004"/>
    <n v="0"/>
    <n v="0"/>
    <n v="2.96305"/>
    <n v="2.96305"/>
    <n v="0"/>
    <n v="0.55521799999999999"/>
    <n v="5.3222399999999999"/>
    <n v="127638000"/>
    <n v="0"/>
    <n v="0"/>
    <n v="0"/>
    <n v="0"/>
    <n v="4429690"/>
    <n v="304608"/>
    <n v="0"/>
    <n v="99.302199999999999"/>
    <n v="98.274000000000001"/>
    <n v="4.5250399999999997"/>
    <n v="0"/>
    <n v="0"/>
    <n v="1.72732"/>
    <n v="1.72732"/>
    <n v="0"/>
    <n v="1.33439"/>
    <n v="2.9635199999999999"/>
    <n v="503659000"/>
    <n v="0"/>
    <n v="0"/>
    <n v="0"/>
    <n v="0"/>
    <n v="4468980"/>
    <n v="145672"/>
    <n v="0"/>
    <n v="19"/>
    <x v="20"/>
    <n v="2.4250278703463382E-8"/>
    <n v="5.1158409412123677E-8"/>
  </r>
  <r>
    <n v="83.0822"/>
    <n v="85.138999999999996"/>
    <n v="3.8053300000000001"/>
    <n v="0"/>
    <n v="0"/>
    <n v="2.9633600000000002"/>
    <n v="2.9633600000000002"/>
    <n v="0"/>
    <n v="0.55527599999999999"/>
    <n v="5.3222399999999999"/>
    <n v="127943000"/>
    <n v="0"/>
    <n v="0"/>
    <n v="0"/>
    <n v="0"/>
    <n v="4430160"/>
    <n v="304640"/>
    <n v="0"/>
    <n v="99.302199999999999"/>
    <n v="98.274000000000001"/>
    <n v="4.1104000000000003"/>
    <n v="0"/>
    <n v="0"/>
    <n v="1.7275"/>
    <n v="1.7275"/>
    <n v="0"/>
    <n v="1.33453"/>
    <n v="2.9635199999999999"/>
    <n v="503804000"/>
    <n v="0"/>
    <n v="0"/>
    <n v="0"/>
    <n v="0"/>
    <n v="4469450"/>
    <n v="145687"/>
    <n v="0"/>
    <n v="20"/>
    <x v="20"/>
    <n v="2.4250225398372457E-8"/>
    <n v="5.1158355743381967E-8"/>
  </r>
  <r>
    <n v="83.408500000000004"/>
    <n v="85.138999999999996"/>
    <n v="3.60012"/>
    <n v="0"/>
    <n v="0"/>
    <n v="2.9228299999999998"/>
    <n v="2.9228299999999998"/>
    <n v="0"/>
    <n v="0.55533500000000002"/>
    <n v="5.3222399999999999"/>
    <n v="128244000"/>
    <n v="0"/>
    <n v="0"/>
    <n v="0"/>
    <n v="0"/>
    <n v="4369550"/>
    <n v="300472"/>
    <n v="0"/>
    <n v="99.302199999999999"/>
    <n v="98.274000000000001"/>
    <n v="4.8254299999999999"/>
    <n v="0"/>
    <n v="0"/>
    <n v="1.70174"/>
    <n v="1.70174"/>
    <n v="0"/>
    <n v="1.33467"/>
    <n v="2.9635199999999999"/>
    <n v="503948000"/>
    <n v="0"/>
    <n v="0"/>
    <n v="0"/>
    <n v="0"/>
    <n v="4402790"/>
    <n v="143514"/>
    <n v="0"/>
    <n v="21"/>
    <x v="20"/>
    <n v="2.425020197986336E-8"/>
    <n v="5.1158329744905493E-8"/>
  </r>
  <r>
    <n v="83.407899999999998"/>
    <n v="85.138999999999996"/>
    <n v="3.2589299999999999"/>
    <n v="0"/>
    <n v="0"/>
    <n v="2.92313"/>
    <n v="2.92313"/>
    <n v="0"/>
    <n v="0.54773799999999995"/>
    <n v="5.3222399999999999"/>
    <n v="128544000"/>
    <n v="0"/>
    <n v="0"/>
    <n v="0"/>
    <n v="0"/>
    <n v="4370010"/>
    <n v="300504"/>
    <n v="0"/>
    <n v="99.302199999999999"/>
    <n v="98.274000000000001"/>
    <n v="4.0959599999999998"/>
    <n v="0"/>
    <n v="0"/>
    <n v="1.70191"/>
    <n v="1.70191"/>
    <n v="0"/>
    <n v="1.3147599999999999"/>
    <n v="2.9635199999999999"/>
    <n v="504091000"/>
    <n v="0"/>
    <n v="0"/>
    <n v="0"/>
    <n v="0"/>
    <n v="4403260"/>
    <n v="143529"/>
    <n v="0"/>
    <n v="22"/>
    <x v="20"/>
    <n v="2.4250147881677348E-8"/>
    <n v="5.1158392412869243E-8"/>
  </r>
  <r>
    <n v="84.035499999999999"/>
    <n v="85.138999999999996"/>
    <n v="3.8871000000000002"/>
    <n v="0"/>
    <n v="0"/>
    <n v="2.9234399999999998"/>
    <n v="2.9234399999999998"/>
    <n v="0"/>
    <n v="0.54779500000000003"/>
    <n v="5.3222399999999999"/>
    <n v="128845000"/>
    <n v="0"/>
    <n v="0"/>
    <n v="0"/>
    <n v="0"/>
    <n v="4370470"/>
    <n v="300535"/>
    <n v="0"/>
    <n v="99.302199999999999"/>
    <n v="98.274000000000001"/>
    <n v="4.2847799999999996"/>
    <n v="0"/>
    <n v="0"/>
    <n v="1.7020900000000001"/>
    <n v="1.7020900000000001"/>
    <n v="0"/>
    <n v="1.3149"/>
    <n v="2.9635199999999999"/>
    <n v="504235000"/>
    <n v="0"/>
    <n v="0"/>
    <n v="0"/>
    <n v="0"/>
    <n v="4403720"/>
    <n v="143544"/>
    <n v="0"/>
    <n v="23"/>
    <x v="20"/>
    <n v="2.425014886233153E-8"/>
    <n v="5.1158284843591232E-8"/>
  </r>
  <r>
    <n v="83.867599999999996"/>
    <n v="85.138999999999996"/>
    <n v="2.9790000000000001"/>
    <n v="0"/>
    <n v="0"/>
    <n v="2.9237500000000001"/>
    <n v="2.9237500000000001"/>
    <n v="0"/>
    <n v="0.54785300000000003"/>
    <n v="5.3222399999999999"/>
    <n v="129145000"/>
    <n v="0"/>
    <n v="0"/>
    <n v="0"/>
    <n v="0"/>
    <n v="4370930"/>
    <n v="300567"/>
    <n v="0"/>
    <n v="99.302199999999999"/>
    <n v="98.274000000000001"/>
    <n v="4.02895"/>
    <n v="0"/>
    <n v="0"/>
    <n v="1.7022699999999999"/>
    <n v="1.7022699999999999"/>
    <n v="0"/>
    <n v="1.31504"/>
    <n v="2.9635199999999999"/>
    <n v="504379000"/>
    <n v="0"/>
    <n v="0"/>
    <n v="0"/>
    <n v="0"/>
    <n v="4404180"/>
    <n v="143559"/>
    <n v="0"/>
    <n v="24"/>
    <x v="20"/>
    <n v="2.4250149842780862E-8"/>
    <n v="5.1158347503089987E-8"/>
  </r>
  <r>
    <n v="83.446899999999999"/>
    <n v="85.138999999999996"/>
    <n v="2.78729"/>
    <n v="0"/>
    <n v="0"/>
    <n v="3.0627599999999999"/>
    <n v="3.0627599999999999"/>
    <n v="0"/>
    <n v="0.54791000000000001"/>
    <n v="5.3222399999999999"/>
    <n v="129460000"/>
    <n v="0"/>
    <n v="0"/>
    <n v="0"/>
    <n v="0"/>
    <n v="4578750"/>
    <n v="314858"/>
    <n v="0"/>
    <n v="99.302199999999999"/>
    <n v="98.274000000000001"/>
    <n v="3.61117"/>
    <n v="0"/>
    <n v="0"/>
    <n v="1.7944899999999999"/>
    <n v="1.7944899999999999"/>
    <n v="0"/>
    <n v="1.31517"/>
    <n v="2.9635199999999999"/>
    <n v="504530000"/>
    <n v="0"/>
    <n v="0"/>
    <n v="0"/>
    <n v="0"/>
    <n v="4642780"/>
    <n v="151337"/>
    <n v="0"/>
    <n v="25"/>
    <x v="20"/>
    <n v="2.4250242062157316E-8"/>
    <n v="5.1158389385601739E-8"/>
  </r>
  <r>
    <n v="82.930499999999995"/>
    <n v="85.138999999999996"/>
    <n v="2.7089400000000001"/>
    <n v="0"/>
    <n v="0"/>
    <n v="3.0630799999999998"/>
    <n v="3.0630799999999998"/>
    <n v="0"/>
    <n v="0.57396199999999997"/>
    <n v="5.3222399999999999"/>
    <n v="129775000"/>
    <n v="0"/>
    <n v="0"/>
    <n v="0"/>
    <n v="0"/>
    <n v="4579230"/>
    <n v="314891"/>
    <n v="0"/>
    <n v="99.302199999999999"/>
    <n v="98.274000000000001"/>
    <n v="3.5976599999999999"/>
    <n v="0"/>
    <n v="0"/>
    <n v="1.7946800000000001"/>
    <n v="1.7946800000000001"/>
    <n v="0"/>
    <n v="1.38642"/>
    <n v="2.9635199999999999"/>
    <n v="504681000"/>
    <n v="0"/>
    <n v="0"/>
    <n v="0"/>
    <n v="0"/>
    <n v="4643270"/>
    <n v="151353"/>
    <n v="0"/>
    <n v="26"/>
    <x v="20"/>
    <n v="2.4250246526046991E-8"/>
    <n v="5.115838821149809E-8"/>
  </r>
  <r>
    <n v="82.283000000000001"/>
    <n v="85.138999999999996"/>
    <n v="2.5724"/>
    <n v="0"/>
    <n v="0"/>
    <n v="3.0634000000000001"/>
    <n v="3.0634000000000001"/>
    <n v="0"/>
    <n v="0.57402200000000003"/>
    <n v="5.3222399999999999"/>
    <n v="130090000"/>
    <n v="0"/>
    <n v="0"/>
    <n v="0"/>
    <n v="0"/>
    <n v="4579710"/>
    <n v="314924"/>
    <n v="0"/>
    <n v="99.302199999999999"/>
    <n v="98.274000000000001"/>
    <n v="3.7054999999999998"/>
    <n v="0"/>
    <n v="0"/>
    <n v="1.79487"/>
    <n v="1.79487"/>
    <n v="0"/>
    <n v="1.3865700000000001"/>
    <n v="2.9635199999999999"/>
    <n v="504833000"/>
    <n v="0"/>
    <n v="0"/>
    <n v="0"/>
    <n v="0"/>
    <n v="4643750"/>
    <n v="151368"/>
    <n v="0"/>
    <n v="27"/>
    <x v="20"/>
    <n v="2.4250143003725484E-8"/>
    <n v="5.1158387037640551E-8"/>
  </r>
  <r>
    <n v="81.448700000000002"/>
    <n v="85.138999999999996"/>
    <n v="2.3874"/>
    <n v="0"/>
    <n v="0"/>
    <n v="3.0637300000000001"/>
    <n v="3.0637300000000001"/>
    <n v="0"/>
    <n v="0.57408199999999998"/>
    <n v="5.3222399999999999"/>
    <n v="130405000"/>
    <n v="0"/>
    <n v="0"/>
    <n v="0"/>
    <n v="0"/>
    <n v="4580190"/>
    <n v="314957"/>
    <n v="0"/>
    <n v="99.302199999999999"/>
    <n v="98.274000000000001"/>
    <n v="3.56053"/>
    <n v="0"/>
    <n v="0"/>
    <n v="1.7950600000000001"/>
    <n v="1.7950600000000001"/>
    <n v="0"/>
    <n v="1.38672"/>
    <n v="2.9635199999999999"/>
    <n v="504984000"/>
    <n v="0"/>
    <n v="0"/>
    <n v="0"/>
    <n v="0"/>
    <n v="4644240"/>
    <n v="151384"/>
    <n v="0"/>
    <n v="28"/>
    <x v="20"/>
    <n v="2.4250147477134188E-8"/>
    <n v="5.1158385864029048E-8"/>
  </r>
  <r>
    <n v="80.703500000000005"/>
    <n v="85.138999999999996"/>
    <n v="2.4098700000000002"/>
    <n v="0"/>
    <n v="0"/>
    <n v="3.0640499999999999"/>
    <n v="3.0640499999999999"/>
    <n v="0"/>
    <n v="0.57414200000000004"/>
    <n v="5.3222399999999999"/>
    <n v="130720000"/>
    <n v="0"/>
    <n v="0"/>
    <n v="0"/>
    <n v="0"/>
    <n v="4580670"/>
    <n v="314990"/>
    <n v="0"/>
    <n v="99.302199999999999"/>
    <n v="98.274000000000001"/>
    <n v="3.5339"/>
    <n v="0"/>
    <n v="0"/>
    <n v="1.7952399999999999"/>
    <n v="1.7952399999999999"/>
    <n v="0"/>
    <n v="1.38686"/>
    <n v="2.9635199999999999"/>
    <n v="505135000"/>
    <n v="0"/>
    <n v="0"/>
    <n v="0"/>
    <n v="0"/>
    <n v="4644730"/>
    <n v="151400"/>
    <n v="0"/>
    <n v="29"/>
    <x v="20"/>
    <n v="2.4250151949599039E-8"/>
    <n v="5.1158384690663502E-8"/>
  </r>
  <r>
    <n v="80.3"/>
    <n v="85.138999999999996"/>
    <n v="2.7507299999999999"/>
    <n v="0"/>
    <n v="0"/>
    <n v="3.0369199999999998"/>
    <n v="3.0369199999999998"/>
    <n v="0"/>
    <n v="0.57420199999999999"/>
    <n v="5.3222399999999999"/>
    <n v="131032000"/>
    <n v="0"/>
    <n v="0"/>
    <n v="0"/>
    <n v="0"/>
    <n v="4540120"/>
    <n v="312202"/>
    <n v="0"/>
    <n v="99.302199999999999"/>
    <n v="98.274000000000001"/>
    <n v="3.4238900000000001"/>
    <n v="0"/>
    <n v="0"/>
    <n v="1.84605"/>
    <n v="1.84605"/>
    <n v="0"/>
    <n v="1.3870100000000001"/>
    <n v="2.9635199999999999"/>
    <n v="505291000"/>
    <n v="0"/>
    <n v="0"/>
    <n v="0"/>
    <n v="0"/>
    <n v="4776170"/>
    <n v="155685"/>
    <n v="0"/>
    <n v="30"/>
    <x v="20"/>
    <n v="2.4250240888246446E-8"/>
    <n v="5.1158453966088202E-8"/>
  </r>
  <r>
    <n v="79.733500000000006"/>
    <n v="85.138999999999996"/>
    <n v="2.5851600000000001"/>
    <n v="0"/>
    <n v="0"/>
    <n v="3.0372400000000002"/>
    <n v="3.0372400000000002"/>
    <n v="0"/>
    <n v="0.56911900000000004"/>
    <n v="5.3222399999999999"/>
    <n v="131344000"/>
    <n v="0"/>
    <n v="0"/>
    <n v="0"/>
    <n v="0"/>
    <n v="4540600"/>
    <n v="312234"/>
    <n v="0"/>
    <n v="99.302199999999999"/>
    <n v="98.274000000000001"/>
    <n v="3.2622"/>
    <n v="0"/>
    <n v="0"/>
    <n v="1.8462400000000001"/>
    <n v="1.8462400000000001"/>
    <n v="0"/>
    <n v="1.4262600000000001"/>
    <n v="2.9635199999999999"/>
    <n v="505447000"/>
    <n v="0"/>
    <n v="0"/>
    <n v="0"/>
    <n v="0"/>
    <n v="4776670"/>
    <n v="155701"/>
    <n v="0"/>
    <n v="31"/>
    <x v="20"/>
    <n v="2.4250194459502435E-8"/>
    <n v="5.1158288929178368E-8"/>
  </r>
  <r>
    <n v="78.95"/>
    <n v="85.138999999999996"/>
    <n v="2.3616999999999999"/>
    <n v="0"/>
    <n v="0"/>
    <n v="3.03756"/>
    <n v="3.03756"/>
    <n v="0"/>
    <n v="0.56917899999999999"/>
    <n v="5.3222399999999999"/>
    <n v="131657000"/>
    <n v="0"/>
    <n v="0"/>
    <n v="0"/>
    <n v="0"/>
    <n v="4541070"/>
    <n v="312267"/>
    <n v="0"/>
    <n v="99.302199999999999"/>
    <n v="98.274000000000001"/>
    <n v="3.19678"/>
    <n v="0"/>
    <n v="0"/>
    <n v="1.8464400000000001"/>
    <n v="1.8464400000000001"/>
    <n v="0"/>
    <n v="1.42641"/>
    <n v="2.9635199999999999"/>
    <n v="505602000"/>
    <n v="0"/>
    <n v="0"/>
    <n v="0"/>
    <n v="0"/>
    <n v="4777170"/>
    <n v="155717"/>
    <n v="0"/>
    <n v="32"/>
    <x v="20"/>
    <n v="2.4250148040477305E-8"/>
    <n v="5.1158400412731298E-8"/>
  </r>
  <r>
    <n v="77.967200000000005"/>
    <n v="85.138999999999996"/>
    <n v="2.1411600000000002"/>
    <n v="0"/>
    <n v="0"/>
    <n v="3.0378799999999999"/>
    <n v="3.0378799999999999"/>
    <n v="0"/>
    <n v="0.56923900000000005"/>
    <n v="5.3222399999999999"/>
    <n v="131969000"/>
    <n v="0"/>
    <n v="0"/>
    <n v="0"/>
    <n v="0"/>
    <n v="4541550"/>
    <n v="312300"/>
    <n v="0"/>
    <n v="99.302199999999999"/>
    <n v="98.274000000000001"/>
    <n v="2.9157099999999998"/>
    <n v="0"/>
    <n v="0"/>
    <n v="1.84663"/>
    <n v="1.84663"/>
    <n v="0"/>
    <n v="1.4265600000000001"/>
    <n v="2.9635199999999999"/>
    <n v="505758000"/>
    <n v="0"/>
    <n v="0"/>
    <n v="0"/>
    <n v="0"/>
    <n v="4777670"/>
    <n v="155734"/>
    <n v="0"/>
    <n v="33"/>
    <x v="20"/>
    <n v="2.4250257347051158E-8"/>
    <n v="5.1158399227720955E-8"/>
  </r>
  <r>
    <n v="77.114000000000004"/>
    <n v="85.138999999999996"/>
    <n v="2.2944200000000001"/>
    <n v="0"/>
    <n v="0"/>
    <n v="3.1091000000000002"/>
    <n v="3.1091000000000002"/>
    <n v="0"/>
    <n v="0.56929799999999997"/>
    <n v="5.3222399999999999"/>
    <n v="132288000"/>
    <n v="0"/>
    <n v="0"/>
    <n v="0"/>
    <n v="0"/>
    <n v="4648030"/>
    <n v="319622"/>
    <n v="0"/>
    <n v="99.263800000000003"/>
    <n v="98.274000000000001"/>
    <n v="3.02264"/>
    <n v="0"/>
    <n v="0"/>
    <n v="1.89195"/>
    <n v="1.89195"/>
    <n v="0"/>
    <n v="1.4267099999999999"/>
    <n v="2.9635199999999999"/>
    <n v="505918000"/>
    <n v="0"/>
    <n v="0"/>
    <n v="0"/>
    <n v="0"/>
    <n v="4894930"/>
    <n v="159556"/>
    <n v="0"/>
    <n v="34"/>
    <x v="20"/>
    <n v="2.4250221905672952E-8"/>
    <n v="5.1158382490698088E-8"/>
  </r>
  <r>
    <n v="76.049700000000001"/>
    <n v="85.138999999999996"/>
    <n v="2.07362"/>
    <n v="0"/>
    <n v="0"/>
    <n v="3.1094300000000001"/>
    <n v="3.1094300000000001"/>
    <n v="0"/>
    <n v="0.582646"/>
    <n v="5.3222399999999999"/>
    <n v="132608000"/>
    <n v="0"/>
    <n v="0"/>
    <n v="0"/>
    <n v="0"/>
    <n v="4648520"/>
    <n v="319655"/>
    <n v="0"/>
    <n v="99.190299999999993"/>
    <n v="98.274000000000001"/>
    <n v="2.8613200000000001"/>
    <n v="0"/>
    <n v="0"/>
    <n v="1.89215"/>
    <n v="1.89215"/>
    <n v="0"/>
    <n v="1.4617199999999999"/>
    <n v="2.9635199999999999"/>
    <n v="506077000"/>
    <n v="0"/>
    <n v="0"/>
    <n v="0"/>
    <n v="0"/>
    <n v="4895440"/>
    <n v="159572"/>
    <n v="0"/>
    <n v="35"/>
    <x v="20"/>
    <n v="2.4250127068943988E-8"/>
    <n v="5.1158271281752862E-8"/>
  </r>
  <r>
    <n v="74.844999999999999"/>
    <n v="85.138999999999996"/>
    <n v="1.91472"/>
    <n v="0"/>
    <n v="0"/>
    <n v="3.10975"/>
    <n v="3.10975"/>
    <n v="0"/>
    <n v="0.58270699999999997"/>
    <n v="5.3222399999999999"/>
    <n v="132928000"/>
    <n v="0"/>
    <n v="0"/>
    <n v="0"/>
    <n v="0"/>
    <n v="4649000"/>
    <n v="319689"/>
    <n v="0"/>
    <n v="99.101100000000002"/>
    <n v="98.274000000000001"/>
    <n v="2.76634"/>
    <n v="0"/>
    <n v="0"/>
    <n v="1.89235"/>
    <n v="1.89235"/>
    <n v="0"/>
    <n v="1.46187"/>
    <n v="2.9635199999999999"/>
    <n v="506237000"/>
    <n v="0"/>
    <n v="0"/>
    <n v="0"/>
    <n v="0"/>
    <n v="4895950"/>
    <n v="159589"/>
    <n v="0"/>
    <n v="36"/>
    <x v="20"/>
    <n v="2.4250184205955966E-8"/>
    <n v="5.1158430163082746E-8"/>
  </r>
  <r>
    <n v="73.3245"/>
    <n v="85.138999999999996"/>
    <n v="1.5759799999999999"/>
    <n v="0"/>
    <n v="0"/>
    <n v="3.11008"/>
    <n v="3.11008"/>
    <n v="0"/>
    <n v="0.58276799999999995"/>
    <n v="5.3222399999999999"/>
    <n v="133248000"/>
    <n v="0"/>
    <n v="0"/>
    <n v="0"/>
    <n v="0"/>
    <n v="4649490"/>
    <n v="319722"/>
    <n v="0"/>
    <n v="99.009900000000002"/>
    <n v="98.274000000000001"/>
    <n v="2.7523"/>
    <n v="0"/>
    <n v="0"/>
    <n v="1.89255"/>
    <n v="1.89255"/>
    <n v="0"/>
    <n v="1.4620299999999999"/>
    <n v="2.9635199999999999"/>
    <n v="506397000"/>
    <n v="0"/>
    <n v="0"/>
    <n v="0"/>
    <n v="0"/>
    <n v="4896470"/>
    <n v="159606"/>
    <n v="0"/>
    <n v="37"/>
    <x v="20"/>
    <n v="2.4250191805098169E-8"/>
    <n v="5.115831897231441E-8"/>
  </r>
  <r>
    <n v="71.800600000000003"/>
    <n v="85.138999999999996"/>
    <n v="1.4921899999999999"/>
    <n v="0.01"/>
    <n v="0"/>
    <n v="3.0157400000000001"/>
    <n v="3.3181400000000001"/>
    <n v="0"/>
    <n v="0.58282900000000004"/>
    <n v="5.3222399999999999"/>
    <n v="133180000"/>
    <n v="0"/>
    <n v="0"/>
    <n v="0"/>
    <n v="0"/>
    <n v="4508450"/>
    <n v="-67427.7"/>
    <n v="408539"/>
    <n v="98.721100000000007"/>
    <n v="98.274000000000001"/>
    <n v="2.5294500000000002"/>
    <n v="0"/>
    <n v="0"/>
    <n v="2.3580999999999999"/>
    <n v="2.0556999999999999"/>
    <n v="0"/>
    <n v="1.46218"/>
    <n v="2.9635199999999999"/>
    <n v="507352000"/>
    <n v="0"/>
    <n v="0"/>
    <n v="0"/>
    <n v="0"/>
    <n v="6100970"/>
    <n v="955746"/>
    <n v="0"/>
    <n v="38"/>
    <x v="20"/>
    <n v="1.1654473588657248E-7"/>
    <n v="-1.1126540438692419E-8"/>
  </r>
  <r>
    <n v="70.197599999999994"/>
    <n v="85.138999999999996"/>
    <n v="1.40516"/>
    <n v="0.01"/>
    <n v="0"/>
    <n v="3.0160800000000001"/>
    <n v="3.3184800000000001"/>
    <n v="0"/>
    <n v="0.56514900000000001"/>
    <n v="5.3222399999999999"/>
    <n v="133113000"/>
    <n v="0"/>
    <n v="0"/>
    <n v="0"/>
    <n v="0"/>
    <n v="4508970"/>
    <n v="-67391.899999999994"/>
    <n v="408539"/>
    <n v="98.353800000000007"/>
    <n v="98.274000000000001"/>
    <n v="2.2881999999999998"/>
    <n v="0"/>
    <n v="0"/>
    <n v="2.35832"/>
    <n v="2.05592"/>
    <n v="0"/>
    <n v="1.8218700000000001"/>
    <n v="2.9635199999999999"/>
    <n v="508308000"/>
    <n v="0"/>
    <n v="0"/>
    <n v="0"/>
    <n v="0"/>
    <n v="6101530"/>
    <n v="955764"/>
    <n v="0"/>
    <n v="39"/>
    <x v="20"/>
    <n v="1.1653623411927246E-7"/>
    <n v="-1.1119350429237438E-8"/>
  </r>
  <r>
    <n v="68.635199999999998"/>
    <n v="85.138999999999996"/>
    <n v="1.42564"/>
    <n v="0.02"/>
    <n v="0"/>
    <n v="3.0164300000000002"/>
    <n v="3.3188300000000002"/>
    <n v="0"/>
    <n v="0.56521399999999999"/>
    <n v="5.3222399999999999"/>
    <n v="133045000"/>
    <n v="0"/>
    <n v="0"/>
    <n v="0"/>
    <n v="0"/>
    <n v="4509490"/>
    <n v="-67356.2"/>
    <n v="408539"/>
    <n v="97.960800000000006"/>
    <n v="98.274000000000001"/>
    <n v="2.20831"/>
    <n v="0"/>
    <n v="0"/>
    <n v="2.35853"/>
    <n v="2.05613"/>
    <n v="0"/>
    <n v="1.8220400000000001"/>
    <n v="2.9635199999999999"/>
    <n v="509264000"/>
    <n v="0"/>
    <n v="0"/>
    <n v="0"/>
    <n v="0"/>
    <n v="6102080"/>
    <n v="955783"/>
    <n v="0"/>
    <n v="40"/>
    <x v="20"/>
    <n v="1.1652804679531084E-7"/>
    <n v="-1.1112178575609429E-8"/>
  </r>
  <r>
    <n v="67.739999999999995"/>
    <n v="85.138999999999996"/>
    <n v="2.1076800000000002"/>
    <n v="0.02"/>
    <n v="0"/>
    <n v="3.0167799999999998"/>
    <n v="3.3191799999999998"/>
    <n v="0"/>
    <n v="0.56527899999999998"/>
    <n v="5.3222399999999999"/>
    <n v="132978000"/>
    <n v="0"/>
    <n v="0"/>
    <n v="0"/>
    <n v="0"/>
    <n v="4510010"/>
    <n v="-67320.399999999994"/>
    <n v="408539"/>
    <n v="97.679599999999994"/>
    <n v="98.274000000000001"/>
    <n v="2.6238700000000001"/>
    <n v="0"/>
    <n v="0"/>
    <n v="2.3587500000000001"/>
    <n v="2.0563500000000001"/>
    <n v="0"/>
    <n v="1.8222"/>
    <n v="2.9635199999999999"/>
    <n v="510220000"/>
    <n v="0"/>
    <n v="0"/>
    <n v="0"/>
    <n v="0"/>
    <n v="6102640"/>
    <n v="955801"/>
    <n v="0"/>
    <n v="41"/>
    <x v="20"/>
    <n v="1.1651954810583498E-7"/>
    <n v="-1.1104991880066974E-8"/>
  </r>
  <r>
    <n v="67.572900000000004"/>
    <n v="85.138999999999996"/>
    <n v="2.89947"/>
    <n v="0.02"/>
    <n v="0"/>
    <n v="3.0171299999999999"/>
    <n v="3.3195299999999999"/>
    <n v="0"/>
    <n v="0.56534499999999999"/>
    <n v="5.3222399999999999"/>
    <n v="132911000"/>
    <n v="0"/>
    <n v="0"/>
    <n v="0"/>
    <n v="0"/>
    <n v="4510530"/>
    <n v="-67284.7"/>
    <n v="408539"/>
    <n v="97.476900000000001"/>
    <n v="98.274000000000001"/>
    <n v="2.8587199999999999"/>
    <n v="0"/>
    <n v="0"/>
    <n v="2.3589600000000002"/>
    <n v="2.0565600000000002"/>
    <n v="0"/>
    <n v="1.82237"/>
    <n v="2.9635199999999999"/>
    <n v="511175000"/>
    <n v="0"/>
    <n v="0"/>
    <n v="0"/>
    <n v="0"/>
    <n v="6103200"/>
    <n v="955819"/>
    <n v="0"/>
    <n v="42"/>
    <x v="20"/>
    <n v="1.1651105097595609E-7"/>
    <n v="-1.1097823335401184E-8"/>
  </r>
  <r>
    <n v="66.752099999999999"/>
    <n v="85.138999999999996"/>
    <n v="2.1768299999999998"/>
    <n v="0.02"/>
    <n v="0"/>
    <n v="2.9161800000000002"/>
    <n v="3.2185800000000002"/>
    <n v="0"/>
    <n v="0.56540999999999997"/>
    <n v="5.3222399999999999"/>
    <n v="132833000"/>
    <n v="0"/>
    <n v="0"/>
    <n v="0"/>
    <n v="0"/>
    <n v="4359620"/>
    <n v="-77662"/>
    <n v="408539"/>
    <n v="97.367400000000004"/>
    <n v="98.274000000000001"/>
    <n v="2.2566299999999999"/>
    <n v="0"/>
    <n v="0"/>
    <n v="2.2602199999999999"/>
    <n v="1.9578199999999999"/>
    <n v="0"/>
    <n v="1.82253"/>
    <n v="2.9635199999999999"/>
    <n v="512123000"/>
    <n v="0"/>
    <n v="0"/>
    <n v="0"/>
    <n v="0"/>
    <n v="5847720"/>
    <n v="947491"/>
    <n v="0"/>
    <n v="43"/>
    <x v="20"/>
    <n v="1.2054177609440677E-7"/>
    <n v="-1.3252841278238075E-8"/>
  </r>
  <r>
    <n v="65.657499999999999"/>
    <n v="85.138999999999996"/>
    <n v="1.87965"/>
    <n v="0.02"/>
    <n v="0"/>
    <n v="2.9165199999999998"/>
    <n v="3.2189199999999998"/>
    <n v="0"/>
    <n v="0.54649300000000001"/>
    <n v="5.3222399999999999"/>
    <n v="132755000"/>
    <n v="0"/>
    <n v="0"/>
    <n v="0"/>
    <n v="0"/>
    <n v="4360120"/>
    <n v="-77627.3"/>
    <n v="408539"/>
    <n v="97.505300000000005"/>
    <n v="98.274000000000001"/>
    <n v="3.4794999999999998"/>
    <n v="0"/>
    <n v="0"/>
    <n v="2.2604199999999999"/>
    <n v="1.9580200000000001"/>
    <n v="0"/>
    <n v="1.74624"/>
    <n v="2.9635199999999999"/>
    <n v="513070000"/>
    <n v="0"/>
    <n v="0"/>
    <n v="0"/>
    <n v="0"/>
    <n v="5848250"/>
    <n v="947509"/>
    <n v="0"/>
    <n v="44"/>
    <x v="20"/>
    <n v="1.205331417375534E-7"/>
    <n v="-1.3245400702857256E-8"/>
  </r>
  <r>
    <n v="64.3386"/>
    <n v="85.138999999999996"/>
    <n v="1.6471499999999999"/>
    <n v="0.02"/>
    <n v="0"/>
    <n v="2.9168599999999998"/>
    <n v="3.2192599999999998"/>
    <n v="0"/>
    <n v="0.54655600000000004"/>
    <n v="5.3222399999999999"/>
    <n v="132678000"/>
    <n v="0"/>
    <n v="0"/>
    <n v="0"/>
    <n v="0"/>
    <n v="4360630"/>
    <n v="-77592.600000000006"/>
    <n v="408539"/>
    <n v="96.992500000000007"/>
    <n v="98.274000000000001"/>
    <n v="2.0440800000000001"/>
    <n v="0"/>
    <n v="0"/>
    <n v="2.2606299999999999"/>
    <n v="1.9582299999999999"/>
    <n v="0"/>
    <n v="1.7464"/>
    <n v="2.9635199999999999"/>
    <n v="514018000"/>
    <n v="0"/>
    <n v="0"/>
    <n v="0"/>
    <n v="0"/>
    <n v="5848780"/>
    <n v="947526"/>
    <n v="0"/>
    <n v="45"/>
    <x v="20"/>
    <n v="1.2052438174651905E-7"/>
    <n v="-1.3237931475876578E-8"/>
  </r>
  <r>
    <n v="62.991199999999999"/>
    <n v="85.138999999999996"/>
    <n v="1.59616"/>
    <n v="0.02"/>
    <n v="0"/>
    <n v="2.9171900000000002"/>
    <n v="3.2195900000000002"/>
    <n v="0"/>
    <n v="0.54661899999999997"/>
    <n v="5.3222399999999999"/>
    <n v="132600000"/>
    <n v="0"/>
    <n v="0"/>
    <n v="0"/>
    <n v="0"/>
    <n v="4361130"/>
    <n v="-77558"/>
    <n v="408539"/>
    <n v="96.6614"/>
    <n v="98.274000000000001"/>
    <n v="1.8934800000000001"/>
    <n v="0"/>
    <n v="0"/>
    <n v="2.2608299999999999"/>
    <n v="1.9584299999999999"/>
    <n v="0"/>
    <n v="1.7465599999999999"/>
    <n v="2.9635199999999999"/>
    <n v="514966000"/>
    <n v="0"/>
    <n v="0"/>
    <n v="0"/>
    <n v="0"/>
    <n v="5849320"/>
    <n v="947543"/>
    <n v="0"/>
    <n v="46"/>
    <x v="20"/>
    <n v="1.2051541730939061E-7"/>
    <n v="-1.3230511391926344E-8"/>
  </r>
  <r>
    <n v="62.615900000000003"/>
    <n v="85.138999999999996"/>
    <n v="2.61334"/>
    <n v="0.02"/>
    <n v="0"/>
    <n v="2.8343500000000001"/>
    <n v="3.1367500000000001"/>
    <n v="0"/>
    <n v="0.546682"/>
    <n v="5.3222399999999999"/>
    <n v="132514000"/>
    <n v="0"/>
    <n v="0"/>
    <n v="0"/>
    <n v="0"/>
    <n v="4237290"/>
    <n v="-86074.2"/>
    <n v="408539"/>
    <n v="96.740200000000002"/>
    <n v="98.274000000000001"/>
    <n v="2.71637"/>
    <n v="0"/>
    <n v="0"/>
    <n v="2.1709200000000002"/>
    <n v="1.86852"/>
    <n v="0"/>
    <n v="1.7467200000000001"/>
    <n v="2.9635199999999999"/>
    <n v="515905000"/>
    <n v="0"/>
    <n v="0"/>
    <n v="0"/>
    <n v="0"/>
    <n v="5616690"/>
    <n v="939961"/>
    <n v="0"/>
    <n v="47"/>
    <x v="20"/>
    <n v="1.2450260613522911E-7"/>
    <n v="-1.5112414931150571E-8"/>
  </r>
  <r>
    <n v="62.498800000000003"/>
    <n v="85.138999999999996"/>
    <n v="2.8714499999999998"/>
    <n v="0.02"/>
    <n v="0"/>
    <n v="2.8346800000000001"/>
    <n v="3.1370800000000001"/>
    <n v="0"/>
    <n v="0.53115800000000002"/>
    <n v="5.3222399999999999"/>
    <n v="132428000"/>
    <n v="0"/>
    <n v="0"/>
    <n v="0"/>
    <n v="0"/>
    <n v="4237780"/>
    <n v="-86040.4"/>
    <n v="408539"/>
    <n v="96.779700000000005"/>
    <n v="98.274000000000001"/>
    <n v="2.6541899999999998"/>
    <n v="0"/>
    <n v="0"/>
    <n v="2.1711200000000002"/>
    <n v="1.8687199999999999"/>
    <n v="0"/>
    <n v="1.6772499999999999"/>
    <n v="2.9635199999999999"/>
    <n v="516845000"/>
    <n v="0"/>
    <n v="0"/>
    <n v="0"/>
    <n v="0"/>
    <n v="5617200"/>
    <n v="939977"/>
    <n v="0"/>
    <n v="48"/>
    <x v="20"/>
    <n v="1.2449342131299143E-7"/>
    <n v="-1.5104733810135927E-8"/>
  </r>
  <r>
    <n v="63.260899999999999"/>
    <n v="85.138999999999996"/>
    <n v="3.8350499999999998"/>
    <n v="0.02"/>
    <n v="0"/>
    <n v="2.83501"/>
    <n v="3.13741"/>
    <n v="0"/>
    <n v="0.531219"/>
    <n v="5.3222399999999999"/>
    <n v="132342000"/>
    <n v="0"/>
    <n v="0"/>
    <n v="0"/>
    <n v="0"/>
    <n v="4238270"/>
    <n v="-86006.6"/>
    <n v="408539"/>
    <n v="96.984800000000007"/>
    <n v="98.274000000000001"/>
    <n v="2.87358"/>
    <n v="0"/>
    <n v="0"/>
    <n v="2.1713100000000001"/>
    <n v="1.8689100000000001"/>
    <n v="0"/>
    <n v="1.6774100000000001"/>
    <n v="2.9635199999999999"/>
    <n v="517785000"/>
    <n v="0"/>
    <n v="0"/>
    <n v="0"/>
    <n v="0"/>
    <n v="5617710"/>
    <n v="939994"/>
    <n v="0"/>
    <n v="49"/>
    <x v="20"/>
    <n v="1.2448437058945627E-7"/>
    <n v="-1.5097054465199399E-8"/>
  </r>
  <r>
    <n v="65.201899999999995"/>
    <n v="85.138999999999996"/>
    <n v="5.0396000000000001"/>
    <n v="0.02"/>
    <n v="0"/>
    <n v="2.83534"/>
    <n v="3.13774"/>
    <n v="0"/>
    <n v="0.531281"/>
    <n v="5.3222399999999999"/>
    <n v="132256000"/>
    <n v="0"/>
    <n v="0"/>
    <n v="0"/>
    <n v="0"/>
    <n v="4238760"/>
    <n v="-85972.800000000003"/>
    <n v="408539"/>
    <n v="97.544899999999998"/>
    <n v="98.274000000000001"/>
    <n v="3.58813"/>
    <n v="0"/>
    <n v="0"/>
    <n v="2.1715100000000001"/>
    <n v="1.86911"/>
    <n v="0"/>
    <n v="1.6775599999999999"/>
    <n v="2.9635199999999999"/>
    <n v="518725000"/>
    <n v="0"/>
    <n v="0"/>
    <n v="0"/>
    <n v="0"/>
    <n v="5618210"/>
    <n v="940010"/>
    <n v="0"/>
    <n v="50"/>
    <x v="20"/>
    <n v="1.244754106467629E-7"/>
    <n v="-1.5089376895725041E-8"/>
  </r>
  <r>
    <n v="65.909000000000006"/>
    <n v="85.138999999999996"/>
    <n v="3.7535699999999999"/>
    <n v="0.02"/>
    <n v="0"/>
    <n v="2.5993400000000002"/>
    <n v="2.9017400000000002"/>
    <n v="0"/>
    <n v="0.53134300000000001"/>
    <n v="5.3222399999999999"/>
    <n v="132146000"/>
    <n v="0"/>
    <n v="0"/>
    <n v="0"/>
    <n v="0"/>
    <n v="3885940"/>
    <n v="-110234"/>
    <n v="408539"/>
    <n v="98.609200000000001"/>
    <n v="98.274000000000001"/>
    <n v="3.9545599999999999"/>
    <n v="0"/>
    <n v="0"/>
    <n v="1.98394"/>
    <n v="1.68154"/>
    <n v="0"/>
    <n v="1.67771"/>
    <n v="2.9635199999999999"/>
    <n v="519650000"/>
    <n v="0"/>
    <n v="0"/>
    <n v="0"/>
    <n v="0"/>
    <n v="5132930"/>
    <n v="924192"/>
    <n v="0"/>
    <n v="51"/>
    <x v="20"/>
    <n v="1.3395098934743184E-7"/>
    <n v="-2.1104182723240766E-8"/>
  </r>
  <r>
    <n v="65.529700000000005"/>
    <n v="85.138999999999996"/>
    <n v="2.4292600000000002"/>
    <n v="0.02"/>
    <n v="0"/>
    <n v="2.59964"/>
    <n v="2.90204"/>
    <n v="0"/>
    <n v="0.48711599999999999"/>
    <n v="5.3222399999999999"/>
    <n v="132036000"/>
    <n v="0"/>
    <n v="0"/>
    <n v="0"/>
    <n v="0"/>
    <n v="3886400"/>
    <n v="-110203"/>
    <n v="408539"/>
    <n v="99.048900000000003"/>
    <n v="98.274000000000001"/>
    <n v="2.9156399999999998"/>
    <n v="0"/>
    <n v="0"/>
    <n v="1.9841200000000001"/>
    <n v="1.6817200000000001"/>
    <n v="0"/>
    <n v="1.5327900000000001"/>
    <n v="2.9635199999999999"/>
    <n v="520574000"/>
    <n v="0"/>
    <n v="0"/>
    <n v="0"/>
    <n v="0"/>
    <n v="5133380"/>
    <n v="924207"/>
    <n v="0"/>
    <n v="52"/>
    <x v="20"/>
    <n v="1.3394142088403067E-7"/>
    <n v="-2.1095750586492064E-8"/>
  </r>
  <r>
    <n v="67.320300000000003"/>
    <n v="85.138999999999996"/>
    <n v="4.6155299999999997"/>
    <n v="0.02"/>
    <n v="0"/>
    <n v="2.5999400000000001"/>
    <n v="2.9023400000000001"/>
    <n v="0"/>
    <n v="0.48717300000000002"/>
    <n v="5.3222399999999999"/>
    <n v="131926000"/>
    <n v="0"/>
    <n v="0"/>
    <n v="0"/>
    <n v="0"/>
    <n v="3886850"/>
    <n v="-110172"/>
    <n v="408539"/>
    <n v="99.302199999999999"/>
    <n v="98.274000000000001"/>
    <n v="4.0403099999999998"/>
    <n v="0"/>
    <n v="0"/>
    <n v="1.9842900000000001"/>
    <n v="1.6818900000000001"/>
    <n v="0"/>
    <n v="1.5329299999999999"/>
    <n v="2.9635199999999999"/>
    <n v="521498000"/>
    <n v="0"/>
    <n v="0"/>
    <n v="0"/>
    <n v="0"/>
    <n v="5133840"/>
    <n v="924222"/>
    <n v="0"/>
    <n v="1"/>
    <x v="21"/>
    <n v="6.6139463529796959E-8"/>
    <n v="-1.041358216017983E-8"/>
  </r>
  <r>
    <n v="73.430899999999994"/>
    <n v="85.138999999999996"/>
    <n v="9.3349799999999998"/>
    <n v="0.02"/>
    <n v="0"/>
    <n v="2.60025"/>
    <n v="2.90265"/>
    <n v="0"/>
    <n v="0.48723"/>
    <n v="5.3222399999999999"/>
    <n v="131815000"/>
    <n v="0"/>
    <n v="0"/>
    <n v="0"/>
    <n v="0"/>
    <n v="3887310"/>
    <n v="-110141"/>
    <n v="408539"/>
    <n v="99.302199999999999"/>
    <n v="98.274000000000001"/>
    <n v="9.5919699999999999"/>
    <n v="0"/>
    <n v="0"/>
    <n v="1.98447"/>
    <n v="1.68207"/>
    <n v="0"/>
    <n v="1.5330600000000001"/>
    <n v="2.9635199999999999"/>
    <n v="522422000"/>
    <n v="0"/>
    <n v="0"/>
    <n v="0"/>
    <n v="0"/>
    <n v="5134290"/>
    <n v="924236"/>
    <n v="0"/>
    <n v="2"/>
    <x v="21"/>
    <n v="6.6134668454700127E-8"/>
    <n v="-1.0409420073513469E-8"/>
  </r>
  <r>
    <n v="77.481300000000005"/>
    <n v="85.138999999999996"/>
    <n v="7.46997"/>
    <n v="0.01"/>
    <n v="0"/>
    <n v="2.6005500000000001"/>
    <n v="2.9029500000000001"/>
    <n v="0"/>
    <n v="0.48728700000000003"/>
    <n v="5.3222399999999999"/>
    <n v="131705000"/>
    <n v="0"/>
    <n v="0"/>
    <n v="0"/>
    <n v="0"/>
    <n v="3887760"/>
    <n v="-110109"/>
    <n v="408539"/>
    <n v="99.302199999999999"/>
    <n v="98.274000000000001"/>
    <n v="7.0655999999999999"/>
    <n v="0"/>
    <n v="0"/>
    <n v="1.98465"/>
    <n v="1.68225"/>
    <n v="0"/>
    <n v="1.5331999999999999"/>
    <n v="2.9635199999999999"/>
    <n v="523347000"/>
    <n v="0"/>
    <n v="0"/>
    <n v="0"/>
    <n v="0"/>
    <n v="5134750"/>
    <n v="924251"/>
    <n v="0"/>
    <n v="3"/>
    <x v="21"/>
    <n v="6.6129816980809961E-8"/>
    <n v="-1.0405191236903051E-8"/>
  </r>
  <r>
    <n v="77.867599999999996"/>
    <n v="85.138999999999996"/>
    <n v="3.80078"/>
    <n v="0"/>
    <n v="0"/>
    <n v="2.9942000000000002"/>
    <n v="2.9942000000000002"/>
    <n v="0"/>
    <n v="0.487344"/>
    <n v="5.3222399999999999"/>
    <n v="132013000"/>
    <n v="0"/>
    <n v="0"/>
    <n v="0"/>
    <n v="29016000"/>
    <n v="4476250"/>
    <n v="307810"/>
    <n v="0"/>
    <n v="99.302199999999999"/>
    <n v="98.274000000000001"/>
    <n v="4.5906200000000004"/>
    <n v="0"/>
    <n v="0"/>
    <n v="1.73682"/>
    <n v="1.73682"/>
    <n v="0"/>
    <n v="1.5333399999999999"/>
    <n v="2.9635199999999999"/>
    <n v="523493000"/>
    <n v="0"/>
    <n v="0"/>
    <n v="0"/>
    <n v="7883220"/>
    <n v="4493560"/>
    <n v="146473"/>
    <n v="0"/>
    <n v="4"/>
    <x v="21"/>
    <n v="6.5650054570484105E-7"/>
    <n v="2.4067598509554195E-6"/>
  </r>
  <r>
    <n v="79.425299999999993"/>
    <n v="85.138999999999996"/>
    <n v="4.9501499999999998"/>
    <n v="0"/>
    <n v="0"/>
    <n v="2.9944899999999999"/>
    <n v="2.9944899999999999"/>
    <n v="0"/>
    <n v="0.56111299999999997"/>
    <n v="5.3222399999999999"/>
    <n v="132321000"/>
    <n v="0"/>
    <n v="0"/>
    <n v="0"/>
    <n v="0"/>
    <n v="4476690"/>
    <n v="307840"/>
    <n v="0"/>
    <n v="99.302199999999999"/>
    <n v="98.274000000000001"/>
    <n v="4.0531499999999996"/>
    <n v="0"/>
    <n v="0"/>
    <n v="1.73699"/>
    <n v="1.73699"/>
    <n v="0"/>
    <n v="1.3418600000000001"/>
    <n v="2.9635199999999999"/>
    <n v="523640000"/>
    <n v="0"/>
    <n v="0"/>
    <n v="0"/>
    <n v="0"/>
    <n v="4494000"/>
    <n v="146487"/>
    <n v="0"/>
    <n v="5"/>
    <x v="21"/>
    <n v="1.1975473995488364E-8"/>
    <n v="2.526357018581537E-8"/>
  </r>
  <r>
    <n v="82.604500000000002"/>
    <n v="85.138999999999996"/>
    <n v="6.9868300000000003"/>
    <n v="0"/>
    <n v="0"/>
    <n v="2.9947900000000001"/>
    <n v="2.9947900000000001"/>
    <n v="0"/>
    <n v="0.561168"/>
    <n v="5.3222399999999999"/>
    <n v="132629000"/>
    <n v="0"/>
    <n v="0"/>
    <n v="0"/>
    <n v="0"/>
    <n v="4477130"/>
    <n v="307870"/>
    <n v="0"/>
    <n v="99.302199999999999"/>
    <n v="98.274000000000001"/>
    <n v="4.8342400000000003"/>
    <n v="0"/>
    <n v="0"/>
    <n v="1.73716"/>
    <n v="1.73716"/>
    <n v="0"/>
    <n v="1.3420000000000001"/>
    <n v="2.9635199999999999"/>
    <n v="523786000"/>
    <n v="0"/>
    <n v="0"/>
    <n v="0"/>
    <n v="0"/>
    <n v="4494440"/>
    <n v="146501"/>
    <n v="0"/>
    <n v="6"/>
    <x v="21"/>
    <n v="1.1975446015119617E-8"/>
    <n v="2.5263549126114509E-8"/>
  </r>
  <r>
    <n v="85.138999999999996"/>
    <n v="85.138999999999996"/>
    <n v="10.257999999999999"/>
    <n v="0"/>
    <n v="0"/>
    <n v="2.9950800000000002"/>
    <n v="2.9950800000000002"/>
    <n v="0"/>
    <n v="0.56122300000000003"/>
    <n v="5.3222399999999999"/>
    <n v="132937000"/>
    <n v="0"/>
    <n v="0"/>
    <n v="0"/>
    <n v="0"/>
    <n v="4477570"/>
    <n v="307900"/>
    <n v="0"/>
    <n v="99.302199999999999"/>
    <n v="98.274000000000001"/>
    <n v="11.4251"/>
    <n v="0"/>
    <n v="0"/>
    <n v="1.73733"/>
    <n v="1.73733"/>
    <n v="0"/>
    <n v="1.34213"/>
    <n v="2.9635199999999999"/>
    <n v="523933000"/>
    <n v="0"/>
    <n v="0"/>
    <n v="0"/>
    <n v="0"/>
    <n v="4494880"/>
    <n v="146516"/>
    <n v="0"/>
    <n v="7"/>
    <x v="21"/>
    <n v="1.1975499775327888E-8"/>
    <n v="2.5263528070552612E-8"/>
  </r>
  <r>
    <n v="85.138999999999996"/>
    <n v="85.138999999999996"/>
    <n v="7.9488899999999996"/>
    <n v="0"/>
    <n v="0"/>
    <n v="3.2875399999999999"/>
    <n v="3.2875399999999999"/>
    <n v="0"/>
    <n v="0.56127800000000005"/>
    <n v="5.3222399999999999"/>
    <n v="133275000"/>
    <n v="0"/>
    <n v="0"/>
    <n v="0"/>
    <n v="0"/>
    <n v="4914780"/>
    <n v="337965"/>
    <n v="0"/>
    <n v="99.302199999999999"/>
    <n v="98.274000000000001"/>
    <n v="9.9221500000000002"/>
    <n v="0"/>
    <n v="0"/>
    <n v="1.9417899999999999"/>
    <n v="1.9417899999999999"/>
    <n v="0"/>
    <n v="1.34226"/>
    <n v="2.9635199999999999"/>
    <n v="524096000"/>
    <n v="0"/>
    <n v="0"/>
    <n v="0"/>
    <n v="0"/>
    <n v="5023870"/>
    <n v="163759"/>
    <n v="0"/>
    <n v="8"/>
    <x v="21"/>
    <n v="1.1975495171101857E-8"/>
    <n v="2.5263547821290645E-8"/>
  </r>
  <r>
    <n v="85.138999999999996"/>
    <n v="85.138999999999996"/>
    <n v="7.0266799999999998"/>
    <n v="0"/>
    <n v="0"/>
    <n v="3.2878599999999998"/>
    <n v="3.2878599999999998"/>
    <n v="0"/>
    <n v="0.61608399999999996"/>
    <n v="5.3222399999999999"/>
    <n v="133613000"/>
    <n v="0"/>
    <n v="0"/>
    <n v="0"/>
    <n v="0"/>
    <n v="4915270"/>
    <n v="337998"/>
    <n v="0"/>
    <n v="99.302199999999999"/>
    <n v="98.274000000000001"/>
    <n v="7.7200100000000003"/>
    <n v="0"/>
    <n v="0"/>
    <n v="1.94198"/>
    <n v="1.94198"/>
    <n v="0"/>
    <n v="1.50023"/>
    <n v="2.9635199999999999"/>
    <n v="524260000"/>
    <n v="0"/>
    <n v="0"/>
    <n v="0"/>
    <n v="0"/>
    <n v="5024370"/>
    <n v="163775"/>
    <n v="0"/>
    <n v="9"/>
    <x v="21"/>
    <n v="1.1975473374102067E-8"/>
    <n v="2.5263495883923441E-8"/>
  </r>
  <r>
    <n v="85.138999999999996"/>
    <n v="85.138999999999996"/>
    <n v="12.6615"/>
    <n v="0"/>
    <n v="0"/>
    <n v="3.2881800000000001"/>
    <n v="3.2881800000000001"/>
    <n v="0"/>
    <n v="0.61614500000000005"/>
    <n v="5.3222399999999999"/>
    <n v="133951000"/>
    <n v="0"/>
    <n v="0"/>
    <n v="0"/>
    <n v="0"/>
    <n v="4915750"/>
    <n v="338031"/>
    <n v="0"/>
    <n v="99.302199999999999"/>
    <n v="98.274000000000001"/>
    <n v="11.3925"/>
    <n v="0"/>
    <n v="0"/>
    <n v="1.94217"/>
    <n v="1.94217"/>
    <n v="0"/>
    <n v="1.50037"/>
    <n v="2.9635199999999999"/>
    <n v="524424000"/>
    <n v="0"/>
    <n v="0"/>
    <n v="0"/>
    <n v="0"/>
    <n v="5024860"/>
    <n v="163791"/>
    <n v="0"/>
    <n v="10"/>
    <x v="21"/>
    <n v="1.1975475413848529E-8"/>
    <n v="2.5263495349767973E-8"/>
  </r>
  <r>
    <n v="85.138999999999996"/>
    <n v="85.138999999999996"/>
    <n v="5.3090799999999998"/>
    <n v="0"/>
    <n v="0"/>
    <n v="3.2885"/>
    <n v="3.2885"/>
    <n v="0"/>
    <n v="0.616205"/>
    <n v="5.3222399999999999"/>
    <n v="134289000"/>
    <n v="0"/>
    <n v="0"/>
    <n v="0"/>
    <n v="0"/>
    <n v="4916230"/>
    <n v="338064"/>
    <n v="0"/>
    <n v="99.302199999999999"/>
    <n v="98.274000000000001"/>
    <n v="5.5845500000000001"/>
    <n v="0"/>
    <n v="0"/>
    <n v="1.9423600000000001"/>
    <n v="1.9423600000000001"/>
    <n v="0"/>
    <n v="1.5005200000000001"/>
    <n v="2.9635199999999999"/>
    <n v="524588000"/>
    <n v="0"/>
    <n v="0"/>
    <n v="0"/>
    <n v="0"/>
    <n v="5025350"/>
    <n v="163807"/>
    <n v="0"/>
    <n v="11"/>
    <x v="21"/>
    <n v="1.1975477453197217E-8"/>
    <n v="2.5263494815716814E-8"/>
  </r>
  <r>
    <n v="85.138999999999996"/>
    <n v="85.138999999999996"/>
    <n v="5.39283"/>
    <n v="0"/>
    <n v="0"/>
    <n v="2.87195"/>
    <n v="2.87195"/>
    <n v="0"/>
    <n v="0.61626499999999995"/>
    <n v="5.3222399999999999"/>
    <n v="134584000"/>
    <n v="0"/>
    <n v="0"/>
    <n v="0"/>
    <n v="0"/>
    <n v="4293490"/>
    <n v="295242"/>
    <n v="0"/>
    <n v="99.302199999999999"/>
    <n v="98.274000000000001"/>
    <n v="6.5403900000000004"/>
    <n v="0"/>
    <n v="0"/>
    <n v="1.66828"/>
    <n v="1.66828"/>
    <n v="0"/>
    <n v="1.5006699999999999"/>
    <n v="2.9635199999999999"/>
    <n v="524728000"/>
    <n v="0"/>
    <n v="0"/>
    <n v="0"/>
    <n v="0"/>
    <n v="4316240"/>
    <n v="140693"/>
    <n v="0"/>
    <n v="12"/>
    <x v="21"/>
    <n v="1.1975498487636116E-8"/>
    <n v="2.5263550065682924E-8"/>
  </r>
  <r>
    <n v="85.138999999999996"/>
    <n v="85.138999999999996"/>
    <n v="5.92293"/>
    <n v="0"/>
    <n v="0"/>
    <n v="2.8722300000000001"/>
    <n v="2.8722300000000001"/>
    <n v="0"/>
    <n v="0.53820299999999999"/>
    <n v="5.3222399999999999"/>
    <n v="134879000"/>
    <n v="0"/>
    <n v="0"/>
    <n v="0"/>
    <n v="0"/>
    <n v="4293910"/>
    <n v="295270"/>
    <n v="0"/>
    <n v="99.302199999999999"/>
    <n v="98.274000000000001"/>
    <n v="8.12181"/>
    <n v="0"/>
    <n v="0"/>
    <n v="1.6684399999999999"/>
    <n v="1.6684399999999999"/>
    <n v="0"/>
    <n v="1.28891"/>
    <n v="2.9635199999999999"/>
    <n v="524869000"/>
    <n v="0"/>
    <n v="0"/>
    <n v="0"/>
    <n v="0"/>
    <n v="4316660"/>
    <n v="140707"/>
    <n v="0"/>
    <n v="13"/>
    <x v="21"/>
    <n v="1.1975524837430794E-8"/>
    <n v="2.5263474659796772E-8"/>
  </r>
  <r>
    <n v="85.138999999999996"/>
    <n v="85.138999999999996"/>
    <n v="8.6574899999999992"/>
    <n v="0"/>
    <n v="0"/>
    <n v="2.8725100000000001"/>
    <n v="2.8725100000000001"/>
    <n v="0"/>
    <n v="0.53825500000000004"/>
    <n v="5.3222399999999999"/>
    <n v="135175000"/>
    <n v="0"/>
    <n v="0"/>
    <n v="0"/>
    <n v="0"/>
    <n v="4294330"/>
    <n v="295299"/>
    <n v="0"/>
    <n v="99.302199999999999"/>
    <n v="98.274000000000001"/>
    <n v="9.6925500000000007"/>
    <n v="0"/>
    <n v="0"/>
    <n v="1.6686099999999999"/>
    <n v="1.6686099999999999"/>
    <n v="0"/>
    <n v="1.28904"/>
    <n v="2.9635199999999999"/>
    <n v="525010000"/>
    <n v="0"/>
    <n v="0"/>
    <n v="0"/>
    <n v="0"/>
    <n v="4317080"/>
    <n v="140720"/>
    <n v="0"/>
    <n v="14"/>
    <x v="21"/>
    <n v="1.1975466080719238E-8"/>
    <n v="2.5263484820879877E-8"/>
  </r>
  <r>
    <n v="85.138999999999996"/>
    <n v="85.138999999999996"/>
    <n v="7.2944699999999996"/>
    <n v="0"/>
    <n v="0"/>
    <n v="2.8727900000000002"/>
    <n v="2.8727900000000002"/>
    <n v="0"/>
    <n v="0.53830800000000001"/>
    <n v="5.3222399999999999"/>
    <n v="135470000"/>
    <n v="0"/>
    <n v="0"/>
    <n v="0"/>
    <n v="0"/>
    <n v="4294750"/>
    <n v="295328"/>
    <n v="0"/>
    <n v="99.302199999999999"/>
    <n v="98.274000000000001"/>
    <n v="8.8533100000000005"/>
    <n v="0"/>
    <n v="0"/>
    <n v="1.6687700000000001"/>
    <n v="1.6687700000000001"/>
    <n v="0"/>
    <n v="1.2891699999999999"/>
    <n v="2.9635199999999999"/>
    <n v="525151000"/>
    <n v="0"/>
    <n v="0"/>
    <n v="0"/>
    <n v="0"/>
    <n v="4317510"/>
    <n v="140734"/>
    <n v="0"/>
    <n v="15"/>
    <x v="21"/>
    <n v="1.1975464691505269E-8"/>
    <n v="2.5263494979975597E-8"/>
  </r>
  <r>
    <n v="85.138999999999996"/>
    <n v="85.138999999999996"/>
    <n v="13.2315"/>
    <n v="0"/>
    <n v="0"/>
    <n v="2.8730699999999998"/>
    <n v="2.8730699999999998"/>
    <n v="0"/>
    <n v="0.53836099999999998"/>
    <n v="5.3222399999999999"/>
    <n v="135765000"/>
    <n v="0"/>
    <n v="0"/>
    <n v="0"/>
    <n v="0"/>
    <n v="4295170"/>
    <n v="295357"/>
    <n v="0"/>
    <n v="99.302199999999999"/>
    <n v="98.274000000000001"/>
    <n v="12.5343"/>
    <n v="0"/>
    <n v="0"/>
    <n v="1.66893"/>
    <n v="1.66893"/>
    <n v="0"/>
    <n v="1.28929"/>
    <n v="2.9635199999999999"/>
    <n v="525291000"/>
    <n v="0"/>
    <n v="0"/>
    <n v="0"/>
    <n v="0"/>
    <n v="4317930"/>
    <n v="140748"/>
    <n v="0"/>
    <n v="16"/>
    <x v="21"/>
    <n v="1.1975491036837192E-8"/>
    <n v="2.5263505137084518E-8"/>
  </r>
  <r>
    <n v="85.138999999999996"/>
    <n v="85.138999999999996"/>
    <n v="9.4924800000000005"/>
    <n v="0"/>
    <n v="0"/>
    <n v="2.9783400000000002"/>
    <n v="2.9783400000000002"/>
    <n v="0"/>
    <n v="0.53841399999999995"/>
    <n v="5.3222399999999999"/>
    <n v="136072000"/>
    <n v="0"/>
    <n v="0"/>
    <n v="0"/>
    <n v="0"/>
    <n v="4452540"/>
    <n v="306179"/>
    <n v="0"/>
    <n v="99.302199999999999"/>
    <n v="98.274000000000001"/>
    <n v="12.010300000000001"/>
    <n v="0"/>
    <n v="0"/>
    <n v="1.7362299999999999"/>
    <n v="1.7362299999999999"/>
    <n v="0"/>
    <n v="1.28942"/>
    <n v="2.9635199999999999"/>
    <n v="525438000"/>
    <n v="0"/>
    <n v="0"/>
    <n v="0"/>
    <n v="0"/>
    <n v="4492030"/>
    <n v="146423"/>
    <n v="0"/>
    <n v="17"/>
    <x v="21"/>
    <n v="1.1975491528362418E-8"/>
    <n v="2.5263543532136141E-8"/>
  </r>
  <r>
    <n v="85.138999999999996"/>
    <n v="85.138999999999996"/>
    <n v="9.0374800000000004"/>
    <n v="0"/>
    <n v="0"/>
    <n v="2.9786299999999999"/>
    <n v="2.9786299999999999"/>
    <n v="0"/>
    <n v="0.558141"/>
    <n v="5.3222399999999999"/>
    <n v="136378000"/>
    <n v="0"/>
    <n v="0"/>
    <n v="0"/>
    <n v="0"/>
    <n v="4452980"/>
    <n v="306209"/>
    <n v="0"/>
    <n v="99.302199999999999"/>
    <n v="98.274000000000001"/>
    <n v="16.053799999999999"/>
    <n v="0"/>
    <n v="0"/>
    <n v="1.7363999999999999"/>
    <n v="1.7363999999999999"/>
    <n v="0"/>
    <n v="1.34141"/>
    <n v="2.9635199999999999"/>
    <n v="525584000"/>
    <n v="0"/>
    <n v="0"/>
    <n v="0"/>
    <n v="0"/>
    <n v="4492470"/>
    <n v="146437"/>
    <n v="0"/>
    <n v="18"/>
    <x v="21"/>
    <n v="1.1975463534006757E-8"/>
    <n v="2.526352236085513E-8"/>
  </r>
  <r>
    <n v="85.138999999999996"/>
    <n v="85.138999999999996"/>
    <n v="7.5792799999999998"/>
    <n v="0"/>
    <n v="0"/>
    <n v="2.97892"/>
    <n v="2.97892"/>
    <n v="0"/>
    <n v="0.558195"/>
    <n v="5.3222399999999999"/>
    <n v="136684000"/>
    <n v="0"/>
    <n v="0"/>
    <n v="0"/>
    <n v="0"/>
    <n v="4453410"/>
    <n v="306239"/>
    <n v="0"/>
    <n v="99.302199999999999"/>
    <n v="98.274000000000001"/>
    <n v="7.9040699999999999"/>
    <n v="0"/>
    <n v="0"/>
    <n v="1.7365699999999999"/>
    <n v="1.7365699999999999"/>
    <n v="0"/>
    <n v="1.34154"/>
    <n v="2.9635199999999999"/>
    <n v="525731000"/>
    <n v="0"/>
    <n v="0"/>
    <n v="0"/>
    <n v="0"/>
    <n v="4492910"/>
    <n v="146452"/>
    <n v="0"/>
    <n v="19"/>
    <x v="21"/>
    <n v="1.1975517316071531E-8"/>
    <n v="2.5263557922199817E-8"/>
  </r>
  <r>
    <n v="85.138999999999996"/>
    <n v="85.138999999999996"/>
    <n v="8.57775"/>
    <n v="0"/>
    <n v="0"/>
    <n v="2.9792100000000001"/>
    <n v="2.9792100000000001"/>
    <n v="0"/>
    <n v="0.55825000000000002"/>
    <n v="5.3222399999999999"/>
    <n v="136990000"/>
    <n v="0"/>
    <n v="0"/>
    <n v="0"/>
    <n v="0"/>
    <n v="4453850"/>
    <n v="306269"/>
    <n v="0"/>
    <n v="99.302199999999999"/>
    <n v="98.274000000000001"/>
    <n v="9.3113299999999999"/>
    <n v="0"/>
    <n v="0"/>
    <n v="1.73674"/>
    <n v="1.73674"/>
    <n v="0"/>
    <n v="1.3416699999999999"/>
    <n v="2.9635199999999999"/>
    <n v="525877000"/>
    <n v="0"/>
    <n v="0"/>
    <n v="0"/>
    <n v="0"/>
    <n v="4493350"/>
    <n v="146466"/>
    <n v="0"/>
    <n v="20"/>
    <x v="21"/>
    <n v="1.1975489324673229E-8"/>
    <n v="2.5263536753632723E-8"/>
  </r>
  <r>
    <n v="85.138999999999996"/>
    <n v="85.138999999999996"/>
    <n v="5.9737299999999998"/>
    <n v="0"/>
    <n v="0"/>
    <n v="2.9384399999999999"/>
    <n v="2.9384399999999999"/>
    <n v="0"/>
    <n v="0.55830500000000005"/>
    <n v="5.3222399999999999"/>
    <n v="137292000"/>
    <n v="0"/>
    <n v="0"/>
    <n v="0"/>
    <n v="0"/>
    <n v="4392900"/>
    <n v="302077"/>
    <n v="0"/>
    <n v="99.302199999999999"/>
    <n v="98.274000000000001"/>
    <n v="5.8674400000000002"/>
    <n v="0"/>
    <n v="0"/>
    <n v="1.7108300000000001"/>
    <n v="1.7108300000000001"/>
    <n v="0"/>
    <n v="1.3418000000000001"/>
    <n v="2.9635199999999999"/>
    <n v="526021000"/>
    <n v="0"/>
    <n v="0"/>
    <n v="0"/>
    <n v="0"/>
    <n v="4426310"/>
    <n v="144281"/>
    <n v="0"/>
    <n v="21"/>
    <x v="21"/>
    <n v="1.197550984506639E-8"/>
    <n v="2.5263472090193939E-8"/>
  </r>
  <r>
    <n v="85.138999999999996"/>
    <n v="85.138999999999996"/>
    <n v="5.3098599999999996"/>
    <n v="0"/>
    <n v="0"/>
    <n v="2.9387300000000001"/>
    <n v="2.9387300000000001"/>
    <n v="0"/>
    <n v="0.55066400000000004"/>
    <n v="5.3222399999999999"/>
    <n v="137594000"/>
    <n v="0"/>
    <n v="0"/>
    <n v="0"/>
    <n v="0"/>
    <n v="4393330"/>
    <n v="302107"/>
    <n v="0"/>
    <n v="99.302199999999999"/>
    <n v="98.274000000000001"/>
    <n v="5.26919"/>
    <n v="0"/>
    <n v="0"/>
    <n v="1.71099"/>
    <n v="1.71099"/>
    <n v="0"/>
    <n v="1.32178"/>
    <n v="2.9635199999999999"/>
    <n v="526166000"/>
    <n v="0"/>
    <n v="0"/>
    <n v="0"/>
    <n v="0"/>
    <n v="4426750"/>
    <n v="144295"/>
    <n v="0"/>
    <n v="22"/>
    <x v="21"/>
    <n v="1.1975481433282953E-8"/>
    <n v="2.5263508142770102E-8"/>
  </r>
  <r>
    <n v="85.138999999999996"/>
    <n v="85.138999999999996"/>
    <n v="4.7482899999999999"/>
    <n v="0"/>
    <n v="0"/>
    <n v="2.9390200000000002"/>
    <n v="2.9390200000000002"/>
    <n v="0"/>
    <n v="0.55071800000000004"/>
    <n v="5.3222399999999999"/>
    <n v="137897000"/>
    <n v="0"/>
    <n v="0"/>
    <n v="0"/>
    <n v="0"/>
    <n v="4393760"/>
    <n v="302137"/>
    <n v="0"/>
    <n v="99.302199999999999"/>
    <n v="98.274000000000001"/>
    <n v="5.0750700000000002"/>
    <n v="0"/>
    <n v="0"/>
    <n v="1.71116"/>
    <n v="1.71116"/>
    <n v="0"/>
    <n v="1.3219099999999999"/>
    <n v="2.9635199999999999"/>
    <n v="526310000"/>
    <n v="0"/>
    <n v="0"/>
    <n v="0"/>
    <n v="0"/>
    <n v="4427180"/>
    <n v="144309"/>
    <n v="0"/>
    <n v="23"/>
    <x v="21"/>
    <n v="1.1975480076991406E-8"/>
    <n v="2.5263544188289618E-8"/>
  </r>
  <r>
    <n v="85.138999999999996"/>
    <n v="85.138999999999996"/>
    <n v="4.4962799999999996"/>
    <n v="0"/>
    <n v="0"/>
    <n v="2.9392999999999998"/>
    <n v="2.9392999999999998"/>
    <n v="0"/>
    <n v="0.55077200000000004"/>
    <n v="5.3222399999999999"/>
    <n v="138199000"/>
    <n v="0"/>
    <n v="0"/>
    <n v="0"/>
    <n v="0"/>
    <n v="4394190"/>
    <n v="302166"/>
    <n v="0"/>
    <n v="99.302199999999999"/>
    <n v="98.274000000000001"/>
    <n v="4.87059"/>
    <n v="0"/>
    <n v="0"/>
    <n v="1.71133"/>
    <n v="1.71133"/>
    <n v="0"/>
    <n v="1.3220400000000001"/>
    <n v="2.9635199999999999"/>
    <n v="526454000"/>
    <n v="0"/>
    <n v="0"/>
    <n v="0"/>
    <n v="0"/>
    <n v="4427610"/>
    <n v="144323"/>
    <n v="0"/>
    <n v="24"/>
    <x v="21"/>
    <n v="1.1975478720963301E-8"/>
    <n v="2.5263496618748964E-8"/>
  </r>
  <r>
    <n v="85.138999999999996"/>
    <n v="85.138999999999996"/>
    <n v="4.0599999999999996"/>
    <n v="0"/>
    <n v="0"/>
    <n v="3.07904"/>
    <n v="3.07904"/>
    <n v="0"/>
    <n v="0.55082600000000004"/>
    <n v="5.3222399999999999"/>
    <n v="138515000"/>
    <n v="0"/>
    <n v="0"/>
    <n v="0"/>
    <n v="0"/>
    <n v="4603080"/>
    <n v="316531"/>
    <n v="0"/>
    <n v="99.302199999999999"/>
    <n v="98.274000000000001"/>
    <n v="4.3439100000000002"/>
    <n v="0"/>
    <n v="0"/>
    <n v="1.80403"/>
    <n v="1.80403"/>
    <n v="0"/>
    <n v="1.3221700000000001"/>
    <n v="2.9635199999999999"/>
    <n v="526606000"/>
    <n v="0"/>
    <n v="0"/>
    <n v="0"/>
    <n v="0"/>
    <n v="4667450"/>
    <n v="152141"/>
    <n v="0"/>
    <n v="25"/>
    <x v="21"/>
    <n v="1.1975489861590348E-8"/>
    <n v="2.526355262787375E-8"/>
  </r>
  <r>
    <n v="85.138999999999996"/>
    <n v="85.138999999999996"/>
    <n v="3.81725"/>
    <n v="0"/>
    <n v="0"/>
    <n v="3.0793400000000002"/>
    <n v="3.0793400000000002"/>
    <n v="0"/>
    <n v="0.57701199999999997"/>
    <n v="5.3222399999999999"/>
    <n v="138832000"/>
    <n v="0"/>
    <n v="0"/>
    <n v="0"/>
    <n v="0"/>
    <n v="4603540"/>
    <n v="316562"/>
    <n v="0"/>
    <n v="99.302199999999999"/>
    <n v="98.274000000000001"/>
    <n v="3.6634000000000002"/>
    <n v="0"/>
    <n v="0"/>
    <n v="1.8042100000000001"/>
    <n v="1.8042100000000001"/>
    <n v="0"/>
    <n v="1.3937900000000001"/>
    <n v="2.9635199999999999"/>
    <n v="526759000"/>
    <n v="0"/>
    <n v="0"/>
    <n v="0"/>
    <n v="0"/>
    <n v="4667910"/>
    <n v="152156"/>
    <n v="0"/>
    <n v="26"/>
    <x v="21"/>
    <n v="1.1975490315025672E-8"/>
    <n v="2.5263502196926373E-8"/>
  </r>
  <r>
    <n v="85.138999999999996"/>
    <n v="85.138999999999996"/>
    <n v="3.6847599999999998"/>
    <n v="0"/>
    <n v="0"/>
    <n v="3.0796399999999999"/>
    <n v="3.0796399999999999"/>
    <n v="0"/>
    <n v="0.57706800000000003"/>
    <n v="5.3222399999999999"/>
    <n v="139148000"/>
    <n v="0"/>
    <n v="0"/>
    <n v="0"/>
    <n v="0"/>
    <n v="4603990"/>
    <n v="316593"/>
    <n v="0"/>
    <n v="99.302199999999999"/>
    <n v="98.274000000000001"/>
    <n v="3.9010199999999999"/>
    <n v="0"/>
    <n v="0"/>
    <n v="1.8043800000000001"/>
    <n v="1.8043800000000001"/>
    <n v="0"/>
    <n v="1.3939299999999999"/>
    <n v="2.9635199999999999"/>
    <n v="526911000"/>
    <n v="0"/>
    <n v="0"/>
    <n v="0"/>
    <n v="0"/>
    <n v="4668370"/>
    <n v="152171"/>
    <n v="0"/>
    <n v="27"/>
    <x v="21"/>
    <n v="1.1975490768371635E-8"/>
    <n v="2.5263506649007439E-8"/>
  </r>
  <r>
    <n v="85.136799999999994"/>
    <n v="85.138999999999996"/>
    <n v="3.3877700000000002"/>
    <n v="0"/>
    <n v="0"/>
    <n v="3.0799400000000001"/>
    <n v="3.0799400000000001"/>
    <n v="0"/>
    <n v="0.577125"/>
    <n v="5.3222399999999999"/>
    <n v="139465000"/>
    <n v="0"/>
    <n v="0"/>
    <n v="0"/>
    <n v="0"/>
    <n v="4604440"/>
    <n v="316624"/>
    <n v="0"/>
    <n v="99.302199999999999"/>
    <n v="98.274000000000001"/>
    <n v="3.68892"/>
    <n v="0"/>
    <n v="0"/>
    <n v="1.8045599999999999"/>
    <n v="1.8045599999999999"/>
    <n v="0"/>
    <n v="1.3940699999999999"/>
    <n v="2.9635199999999999"/>
    <n v="527063000"/>
    <n v="0"/>
    <n v="0"/>
    <n v="0"/>
    <n v="0"/>
    <n v="4668820"/>
    <n v="152186"/>
    <n v="0"/>
    <n v="28"/>
    <x v="21"/>
    <n v="1.1975516871559559E-8"/>
    <n v="2.5263511100218288E-8"/>
  </r>
  <r>
    <n v="84.947999999999993"/>
    <n v="85.138999999999996"/>
    <n v="3.1412200000000001"/>
    <n v="0"/>
    <n v="0"/>
    <n v="3.0802499999999999"/>
    <n v="3.0802499999999999"/>
    <n v="0"/>
    <n v="0.57718100000000006"/>
    <n v="5.3222399999999999"/>
    <n v="139782000"/>
    <n v="0"/>
    <n v="0"/>
    <n v="0"/>
    <n v="0"/>
    <n v="4604890"/>
    <n v="316655"/>
    <n v="0"/>
    <n v="99.302199999999999"/>
    <n v="98.274000000000001"/>
    <n v="3.98447"/>
    <n v="0"/>
    <n v="0"/>
    <n v="1.80474"/>
    <n v="1.80474"/>
    <n v="0"/>
    <n v="1.3942000000000001"/>
    <n v="2.9635199999999999"/>
    <n v="527215000"/>
    <n v="0"/>
    <n v="0"/>
    <n v="0"/>
    <n v="0"/>
    <n v="4669280"/>
    <n v="152201"/>
    <n v="0"/>
    <n v="29"/>
    <x v="21"/>
    <n v="1.197551732220092E-8"/>
    <n v="2.5263515550559171E-8"/>
  </r>
  <r>
    <n v="84.263999999999996"/>
    <n v="85.138999999999996"/>
    <n v="2.5814499999999998"/>
    <n v="0"/>
    <n v="0"/>
    <n v="3.0529600000000001"/>
    <n v="3.0529600000000001"/>
    <n v="0"/>
    <n v="0.57723800000000003"/>
    <n v="5.3222399999999999"/>
    <n v="140096000"/>
    <n v="0"/>
    <n v="0"/>
    <n v="0"/>
    <n v="0"/>
    <n v="4564090"/>
    <n v="313850"/>
    <n v="0"/>
    <n v="99.302199999999999"/>
    <n v="98.274000000000001"/>
    <n v="4.2849500000000003"/>
    <n v="0"/>
    <n v="0"/>
    <n v="1.8557900000000001"/>
    <n v="1.8557900000000001"/>
    <n v="0"/>
    <n v="1.3943399999999999"/>
    <n v="2.9635199999999999"/>
    <n v="527372000"/>
    <n v="0"/>
    <n v="0"/>
    <n v="0"/>
    <n v="0"/>
    <n v="4801380"/>
    <n v="156507"/>
    <n v="0"/>
    <n v="30"/>
    <x v="21"/>
    <n v="1.1975520068405483E-8"/>
    <n v="2.5263564627867378E-8"/>
  </r>
  <r>
    <n v="83.463399999999993"/>
    <n v="85.138999999999996"/>
    <n v="2.4203999999999999"/>
    <n v="0"/>
    <n v="0"/>
    <n v="3.0532599999999999"/>
    <n v="3.0532599999999999"/>
    <n v="0"/>
    <n v="0.57212399999999997"/>
    <n v="5.3222399999999999"/>
    <n v="140409000"/>
    <n v="0"/>
    <n v="0"/>
    <n v="0"/>
    <n v="0"/>
    <n v="4564540"/>
    <n v="313881"/>
    <n v="0"/>
    <n v="99.302199999999999"/>
    <n v="98.274000000000001"/>
    <n v="3.7310099999999999"/>
    <n v="0"/>
    <n v="0"/>
    <n v="1.85598"/>
    <n v="1.85598"/>
    <n v="0"/>
    <n v="1.4337899999999999"/>
    <n v="2.9635199999999999"/>
    <n v="527528000"/>
    <n v="0"/>
    <n v="0"/>
    <n v="0"/>
    <n v="0"/>
    <n v="4801850"/>
    <n v="156522"/>
    <n v="0"/>
    <n v="31"/>
    <x v="21"/>
    <n v="1.1975495566911155E-8"/>
    <n v="2.5263569112271671E-8"/>
  </r>
  <r>
    <n v="82.626300000000001"/>
    <n v="85.138999999999996"/>
    <n v="2.3660299999999999"/>
    <n v="0"/>
    <n v="0"/>
    <n v="3.05355"/>
    <n v="3.05355"/>
    <n v="0"/>
    <n v="0.57218000000000002"/>
    <n v="5.3222399999999999"/>
    <n v="140723000"/>
    <n v="0"/>
    <n v="0"/>
    <n v="0"/>
    <n v="0"/>
    <n v="4564990"/>
    <n v="313911"/>
    <n v="0"/>
    <n v="99.302199999999999"/>
    <n v="98.274000000000001"/>
    <n v="3.8483900000000002"/>
    <n v="0"/>
    <n v="0"/>
    <n v="1.85616"/>
    <n v="1.85616"/>
    <n v="0"/>
    <n v="1.4339299999999999"/>
    <n v="2.9635199999999999"/>
    <n v="527685000"/>
    <n v="0"/>
    <n v="0"/>
    <n v="0"/>
    <n v="0"/>
    <n v="4802320"/>
    <n v="156537"/>
    <n v="0"/>
    <n v="32"/>
    <x v="21"/>
    <n v="1.1975471070212718E-8"/>
    <n v="2.5263493115996256E-8"/>
  </r>
  <r>
    <n v="81.697800000000001"/>
    <n v="85.138999999999996"/>
    <n v="2.2560899999999999"/>
    <n v="0"/>
    <n v="0"/>
    <n v="3.0538500000000002"/>
    <n v="3.0538500000000002"/>
    <n v="0"/>
    <n v="0.57223599999999997"/>
    <n v="5.3222399999999999"/>
    <n v="141037000"/>
    <n v="0"/>
    <n v="0"/>
    <n v="0"/>
    <n v="0"/>
    <n v="4565430"/>
    <n v="313942"/>
    <n v="0"/>
    <n v="99.302199999999999"/>
    <n v="98.274000000000001"/>
    <n v="3.5382600000000002"/>
    <n v="0"/>
    <n v="0"/>
    <n v="1.8563400000000001"/>
    <n v="1.8563400000000001"/>
    <n v="0"/>
    <n v="1.43407"/>
    <n v="2.9635199999999999"/>
    <n v="527841000"/>
    <n v="0"/>
    <n v="0"/>
    <n v="0"/>
    <n v="0"/>
    <n v="4802790"/>
    <n v="156553"/>
    <n v="0"/>
    <n v="33"/>
    <x v="21"/>
    <n v="1.1975523073317313E-8"/>
    <n v="2.5263552943078109E-8"/>
  </r>
  <r>
    <n v="80.4315"/>
    <n v="85.138999999999996"/>
    <n v="1.9378500000000001"/>
    <n v="0"/>
    <n v="0"/>
    <n v="3.1254300000000002"/>
    <n v="3.1254300000000002"/>
    <n v="0"/>
    <n v="0.57229200000000002"/>
    <n v="5.3222399999999999"/>
    <n v="141359000"/>
    <n v="0"/>
    <n v="0"/>
    <n v="0"/>
    <n v="0"/>
    <n v="4672440"/>
    <n v="321300"/>
    <n v="0"/>
    <n v="99.099400000000003"/>
    <n v="98.274000000000001"/>
    <n v="3.0612499999999998"/>
    <n v="0"/>
    <n v="0"/>
    <n v="1.9018900000000001"/>
    <n v="1.9018900000000001"/>
    <n v="0"/>
    <n v="1.43421"/>
    <n v="2.9635199999999999"/>
    <n v="528002000"/>
    <n v="0"/>
    <n v="0"/>
    <n v="0"/>
    <n v="0"/>
    <n v="4920640"/>
    <n v="160394"/>
    <n v="0"/>
    <n v="34"/>
    <x v="21"/>
    <n v="1.19754880229507E-8"/>
    <n v="2.5263509895280248E-8"/>
  </r>
  <r>
    <n v="79.399500000000003"/>
    <n v="85.138999999999996"/>
    <n v="2.18953"/>
    <n v="0"/>
    <n v="0"/>
    <n v="3.12574"/>
    <n v="3.12574"/>
    <n v="0"/>
    <n v="0.58570599999999995"/>
    <n v="5.3222399999999999"/>
    <n v="141680000"/>
    <n v="0"/>
    <n v="0"/>
    <n v="0"/>
    <n v="0"/>
    <n v="4672900"/>
    <n v="321332"/>
    <n v="0"/>
    <n v="99.031000000000006"/>
    <n v="98.274000000000001"/>
    <n v="3.7200899999999999"/>
    <n v="0"/>
    <n v="0"/>
    <n v="1.9020699999999999"/>
    <n v="1.9020699999999999"/>
    <n v="0"/>
    <n v="1.4694"/>
    <n v="2.9635199999999999"/>
    <n v="528162000"/>
    <n v="0"/>
    <n v="0"/>
    <n v="0"/>
    <n v="0"/>
    <n v="4921120"/>
    <n v="160409"/>
    <n v="0"/>
    <n v="35"/>
    <x v="21"/>
    <n v="1.1975439783460624E-8"/>
    <n v="2.5263538838385302E-8"/>
  </r>
  <r>
    <n v="78.192999999999998"/>
    <n v="85.138999999999996"/>
    <n v="1.97506"/>
    <n v="0"/>
    <n v="0"/>
    <n v="3.1260400000000002"/>
    <n v="3.1260400000000002"/>
    <n v="0"/>
    <n v="0.58576300000000003"/>
    <n v="5.3222399999999999"/>
    <n v="142001000"/>
    <n v="0"/>
    <n v="0"/>
    <n v="0"/>
    <n v="0"/>
    <n v="4673360"/>
    <n v="321363"/>
    <n v="0"/>
    <n v="98.823499999999996"/>
    <n v="98.274000000000001"/>
    <n v="3.60697"/>
    <n v="0"/>
    <n v="0"/>
    <n v="1.9022600000000001"/>
    <n v="1.9022600000000001"/>
    <n v="0"/>
    <n v="1.4695400000000001"/>
    <n v="2.9635199999999999"/>
    <n v="528322000"/>
    <n v="0"/>
    <n v="0"/>
    <n v="0"/>
    <n v="0"/>
    <n v="4921600"/>
    <n v="160425"/>
    <n v="0"/>
    <n v="36"/>
    <x v="21"/>
    <n v="1.1975466201759075E-8"/>
    <n v="2.52634891622336E-8"/>
  </r>
  <r>
    <n v="77.081000000000003"/>
    <n v="85.138999999999996"/>
    <n v="1.7994399999999999"/>
    <n v="0.01"/>
    <n v="0"/>
    <n v="2.82395"/>
    <n v="3.12635"/>
    <n v="0"/>
    <n v="0.58582100000000004"/>
    <n v="5.3222399999999999"/>
    <n v="141914000"/>
    <n v="0"/>
    <n v="0"/>
    <n v="0"/>
    <n v="0"/>
    <n v="4221730"/>
    <n v="-87143.7"/>
    <n v="408539"/>
    <n v="98.450299999999999"/>
    <n v="98.274000000000001"/>
    <n v="3.1194299999999999"/>
    <n v="0"/>
    <n v="0"/>
    <n v="2.20485"/>
    <n v="1.90245"/>
    <n v="0"/>
    <n v="1.4696899999999999"/>
    <n v="2.9635199999999999"/>
    <n v="529265000"/>
    <n v="0"/>
    <n v="0"/>
    <n v="0"/>
    <n v="0"/>
    <n v="5704460"/>
    <n v="942822"/>
    <n v="0"/>
    <n v="37"/>
    <x v="21"/>
    <n v="6.0721412270926655E-8"/>
    <n v="-7.5835444400867514E-9"/>
  </r>
  <r>
    <n v="75.766099999999994"/>
    <n v="85.138999999999996"/>
    <n v="1.7407999999999999"/>
    <n v="0.01"/>
    <n v="0"/>
    <n v="3.0330699999999999"/>
    <n v="3.3354699999999999"/>
    <n v="0"/>
    <n v="0.52920800000000001"/>
    <n v="5.3222399999999999"/>
    <n v="141848000"/>
    <n v="0"/>
    <n v="0"/>
    <n v="0"/>
    <n v="0"/>
    <n v="4534370"/>
    <n v="-65645.5"/>
    <n v="408539"/>
    <n v="98.148700000000005"/>
    <n v="98.274000000000001"/>
    <n v="3.7615599999999998"/>
    <n v="0"/>
    <n v="0"/>
    <n v="2.3688400000000001"/>
    <n v="2.0664400000000001"/>
    <n v="0"/>
    <n v="1.70346"/>
    <n v="2.9635199999999999"/>
    <n v="530222000"/>
    <n v="0"/>
    <n v="0"/>
    <n v="0"/>
    <n v="0"/>
    <n v="6128760"/>
    <n v="956652"/>
    <n v="0"/>
    <n v="38"/>
    <x v="21"/>
    <n v="5.7346651476637267E-8"/>
    <n v="-5.3188127424031197E-9"/>
  </r>
  <r>
    <n v="73.946700000000007"/>
    <n v="85.138999999999996"/>
    <n v="1.18387"/>
    <n v="0.01"/>
    <n v="0"/>
    <n v="3.0333999999999999"/>
    <n v="3.3357999999999999"/>
    <n v="0"/>
    <n v="0.56839799999999996"/>
    <n v="5.3222399999999999"/>
    <n v="141783000"/>
    <n v="0"/>
    <n v="0"/>
    <n v="0"/>
    <n v="0"/>
    <n v="4534850"/>
    <n v="-65612"/>
    <n v="408539"/>
    <n v="97.722300000000004"/>
    <n v="98.274000000000001"/>
    <n v="3.1562100000000002"/>
    <n v="0"/>
    <n v="0"/>
    <n v="2.36904"/>
    <n v="2.06664"/>
    <n v="0"/>
    <n v="1.8301700000000001"/>
    <n v="2.9635199999999999"/>
    <n v="531179000"/>
    <n v="0"/>
    <n v="0"/>
    <n v="0"/>
    <n v="0"/>
    <n v="6129280"/>
    <n v="956669"/>
    <n v="0"/>
    <n v="39"/>
    <x v="21"/>
    <n v="5.7342805243815132E-8"/>
    <n v="-5.3155357702657938E-9"/>
  </r>
  <r>
    <n v="72.116900000000001"/>
    <n v="85.138999999999996"/>
    <n v="1.1527400000000001"/>
    <n v="0.01"/>
    <n v="0"/>
    <n v="3.0337299999999998"/>
    <n v="3.3361299999999998"/>
    <n v="0"/>
    <n v="0.56845900000000005"/>
    <n v="5.3222399999999999"/>
    <n v="141717000"/>
    <n v="0"/>
    <n v="0"/>
    <n v="0"/>
    <n v="0"/>
    <n v="4535340"/>
    <n v="-65578.399999999994"/>
    <n v="408539"/>
    <n v="97.261600000000001"/>
    <n v="98.274000000000001"/>
    <n v="2.9923199999999999"/>
    <n v="0"/>
    <n v="0"/>
    <n v="2.3692500000000001"/>
    <n v="2.0668500000000001"/>
    <n v="0"/>
    <n v="1.8303199999999999"/>
    <n v="2.9635199999999999"/>
    <n v="532135000"/>
    <n v="0"/>
    <n v="0"/>
    <n v="0"/>
    <n v="0"/>
    <n v="6129800"/>
    <n v="956686"/>
    <n v="0"/>
    <n v="40"/>
    <x v="21"/>
    <n v="5.7338959663556239E-8"/>
    <n v="-5.3122396781416664E-9"/>
  </r>
  <r>
    <n v="70.785200000000003"/>
    <n v="85.138999999999996"/>
    <n v="1.64869"/>
    <n v="0.02"/>
    <n v="0"/>
    <n v="3.0340500000000001"/>
    <n v="3.3364500000000001"/>
    <n v="0"/>
    <n v="0.56852000000000003"/>
    <n v="5.3222399999999999"/>
    <n v="141652000"/>
    <n v="0"/>
    <n v="0"/>
    <n v="0"/>
    <n v="0"/>
    <n v="4535830"/>
    <n v="-65544.800000000003"/>
    <n v="408539"/>
    <n v="96.876900000000006"/>
    <n v="98.274000000000001"/>
    <n v="3.4886699999999999"/>
    <n v="0"/>
    <n v="0"/>
    <n v="2.3694500000000001"/>
    <n v="2.0670500000000001"/>
    <n v="0"/>
    <n v="1.8304800000000001"/>
    <n v="2.9635199999999999"/>
    <n v="533092000"/>
    <n v="0"/>
    <n v="0"/>
    <n v="0"/>
    <n v="0"/>
    <n v="6130330"/>
    <n v="956703"/>
    <n v="0"/>
    <n v="41"/>
    <x v="21"/>
    <n v="5.7335021208731484E-8"/>
    <n v="-5.3089442981628982E-9"/>
  </r>
  <r>
    <n v="70.122299999999996"/>
    <n v="85.138999999999996"/>
    <n v="2.3942899999999998"/>
    <n v="0.02"/>
    <n v="0"/>
    <n v="3.0343800000000001"/>
    <n v="3.3367800000000001"/>
    <n v="0"/>
    <n v="0.568581"/>
    <n v="5.3222399999999999"/>
    <n v="141586000"/>
    <n v="0"/>
    <n v="0"/>
    <n v="0"/>
    <n v="0"/>
    <n v="4536320"/>
    <n v="-65511.1"/>
    <n v="408539"/>
    <n v="96.689499999999995"/>
    <n v="98.274000000000001"/>
    <n v="3.9303400000000002"/>
    <n v="0"/>
    <n v="0"/>
    <n v="2.36965"/>
    <n v="2.06725"/>
    <n v="0"/>
    <n v="1.83064"/>
    <n v="2.9635199999999999"/>
    <n v="534049000"/>
    <n v="0"/>
    <n v="0"/>
    <n v="0"/>
    <n v="0"/>
    <n v="6130850"/>
    <n v="956720"/>
    <n v="0"/>
    <n v="42"/>
    <x v="21"/>
    <n v="5.7331176947303995E-8"/>
    <n v="-5.3056415312551141E-9"/>
  </r>
  <r>
    <n v="68.732299999999995"/>
    <n v="85.138999999999996"/>
    <n v="1.5122800000000001"/>
    <n v="0.02"/>
    <n v="0"/>
    <n v="2.93289"/>
    <n v="3.23529"/>
    <n v="0"/>
    <n v="0.56864300000000001"/>
    <n v="5.3222399999999999"/>
    <n v="141510000"/>
    <n v="0"/>
    <n v="0"/>
    <n v="0"/>
    <n v="0"/>
    <n v="4384590"/>
    <n v="-75944.7"/>
    <n v="408539"/>
    <n v="96.473699999999994"/>
    <n v="98.274000000000001"/>
    <n v="3.88287"/>
    <n v="0"/>
    <n v="0"/>
    <n v="2.2703799999999998"/>
    <n v="1.9679800000000001"/>
    <n v="0"/>
    <n v="1.8307899999999999"/>
    <n v="2.9635199999999999"/>
    <n v="534997000"/>
    <n v="0"/>
    <n v="0"/>
    <n v="0"/>
    <n v="0"/>
    <n v="5874010"/>
    <n v="948348"/>
    <n v="0"/>
    <n v="43"/>
    <x v="21"/>
    <n v="5.9314346010751709E-8"/>
    <n v="-6.363487232080268E-9"/>
  </r>
  <r>
    <n v="66.833699999999993"/>
    <n v="85.138999999999996"/>
    <n v="1.0357000000000001"/>
    <n v="0.02"/>
    <n v="0"/>
    <n v="2.9331999999999998"/>
    <n v="3.2355999999999998"/>
    <n v="0"/>
    <n v="0.54962299999999997"/>
    <n v="5.3222399999999999"/>
    <n v="141434000"/>
    <n v="0"/>
    <n v="0"/>
    <n v="0"/>
    <n v="0"/>
    <n v="4385070"/>
    <n v="-75912.100000000006"/>
    <n v="408539"/>
    <n v="96.040499999999994"/>
    <n v="98.274000000000001"/>
    <n v="2.98292"/>
    <n v="0"/>
    <n v="0"/>
    <n v="2.2705700000000002"/>
    <n v="1.96817"/>
    <n v="0"/>
    <n v="1.7541"/>
    <n v="2.9635199999999999"/>
    <n v="535945000"/>
    <n v="0"/>
    <n v="0"/>
    <n v="0"/>
    <n v="0"/>
    <n v="5874510"/>
    <n v="948365"/>
    <n v="0"/>
    <n v="44"/>
    <x v="21"/>
    <n v="5.9310360733315878E-8"/>
    <n v="-6.3600593802247456E-9"/>
  </r>
  <r>
    <n v="64.787800000000004"/>
    <n v="85.138999999999996"/>
    <n v="0.81900799999999996"/>
    <n v="0.02"/>
    <n v="0"/>
    <n v="2.9335200000000001"/>
    <n v="3.2359200000000001"/>
    <n v="0"/>
    <n v="0.549682"/>
    <n v="5.3222399999999999"/>
    <n v="141358000"/>
    <n v="0"/>
    <n v="0"/>
    <n v="0"/>
    <n v="0"/>
    <n v="4385540"/>
    <n v="-75879.5"/>
    <n v="408539"/>
    <n v="95.563199999999995"/>
    <n v="98.274000000000001"/>
    <n v="2.1817700000000002"/>
    <n v="0"/>
    <n v="0"/>
    <n v="2.2707700000000002"/>
    <n v="1.96837"/>
    <n v="0"/>
    <n v="1.75424"/>
    <n v="2.9635199999999999"/>
    <n v="536894000"/>
    <n v="0"/>
    <n v="0"/>
    <n v="0"/>
    <n v="0"/>
    <n v="5875010"/>
    <n v="948381"/>
    <n v="0"/>
    <n v="45"/>
    <x v="21"/>
    <n v="5.9306313599953905E-8"/>
    <n v="-6.3566467732542458E-9"/>
  </r>
  <r>
    <n v="63.785299999999999"/>
    <n v="85.138999999999996"/>
    <n v="1.9324600000000001"/>
    <n v="0.02"/>
    <n v="0"/>
    <n v="2.93384"/>
    <n v="3.23624"/>
    <n v="0"/>
    <n v="0.54974199999999995"/>
    <n v="5.3222399999999999"/>
    <n v="141283000"/>
    <n v="0"/>
    <n v="0"/>
    <n v="0"/>
    <n v="0"/>
    <n v="4386010"/>
    <n v="-75846.899999999994"/>
    <n v="408539"/>
    <n v="95.359499999999997"/>
    <n v="98.274000000000001"/>
    <n v="4.6920900000000003"/>
    <n v="0"/>
    <n v="0"/>
    <n v="2.2709600000000001"/>
    <n v="1.9685600000000001"/>
    <n v="0"/>
    <n v="1.7543899999999999"/>
    <n v="2.9635199999999999"/>
    <n v="537842000"/>
    <n v="0"/>
    <n v="0"/>
    <n v="0"/>
    <n v="0"/>
    <n v="5875510"/>
    <n v="948397"/>
    <n v="0"/>
    <n v="46"/>
    <x v="21"/>
    <n v="5.9302267155405902E-8"/>
    <n v="-6.3532348976661524E-9"/>
  </r>
  <r>
    <n v="62.317300000000003"/>
    <n v="85.138999999999996"/>
    <n v="1.4460500000000001"/>
    <n v="0.02"/>
    <n v="0"/>
    <n v="2.8505500000000001"/>
    <n v="3.1529500000000001"/>
    <n v="0"/>
    <n v="0.54980099999999998"/>
    <n v="5.3222399999999999"/>
    <n v="141198000"/>
    <n v="0"/>
    <n v="0"/>
    <n v="0"/>
    <n v="0"/>
    <n v="4261500"/>
    <n v="-84409.4"/>
    <n v="408539"/>
    <n v="95.1721"/>
    <n v="98.274000000000001"/>
    <n v="3.4900500000000001"/>
    <n v="0"/>
    <n v="0"/>
    <n v="2.1805699999999999"/>
    <n v="1.8781699999999999"/>
    <n v="0"/>
    <n v="1.75454"/>
    <n v="2.9635199999999999"/>
    <n v="538783000"/>
    <n v="0"/>
    <n v="0"/>
    <n v="0"/>
    <n v="0"/>
    <n v="5641650"/>
    <n v="940774"/>
    <n v="0"/>
    <n v="47"/>
    <x v="21"/>
    <n v="6.1264072359081878E-8"/>
    <n v="-7.2770442479894917E-9"/>
  </r>
  <r>
    <n v="60.423000000000002"/>
    <n v="85.138999999999996"/>
    <n v="0.97520899999999999"/>
    <n v="0.02"/>
    <n v="0"/>
    <n v="2.8508599999999999"/>
    <n v="3.15326"/>
    <n v="0"/>
    <n v="0.53419300000000003"/>
    <n v="5.3222399999999999"/>
    <n v="141114000"/>
    <n v="0"/>
    <n v="0"/>
    <n v="0"/>
    <n v="0"/>
    <n v="4261960"/>
    <n v="-84377.7"/>
    <n v="408539"/>
    <n v="94.705699999999993"/>
    <n v="98.274000000000001"/>
    <n v="2.3433999999999999"/>
    <n v="0"/>
    <n v="0"/>
    <n v="2.1807500000000002"/>
    <n v="1.87835"/>
    <n v="0"/>
    <n v="1.6847099999999999"/>
    <n v="2.9635199999999999"/>
    <n v="539724000"/>
    <n v="0"/>
    <n v="0"/>
    <n v="0"/>
    <n v="0"/>
    <n v="5642130"/>
    <n v="940790"/>
    <n v="0"/>
    <n v="48"/>
    <x v="21"/>
    <n v="6.1259902209982402E-8"/>
    <n v="-7.2735262219397686E-9"/>
  </r>
  <r>
    <n v="58.881100000000004"/>
    <n v="85.138999999999996"/>
    <n v="1.3713"/>
    <n v="0.02"/>
    <n v="0"/>
    <n v="2.8511700000000002"/>
    <n v="3.1535700000000002"/>
    <n v="0"/>
    <n v="0.53425"/>
    <n v="5.3222399999999999"/>
    <n v="141030000"/>
    <n v="0"/>
    <n v="0"/>
    <n v="0"/>
    <n v="0"/>
    <n v="4262420"/>
    <n v="-84345.9"/>
    <n v="408539"/>
    <n v="94.395600000000002"/>
    <n v="98.274000000000001"/>
    <n v="2.9211999999999998"/>
    <n v="0"/>
    <n v="0"/>
    <n v="2.1809400000000001"/>
    <n v="1.8785400000000001"/>
    <n v="0"/>
    <n v="1.68485"/>
    <n v="2.9635199999999999"/>
    <n v="540665000"/>
    <n v="0"/>
    <n v="0"/>
    <n v="0"/>
    <n v="0"/>
    <n v="5642600"/>
    <n v="940805"/>
    <n v="0"/>
    <n v="49"/>
    <x v="21"/>
    <n v="6.1255776219817038E-8"/>
    <n v="-7.2700003359507972E-9"/>
  </r>
  <r>
    <n v="58.852899999999998"/>
    <n v="85.138999999999996"/>
    <n v="2.9251399999999999"/>
    <n v="0.02"/>
    <n v="0"/>
    <n v="2.8514699999999999"/>
    <n v="3.15387"/>
    <n v="0"/>
    <n v="0.53430800000000001"/>
    <n v="5.3222399999999999"/>
    <n v="140945000"/>
    <n v="0"/>
    <n v="0"/>
    <n v="0"/>
    <n v="0"/>
    <n v="4262880"/>
    <n v="-84314.2"/>
    <n v="408539"/>
    <n v="94.734300000000005"/>
    <n v="98.274000000000001"/>
    <n v="4.7274500000000002"/>
    <n v="0"/>
    <n v="0"/>
    <n v="2.1811199999999999"/>
    <n v="1.8787199999999999"/>
    <n v="0"/>
    <n v="1.68499"/>
    <n v="2.9635199999999999"/>
    <n v="541605000"/>
    <n v="0"/>
    <n v="0"/>
    <n v="0"/>
    <n v="0"/>
    <n v="5643080"/>
    <n v="940821"/>
    <n v="0"/>
    <n v="50"/>
    <x v="21"/>
    <n v="6.1251607478421945E-8"/>
    <n v="-7.2664838292456264E-9"/>
  </r>
  <r>
    <n v="58.848799999999997"/>
    <n v="85.138999999999996"/>
    <n v="2.802"/>
    <n v="0.03"/>
    <n v="0"/>
    <n v="2.6142400000000001"/>
    <n v="2.9166400000000001"/>
    <n v="0"/>
    <n v="0.53436600000000001"/>
    <n v="5.3222399999999999"/>
    <n v="140836000"/>
    <n v="0"/>
    <n v="0"/>
    <n v="0"/>
    <n v="0"/>
    <n v="3908220"/>
    <n v="-108703"/>
    <n v="408539"/>
    <n v="94.786799999999999"/>
    <n v="98.274000000000001"/>
    <n v="4.2348100000000004"/>
    <n v="0"/>
    <n v="0"/>
    <n v="1.99258"/>
    <n v="1.69018"/>
    <n v="0"/>
    <n v="1.68513"/>
    <n v="2.9635199999999999"/>
    <n v="542530000"/>
    <n v="0"/>
    <n v="0"/>
    <n v="0"/>
    <n v="0"/>
    <n v="5155270"/>
    <n v="924920"/>
    <n v="0"/>
    <n v="51"/>
    <x v="21"/>
    <n v="6.5914270502294512E-8"/>
    <n v="-1.0218548776542574E-8"/>
  </r>
  <r>
    <n v="58.8932"/>
    <n v="85.138999999999996"/>
    <n v="2.8456899999999998"/>
    <n v="0.03"/>
    <n v="0"/>
    <n v="2.6145200000000002"/>
    <n v="2.9169200000000002"/>
    <n v="0"/>
    <n v="0.48990800000000001"/>
    <n v="5.3222399999999999"/>
    <n v="140728000"/>
    <n v="0"/>
    <n v="0"/>
    <n v="0"/>
    <n v="0"/>
    <n v="3908650"/>
    <n v="-108673"/>
    <n v="408539"/>
    <n v="94.983500000000006"/>
    <n v="98.274000000000001"/>
    <n v="4.3806500000000002"/>
    <n v="0"/>
    <n v="0"/>
    <n v="1.99274"/>
    <n v="1.69034"/>
    <n v="0"/>
    <n v="1.5394600000000001"/>
    <n v="2.9635199999999999"/>
    <n v="543455000"/>
    <n v="0"/>
    <n v="0"/>
    <n v="0"/>
    <n v="0"/>
    <n v="5155690"/>
    <n v="924934"/>
    <n v="0"/>
    <n v="52"/>
    <x v="21"/>
    <n v="6.5909898528583618E-8"/>
    <n v="-1.0214604790809102E-8"/>
  </r>
  <r>
    <n v="59.565300000000001"/>
    <n v="85.138999999999996"/>
    <n v="3.6445799999999999"/>
    <n v="0.04"/>
    <n v="0"/>
    <n v="2.6148099999999999"/>
    <n v="2.9172099999999999"/>
    <n v="0"/>
    <n v="0.48996200000000001"/>
    <n v="5.3222399999999999"/>
    <n v="140619000"/>
    <n v="0"/>
    <n v="0"/>
    <n v="0"/>
    <n v="0"/>
    <n v="3909070"/>
    <n v="-108644"/>
    <n v="408539"/>
    <n v="95.370500000000007"/>
    <n v="98.274000000000001"/>
    <n v="5.8401800000000001"/>
    <n v="0"/>
    <n v="0"/>
    <n v="1.99291"/>
    <n v="1.69051"/>
    <n v="0"/>
    <n v="1.53959"/>
    <n v="2.9635199999999999"/>
    <n v="544380000"/>
    <n v="0"/>
    <n v="0"/>
    <n v="0"/>
    <n v="0"/>
    <n v="5156120"/>
    <n v="924948"/>
    <n v="0"/>
    <n v="1"/>
    <x v="22"/>
    <n v="3.2546069434239379E-8"/>
    <n v="-5.0423912984581713E-9"/>
  </r>
  <r>
    <n v="58.843499999999999"/>
    <n v="85.138999999999996"/>
    <n v="2.1078000000000001"/>
    <n v="0.03"/>
    <n v="0"/>
    <n v="2.6150899999999999"/>
    <n v="2.9174899999999999"/>
    <n v="0"/>
    <n v="0.49001499999999998"/>
    <n v="5.3222399999999999"/>
    <n v="140511000"/>
    <n v="0"/>
    <n v="0"/>
    <n v="0"/>
    <n v="0"/>
    <n v="3909500"/>
    <n v="-108614"/>
    <n v="408539"/>
    <n v="95.261099999999999"/>
    <n v="98.274000000000001"/>
    <n v="3.6354000000000002"/>
    <n v="0"/>
    <n v="0"/>
    <n v="1.9930699999999999"/>
    <n v="1.6906699999999999"/>
    <n v="0"/>
    <n v="1.53972"/>
    <n v="2.9635199999999999"/>
    <n v="545305000"/>
    <n v="0"/>
    <n v="0"/>
    <n v="0"/>
    <n v="0"/>
    <n v="5156550"/>
    <n v="924962"/>
    <n v="0"/>
    <n v="2"/>
    <x v="22"/>
    <n v="3.254384802297536E-8"/>
    <n v="-5.0404444849505243E-9"/>
  </r>
  <r>
    <n v="57.972000000000001"/>
    <n v="85.138999999999996"/>
    <n v="1.9155599999999999"/>
    <n v="0.05"/>
    <n v="0"/>
    <n v="2.61538"/>
    <n v="2.91778"/>
    <n v="0"/>
    <n v="0.49006899999999998"/>
    <n v="5.3222399999999999"/>
    <n v="140402000"/>
    <n v="0"/>
    <n v="0"/>
    <n v="0"/>
    <n v="0"/>
    <n v="3909930"/>
    <n v="-108585"/>
    <n v="408539"/>
    <n v="94.939899999999994"/>
    <n v="98.274000000000001"/>
    <n v="3.01308"/>
    <n v="0"/>
    <n v="0"/>
    <n v="1.9932399999999999"/>
    <n v="1.6908399999999999"/>
    <n v="0"/>
    <n v="1.5398499999999999"/>
    <n v="2.9635199999999999"/>
    <n v="546230000"/>
    <n v="0"/>
    <n v="0"/>
    <n v="0"/>
    <n v="0"/>
    <n v="5156980"/>
    <n v="924976"/>
    <n v="0"/>
    <n v="3"/>
    <x v="22"/>
    <n v="3.2541626982163364E-8"/>
    <n v="-5.0385445014964277E-9"/>
  </r>
  <r>
    <n v="56.709699999999998"/>
    <n v="85.138999999999996"/>
    <n v="1.5606599999999999"/>
    <n v="0.06"/>
    <n v="0"/>
    <n v="2.7070699999999999"/>
    <n v="3.0094699999999999"/>
    <n v="0"/>
    <n v="0.490122"/>
    <n v="5.3222399999999999"/>
    <n v="140303000"/>
    <n v="0"/>
    <n v="0"/>
    <n v="0"/>
    <n v="0"/>
    <n v="4047010"/>
    <n v="-99158.8"/>
    <n v="408539"/>
    <n v="94.774699999999996"/>
    <n v="98.274000000000001"/>
    <n v="2.6963200000000001"/>
    <n v="0"/>
    <n v="0"/>
    <n v="2.0480800000000001"/>
    <n v="1.7456799999999999"/>
    <n v="0"/>
    <n v="1.5399799999999999"/>
    <n v="2.9635199999999999"/>
    <n v="547160000"/>
    <n v="0"/>
    <n v="0"/>
    <n v="0"/>
    <n v="0"/>
    <n v="5298860"/>
    <n v="929601"/>
    <n v="0"/>
    <n v="4"/>
    <x v="22"/>
    <n v="3.1828661992089961E-8"/>
    <n v="-4.4453015822227798E-9"/>
  </r>
  <r>
    <n v="55.195"/>
    <n v="85.138999999999996"/>
    <n v="1.26248"/>
    <n v="0.05"/>
    <n v="0.02"/>
    <n v="2.7073499999999999"/>
    <n v="3.0097499999999999"/>
    <n v="0"/>
    <n v="0.50730600000000003"/>
    <n v="5.3222399999999999"/>
    <n v="140204000"/>
    <n v="0"/>
    <n v="0"/>
    <n v="0"/>
    <n v="29016000"/>
    <n v="4047420"/>
    <n v="-99130.5"/>
    <n v="408539"/>
    <n v="94.789100000000005"/>
    <n v="98.274000000000001"/>
    <n v="2.6732499999999999"/>
    <n v="0"/>
    <n v="0"/>
    <n v="2.0482399999999998"/>
    <n v="1.7458400000000001"/>
    <n v="0"/>
    <n v="1.5823400000000001"/>
    <n v="2.9635199999999999"/>
    <n v="548089000"/>
    <n v="0"/>
    <n v="0"/>
    <n v="0"/>
    <n v="7883220"/>
    <n v="5299270"/>
    <n v="929614"/>
    <n v="0"/>
    <n v="5"/>
    <x v="22"/>
    <n v="3.0171978351718464E-7"/>
    <n v="1.2962156089931839E-6"/>
  </r>
  <r>
    <n v="54.372900000000001"/>
    <n v="85.138999999999996"/>
    <n v="1.9394800000000001"/>
    <n v="0.05"/>
    <n v="0.02"/>
    <n v="2.7076199999999999"/>
    <n v="3.0100199999999999"/>
    <n v="0"/>
    <n v="0.50735699999999995"/>
    <n v="5.3222399999999999"/>
    <n v="140105000"/>
    <n v="0"/>
    <n v="0"/>
    <n v="0"/>
    <n v="0"/>
    <n v="4047830"/>
    <n v="-99102.3"/>
    <n v="408539"/>
    <n v="94.861099999999993"/>
    <n v="98.274000000000001"/>
    <n v="3.02854"/>
    <n v="0"/>
    <n v="0"/>
    <n v="2.0483899999999999"/>
    <n v="1.7459899999999999"/>
    <n v="0"/>
    <n v="1.58247"/>
    <n v="2.9635199999999999"/>
    <n v="549019000"/>
    <n v="0"/>
    <n v="0"/>
    <n v="0"/>
    <n v="0"/>
    <n v="5299680"/>
    <n v="929628"/>
    <n v="0"/>
    <n v="6"/>
    <x v="22"/>
    <n v="3.1824661571762946E-8"/>
    <n v="-4.4418686742952654E-9"/>
  </r>
  <r>
    <n v="54.483499999999999"/>
    <n v="85.138999999999996"/>
    <n v="2.94373"/>
    <n v="7.0000000000000007E-2"/>
    <n v="0.02"/>
    <n v="2.7079"/>
    <n v="3.0103"/>
    <n v="0"/>
    <n v="0.507409"/>
    <n v="5.3222399999999999"/>
    <n v="140006000"/>
    <n v="0"/>
    <n v="0"/>
    <n v="0"/>
    <n v="0"/>
    <n v="4048240"/>
    <n v="-99074"/>
    <n v="408539"/>
    <n v="95.028800000000004"/>
    <n v="98.274000000000001"/>
    <n v="3.3790800000000001"/>
    <n v="0"/>
    <n v="0"/>
    <n v="2.0485500000000001"/>
    <n v="1.7461500000000001"/>
    <n v="0"/>
    <n v="1.5825899999999999"/>
    <n v="2.9635199999999999"/>
    <n v="549949000"/>
    <n v="0"/>
    <n v="0"/>
    <n v="0"/>
    <n v="0"/>
    <n v="5300100"/>
    <n v="929641"/>
    <n v="0"/>
    <n v="7"/>
    <x v="22"/>
    <n v="3.1822584668642521E-8"/>
    <n v="-4.4401505010262768E-9"/>
  </r>
  <r>
    <n v="54.817599999999999"/>
    <n v="85.138999999999996"/>
    <n v="3.4447399999999999"/>
    <n v="0.08"/>
    <n v="0.02"/>
    <n v="3.0018199999999999"/>
    <n v="3.3042199999999999"/>
    <n v="0"/>
    <n v="0.50746000000000002"/>
    <n v="5.3222399999999999"/>
    <n v="139937000"/>
    <n v="0"/>
    <n v="0"/>
    <n v="0"/>
    <n v="0"/>
    <n v="4487640"/>
    <n v="-68858.5"/>
    <n v="408539"/>
    <n v="94.694599999999994"/>
    <n v="98.274000000000001"/>
    <n v="3.0304799999999998"/>
    <n v="0"/>
    <n v="0"/>
    <n v="2.2540399999999998"/>
    <n v="1.95164"/>
    <n v="0"/>
    <n v="1.5827100000000001"/>
    <n v="2.9635199999999999"/>
    <n v="550896000"/>
    <n v="0"/>
    <n v="0"/>
    <n v="0"/>
    <n v="0"/>
    <n v="5831750"/>
    <n v="946971"/>
    <n v="0"/>
    <n v="8"/>
    <x v="22"/>
    <n v="2.9460629785423859E-8"/>
    <n v="-2.7838369357997065E-9"/>
  </r>
  <r>
    <n v="53.911799999999999"/>
    <n v="85.138999999999996"/>
    <n v="2.1044399999999999"/>
    <n v="0.05"/>
    <n v="0.02"/>
    <n v="3.0021200000000001"/>
    <n v="3.3045200000000001"/>
    <n v="0"/>
    <n v="0.56254099999999996"/>
    <n v="5.3222399999999999"/>
    <n v="139868000"/>
    <n v="0"/>
    <n v="0"/>
    <n v="0"/>
    <n v="0"/>
    <n v="4488090"/>
    <n v="-68827.5"/>
    <n v="408539"/>
    <n v="94.4876"/>
    <n v="98.274000000000001"/>
    <n v="2.1603599999999998"/>
    <n v="0"/>
    <n v="0"/>
    <n v="2.2542200000000001"/>
    <n v="1.9518200000000001"/>
    <n v="0"/>
    <n v="1.7414700000000001"/>
    <n v="2.9635199999999999"/>
    <n v="551843000"/>
    <n v="0"/>
    <n v="0"/>
    <n v="0"/>
    <n v="0"/>
    <n v="5832210"/>
    <n v="946986"/>
    <n v="0"/>
    <n v="9"/>
    <x v="22"/>
    <n v="2.9458772775795196E-8"/>
    <n v="-2.782304659543531E-9"/>
  </r>
  <r>
    <n v="53.300199999999997"/>
    <n v="85.138999999999996"/>
    <n v="2.4031400000000001"/>
    <n v="0.08"/>
    <n v="0.02"/>
    <n v="3.0024199999999999"/>
    <n v="3.3048199999999999"/>
    <n v="0"/>
    <n v="0.56259700000000001"/>
    <n v="5.3222399999999999"/>
    <n v="139799000"/>
    <n v="0"/>
    <n v="0"/>
    <n v="0"/>
    <n v="0"/>
    <n v="4488540"/>
    <n v="-68796.5"/>
    <n v="408539"/>
    <n v="94.389399999999995"/>
    <n v="98.274000000000001"/>
    <n v="3.1170499999999999"/>
    <n v="0"/>
    <n v="0"/>
    <n v="2.2544"/>
    <n v="1.952"/>
    <n v="0"/>
    <n v="1.7416100000000001"/>
    <n v="2.9635199999999999"/>
    <n v="552790000"/>
    <n v="0"/>
    <n v="0"/>
    <n v="0"/>
    <n v="0"/>
    <n v="5832670"/>
    <n v="947001"/>
    <n v="0"/>
    <n v="10"/>
    <x v="22"/>
    <n v="2.9456916059076783E-8"/>
    <n v="-2.7807726905250383E-9"/>
  </r>
  <r>
    <n v="53.3018"/>
    <n v="85.138999999999996"/>
    <n v="3.0455999999999999"/>
    <n v="7.0000000000000007E-2"/>
    <n v="0.02"/>
    <n v="3.0027200000000001"/>
    <n v="3.3051200000000001"/>
    <n v="0"/>
    <n v="0.56265399999999999"/>
    <n v="5.3222399999999999"/>
    <n v="139730000"/>
    <n v="0"/>
    <n v="0"/>
    <n v="0"/>
    <n v="0"/>
    <n v="4489000"/>
    <n v="-68765.399999999994"/>
    <n v="408539"/>
    <n v="94.254000000000005"/>
    <n v="98.274000000000001"/>
    <n v="2.9257200000000001"/>
    <n v="0"/>
    <n v="0"/>
    <n v="2.2545799999999998"/>
    <n v="1.95218"/>
    <n v="0"/>
    <n v="1.7417499999999999"/>
    <n v="2.9635199999999999"/>
    <n v="553737000"/>
    <n v="0"/>
    <n v="0"/>
    <n v="0"/>
    <n v="0"/>
    <n v="5833130"/>
    <n v="947016"/>
    <n v="0"/>
    <n v="11"/>
    <x v="22"/>
    <n v="2.9455059635199335E-8"/>
    <n v="-2.7792307958143503E-9"/>
  </r>
  <r>
    <n v="53.596899999999998"/>
    <n v="85.138999999999996"/>
    <n v="3.03241"/>
    <n v="0.09"/>
    <n v="0.02"/>
    <n v="2.5840399999999999"/>
    <n v="2.8864399999999999"/>
    <n v="0"/>
    <n v="0.56271000000000004"/>
    <n v="5.3222399999999999"/>
    <n v="139618000"/>
    <n v="0"/>
    <n v="0"/>
    <n v="0"/>
    <n v="0"/>
    <n v="3863080"/>
    <n v="-111807"/>
    <n v="408539"/>
    <n v="94.1143"/>
    <n v="98.274000000000001"/>
    <n v="2.6604299999999999"/>
    <n v="0"/>
    <n v="0"/>
    <n v="1.9791000000000001"/>
    <n v="1.6767000000000001"/>
    <n v="0"/>
    <n v="1.7418899999999999"/>
    <n v="2.9635199999999999"/>
    <n v="554660000"/>
    <n v="0"/>
    <n v="0"/>
    <n v="0"/>
    <n v="0"/>
    <n v="5120410"/>
    <n v="923784"/>
    <n v="0"/>
    <n v="12"/>
    <x v="22"/>
    <n v="3.273180416651357E-8"/>
    <n v="-5.2509700103092559E-9"/>
  </r>
  <r>
    <n v="55.2102"/>
    <n v="85.138999999999996"/>
    <n v="4.3750900000000001"/>
    <n v="0.09"/>
    <n v="0.02"/>
    <n v="2.5843099999999999"/>
    <n v="2.8867099999999999"/>
    <n v="0"/>
    <n v="0.48424899999999999"/>
    <n v="5.3222399999999999"/>
    <n v="139507000"/>
    <n v="0"/>
    <n v="0"/>
    <n v="0"/>
    <n v="0"/>
    <n v="3863470"/>
    <n v="-111780"/>
    <n v="408539"/>
    <n v="94.324299999999994"/>
    <n v="98.274000000000001"/>
    <n v="3.69251"/>
    <n v="0"/>
    <n v="0"/>
    <n v="1.97925"/>
    <n v="1.67685"/>
    <n v="0"/>
    <n v="1.52905"/>
    <n v="2.9635199999999999"/>
    <n v="555584000"/>
    <n v="0"/>
    <n v="0"/>
    <n v="0"/>
    <n v="0"/>
    <n v="5120800"/>
    <n v="923797"/>
    <n v="0"/>
    <n v="13"/>
    <x v="22"/>
    <n v="3.2729771898119303E-8"/>
    <n v="-5.2491720324450947E-9"/>
  </r>
  <r>
    <n v="58.628"/>
    <n v="85.138999999999996"/>
    <n v="6.2595700000000001"/>
    <n v="0.06"/>
    <n v="0.02"/>
    <n v="2.5845699999999998"/>
    <n v="2.8869699999999998"/>
    <n v="0"/>
    <n v="0.48429899999999998"/>
    <n v="5.3222399999999999"/>
    <n v="139395000"/>
    <n v="0"/>
    <n v="0"/>
    <n v="0"/>
    <n v="0"/>
    <n v="3863870"/>
    <n v="-111753"/>
    <n v="408539"/>
    <n v="94.808599999999998"/>
    <n v="98.274000000000001"/>
    <n v="4.5971500000000001"/>
    <n v="0"/>
    <n v="0"/>
    <n v="1.9794099999999999"/>
    <n v="1.6770099999999999"/>
    <n v="0"/>
    <n v="1.5291699999999999"/>
    <n v="2.9635199999999999"/>
    <n v="556508000"/>
    <n v="0"/>
    <n v="0"/>
    <n v="0"/>
    <n v="0"/>
    <n v="5121200"/>
    <n v="923810"/>
    <n v="0"/>
    <n v="14"/>
    <x v="22"/>
    <n v="3.2727676032867475E-8"/>
    <n v="-5.247360836921486E-9"/>
  </r>
  <r>
    <n v="61.309800000000003"/>
    <n v="85.138999999999996"/>
    <n v="5.4984200000000003"/>
    <n v="0.06"/>
    <n v="0.02"/>
    <n v="2.5848300000000002"/>
    <n v="2.8872300000000002"/>
    <n v="0"/>
    <n v="0.484348"/>
    <n v="5.3222399999999999"/>
    <n v="139283000"/>
    <n v="0"/>
    <n v="0"/>
    <n v="0"/>
    <n v="0"/>
    <n v="3864260"/>
    <n v="-111725"/>
    <n v="408539"/>
    <n v="95.071299999999994"/>
    <n v="98.274000000000001"/>
    <n v="3.9148700000000001"/>
    <n v="0"/>
    <n v="0"/>
    <n v="1.97956"/>
    <n v="1.67716"/>
    <n v="0"/>
    <n v="1.52929"/>
    <n v="2.9635199999999999"/>
    <n v="557432000"/>
    <n v="0"/>
    <n v="0"/>
    <n v="0"/>
    <n v="0"/>
    <n v="5121590"/>
    <n v="923822"/>
    <n v="0"/>
    <n v="15"/>
    <x v="22"/>
    <n v="3.2725608968148725E-8"/>
    <n v="-5.2455166406373627E-9"/>
  </r>
  <r>
    <n v="63.236400000000003"/>
    <n v="85.138999999999996"/>
    <n v="4.7986700000000004"/>
    <n v="0.05"/>
    <n v="0.02"/>
    <n v="2.5851000000000002"/>
    <n v="2.8875000000000002"/>
    <n v="0"/>
    <n v="0.484398"/>
    <n v="5.3222399999999999"/>
    <n v="139171000"/>
    <n v="0"/>
    <n v="0"/>
    <n v="0"/>
    <n v="0"/>
    <n v="3864650"/>
    <n v="-111698"/>
    <n v="408539"/>
    <n v="95.464600000000004"/>
    <n v="98.274000000000001"/>
    <n v="4.3659600000000003"/>
    <n v="0"/>
    <n v="0"/>
    <n v="1.9797100000000001"/>
    <n v="1.6773100000000001"/>
    <n v="0"/>
    <n v="1.5294099999999999"/>
    <n v="2.9635199999999999"/>
    <n v="558356000"/>
    <n v="0"/>
    <n v="0"/>
    <n v="0"/>
    <n v="0"/>
    <n v="5121990"/>
    <n v="923835"/>
    <n v="0"/>
    <n v="16"/>
    <x v="22"/>
    <n v="3.2723513751259259E-8"/>
    <n v="-5.2437197620779384E-9"/>
  </r>
  <r>
    <n v="65.642200000000003"/>
    <n v="85.138999999999996"/>
    <n v="5.4818699999999998"/>
    <n v="0.05"/>
    <n v="0.02"/>
    <n v="2.6908699999999999"/>
    <n v="2.9932699999999999"/>
    <n v="0"/>
    <n v="0.48444700000000002"/>
    <n v="5.3222399999999999"/>
    <n v="139071000"/>
    <n v="0"/>
    <n v="0"/>
    <n v="0"/>
    <n v="0"/>
    <n v="4022790"/>
    <n v="-100824"/>
    <n v="408539"/>
    <n v="95.390900000000002"/>
    <n v="98.274000000000001"/>
    <n v="3.2942800000000001"/>
    <n v="0"/>
    <n v="0"/>
    <n v="2.0473300000000001"/>
    <n v="1.7449300000000001"/>
    <n v="0"/>
    <n v="1.5295300000000001"/>
    <n v="2.9635199999999999"/>
    <n v="559285000"/>
    <n v="0"/>
    <n v="0"/>
    <n v="0"/>
    <n v="0"/>
    <n v="5296940"/>
    <n v="929538"/>
    <n v="0"/>
    <n v="17"/>
    <x v="22"/>
    <n v="3.1838041193819681E-8"/>
    <n v="-4.5471659755244942E-9"/>
  </r>
  <r>
    <n v="68.629199999999997"/>
    <n v="85.138999999999996"/>
    <n v="6.10724"/>
    <n v="0.03"/>
    <n v="0.02"/>
    <n v="2.6911499999999999"/>
    <n v="2.9935499999999999"/>
    <n v="0"/>
    <n v="0.50427"/>
    <n v="5.3222399999999999"/>
    <n v="138970000"/>
    <n v="0"/>
    <n v="0"/>
    <n v="0"/>
    <n v="0"/>
    <n v="4023200"/>
    <n v="-100796"/>
    <n v="408539"/>
    <n v="96.181600000000003"/>
    <n v="98.274000000000001"/>
    <n v="5.5914999999999999"/>
    <n v="0"/>
    <n v="0"/>
    <n v="2.0474899999999998"/>
    <n v="1.74509"/>
    <n v="0"/>
    <n v="1.5817699999999999"/>
    <n v="2.9635199999999999"/>
    <n v="560215000"/>
    <n v="0"/>
    <n v="0"/>
    <n v="0"/>
    <n v="0"/>
    <n v="5297350"/>
    <n v="929551"/>
    <n v="0"/>
    <n v="18"/>
    <x v="22"/>
    <n v="3.1836022253546166E-8"/>
    <n v="-4.545439906411237E-9"/>
  </r>
  <r>
    <n v="70.620800000000003"/>
    <n v="85.138999999999996"/>
    <n v="5.2184699999999999"/>
    <n v="0.03"/>
    <n v="0.02"/>
    <n v="2.6914199999999999"/>
    <n v="2.9938199999999999"/>
    <n v="0"/>
    <n v="0.50432100000000002"/>
    <n v="5.3222399999999999"/>
    <n v="138869000"/>
    <n v="0"/>
    <n v="0"/>
    <n v="0"/>
    <n v="0"/>
    <n v="4023600"/>
    <n v="-100768"/>
    <n v="408539"/>
    <n v="96.982299999999995"/>
    <n v="98.274000000000001"/>
    <n v="6.2999400000000003"/>
    <n v="0"/>
    <n v="0"/>
    <n v="2.04765"/>
    <n v="1.74525"/>
    <n v="0"/>
    <n v="1.58189"/>
    <n v="2.9635199999999999"/>
    <n v="561144000"/>
    <n v="0"/>
    <n v="0"/>
    <n v="0"/>
    <n v="0"/>
    <n v="5297760"/>
    <n v="929565"/>
    <n v="0"/>
    <n v="19"/>
    <x v="22"/>
    <n v="3.1834037871935697E-8"/>
    <n v="-4.5437254817246241E-9"/>
  </r>
  <r>
    <n v="71.223100000000002"/>
    <n v="85.138999999999996"/>
    <n v="3.7627199999999998"/>
    <n v="0.02"/>
    <n v="0.02"/>
    <n v="2.6916899999999999"/>
    <n v="2.9940899999999999"/>
    <n v="0"/>
    <n v="0.50437200000000004"/>
    <n v="5.3222399999999999"/>
    <n v="138768000"/>
    <n v="0"/>
    <n v="0"/>
    <n v="0"/>
    <n v="0"/>
    <n v="4024010"/>
    <n v="-100740"/>
    <n v="408539"/>
    <n v="97.270600000000002"/>
    <n v="98.274000000000001"/>
    <n v="4.4344200000000003"/>
    <n v="0"/>
    <n v="0"/>
    <n v="2.0478100000000001"/>
    <n v="1.7454099999999999"/>
    <n v="0"/>
    <n v="1.58202"/>
    <n v="2.9635199999999999"/>
    <n v="562074000"/>
    <n v="0"/>
    <n v="0"/>
    <n v="0"/>
    <n v="0"/>
    <n v="5298180"/>
    <n v="929578"/>
    <n v="0"/>
    <n v="20"/>
    <x v="22"/>
    <n v="3.1831959472886471E-8"/>
    <n v="-4.5420001106012934E-9"/>
  </r>
  <r>
    <n v="71.620400000000004"/>
    <n v="85.138999999999996"/>
    <n v="3.3883399999999999"/>
    <n v="0.01"/>
    <n v="0.02"/>
    <n v="2.6507000000000001"/>
    <n v="2.9531000000000001"/>
    <n v="0"/>
    <n v="0.50442299999999995"/>
    <n v="5.3222399999999999"/>
    <n v="138663000"/>
    <n v="0"/>
    <n v="0"/>
    <n v="0"/>
    <n v="0"/>
    <n v="3962720"/>
    <n v="-104954"/>
    <n v="408539"/>
    <n v="97.266099999999994"/>
    <n v="98.274000000000001"/>
    <n v="3.4904899999999999"/>
    <n v="0"/>
    <n v="0"/>
    <n v="2.02176"/>
    <n v="1.71936"/>
    <n v="0"/>
    <n v="1.5821400000000001"/>
    <n v="2.9635199999999999"/>
    <n v="563001000"/>
    <n v="0"/>
    <n v="0"/>
    <n v="0"/>
    <n v="0"/>
    <n v="5230770"/>
    <n v="927381"/>
    <n v="0"/>
    <n v="21"/>
    <x v="22"/>
    <n v="3.2165982022975569E-8"/>
    <n v="-4.8051821318784324E-9"/>
  </r>
  <r>
    <n v="71.400400000000005"/>
    <n v="85.138999999999996"/>
    <n v="2.69848"/>
    <n v="0.01"/>
    <n v="0.02"/>
    <n v="2.65097"/>
    <n v="2.9533700000000001"/>
    <n v="0"/>
    <n v="0.49674099999999999"/>
    <n v="5.3222399999999999"/>
    <n v="138558000"/>
    <n v="0"/>
    <n v="0"/>
    <n v="0"/>
    <n v="0"/>
    <n v="3963130"/>
    <n v="-104927"/>
    <n v="408539"/>
    <n v="97.065399999999997"/>
    <n v="98.274000000000001"/>
    <n v="2.5878899999999998"/>
    <n v="0"/>
    <n v="0"/>
    <n v="2.0219200000000002"/>
    <n v="1.7195199999999999"/>
    <n v="0"/>
    <n v="1.5620099999999999"/>
    <n v="2.9635199999999999"/>
    <n v="563929000"/>
    <n v="0"/>
    <n v="0"/>
    <n v="0"/>
    <n v="0"/>
    <n v="5231180"/>
    <n v="927394"/>
    <n v="0"/>
    <n v="22"/>
    <x v="22"/>
    <n v="3.2163911842060775E-8"/>
    <n v="-4.8034489866349261E-9"/>
  </r>
  <r>
    <n v="70.980400000000003"/>
    <n v="85.138999999999996"/>
    <n v="2.4860099999999998"/>
    <n v="0.01"/>
    <n v="0.02"/>
    <n v="2.65124"/>
    <n v="2.95364"/>
    <n v="0"/>
    <n v="0.49679099999999998"/>
    <n v="5.3222399999999999"/>
    <n v="138454000"/>
    <n v="0"/>
    <n v="0"/>
    <n v="0"/>
    <n v="0"/>
    <n v="3963530"/>
    <n v="-104899"/>
    <n v="408539"/>
    <n v="96.873400000000004"/>
    <n v="98.274000000000001"/>
    <n v="2.73868"/>
    <n v="0"/>
    <n v="0"/>
    <n v="2.0220699999999998"/>
    <n v="1.71967"/>
    <n v="0"/>
    <n v="1.56213"/>
    <n v="2.9635199999999999"/>
    <n v="564856000"/>
    <n v="0"/>
    <n v="0"/>
    <n v="0"/>
    <n v="0"/>
    <n v="5231580"/>
    <n v="927408"/>
    <n v="0"/>
    <n v="23"/>
    <x v="22"/>
    <n v="3.2161938141355903E-8"/>
    <n v="-4.8016825403607356E-9"/>
  </r>
  <r>
    <n v="71.922700000000006"/>
    <n v="85.138999999999996"/>
    <n v="3.8907099999999999"/>
    <n v="0.01"/>
    <n v="0.02"/>
    <n v="2.65151"/>
    <n v="2.95391"/>
    <n v="0"/>
    <n v="0.49684200000000001"/>
    <n v="5.3222399999999999"/>
    <n v="138349000"/>
    <n v="0"/>
    <n v="0"/>
    <n v="0"/>
    <n v="0"/>
    <n v="3963930"/>
    <n v="-104871"/>
    <n v="408539"/>
    <n v="96.828299999999999"/>
    <n v="98.274000000000001"/>
    <n v="3.1142300000000001"/>
    <n v="0"/>
    <n v="0"/>
    <n v="2.02223"/>
    <n v="1.71983"/>
    <n v="0"/>
    <n v="1.5622499999999999"/>
    <n v="2.9635199999999999"/>
    <n v="565783000"/>
    <n v="0"/>
    <n v="0"/>
    <n v="0"/>
    <n v="0"/>
    <n v="5231990"/>
    <n v="927421"/>
    <n v="0"/>
    <n v="24"/>
    <x v="22"/>
    <n v="3.2159868597834923E-8"/>
    <n v="-4.7999164505905745E-9"/>
  </r>
  <r>
    <n v="71.474199999999996"/>
    <n v="85.138999999999996"/>
    <n v="2.5390299999999999"/>
    <n v="0.01"/>
    <n v="0.02"/>
    <n v="2.7919100000000001"/>
    <n v="3.0943100000000001"/>
    <n v="0"/>
    <n v="0.496892"/>
    <n v="5.3222399999999999"/>
    <n v="138258000"/>
    <n v="0"/>
    <n v="0"/>
    <n v="0"/>
    <n v="0"/>
    <n v="4173840"/>
    <n v="-90437.2"/>
    <n v="408539"/>
    <n v="96.570599999999999"/>
    <n v="98.274000000000001"/>
    <n v="2.6247500000000001"/>
    <n v="0"/>
    <n v="0"/>
    <n v="2.11538"/>
    <n v="1.81298"/>
    <n v="0"/>
    <n v="1.56237"/>
    <n v="2.9635199999999999"/>
    <n v="566719000"/>
    <n v="0"/>
    <n v="0"/>
    <n v="0"/>
    <n v="0"/>
    <n v="5472990"/>
    <n v="935276"/>
    <n v="0"/>
    <n v="25"/>
    <x v="22"/>
    <n v="3.1004117972548485E-8"/>
    <n v="-3.9311132574892084E-9"/>
  </r>
  <r>
    <n v="70.898399999999995"/>
    <n v="85.138999999999996"/>
    <n v="2.36978"/>
    <n v="0.01"/>
    <n v="0.02"/>
    <n v="2.7921999999999998"/>
    <n v="3.0945999999999998"/>
    <n v="0"/>
    <n v="0.523204"/>
    <n v="5.3222399999999999"/>
    <n v="138168000"/>
    <n v="0"/>
    <n v="0"/>
    <n v="0"/>
    <n v="0"/>
    <n v="4174260"/>
    <n v="-90408.1"/>
    <n v="408539"/>
    <n v="96.25"/>
    <n v="98.274000000000001"/>
    <n v="2.5395400000000001"/>
    <n v="0"/>
    <n v="0"/>
    <n v="2.1155400000000002"/>
    <n v="1.81314"/>
    <n v="0"/>
    <n v="1.6343399999999999"/>
    <n v="2.9635199999999999"/>
    <n v="567654000"/>
    <n v="0"/>
    <n v="0"/>
    <n v="0"/>
    <n v="0"/>
    <n v="5473420"/>
    <n v="935290"/>
    <n v="0"/>
    <n v="26"/>
    <x v="22"/>
    <n v="3.1002146302345038E-8"/>
    <n v="-3.9294529340921369E-9"/>
  </r>
  <r>
    <n v="70.300399999999996"/>
    <n v="85.138999999999996"/>
    <n v="2.3385400000000001"/>
    <n v="0.01"/>
    <n v="0.02"/>
    <n v="2.7924799999999999"/>
    <n v="3.0948799999999999"/>
    <n v="0"/>
    <n v="0.52325699999999997"/>
    <n v="5.3222399999999999"/>
    <n v="138077000"/>
    <n v="0"/>
    <n v="0"/>
    <n v="0"/>
    <n v="0"/>
    <n v="4174680"/>
    <n v="-90379.1"/>
    <n v="408539"/>
    <n v="95.973799999999997"/>
    <n v="98.274000000000001"/>
    <n v="2.5821800000000001"/>
    <n v="0"/>
    <n v="0"/>
    <n v="2.11571"/>
    <n v="1.81331"/>
    <n v="0"/>
    <n v="1.6344700000000001"/>
    <n v="2.9635199999999999"/>
    <n v="568589000"/>
    <n v="0"/>
    <n v="0"/>
    <n v="0"/>
    <n v="0"/>
    <n v="5473840"/>
    <n v="935304"/>
    <n v="0"/>
    <n v="27"/>
    <x v="22"/>
    <n v="3.1000231575235054E-8"/>
    <n v="-3.927797290687022E-9"/>
  </r>
  <r>
    <n v="69.568399999999997"/>
    <n v="85.138999999999996"/>
    <n v="2.19049"/>
    <n v="0.01"/>
    <n v="0.02"/>
    <n v="2.7927599999999999"/>
    <n v="3.0951599999999999"/>
    <n v="0"/>
    <n v="0.52331000000000005"/>
    <n v="5.3222399999999999"/>
    <n v="137987000"/>
    <n v="0"/>
    <n v="0"/>
    <n v="0"/>
    <n v="0"/>
    <n v="4175110"/>
    <n v="-90350"/>
    <n v="408539"/>
    <n v="95.661699999999996"/>
    <n v="98.274000000000001"/>
    <n v="2.4538799999999998"/>
    <n v="0"/>
    <n v="0"/>
    <n v="2.1158700000000001"/>
    <n v="1.8134699999999999"/>
    <n v="0"/>
    <n v="1.6346000000000001"/>
    <n v="2.9635199999999999"/>
    <n v="569525000"/>
    <n v="0"/>
    <n v="0"/>
    <n v="0"/>
    <n v="0"/>
    <n v="5474270"/>
    <n v="935318"/>
    <n v="0"/>
    <n v="28"/>
    <x v="22"/>
    <n v="3.0998260516450203E-8"/>
    <n v="-3.9261282312346206E-9"/>
  </r>
  <r>
    <n v="68.732699999999994"/>
    <n v="85.138999999999996"/>
    <n v="2.0543200000000001"/>
    <n v="0.01"/>
    <n v="0.02"/>
    <n v="2.79304"/>
    <n v="3.09544"/>
    <n v="0"/>
    <n v="0.52336300000000002"/>
    <n v="5.3222399999999999"/>
    <n v="137897000"/>
    <n v="0"/>
    <n v="0"/>
    <n v="0"/>
    <n v="0"/>
    <n v="4175530"/>
    <n v="-90320.9"/>
    <n v="408539"/>
    <n v="95.104500000000002"/>
    <n v="98.274000000000001"/>
    <n v="2.3233299999999999"/>
    <n v="0"/>
    <n v="0"/>
    <n v="2.1160399999999999"/>
    <n v="1.8136399999999999"/>
    <n v="0"/>
    <n v="1.63472"/>
    <n v="2.9635199999999999"/>
    <n v="570460000"/>
    <n v="0"/>
    <n v="0"/>
    <n v="0"/>
    <n v="0"/>
    <n v="5474700"/>
    <n v="935332"/>
    <n v="0"/>
    <n v="29"/>
    <x v="22"/>
    <n v="3.0996289767291563E-8"/>
    <n v="-3.9244689142539183E-9"/>
  </r>
  <r>
    <n v="67.624499999999998"/>
    <n v="85.138999999999996"/>
    <n v="1.7081"/>
    <n v="0.02"/>
    <n v="0.02"/>
    <n v="2.7656000000000001"/>
    <n v="3.0680000000000001"/>
    <n v="0"/>
    <n v="0.52341599999999999"/>
    <n v="5.3222399999999999"/>
    <n v="137804000"/>
    <n v="0"/>
    <n v="0"/>
    <n v="0"/>
    <n v="0"/>
    <n v="4134500"/>
    <n v="-93142.2"/>
    <n v="408539"/>
    <n v="94.448999999999998"/>
    <n v="98.274000000000001"/>
    <n v="1.8048500000000001"/>
    <n v="0"/>
    <n v="0"/>
    <n v="2.1673399999999998"/>
    <n v="1.86494"/>
    <n v="0"/>
    <n v="1.6348499999999999"/>
    <n v="2.9635199999999999"/>
    <n v="571400000"/>
    <n v="0"/>
    <n v="0"/>
    <n v="0"/>
    <n v="0"/>
    <n v="5607420"/>
    <n v="939659"/>
    <n v="0"/>
    <n v="30"/>
    <x v="22"/>
    <n v="3.0402649778751247E-8"/>
    <n v="-4.0872174197556963E-9"/>
  </r>
  <r>
    <n v="66.377099999999999"/>
    <n v="85.138999999999996"/>
    <n v="1.5566800000000001"/>
    <n v="0.02"/>
    <n v="0.02"/>
    <n v="2.7658800000000001"/>
    <n v="3.0682800000000001"/>
    <n v="0"/>
    <n v="0.51827299999999998"/>
    <n v="5.3222399999999999"/>
    <n v="137711000"/>
    <n v="0"/>
    <n v="0"/>
    <n v="0"/>
    <n v="0"/>
    <n v="4134920"/>
    <n v="-93113.4"/>
    <n v="408539"/>
    <n v="93.812399999999997"/>
    <n v="98.274000000000001"/>
    <n v="1.65581"/>
    <n v="0"/>
    <n v="0"/>
    <n v="2.16751"/>
    <n v="1.86511"/>
    <n v="0"/>
    <n v="1.67449"/>
    <n v="2.9635199999999999"/>
    <n v="572339000"/>
    <n v="0"/>
    <n v="0"/>
    <n v="0"/>
    <n v="0"/>
    <n v="5607860"/>
    <n v="939673"/>
    <n v="0"/>
    <n v="31"/>
    <x v="22"/>
    <n v="3.0400717281452923E-8"/>
    <n v="-4.0855386068886719E-9"/>
  </r>
  <r>
    <n v="65.025400000000005"/>
    <n v="85.138999999999996"/>
    <n v="1.4222300000000001"/>
    <n v="0.02"/>
    <n v="0.02"/>
    <n v="2.7661600000000002"/>
    <n v="3.0685600000000002"/>
    <n v="0"/>
    <n v="0.51832599999999995"/>
    <n v="5.3222399999999999"/>
    <n v="137617000"/>
    <n v="0"/>
    <n v="0"/>
    <n v="0"/>
    <n v="0"/>
    <n v="4135340"/>
    <n v="-93084.6"/>
    <n v="408539"/>
    <n v="93.120800000000003"/>
    <n v="98.274000000000001"/>
    <n v="1.5867800000000001"/>
    <n v="0"/>
    <n v="0"/>
    <n v="2.1676799999999998"/>
    <n v="1.86528"/>
    <n v="0"/>
    <n v="1.67462"/>
    <n v="2.9635199999999999"/>
    <n v="573279000"/>
    <n v="0"/>
    <n v="0"/>
    <n v="0"/>
    <n v="0"/>
    <n v="5608300"/>
    <n v="939687"/>
    <n v="0"/>
    <n v="32"/>
    <x v="22"/>
    <n v="3.0398785087383308E-8"/>
    <n v="-4.0838601350341914E-9"/>
  </r>
  <r>
    <n v="63.631100000000004"/>
    <n v="85.138999999999996"/>
    <n v="1.3382000000000001"/>
    <n v="0.02"/>
    <n v="0.02"/>
    <n v="2.7664399999999998"/>
    <n v="3.0688399999999998"/>
    <n v="0"/>
    <n v="0.51837800000000001"/>
    <n v="5.3222399999999999"/>
    <n v="137524000"/>
    <n v="0"/>
    <n v="0"/>
    <n v="0"/>
    <n v="0"/>
    <n v="4135760"/>
    <n v="-93055.8"/>
    <n v="408539"/>
    <n v="92.198899999999995"/>
    <n v="98.274000000000001"/>
    <n v="1.5325800000000001"/>
    <n v="0"/>
    <n v="0"/>
    <n v="2.1678500000000001"/>
    <n v="1.8654500000000001"/>
    <n v="0"/>
    <n v="1.67475"/>
    <n v="2.9635199999999999"/>
    <n v="574219000"/>
    <n v="0"/>
    <n v="0"/>
    <n v="0"/>
    <n v="0"/>
    <n v="5608740"/>
    <n v="939702"/>
    <n v="0"/>
    <n v="33"/>
    <x v="22"/>
    <n v="3.0396885543838136E-8"/>
    <n v="-4.0821820040883591E-9"/>
  </r>
  <r>
    <n v="61.9681"/>
    <n v="85.138999999999996"/>
    <n v="1.1052599999999999"/>
    <n v="0.02"/>
    <n v="0.02"/>
    <n v="2.8383500000000002"/>
    <n v="3.1407500000000002"/>
    <n v="0"/>
    <n v="0.51843099999999998"/>
    <n v="5.3222399999999999"/>
    <n v="137439000"/>
    <n v="0"/>
    <n v="0"/>
    <n v="0"/>
    <n v="0"/>
    <n v="4243260"/>
    <n v="-85663.5"/>
    <n v="408539"/>
    <n v="91.281800000000004"/>
    <n v="98.274000000000001"/>
    <n v="1.26258"/>
    <n v="0"/>
    <n v="0"/>
    <n v="2.2136100000000001"/>
    <n v="1.9112100000000001"/>
    <n v="0"/>
    <n v="1.6748799999999999"/>
    <n v="2.9635199999999999"/>
    <n v="575162000"/>
    <n v="0"/>
    <n v="0"/>
    <n v="0"/>
    <n v="0"/>
    <n v="5727130"/>
    <n v="943561"/>
    <n v="0"/>
    <n v="34"/>
    <x v="22"/>
    <n v="2.9890775723230291E-8"/>
    <n v="-3.6626921400818912E-9"/>
  </r>
  <r>
    <n v="60.3797"/>
    <n v="85.138999999999996"/>
    <n v="1.1776199999999999"/>
    <n v="0.02"/>
    <n v="0.02"/>
    <n v="2.8386399999999998"/>
    <n v="3.1410399999999998"/>
    <n v="0"/>
    <n v="0.53190599999999999"/>
    <n v="5.3222399999999999"/>
    <n v="137353000"/>
    <n v="0"/>
    <n v="0"/>
    <n v="0"/>
    <n v="0"/>
    <n v="4243690"/>
    <n v="-85634"/>
    <n v="408539"/>
    <n v="90.414699999999996"/>
    <n v="98.274000000000001"/>
    <n v="1.35599"/>
    <n v="0"/>
    <n v="0"/>
    <n v="2.2137799999999999"/>
    <n v="1.9113800000000001"/>
    <n v="0"/>
    <n v="1.7102299999999999"/>
    <n v="2.9635199999999999"/>
    <n v="576106000"/>
    <n v="0"/>
    <n v="0"/>
    <n v="0"/>
    <n v="0"/>
    <n v="5727580"/>
    <n v="943575"/>
    <n v="0"/>
    <n v="35"/>
    <x v="22"/>
    <n v="2.9888870755081051E-8"/>
    <n v="-3.6610598147272553E-9"/>
  </r>
  <r>
    <n v="58.708799999999997"/>
    <n v="85.138999999999996"/>
    <n v="1.06409"/>
    <n v="0.02"/>
    <n v="0.02"/>
    <n v="2.8389199999999999"/>
    <n v="3.1413199999999999"/>
    <n v="0"/>
    <n v="0.53195999999999999"/>
    <n v="5.3222399999999999"/>
    <n v="137268000"/>
    <n v="0"/>
    <n v="0"/>
    <n v="0"/>
    <n v="0"/>
    <n v="4244120"/>
    <n v="-85604.5"/>
    <n v="408539"/>
    <n v="89.382900000000006"/>
    <n v="98.274000000000001"/>
    <n v="1.29918"/>
    <n v="0"/>
    <n v="0"/>
    <n v="2.2139600000000002"/>
    <n v="1.9115599999999999"/>
    <n v="0"/>
    <n v="1.7103699999999999"/>
    <n v="2.9635199999999999"/>
    <n v="577049000"/>
    <n v="0"/>
    <n v="0"/>
    <n v="0"/>
    <n v="0"/>
    <n v="5728030"/>
    <n v="943590"/>
    <n v="0"/>
    <n v="36"/>
    <x v="22"/>
    <n v="2.9886997759956224E-8"/>
    <n v="-3.6594278201360769E-9"/>
  </r>
  <r>
    <n v="56.965499999999999"/>
    <n v="85.138999999999996"/>
    <n v="0.96914599999999995"/>
    <n v="0.02"/>
    <n v="0.02"/>
    <n v="2.83921"/>
    <n v="3.14161"/>
    <n v="0"/>
    <n v="0.53201399999999999"/>
    <n v="5.3222399999999999"/>
    <n v="137182000"/>
    <n v="0"/>
    <n v="0"/>
    <n v="0"/>
    <n v="0"/>
    <n v="4244550"/>
    <n v="-85575"/>
    <n v="408539"/>
    <n v="88.530100000000004"/>
    <n v="98.274000000000001"/>
    <n v="1.1295299999999999"/>
    <n v="0"/>
    <n v="0"/>
    <n v="2.2141299999999999"/>
    <n v="1.9117299999999999"/>
    <n v="0"/>
    <n v="1.7104999999999999"/>
    <n v="2.9635199999999999"/>
    <n v="577993000"/>
    <n v="0"/>
    <n v="0"/>
    <n v="0"/>
    <n v="0"/>
    <n v="5728490"/>
    <n v="943605"/>
    <n v="0"/>
    <n v="37"/>
    <x v="22"/>
    <n v="2.9885072889808127E-8"/>
    <n v="-3.6577961562078304E-9"/>
  </r>
  <r>
    <n v="55.167000000000002"/>
    <n v="85.138999999999996"/>
    <n v="1.04694"/>
    <n v="0.02"/>
    <n v="0.02"/>
    <n v="3.0493299999999999"/>
    <n v="3.3517299999999999"/>
    <n v="0"/>
    <n v="0.53206799999999999"/>
    <n v="5.3222399999999999"/>
    <n v="137118000"/>
    <n v="0"/>
    <n v="0"/>
    <n v="0"/>
    <n v="0"/>
    <n v="4558670"/>
    <n v="-63974.2"/>
    <n v="408539"/>
    <n v="87.254199999999997"/>
    <n v="98.274000000000001"/>
    <n v="1.359"/>
    <n v="0"/>
    <n v="0"/>
    <n v="2.3789099999999999"/>
    <n v="2.0765099999999999"/>
    <n v="0"/>
    <n v="1.7106399999999999"/>
    <n v="2.9635199999999999"/>
    <n v="578951000"/>
    <n v="0"/>
    <n v="0"/>
    <n v="0"/>
    <n v="0"/>
    <n v="6154820"/>
    <n v="957501"/>
    <n v="0"/>
    <n v="38"/>
    <x v="22"/>
    <n v="2.822462140123168E-8"/>
    <n v="-2.5460736014213994E-9"/>
  </r>
  <r>
    <n v="53.318399999999997"/>
    <n v="85.138999999999996"/>
    <n v="0.96939299999999995"/>
    <n v="0.02"/>
    <n v="0.02"/>
    <n v="3.0496400000000001"/>
    <n v="3.3520400000000001"/>
    <n v="0"/>
    <n v="0.57144399999999995"/>
    <n v="5.3222399999999999"/>
    <n v="137054000"/>
    <n v="0"/>
    <n v="0"/>
    <n v="0"/>
    <n v="0"/>
    <n v="4559130"/>
    <n v="-63942.7"/>
    <n v="408539"/>
    <n v="86.177199999999999"/>
    <n v="98.274000000000001"/>
    <n v="0.91485000000000005"/>
    <n v="0"/>
    <n v="0"/>
    <n v="2.3791000000000002"/>
    <n v="2.0767000000000002"/>
    <n v="0"/>
    <n v="1.83795"/>
    <n v="2.9635199999999999"/>
    <n v="579908000"/>
    <n v="0"/>
    <n v="0"/>
    <n v="0"/>
    <n v="0"/>
    <n v="6155310"/>
    <n v="957517"/>
    <n v="0"/>
    <n v="39"/>
    <x v="22"/>
    <n v="2.8222846150766628E-8"/>
    <n v="-2.5445631871616713E-9"/>
  </r>
  <r>
    <n v="51.554699999999997"/>
    <n v="85.138999999999996"/>
    <n v="1.04376"/>
    <n v="0.06"/>
    <n v="0.02"/>
    <n v="3.0499399999999999"/>
    <n v="3.3523399999999999"/>
    <n v="0"/>
    <n v="0.57150199999999995"/>
    <n v="5.3222399999999999"/>
    <n v="136990000"/>
    <n v="0"/>
    <n v="0"/>
    <n v="0"/>
    <n v="0"/>
    <n v="4559590"/>
    <n v="-63911.3"/>
    <n v="408539"/>
    <n v="84.919300000000007"/>
    <n v="98.274000000000001"/>
    <n v="1.11598"/>
    <n v="0"/>
    <n v="0"/>
    <n v="2.3792900000000001"/>
    <n v="2.0768900000000001"/>
    <n v="0"/>
    <n v="1.8381000000000001"/>
    <n v="2.9635199999999999"/>
    <n v="580866000"/>
    <n v="0"/>
    <n v="0"/>
    <n v="0"/>
    <n v="0"/>
    <n v="6155800"/>
    <n v="957533"/>
    <n v="0"/>
    <n v="40"/>
    <x v="22"/>
    <n v="2.8221071182920479E-8"/>
    <n v="-2.5430570567034001E-9"/>
  </r>
  <r>
    <n v="49.6447"/>
    <n v="85.138999999999996"/>
    <n v="0.86526599999999998"/>
    <n v="0.06"/>
    <n v="0.02"/>
    <n v="3.0502500000000001"/>
    <n v="3.3526500000000001"/>
    <n v="0"/>
    <n v="0.57155900000000004"/>
    <n v="5.3222399999999999"/>
    <n v="136926000"/>
    <n v="0"/>
    <n v="0"/>
    <n v="0"/>
    <n v="0"/>
    <n v="4560040"/>
    <n v="-63879.8"/>
    <n v="408539"/>
    <n v="84.140500000000003"/>
    <n v="98.274000000000001"/>
    <n v="0.79110199999999997"/>
    <n v="0"/>
    <n v="0"/>
    <n v="2.37948"/>
    <n v="2.07708"/>
    <n v="0"/>
    <n v="1.8382400000000001"/>
    <n v="2.9635199999999999"/>
    <n v="581823000"/>
    <n v="0"/>
    <n v="0"/>
    <n v="0"/>
    <n v="0"/>
    <n v="6156290"/>
    <n v="957549"/>
    <n v="0"/>
    <n v="41"/>
    <x v="22"/>
    <n v="2.8219296497625756E-8"/>
    <n v="-2.5415528249899033E-9"/>
  </r>
  <r>
    <n v="47.962000000000003"/>
    <n v="85.138999999999996"/>
    <n v="1.0607899999999999"/>
    <n v="0.1"/>
    <n v="0.02"/>
    <n v="3.0505499999999999"/>
    <n v="3.3529499999999999"/>
    <n v="0"/>
    <n v="0.57161700000000004"/>
    <n v="5.3222399999999999"/>
    <n v="136862000"/>
    <n v="0"/>
    <n v="0"/>
    <n v="0"/>
    <n v="0"/>
    <n v="4560500"/>
    <n v="-63848.3"/>
    <n v="408539"/>
    <n v="83.498000000000005"/>
    <n v="98.274000000000001"/>
    <n v="1.47166"/>
    <n v="0"/>
    <n v="0"/>
    <n v="2.37967"/>
    <n v="2.0772699999999999"/>
    <n v="0"/>
    <n v="1.83839"/>
    <n v="2.9635199999999999"/>
    <n v="582781000"/>
    <n v="0"/>
    <n v="0"/>
    <n v="0"/>
    <n v="0"/>
    <n v="6156780"/>
    <n v="957565"/>
    <n v="0"/>
    <n v="42"/>
    <x v="22"/>
    <n v="2.8217522094814987E-8"/>
    <n v="-2.5400433204604006E-9"/>
  </r>
  <r>
    <n v="46.892499999999998"/>
    <n v="85.138999999999996"/>
    <n v="1.6587400000000001"/>
    <n v="0.1"/>
    <n v="0.02"/>
    <n v="2.94855"/>
    <n v="3.25095"/>
    <n v="0"/>
    <n v="0.57167400000000002"/>
    <n v="5.3222399999999999"/>
    <n v="136788000"/>
    <n v="0"/>
    <n v="0"/>
    <n v="0"/>
    <n v="0"/>
    <n v="4408010"/>
    <n v="-74334.7"/>
    <n v="408539"/>
    <n v="83.132099999999994"/>
    <n v="98.274000000000001"/>
    <n v="1.8289299999999999"/>
    <n v="0"/>
    <n v="0"/>
    <n v="2.2799100000000001"/>
    <n v="1.9775100000000001"/>
    <n v="0"/>
    <n v="1.83853"/>
    <n v="2.9635199999999999"/>
    <n v="583730000"/>
    <n v="0"/>
    <n v="0"/>
    <n v="0"/>
    <n v="0"/>
    <n v="5898660"/>
    <n v="949152"/>
    <n v="0"/>
    <n v="43"/>
    <x v="22"/>
    <n v="2.9193532456072522E-8"/>
    <n v="-3.0595197935073747E-9"/>
  </r>
  <r>
    <n v="45.932699999999997"/>
    <n v="85.138999999999996"/>
    <n v="1.7476400000000001"/>
    <n v="0.1"/>
    <n v="0.02"/>
    <n v="2.9488500000000002"/>
    <n v="3.2512500000000002"/>
    <n v="0"/>
    <n v="0.55255799999999999"/>
    <n v="5.3222399999999999"/>
    <n v="136714000"/>
    <n v="0"/>
    <n v="0"/>
    <n v="0"/>
    <n v="0"/>
    <n v="4408450"/>
    <n v="-74304.100000000006"/>
    <n v="408539"/>
    <n v="83.051599999999993"/>
    <n v="98.274000000000001"/>
    <n v="2.9986100000000002"/>
    <n v="0"/>
    <n v="0"/>
    <n v="2.28009"/>
    <n v="1.9776899999999999"/>
    <n v="0"/>
    <n v="1.76146"/>
    <n v="2.9635199999999999"/>
    <n v="584679000"/>
    <n v="0"/>
    <n v="0"/>
    <n v="0"/>
    <n v="0"/>
    <n v="5899130"/>
    <n v="949167"/>
    <n v="0"/>
    <n v="44"/>
    <x v="22"/>
    <n v="2.9191667852193741E-8"/>
    <n v="-3.057955097380176E-9"/>
  </r>
  <r>
    <n v="44.788499999999999"/>
    <n v="85.138999999999996"/>
    <n v="1.5471900000000001"/>
    <n v="0.11"/>
    <n v="0.02"/>
    <n v="2.9491399999999999"/>
    <n v="3.2515399999999999"/>
    <n v="0"/>
    <n v="0.55261400000000005"/>
    <n v="5.3222399999999999"/>
    <n v="136639000"/>
    <n v="0"/>
    <n v="0"/>
    <n v="0"/>
    <n v="0"/>
    <n v="4408890"/>
    <n v="-74273.600000000006"/>
    <n v="408539"/>
    <n v="82.479200000000006"/>
    <n v="98.274000000000001"/>
    <n v="2.0975899999999998"/>
    <n v="0"/>
    <n v="0"/>
    <n v="2.2802699999999998"/>
    <n v="1.97787"/>
    <n v="0"/>
    <n v="1.7616000000000001"/>
    <n v="2.9635199999999999"/>
    <n v="585628000"/>
    <n v="0"/>
    <n v="0"/>
    <n v="0"/>
    <n v="0"/>
    <n v="5899590"/>
    <n v="949182"/>
    <n v="0"/>
    <n v="45"/>
    <x v="22"/>
    <n v="2.9189853023089153E-8"/>
    <n v="-3.056394828609922E-9"/>
  </r>
  <r>
    <n v="43.3994"/>
    <n v="85.138999999999996"/>
    <n v="1.27075"/>
    <n v="0.13"/>
    <n v="0.02"/>
    <n v="2.9494400000000001"/>
    <n v="3.2518400000000001"/>
    <n v="0"/>
    <n v="0.55266899999999997"/>
    <n v="5.3222399999999999"/>
    <n v="136565000"/>
    <n v="0"/>
    <n v="0"/>
    <n v="0"/>
    <n v="0"/>
    <n v="4409340"/>
    <n v="-74243.100000000006"/>
    <n v="408539"/>
    <n v="82.043599999999998"/>
    <n v="98.274000000000001"/>
    <n v="1.6845399999999999"/>
    <n v="0"/>
    <n v="0"/>
    <n v="2.2804500000000001"/>
    <n v="1.9780500000000001"/>
    <n v="0"/>
    <n v="1.76173"/>
    <n v="2.9635199999999999"/>
    <n v="586577000"/>
    <n v="0"/>
    <n v="0"/>
    <n v="0"/>
    <n v="0"/>
    <n v="5900060"/>
    <n v="949197"/>
    <n v="0"/>
    <n v="46"/>
    <x v="22"/>
    <n v="2.9187989006223915E-8"/>
    <n v="-3.0548279431330676E-9"/>
  </r>
  <r>
    <n v="43.156599999999997"/>
    <n v="85.138999999999996"/>
    <n v="2.4192399999999998"/>
    <n v="0.14000000000000001"/>
    <n v="0.02"/>
    <n v="2.8657300000000001"/>
    <n v="3.1681300000000001"/>
    <n v="0"/>
    <n v="0.55272500000000002"/>
    <n v="5.3222399999999999"/>
    <n v="136482000"/>
    <n v="0"/>
    <n v="0"/>
    <n v="0"/>
    <n v="0"/>
    <n v="4284190"/>
    <n v="-82849"/>
    <n v="408539"/>
    <n v="81.738399999999999"/>
    <n v="98.274000000000001"/>
    <n v="2.0751400000000002"/>
    <n v="0"/>
    <n v="0"/>
    <n v="2.1896100000000001"/>
    <n v="1.8872100000000001"/>
    <n v="0"/>
    <n v="1.76187"/>
    <n v="2.9635199999999999"/>
    <n v="587519000"/>
    <n v="0"/>
    <n v="0"/>
    <n v="0"/>
    <n v="0"/>
    <n v="5665040"/>
    <n v="941537"/>
    <n v="0"/>
    <n v="47"/>
    <x v="22"/>
    <n v="3.0153564344319442E-8"/>
    <n v="-3.5085105992231696E-9"/>
  </r>
  <r>
    <n v="44.621400000000001"/>
    <n v="85.138999999999996"/>
    <n v="4.2105800000000002"/>
    <n v="0.12"/>
    <n v="0.02"/>
    <n v="2.8660199999999998"/>
    <n v="3.1684199999999998"/>
    <n v="0"/>
    <n v="0.53703699999999999"/>
    <n v="5.3222399999999999"/>
    <n v="136400000"/>
    <n v="0"/>
    <n v="0"/>
    <n v="0"/>
    <n v="0"/>
    <n v="4284620"/>
    <n v="-82819.3"/>
    <n v="408539"/>
    <n v="81.658000000000001"/>
    <n v="98.274000000000001"/>
    <n v="2.6190799999999999"/>
    <n v="0"/>
    <n v="0"/>
    <n v="2.1897799999999998"/>
    <n v="1.8873800000000001"/>
    <n v="0"/>
    <n v="1.6916899999999999"/>
    <n v="2.9635199999999999"/>
    <n v="588460000"/>
    <n v="0"/>
    <n v="0"/>
    <n v="0"/>
    <n v="0"/>
    <n v="5665490"/>
    <n v="941551"/>
    <n v="0"/>
    <n v="48"/>
    <x v="22"/>
    <n v="3.0151617626144719E-8"/>
    <n v="-3.5069008717990396E-9"/>
  </r>
  <r>
    <n v="46.424900000000001"/>
    <n v="85.138999999999996"/>
    <n v="4.5890000000000004"/>
    <n v="0.12"/>
    <n v="0.02"/>
    <n v="2.8663099999999999"/>
    <n v="3.1687099999999999"/>
    <n v="0"/>
    <n v="0.53709099999999999"/>
    <n v="5.3222399999999999"/>
    <n v="136317000"/>
    <n v="0"/>
    <n v="0"/>
    <n v="0"/>
    <n v="0"/>
    <n v="4285050"/>
    <n v="-82789.5"/>
    <n v="408539"/>
    <n v="82.158600000000007"/>
    <n v="98.274000000000001"/>
    <n v="3.7137699999999998"/>
    <n v="0"/>
    <n v="0"/>
    <n v="2.1899600000000001"/>
    <n v="1.8875599999999999"/>
    <n v="0"/>
    <n v="1.6918299999999999"/>
    <n v="2.9635199999999999"/>
    <n v="589402000"/>
    <n v="0"/>
    <n v="0"/>
    <n v="0"/>
    <n v="0"/>
    <n v="5665940"/>
    <n v="941566"/>
    <n v="0"/>
    <n v="49"/>
    <x v="22"/>
    <n v="3.0149703238001385E-8"/>
    <n v="-3.5052872334680162E-9"/>
  </r>
  <r>
    <n v="47.630699999999997"/>
    <n v="85.138999999999996"/>
    <n v="4.0440699999999996"/>
    <n v="0.1"/>
    <n v="0.02"/>
    <n v="2.86659"/>
    <n v="3.16899"/>
    <n v="0"/>
    <n v="0.53714600000000001"/>
    <n v="5.3222399999999999"/>
    <n v="136234000"/>
    <n v="0"/>
    <n v="0"/>
    <n v="0"/>
    <n v="0"/>
    <n v="4285490"/>
    <n v="-82759.7"/>
    <n v="408539"/>
    <n v="82.625900000000001"/>
    <n v="98.274000000000001"/>
    <n v="3.5417900000000002"/>
    <n v="0"/>
    <n v="0"/>
    <n v="2.1901299999999999"/>
    <n v="1.8877299999999999"/>
    <n v="0"/>
    <n v="1.6919599999999999"/>
    <n v="2.9635199999999999"/>
    <n v="590344000"/>
    <n v="0"/>
    <n v="0"/>
    <n v="0"/>
    <n v="0"/>
    <n v="5666380"/>
    <n v="941580"/>
    <n v="0"/>
    <n v="50"/>
    <x v="22"/>
    <n v="3.0147810340274528E-8"/>
    <n v="-3.5036657432911165E-9"/>
  </r>
  <r>
    <n v="51.902999999999999"/>
    <n v="85.138999999999996"/>
    <n v="7.1153599999999999"/>
    <n v="0.1"/>
    <n v="0.02"/>
    <n v="2.6282000000000001"/>
    <n v="2.9306000000000001"/>
    <n v="0"/>
    <n v="0.53720000000000001"/>
    <n v="5.3222399999999999"/>
    <n v="136127000"/>
    <n v="0"/>
    <n v="0"/>
    <n v="0"/>
    <n v="0"/>
    <n v="3929090"/>
    <n v="-107267"/>
    <n v="408539"/>
    <n v="83.2727"/>
    <n v="98.274000000000001"/>
    <n v="4.4589600000000003"/>
    <n v="0"/>
    <n v="0"/>
    <n v="2.0006699999999999"/>
    <n v="1.6982699999999999"/>
    <n v="0"/>
    <n v="1.6920900000000001"/>
    <n v="2.9635199999999999"/>
    <n v="591269000"/>
    <n v="0"/>
    <n v="0"/>
    <n v="0"/>
    <n v="0"/>
    <n v="5176200"/>
    <n v="925602"/>
    <n v="0"/>
    <n v="51"/>
    <x v="22"/>
    <n v="3.244273664555778E-8"/>
    <n v="-4.9531149034732271E-9"/>
  </r>
  <r>
    <n v="53.821899999999999"/>
    <n v="85.138999999999996"/>
    <n v="4.7457700000000003"/>
    <n v="7.0000000000000007E-2"/>
    <n v="0.02"/>
    <n v="2.6284700000000001"/>
    <n v="2.9308700000000001"/>
    <n v="0"/>
    <n v="0.49252499999999999"/>
    <n v="5.3222399999999999"/>
    <n v="136020000"/>
    <n v="0"/>
    <n v="0"/>
    <n v="0"/>
    <n v="0"/>
    <n v="3929490"/>
    <n v="-107240"/>
    <n v="408539"/>
    <n v="83.196299999999994"/>
    <n v="98.274000000000001"/>
    <n v="2.8226"/>
    <n v="0"/>
    <n v="0"/>
    <n v="2.00082"/>
    <n v="1.69842"/>
    <n v="0"/>
    <n v="1.54572"/>
    <n v="2.9635199999999999"/>
    <n v="592195000"/>
    <n v="0"/>
    <n v="0"/>
    <n v="0"/>
    <n v="0"/>
    <n v="5176600"/>
    <n v="925616"/>
    <n v="0"/>
    <n v="52"/>
    <x v="22"/>
    <n v="3.2440720437418272E-8"/>
    <n v="-4.9513640907224078E-9"/>
  </r>
  <r>
    <n v="55.319899999999997"/>
    <n v="85.138999999999996"/>
    <n v="4.4408799999999999"/>
    <n v="0.06"/>
    <n v="0.02"/>
    <n v="2.6287400000000001"/>
    <n v="2.9311400000000001"/>
    <n v="0"/>
    <n v="0.49257499999999999"/>
    <n v="5.3222399999999999"/>
    <n v="135912000"/>
    <n v="0"/>
    <n v="0"/>
    <n v="0"/>
    <n v="0"/>
    <n v="3929890"/>
    <n v="-107212"/>
    <n v="408539"/>
    <n v="85.966800000000006"/>
    <n v="98.274000000000001"/>
    <n v="8.6881299999999992"/>
    <n v="0"/>
    <n v="0"/>
    <n v="2.0009800000000002"/>
    <n v="1.69858"/>
    <n v="0"/>
    <n v="1.5458400000000001"/>
    <n v="2.9635199999999999"/>
    <n v="593120000"/>
    <n v="0"/>
    <n v="0"/>
    <n v="0"/>
    <n v="0"/>
    <n v="5177000"/>
    <n v="925629"/>
    <n v="0"/>
    <n v="1"/>
    <x v="23"/>
    <n v="1.6019189614913772E-8"/>
    <n v="-2.4442451252582816E-9"/>
  </r>
  <r>
    <n v="56.313200000000002"/>
    <n v="85.138999999999996"/>
    <n v="3.8815499999999998"/>
    <n v="0.04"/>
    <n v="0.02"/>
    <n v="2.629"/>
    <n v="2.9314"/>
    <n v="0"/>
    <n v="0.49262499999999998"/>
    <n v="5.3222399999999999"/>
    <n v="135805000"/>
    <n v="0"/>
    <n v="0"/>
    <n v="0"/>
    <n v="0"/>
    <n v="3930290"/>
    <n v="-107185"/>
    <n v="408539"/>
    <n v="86.772599999999997"/>
    <n v="98.274000000000001"/>
    <n v="4.5899700000000001"/>
    <n v="0"/>
    <n v="0"/>
    <n v="2.0011299999999999"/>
    <n v="1.6987300000000001"/>
    <n v="0"/>
    <n v="1.54596"/>
    <n v="2.9635199999999999"/>
    <n v="594046000"/>
    <n v="0"/>
    <n v="0"/>
    <n v="0"/>
    <n v="0"/>
    <n v="5177410"/>
    <n v="925642"/>
    <n v="0"/>
    <n v="2"/>
    <x v="23"/>
    <n v="1.6018146016249972E-8"/>
    <n v="-2.4433808755968424E-9"/>
  </r>
  <r>
    <n v="56.0212"/>
    <n v="85.138999999999996"/>
    <n v="2.5037500000000001"/>
    <n v="0.04"/>
    <n v="0.02"/>
    <n v="2.62927"/>
    <n v="2.93167"/>
    <n v="0"/>
    <n v="0.49267499999999997"/>
    <n v="5.3222399999999999"/>
    <n v="135698000"/>
    <n v="0"/>
    <n v="0"/>
    <n v="0"/>
    <n v="0"/>
    <n v="3930690"/>
    <n v="-107157"/>
    <n v="408539"/>
    <n v="86.947299999999998"/>
    <n v="98.274000000000001"/>
    <n v="3.1207099999999999"/>
    <n v="0"/>
    <n v="0"/>
    <n v="2.00129"/>
    <n v="1.69889"/>
    <n v="0"/>
    <n v="1.5460700000000001"/>
    <n v="2.9635199999999999"/>
    <n v="594972000"/>
    <n v="0"/>
    <n v="0"/>
    <n v="0"/>
    <n v="0"/>
    <n v="5177810"/>
    <n v="925655"/>
    <n v="0"/>
    <n v="3"/>
    <x v="23"/>
    <n v="1.6017133516984389E-8"/>
    <n v="-2.4424940082312167E-9"/>
  </r>
  <r>
    <n v="57.990400000000001"/>
    <n v="85.138999999999996"/>
    <n v="5.0386600000000001"/>
    <n v="0.06"/>
    <n v="0.02"/>
    <n v="2.7213799999999999"/>
    <n v="3.0237799999999999"/>
    <n v="0"/>
    <n v="0.49272500000000002"/>
    <n v="5.3222399999999999"/>
    <n v="135600000"/>
    <n v="0"/>
    <n v="0"/>
    <n v="0"/>
    <n v="0"/>
    <n v="4068400"/>
    <n v="-97687.9"/>
    <n v="408539"/>
    <n v="87.417000000000002"/>
    <n v="98.274000000000001"/>
    <n v="3.8519600000000001"/>
    <n v="0"/>
    <n v="0"/>
    <n v="2.0563799999999999"/>
    <n v="1.7539800000000001"/>
    <n v="0"/>
    <n v="1.54619"/>
    <n v="2.9635199999999999"/>
    <n v="595902000"/>
    <n v="0"/>
    <n v="0"/>
    <n v="0"/>
    <n v="0"/>
    <n v="5320330"/>
    <n v="930301"/>
    <n v="0"/>
    <n v="4"/>
    <x v="23"/>
    <n v="1.5666308392533089E-8"/>
    <n v="-2.1512896233303701E-9"/>
  </r>
  <r>
    <n v="60.180700000000002"/>
    <n v="85.138999999999996"/>
    <n v="5.1547000000000001"/>
    <n v="0.05"/>
    <n v="0.02"/>
    <n v="2.7216399999999998"/>
    <n v="3.0240399999999998"/>
    <n v="0"/>
    <n v="0.50998699999999997"/>
    <n v="5.3222399999999999"/>
    <n v="135503000"/>
    <n v="0"/>
    <n v="0"/>
    <n v="0"/>
    <n v="29016000"/>
    <n v="4068780"/>
    <n v="-97661.5"/>
    <n v="408539"/>
    <n v="87.974400000000003"/>
    <n v="98.274000000000001"/>
    <n v="4.2427599999999996"/>
    <n v="0"/>
    <n v="0"/>
    <n v="2.0565199999999999"/>
    <n v="1.7541199999999999"/>
    <n v="0"/>
    <n v="1.58876"/>
    <n v="2.9635199999999999"/>
    <n v="596832000"/>
    <n v="0"/>
    <n v="0"/>
    <n v="0"/>
    <n v="7883220"/>
    <n v="5320720"/>
    <n v="930313"/>
    <n v="0"/>
    <n v="5"/>
    <x v="23"/>
    <n v="1.4840939147378428E-7"/>
    <n v="6.3678215349054414E-7"/>
  </r>
  <r>
    <n v="63.131300000000003"/>
    <n v="85.138999999999996"/>
    <n v="5.99282"/>
    <n v="0.04"/>
    <n v="0.02"/>
    <n v="2.7219000000000002"/>
    <n v="3.0243000000000002"/>
    <n v="0"/>
    <n v="0.51003500000000002"/>
    <n v="5.3222399999999999"/>
    <n v="135405000"/>
    <n v="0"/>
    <n v="0"/>
    <n v="0"/>
    <n v="0"/>
    <n v="4069160"/>
    <n v="-97635.1"/>
    <n v="408539"/>
    <n v="88.775400000000005"/>
    <n v="98.274000000000001"/>
    <n v="5.1759700000000004"/>
    <n v="0"/>
    <n v="0"/>
    <n v="2.05667"/>
    <n v="1.75427"/>
    <n v="0"/>
    <n v="1.58887"/>
    <n v="2.9635199999999999"/>
    <n v="597763000"/>
    <n v="0"/>
    <n v="0"/>
    <n v="0"/>
    <n v="0"/>
    <n v="5321100"/>
    <n v="930326"/>
    <n v="0"/>
    <n v="6"/>
    <x v="23"/>
    <n v="1.5664462309415447E-8"/>
    <n v="-2.1497252773431979E-9"/>
  </r>
  <r>
    <n v="68.362399999999994"/>
    <n v="85.138999999999996"/>
    <n v="8.3926300000000005"/>
    <n v="0.04"/>
    <n v="0.02"/>
    <n v="2.7221500000000001"/>
    <n v="3.0245500000000001"/>
    <n v="0"/>
    <n v="0.51008299999999995"/>
    <n v="5.3222399999999999"/>
    <n v="135307000"/>
    <n v="0"/>
    <n v="0"/>
    <n v="0"/>
    <n v="0"/>
    <n v="4069550"/>
    <n v="-97608.7"/>
    <n v="408539"/>
    <n v="89.773799999999994"/>
    <n v="98.274000000000001"/>
    <n v="5.8616400000000004"/>
    <n v="0"/>
    <n v="0"/>
    <n v="2.0568200000000001"/>
    <n v="1.7544200000000001"/>
    <n v="0"/>
    <n v="1.5889899999999999"/>
    <n v="2.9635199999999999"/>
    <n v="598693000"/>
    <n v="0"/>
    <n v="0"/>
    <n v="0"/>
    <n v="0"/>
    <n v="5321490"/>
    <n v="930338"/>
    <n v="0"/>
    <n v="7"/>
    <x v="23"/>
    <n v="1.5663516332762311E-8"/>
    <n v="-2.148938042916816E-9"/>
  </r>
  <r>
    <n v="71.470399999999998"/>
    <n v="85.138999999999996"/>
    <n v="6.7085100000000004"/>
    <n v="0.04"/>
    <n v="0.02"/>
    <n v="3.0174400000000001"/>
    <n v="3.3198400000000001"/>
    <n v="0"/>
    <n v="0.510131"/>
    <n v="5.3222399999999999"/>
    <n v="135240000"/>
    <n v="0"/>
    <n v="0"/>
    <n v="0"/>
    <n v="0"/>
    <n v="4511000"/>
    <n v="-67252.399999999994"/>
    <n v="408539"/>
    <n v="90.540800000000004"/>
    <n v="98.274000000000001"/>
    <n v="6.3487299999999998"/>
    <n v="0"/>
    <n v="0"/>
    <n v="2.2632699999999999"/>
    <n v="1.9608699999999999"/>
    <n v="0"/>
    <n v="1.5891"/>
    <n v="2.9635199999999999"/>
    <n v="599641000"/>
    <n v="0"/>
    <n v="0"/>
    <n v="0"/>
    <n v="0"/>
    <n v="5855620"/>
    <n v="947749"/>
    <n v="0"/>
    <n v="8"/>
    <x v="23"/>
    <n v="1.4501141949303329E-8"/>
    <n v="-1.3357239548963739E-9"/>
  </r>
  <r>
    <n v="72.889200000000002"/>
    <n v="85.138999999999996"/>
    <n v="4.8178999999999998"/>
    <n v="0.02"/>
    <n v="0.02"/>
    <n v="3.0177200000000002"/>
    <n v="3.3201200000000002"/>
    <n v="0"/>
    <n v="0.565469"/>
    <n v="5.3222399999999999"/>
    <n v="135173000"/>
    <n v="0"/>
    <n v="0"/>
    <n v="0"/>
    <n v="0"/>
    <n v="4511420"/>
    <n v="-67223.399999999994"/>
    <n v="408539"/>
    <n v="91.036299999999997"/>
    <n v="98.274000000000001"/>
    <n v="3.8940700000000001"/>
    <n v="0"/>
    <n v="0"/>
    <n v="2.2634400000000001"/>
    <n v="1.9610399999999999"/>
    <n v="0"/>
    <n v="1.7485999999999999"/>
    <n v="2.9635199999999999"/>
    <n v="600589000"/>
    <n v="0"/>
    <n v="0"/>
    <n v="0"/>
    <n v="0"/>
    <n v="5856050"/>
    <n v="947763"/>
    <n v="0"/>
    <n v="9"/>
    <x v="23"/>
    <n v="1.450029134746922E-8"/>
    <n v="-1.3350236771612909E-9"/>
  </r>
  <r>
    <n v="74.128600000000006"/>
    <n v="85.138999999999996"/>
    <n v="4.7273899999999998"/>
    <n v="0.02"/>
    <n v="0.02"/>
    <n v="3.0180099999999999"/>
    <n v="3.3204099999999999"/>
    <n v="0"/>
    <n v="0.56552100000000005"/>
    <n v="5.3222399999999999"/>
    <n v="135106000"/>
    <n v="0"/>
    <n v="0"/>
    <n v="0"/>
    <n v="0"/>
    <n v="4511840"/>
    <n v="-67194.5"/>
    <n v="408539"/>
    <n v="91.193600000000004"/>
    <n v="98.274000000000001"/>
    <n v="3.8855599999999999"/>
    <n v="0"/>
    <n v="0"/>
    <n v="2.2635999999999998"/>
    <n v="1.9612000000000001"/>
    <n v="0"/>
    <n v="1.7487299999999999"/>
    <n v="2.9635199999999999"/>
    <n v="601536000"/>
    <n v="0"/>
    <n v="0"/>
    <n v="0"/>
    <n v="0"/>
    <n v="5856480"/>
    <n v="947777"/>
    <n v="0"/>
    <n v="10"/>
    <x v="23"/>
    <n v="1.4499440870542493E-8"/>
    <n v="-1.3343255155676575E-9"/>
  </r>
  <r>
    <n v="74.608500000000006"/>
    <n v="85.138999999999996"/>
    <n v="3.8533499999999998"/>
    <n v="0.01"/>
    <n v="0.02"/>
    <n v="3.0182899999999999"/>
    <n v="3.3206899999999999"/>
    <n v="0"/>
    <n v="0.56557400000000002"/>
    <n v="5.3222399999999999"/>
    <n v="135039000"/>
    <n v="0"/>
    <n v="0"/>
    <n v="0"/>
    <n v="0"/>
    <n v="4512260"/>
    <n v="-67165.5"/>
    <n v="408539"/>
    <n v="91.320300000000003"/>
    <n v="98.274000000000001"/>
    <n v="2.8895400000000002"/>
    <n v="0"/>
    <n v="0"/>
    <n v="2.2637700000000001"/>
    <n v="1.9613700000000001"/>
    <n v="0"/>
    <n v="1.7488600000000001"/>
    <n v="2.9635199999999999"/>
    <n v="602484000"/>
    <n v="0"/>
    <n v="0"/>
    <n v="0"/>
    <n v="0"/>
    <n v="5856910"/>
    <n v="947791"/>
    <n v="0"/>
    <n v="11"/>
    <x v="23"/>
    <n v="1.4498590518495638E-8"/>
    <n v="-1.3336254983622904E-9"/>
  </r>
  <r>
    <n v="77.963700000000003"/>
    <n v="85.138999999999996"/>
    <n v="6.5021000000000004"/>
    <n v="0.01"/>
    <n v="0.02"/>
    <n v="2.59761"/>
    <n v="2.90001"/>
    <n v="0"/>
    <n v="0.56562699999999999"/>
    <n v="5.3222399999999999"/>
    <n v="134928000"/>
    <n v="0"/>
    <n v="0"/>
    <n v="0"/>
    <n v="0"/>
    <n v="3883370"/>
    <n v="-110411"/>
    <n v="408539"/>
    <n v="92.401899999999998"/>
    <n v="98.274000000000001"/>
    <n v="5.8031499999999996"/>
    <n v="0"/>
    <n v="0"/>
    <n v="1.98699"/>
    <n v="1.68459"/>
    <n v="0"/>
    <n v="1.74899"/>
    <n v="2.9635199999999999"/>
    <n v="603409000"/>
    <n v="0"/>
    <n v="0"/>
    <n v="0"/>
    <n v="0"/>
    <n v="5140800"/>
    <n v="924449"/>
    <n v="0"/>
    <n v="12"/>
    <x v="23"/>
    <n v="1.6111426826174636E-8"/>
    <n v="-2.5473306812362746E-9"/>
  </r>
  <r>
    <n v="80.298199999999994"/>
    <n v="85.138999999999996"/>
    <n v="5.4670899999999998"/>
    <n v="0.01"/>
    <n v="0.02"/>
    <n v="2.5978599999999998"/>
    <n v="2.9002599999999998"/>
    <n v="0"/>
    <n v="0.48679299999999998"/>
    <n v="5.3222399999999999"/>
    <n v="134818000"/>
    <n v="0"/>
    <n v="0"/>
    <n v="0"/>
    <n v="0"/>
    <n v="3883740"/>
    <n v="-110386"/>
    <n v="408539"/>
    <n v="93.836799999999997"/>
    <n v="98.274000000000001"/>
    <n v="6.7756699999999999"/>
    <n v="0"/>
    <n v="0"/>
    <n v="1.9871300000000001"/>
    <n v="1.6847300000000001"/>
    <n v="0"/>
    <n v="1.53515"/>
    <n v="2.9635199999999999"/>
    <n v="604333000"/>
    <n v="0"/>
    <n v="0"/>
    <n v="0"/>
    <n v="0"/>
    <n v="5141170"/>
    <n v="924461"/>
    <n v="0"/>
    <n v="13"/>
    <x v="23"/>
    <n v="1.6110476440771136E-8"/>
    <n v="-2.5465112708388188E-9"/>
  </r>
  <r>
    <n v="82.696700000000007"/>
    <n v="85.138999999999996"/>
    <n v="5.8239099999999997"/>
    <n v="0"/>
    <n v="0.02"/>
    <n v="2.9005100000000001"/>
    <n v="2.9005100000000001"/>
    <n v="0"/>
    <n v="0.48683900000000002"/>
    <n v="5.3222399999999999"/>
    <n v="135116000"/>
    <n v="0"/>
    <n v="0"/>
    <n v="0"/>
    <n v="0"/>
    <n v="4336180"/>
    <n v="298178"/>
    <n v="0"/>
    <n v="95.737899999999996"/>
    <n v="98.274000000000001"/>
    <n v="7.5588100000000003"/>
    <n v="0"/>
    <n v="0"/>
    <n v="1.6848700000000001"/>
    <n v="1.6848700000000001"/>
    <n v="0"/>
    <n v="1.5352600000000001"/>
    <n v="2.9635199999999999"/>
    <n v="604475000"/>
    <n v="0"/>
    <n v="0"/>
    <n v="0"/>
    <n v="0"/>
    <n v="4359160"/>
    <n v="142092"/>
    <n v="0"/>
    <n v="14"/>
    <x v="23"/>
    <n v="2.9204419072103019E-9"/>
    <n v="6.160983558926495E-9"/>
  </r>
  <r>
    <n v="84.600999999999999"/>
    <n v="85.138999999999996"/>
    <n v="5.3189099999999998"/>
    <n v="0"/>
    <n v="0.02"/>
    <n v="2.9007499999999999"/>
    <n v="2.9007499999999999"/>
    <n v="0"/>
    <n v="0.54355500000000001"/>
    <n v="5.3222399999999999"/>
    <n v="135414000"/>
    <n v="0"/>
    <n v="0"/>
    <n v="0"/>
    <n v="0"/>
    <n v="4336550"/>
    <n v="298203"/>
    <n v="0"/>
    <n v="97.207499999999996"/>
    <n v="98.274000000000001"/>
    <n v="6.0797800000000004"/>
    <n v="0"/>
    <n v="0"/>
    <n v="1.6850099999999999"/>
    <n v="1.6850099999999999"/>
    <n v="0"/>
    <n v="1.3017300000000001"/>
    <n v="2.9635199999999999"/>
    <n v="604617000"/>
    <n v="0"/>
    <n v="0"/>
    <n v="0"/>
    <n v="0"/>
    <n v="4359530"/>
    <n v="142104"/>
    <n v="0"/>
    <n v="15"/>
    <x v="23"/>
    <n v="2.9204406620061433E-9"/>
    <n v="6.1609744043377449E-9"/>
  </r>
  <r>
    <n v="85.138999999999996"/>
    <n v="85.138999999999996"/>
    <n v="5.7655399999999997"/>
    <n v="0"/>
    <n v="0.02"/>
    <n v="2.9009999999999998"/>
    <n v="2.9009999999999998"/>
    <n v="0"/>
    <n v="0.543601"/>
    <n v="5.3222399999999999"/>
    <n v="135712000"/>
    <n v="0"/>
    <n v="0"/>
    <n v="0"/>
    <n v="0"/>
    <n v="4336920"/>
    <n v="298228"/>
    <n v="0"/>
    <n v="98.6965"/>
    <n v="98.274000000000001"/>
    <n v="6.0152000000000001"/>
    <n v="0"/>
    <n v="0"/>
    <n v="1.68516"/>
    <n v="1.68516"/>
    <n v="0"/>
    <n v="1.3018400000000001"/>
    <n v="2.9635199999999999"/>
    <n v="604759000"/>
    <n v="0"/>
    <n v="0"/>
    <n v="0"/>
    <n v="0"/>
    <n v="4359900"/>
    <n v="142116"/>
    <n v="0"/>
    <n v="16"/>
    <x v="23"/>
    <n v="2.9204394170133306E-9"/>
    <n v="6.1609652513110236E-9"/>
  </r>
  <r>
    <n v="85.138999999999996"/>
    <n v="85.138999999999996"/>
    <n v="6.0883799999999999"/>
    <n v="0"/>
    <n v="0.02"/>
    <n v="3.00725"/>
    <n v="3.00725"/>
    <n v="0"/>
    <n v="0.54364699999999999"/>
    <n v="5.3222399999999999"/>
    <n v="136021000"/>
    <n v="0"/>
    <n v="0"/>
    <n v="0"/>
    <n v="0"/>
    <n v="4495760"/>
    <n v="309151"/>
    <n v="0"/>
    <n v="99.302199999999999"/>
    <n v="98.274000000000001"/>
    <n v="5.9665600000000003"/>
    <n v="0"/>
    <n v="0"/>
    <n v="1.75308"/>
    <n v="1.75308"/>
    <n v="0"/>
    <n v="1.3019499999999999"/>
    <n v="2.9635199999999999"/>
    <n v="604907000"/>
    <n v="0"/>
    <n v="0"/>
    <n v="0"/>
    <n v="0"/>
    <n v="4535640"/>
    <n v="147844"/>
    <n v="0"/>
    <n v="17"/>
    <x v="23"/>
    <n v="2.9204305429756391E-9"/>
    <n v="6.1609727948501953E-9"/>
  </r>
  <r>
    <n v="85.138999999999996"/>
    <n v="85.138999999999996"/>
    <n v="4.8570799999999998"/>
    <n v="0"/>
    <n v="0.02"/>
    <n v="3.0075099999999999"/>
    <n v="3.0075099999999999"/>
    <n v="0"/>
    <n v="0.56355900000000003"/>
    <n v="5.3222399999999999"/>
    <n v="136331000"/>
    <n v="0"/>
    <n v="0"/>
    <n v="0"/>
    <n v="0"/>
    <n v="4496150"/>
    <n v="309177"/>
    <n v="0"/>
    <n v="99.302199999999999"/>
    <n v="98.274000000000001"/>
    <n v="5.0663600000000004"/>
    <n v="0"/>
    <n v="0"/>
    <n v="1.7532300000000001"/>
    <n v="1.7532300000000001"/>
    <n v="0"/>
    <n v="1.35443"/>
    <n v="2.9635199999999999"/>
    <n v="605055000"/>
    <n v="0"/>
    <n v="0"/>
    <n v="0"/>
    <n v="0"/>
    <n v="4536030"/>
    <n v="147857"/>
    <n v="0"/>
    <n v="18"/>
    <x v="23"/>
    <n v="2.920436222319122E-9"/>
    <n v="6.1609564875157782E-9"/>
  </r>
  <r>
    <n v="85.138999999999996"/>
    <n v="85.138999999999996"/>
    <n v="4.2499900000000004"/>
    <n v="0"/>
    <n v="0.02"/>
    <n v="3.0077600000000002"/>
    <n v="3.0077600000000002"/>
    <n v="0"/>
    <n v="0.56360699999999997"/>
    <n v="5.3222399999999999"/>
    <n v="136640000"/>
    <n v="0"/>
    <n v="0"/>
    <n v="0"/>
    <n v="0"/>
    <n v="4496530"/>
    <n v="309204"/>
    <n v="0"/>
    <n v="99.302199999999999"/>
    <n v="98.274000000000001"/>
    <n v="4.7323700000000004"/>
    <n v="0"/>
    <n v="0"/>
    <n v="1.7533799999999999"/>
    <n v="1.7533799999999999"/>
    <n v="0"/>
    <n v="1.3545499999999999"/>
    <n v="2.9635199999999999"/>
    <n v="605203000"/>
    <n v="0"/>
    <n v="0"/>
    <n v="0"/>
    <n v="0"/>
    <n v="4536410"/>
    <n v="147869"/>
    <n v="0"/>
    <n v="19"/>
    <x v="23"/>
    <n v="2.920428588361058E-9"/>
    <n v="6.1609738098257597E-9"/>
  </r>
  <r>
    <n v="85.138999999999996"/>
    <n v="85.138999999999996"/>
    <n v="4.3565899999999997"/>
    <n v="0"/>
    <n v="0.02"/>
    <n v="3.0080200000000001"/>
    <n v="3.0080200000000001"/>
    <n v="0"/>
    <n v="0.56365399999999999"/>
    <n v="5.3222399999999999"/>
    <n v="136949000"/>
    <n v="0"/>
    <n v="0"/>
    <n v="0"/>
    <n v="0"/>
    <n v="4496910"/>
    <n v="309230"/>
    <n v="0"/>
    <n v="99.302199999999999"/>
    <n v="98.274000000000001"/>
    <n v="4.8740100000000002"/>
    <n v="0"/>
    <n v="0"/>
    <n v="1.75353"/>
    <n v="1.75353"/>
    <n v="0"/>
    <n v="1.35466"/>
    <n v="2.9635199999999999"/>
    <n v="605351000"/>
    <n v="0"/>
    <n v="0"/>
    <n v="0"/>
    <n v="0"/>
    <n v="4536800"/>
    <n v="147882"/>
    <n v="0"/>
    <n v="20"/>
    <x v="23"/>
    <n v="2.9204342669086505E-9"/>
    <n v="6.1609712056198986E-9"/>
  </r>
  <r>
    <n v="85.138999999999996"/>
    <n v="85.138999999999996"/>
    <n v="3.8537400000000002"/>
    <n v="0"/>
    <n v="0.02"/>
    <n v="2.9668100000000002"/>
    <n v="2.9668100000000002"/>
    <n v="0"/>
    <n v="0.56370200000000004"/>
    <n v="5.3222399999999999"/>
    <n v="137254000"/>
    <n v="0"/>
    <n v="0"/>
    <n v="0"/>
    <n v="0"/>
    <n v="4435310"/>
    <n v="304994"/>
    <n v="0"/>
    <n v="99.302199999999999"/>
    <n v="98.274000000000001"/>
    <n v="4.0213299999999998"/>
    <n v="0"/>
    <n v="0"/>
    <n v="1.7273400000000001"/>
    <n v="1.7273400000000001"/>
    <n v="0"/>
    <n v="1.3547800000000001"/>
    <n v="2.9635199999999999"/>
    <n v="605496000"/>
    <n v="0"/>
    <n v="0"/>
    <n v="0"/>
    <n v="0"/>
    <n v="4469050"/>
    <n v="145674"/>
    <n v="0"/>
    <n v="21"/>
    <x v="23"/>
    <n v="2.9204420048931341E-9"/>
    <n v="6.1609696659283966E-9"/>
  </r>
  <r>
    <n v="84.886099999999999"/>
    <n v="85.138999999999996"/>
    <n v="3.01654"/>
    <n v="0"/>
    <n v="0.02"/>
    <n v="2.96706"/>
    <n v="2.96706"/>
    <n v="0"/>
    <n v="0.55598000000000003"/>
    <n v="5.3222399999999999"/>
    <n v="137559000"/>
    <n v="0"/>
    <n v="0"/>
    <n v="0"/>
    <n v="0"/>
    <n v="4435680"/>
    <n v="305020"/>
    <n v="0"/>
    <n v="99.302199999999999"/>
    <n v="98.274000000000001"/>
    <n v="3.2675900000000002"/>
    <n v="0"/>
    <n v="0"/>
    <n v="1.72749"/>
    <n v="1.72749"/>
    <n v="0"/>
    <n v="1.3345400000000001"/>
    <n v="2.9635199999999999"/>
    <n v="605642000"/>
    <n v="0"/>
    <n v="0"/>
    <n v="0"/>
    <n v="0"/>
    <n v="4469430"/>
    <n v="145686"/>
    <n v="0"/>
    <n v="22"/>
    <x v="23"/>
    <n v="2.9204342560390121E-9"/>
    <n v="6.1609809157011398E-9"/>
  </r>
  <r>
    <n v="84.540300000000002"/>
    <n v="85.138999999999996"/>
    <n v="2.9015"/>
    <n v="0"/>
    <n v="0.02"/>
    <n v="2.9673099999999999"/>
    <n v="2.9673099999999999"/>
    <n v="0"/>
    <n v="0.55602700000000005"/>
    <n v="5.3222399999999999"/>
    <n v="137864000"/>
    <n v="0"/>
    <n v="0"/>
    <n v="0"/>
    <n v="0"/>
    <n v="4436060"/>
    <n v="305046"/>
    <n v="0"/>
    <n v="99.302199999999999"/>
    <n v="98.274000000000001"/>
    <n v="2.9628899999999998"/>
    <n v="0"/>
    <n v="0"/>
    <n v="1.7276400000000001"/>
    <n v="1.7276400000000001"/>
    <n v="0"/>
    <n v="1.33466"/>
    <n v="2.9635199999999999"/>
    <n v="605788000"/>
    <n v="0"/>
    <n v="0"/>
    <n v="0"/>
    <n v="0"/>
    <n v="4469810"/>
    <n v="145698"/>
    <n v="0"/>
    <n v="23"/>
    <x v="23"/>
    <n v="2.9204265085024242E-9"/>
    <n v="6.1609782751643548E-9"/>
  </r>
  <r>
    <n v="83.855400000000003"/>
    <n v="85.138999999999996"/>
    <n v="2.5703100000000001"/>
    <n v="0"/>
    <n v="0.02"/>
    <n v="2.9675699999999998"/>
    <n v="2.9675699999999998"/>
    <n v="0"/>
    <n v="0.55607499999999999"/>
    <n v="5.3222399999999999"/>
    <n v="138169000"/>
    <n v="0"/>
    <n v="0"/>
    <n v="0"/>
    <n v="0"/>
    <n v="4436440"/>
    <n v="305072"/>
    <n v="0"/>
    <n v="99.302199999999999"/>
    <n v="98.274000000000001"/>
    <n v="2.8677600000000001"/>
    <n v="0"/>
    <n v="0"/>
    <n v="1.7277800000000001"/>
    <n v="1.7277800000000001"/>
    <n v="0"/>
    <n v="1.33477"/>
    <n v="2.9635199999999999"/>
    <n v="605934000"/>
    <n v="0"/>
    <n v="0"/>
    <n v="0"/>
    <n v="0"/>
    <n v="4470180"/>
    <n v="145711"/>
    <n v="0"/>
    <n v="24"/>
    <x v="23"/>
    <n v="2.9204453381191362E-9"/>
    <n v="6.160975635079916E-9"/>
  </r>
  <r>
    <n v="83.046599999999998"/>
    <n v="85.138999999999996"/>
    <n v="2.53233"/>
    <n v="0"/>
    <n v="0.02"/>
    <n v="3.1086"/>
    <n v="3.1086"/>
    <n v="0"/>
    <n v="0.55612200000000001"/>
    <n v="5.3222399999999999"/>
    <n v="138489000"/>
    <n v="0"/>
    <n v="0"/>
    <n v="0"/>
    <n v="0"/>
    <n v="4647280"/>
    <n v="319570"/>
    <n v="0"/>
    <n v="99.302199999999999"/>
    <n v="98.274000000000001"/>
    <n v="3.4182100000000002"/>
    <n v="0"/>
    <n v="0"/>
    <n v="1.82135"/>
    <n v="1.82135"/>
    <n v="0"/>
    <n v="1.3348800000000001"/>
    <n v="2.9635199999999999"/>
    <n v="606087000"/>
    <n v="0"/>
    <n v="0"/>
    <n v="0"/>
    <n v="0"/>
    <n v="4712270"/>
    <n v="153602"/>
    <n v="0"/>
    <n v="25"/>
    <x v="23"/>
    <n v="2.9204411460187101E-9"/>
    <n v="6.1609674942338026E-9"/>
  </r>
  <r>
    <n v="82.290599999999998"/>
    <n v="85.138999999999996"/>
    <n v="2.5329199999999998"/>
    <n v="0"/>
    <n v="0.02"/>
    <n v="3.10887"/>
    <n v="3.10887"/>
    <n v="0"/>
    <n v="0.58255199999999996"/>
    <n v="5.3222399999999999"/>
    <n v="138808000"/>
    <n v="0"/>
    <n v="0"/>
    <n v="0"/>
    <n v="0"/>
    <n v="4647680"/>
    <n v="319597"/>
    <n v="0"/>
    <n v="99.302199999999999"/>
    <n v="98.274000000000001"/>
    <n v="2.9368699999999999"/>
    <n v="0"/>
    <n v="0"/>
    <n v="1.8214999999999999"/>
    <n v="1.8214999999999999"/>
    <n v="0"/>
    <n v="1.4071800000000001"/>
    <n v="2.9635199999999999"/>
    <n v="606241000"/>
    <n v="0"/>
    <n v="0"/>
    <n v="0"/>
    <n v="0"/>
    <n v="4712670"/>
    <n v="153615"/>
    <n v="0"/>
    <n v="26"/>
    <x v="23"/>
    <n v="2.9204404146128975E-9"/>
    <n v="6.1609577402821667E-9"/>
  </r>
  <r>
    <n v="81.418499999999995"/>
    <n v="85.138999999999996"/>
    <n v="2.3980700000000001"/>
    <n v="0"/>
    <n v="0.02"/>
    <n v="3.1091299999999999"/>
    <n v="3.1091299999999999"/>
    <n v="0"/>
    <n v="0.58260100000000004"/>
    <n v="5.3222399999999999"/>
    <n v="139128000"/>
    <n v="0"/>
    <n v="0"/>
    <n v="0"/>
    <n v="0"/>
    <n v="4648070"/>
    <n v="319625"/>
    <n v="0"/>
    <n v="99.302199999999999"/>
    <n v="98.274000000000001"/>
    <n v="2.6540699999999999"/>
    <n v="0"/>
    <n v="0"/>
    <n v="1.8216600000000001"/>
    <n v="1.8216600000000001"/>
    <n v="0"/>
    <n v="1.4072899999999999"/>
    <n v="2.9635199999999999"/>
    <n v="606394000"/>
    <n v="0"/>
    <n v="0"/>
    <n v="0"/>
    <n v="0"/>
    <n v="4713070"/>
    <n v="153628"/>
    <n v="0"/>
    <n v="27"/>
    <x v="23"/>
    <n v="2.9204396833312351E-9"/>
    <n v="6.1609805185140873E-9"/>
  </r>
  <r>
    <n v="80.375399999999999"/>
    <n v="85.138999999999996"/>
    <n v="2.1706599999999998"/>
    <n v="0"/>
    <n v="0.02"/>
    <n v="3.1093899999999999"/>
    <n v="3.1093899999999999"/>
    <n v="0"/>
    <n v="0.58265100000000003"/>
    <n v="5.3222399999999999"/>
    <n v="139448000"/>
    <n v="0"/>
    <n v="0"/>
    <n v="0"/>
    <n v="0"/>
    <n v="4648460"/>
    <n v="319652"/>
    <n v="0"/>
    <n v="99.302199999999999"/>
    <n v="98.274000000000001"/>
    <n v="2.5581399999999999"/>
    <n v="0"/>
    <n v="0"/>
    <n v="1.8218099999999999"/>
    <n v="1.8218099999999999"/>
    <n v="0"/>
    <n v="1.40741"/>
    <n v="2.9635199999999999"/>
    <n v="606548000"/>
    <n v="0"/>
    <n v="0"/>
    <n v="0"/>
    <n v="0"/>
    <n v="4713470"/>
    <n v="153641"/>
    <n v="0"/>
    <n v="28"/>
    <x v="23"/>
    <n v="2.9204389521736896E-9"/>
    <n v="6.1609840188883049E-9"/>
  </r>
  <r>
    <n v="79.240300000000005"/>
    <n v="85.138999999999996"/>
    <n v="2.0538599999999998"/>
    <n v="0"/>
    <n v="0.02"/>
    <n v="3.1096599999999999"/>
    <n v="3.1096599999999999"/>
    <n v="0"/>
    <n v="0.5827"/>
    <n v="5.3222399999999999"/>
    <n v="139767000"/>
    <n v="0"/>
    <n v="0"/>
    <n v="0"/>
    <n v="0"/>
    <n v="4648860"/>
    <n v="319679"/>
    <n v="0"/>
    <n v="99.302199999999999"/>
    <n v="98.274000000000001"/>
    <n v="2.4226700000000001"/>
    <n v="0"/>
    <n v="0"/>
    <n v="1.8219700000000001"/>
    <n v="1.8219700000000001"/>
    <n v="0"/>
    <n v="1.4075299999999999"/>
    <n v="2.9635199999999999"/>
    <n v="606702000"/>
    <n v="0"/>
    <n v="0"/>
    <n v="0"/>
    <n v="0"/>
    <n v="4713870"/>
    <n v="153654"/>
    <n v="0"/>
    <n v="29"/>
    <x v="23"/>
    <n v="2.9204382211402311E-9"/>
    <n v="6.1609742659906476E-9"/>
  </r>
  <r>
    <n v="78.144199999999998"/>
    <n v="85.138999999999996"/>
    <n v="2.0533000000000001"/>
    <n v="0"/>
    <n v="0.02"/>
    <n v="3.0820699999999999"/>
    <n v="3.0820699999999999"/>
    <n v="0"/>
    <n v="0.58274999999999999"/>
    <n v="5.3222399999999999"/>
    <n v="140084000"/>
    <n v="0"/>
    <n v="0"/>
    <n v="0"/>
    <n v="0"/>
    <n v="4607610"/>
    <n v="316843"/>
    <n v="0"/>
    <n v="99.284099999999995"/>
    <n v="98.274000000000001"/>
    <n v="2.51763"/>
    <n v="0"/>
    <n v="0"/>
    <n v="1.8734900000000001"/>
    <n v="1.8734900000000001"/>
    <n v="0"/>
    <n v="1.4076500000000001"/>
    <n v="2.9635199999999999"/>
    <n v="606860000"/>
    <n v="0"/>
    <n v="0"/>
    <n v="0"/>
    <n v="0"/>
    <n v="4847170"/>
    <n v="157999"/>
    <n v="0"/>
    <n v="30"/>
    <x v="23"/>
    <n v="2.9204369936173112E-9"/>
    <n v="6.1609851067420273E-9"/>
  </r>
  <r>
    <n v="77.148799999999994"/>
    <n v="85.138999999999996"/>
    <n v="1.88907"/>
    <n v="0.01"/>
    <n v="0.02"/>
    <n v="2.7799299999999998"/>
    <n v="3.0823299999999998"/>
    <n v="0"/>
    <n v="0.57757899999999995"/>
    <n v="5.3222399999999999"/>
    <n v="139993000"/>
    <n v="0"/>
    <n v="0"/>
    <n v="0"/>
    <n v="0"/>
    <n v="4155920"/>
    <n v="-91669.1"/>
    <n v="408539"/>
    <n v="99.096900000000005"/>
    <n v="98.274000000000001"/>
    <n v="2.4247700000000001"/>
    <n v="0"/>
    <n v="0"/>
    <n v="2.17605"/>
    <n v="1.87365"/>
    <n v="0"/>
    <n v="1.44746"/>
    <n v="2.9635199999999999"/>
    <n v="607800000"/>
    <n v="0"/>
    <n v="0"/>
    <n v="0"/>
    <n v="0"/>
    <n v="5629960"/>
    <n v="940393"/>
    <n v="0"/>
    <n v="31"/>
    <x v="23"/>
    <n v="1.4965313974824238E-8"/>
    <n v="-1.9762302510634077E-9"/>
  </r>
  <r>
    <n v="76.005399999999995"/>
    <n v="85.138999999999996"/>
    <n v="1.71655"/>
    <n v="0.01"/>
    <n v="0.02"/>
    <n v="2.7801900000000002"/>
    <n v="3.0825900000000002"/>
    <n v="0"/>
    <n v="0.52095899999999995"/>
    <n v="5.3222399999999999"/>
    <n v="139901000"/>
    <n v="0"/>
    <n v="0"/>
    <n v="0"/>
    <n v="0"/>
    <n v="4156320"/>
    <n v="-91642.2"/>
    <n v="408539"/>
    <n v="98.862499999999997"/>
    <n v="98.274000000000001"/>
    <n v="2.2392799999999999"/>
    <n v="0"/>
    <n v="0"/>
    <n v="2.1762100000000002"/>
    <n v="1.87381"/>
    <n v="0"/>
    <n v="1.6812199999999999"/>
    <n v="2.9635199999999999"/>
    <n v="608741000"/>
    <n v="0"/>
    <n v="0"/>
    <n v="0"/>
    <n v="0"/>
    <n v="5630370"/>
    <n v="940407"/>
    <n v="0"/>
    <n v="32"/>
    <x v="23"/>
    <n v="1.496444698836294E-8"/>
    <n v="-1.9754601981334498E-9"/>
  </r>
  <r>
    <n v="74.814400000000006"/>
    <n v="85.138999999999996"/>
    <n v="1.62487"/>
    <n v="0.01"/>
    <n v="0.02"/>
    <n v="2.7804500000000001"/>
    <n v="3.0828500000000001"/>
    <n v="0"/>
    <n v="0.52100800000000003"/>
    <n v="5.3222399999999999"/>
    <n v="139809000"/>
    <n v="0"/>
    <n v="0"/>
    <n v="0"/>
    <n v="0"/>
    <n v="4156710"/>
    <n v="-91615.3"/>
    <n v="408539"/>
    <n v="98.522499999999994"/>
    <n v="98.274000000000001"/>
    <n v="2.2047500000000002"/>
    <n v="0"/>
    <n v="0"/>
    <n v="2.1763699999999999"/>
    <n v="1.8739699999999999"/>
    <n v="0"/>
    <n v="1.6813400000000001"/>
    <n v="2.9635199999999999"/>
    <n v="609681000"/>
    <n v="0"/>
    <n v="0"/>
    <n v="0"/>
    <n v="0"/>
    <n v="5630780"/>
    <n v="940420"/>
    <n v="0"/>
    <n v="33"/>
    <x v="23"/>
    <n v="1.4963564216583354E-8"/>
    <n v="-1.9746950440162068E-9"/>
  </r>
  <r>
    <n v="73.4572"/>
    <n v="85.138999999999996"/>
    <n v="1.50847"/>
    <n v="0.01"/>
    <n v="0.02"/>
    <n v="2.8526699999999998"/>
    <n v="3.1550699999999998"/>
    <n v="0"/>
    <n v="0.52105699999999999"/>
    <n v="5.3222399999999999"/>
    <n v="139725000"/>
    <n v="0"/>
    <n v="0"/>
    <n v="0"/>
    <n v="0"/>
    <n v="4264670"/>
    <n v="-84191.4"/>
    <n v="408539"/>
    <n v="98.120999999999995"/>
    <n v="98.274000000000001"/>
    <n v="2.1074999999999999"/>
    <n v="0"/>
    <n v="0"/>
    <n v="2.2223199999999999"/>
    <n v="1.9199200000000001"/>
    <n v="0"/>
    <n v="1.68146"/>
    <n v="2.9635199999999999"/>
    <n v="610625000"/>
    <n v="0"/>
    <n v="0"/>
    <n v="0"/>
    <n v="0"/>
    <n v="5749680"/>
    <n v="944295"/>
    <n v="0"/>
    <n v="34"/>
    <x v="23"/>
    <n v="1.4714508830077803E-8"/>
    <n v="-1.7687402328249964E-9"/>
  </r>
  <r>
    <n v="72.107399999999998"/>
    <n v="85.138999999999996"/>
    <n v="1.5042199999999999"/>
    <n v="0.02"/>
    <n v="0.02"/>
    <n v="2.8529399999999998"/>
    <n v="3.1553399999999998"/>
    <n v="0"/>
    <n v="0.53459000000000001"/>
    <n v="5.3222399999999999"/>
    <n v="139641000"/>
    <n v="0"/>
    <n v="0"/>
    <n v="0"/>
    <n v="0"/>
    <n v="4265070"/>
    <n v="-84163.9"/>
    <n v="408539"/>
    <n v="97.606899999999996"/>
    <n v="98.274000000000001"/>
    <n v="2.0213899999999998"/>
    <n v="0"/>
    <n v="0"/>
    <n v="2.22248"/>
    <n v="1.92008"/>
    <n v="0"/>
    <n v="1.7169700000000001"/>
    <n v="2.9635199999999999"/>
    <n v="611570000"/>
    <n v="0"/>
    <n v="0"/>
    <n v="0"/>
    <n v="0"/>
    <n v="5750100"/>
    <n v="944309"/>
    <n v="0"/>
    <n v="35"/>
    <x v="23"/>
    <n v="1.4713652189403542E-8"/>
    <n v="-1.7679966700847403E-9"/>
  </r>
  <r>
    <n v="70.603899999999996"/>
    <n v="85.138999999999996"/>
    <n v="1.3361000000000001"/>
    <n v="0.02"/>
    <n v="0.02"/>
    <n v="2.8532000000000002"/>
    <n v="3.1556000000000002"/>
    <n v="0"/>
    <n v="0.53464"/>
    <n v="5.3222399999999999"/>
    <n v="139557000"/>
    <n v="0"/>
    <n v="0"/>
    <n v="0"/>
    <n v="0"/>
    <n v="4265470"/>
    <n v="-84136.4"/>
    <n v="408539"/>
    <n v="96.999899999999997"/>
    <n v="98.274000000000001"/>
    <n v="1.9239999999999999"/>
    <n v="0"/>
    <n v="0"/>
    <n v="2.2226499999999998"/>
    <n v="1.92025"/>
    <n v="0"/>
    <n v="1.71709"/>
    <n v="2.9635199999999999"/>
    <n v="612514000"/>
    <n v="0"/>
    <n v="0"/>
    <n v="0"/>
    <n v="0"/>
    <n v="5750520"/>
    <n v="944323"/>
    <n v="0"/>
    <n v="36"/>
    <x v="23"/>
    <n v="1.4712795673861996E-8"/>
    <n v="-1.7672532468016115E-9"/>
  </r>
  <r>
    <n v="69.003699999999995"/>
    <n v="85.138999999999996"/>
    <n v="1.22343"/>
    <n v="0.02"/>
    <n v="0.02"/>
    <n v="2.8534700000000002"/>
    <n v="3.1558700000000002"/>
    <n v="0"/>
    <n v="0.53469"/>
    <n v="5.3222399999999999"/>
    <n v="139473000"/>
    <n v="0"/>
    <n v="0"/>
    <n v="0"/>
    <n v="0"/>
    <n v="4265870"/>
    <n v="-84108.800000000003"/>
    <n v="408539"/>
    <n v="96.366299999999995"/>
    <n v="98.274000000000001"/>
    <n v="1.8014600000000001"/>
    <n v="0"/>
    <n v="0"/>
    <n v="2.22281"/>
    <n v="1.92041"/>
    <n v="0"/>
    <n v="1.71722"/>
    <n v="2.9635199999999999"/>
    <n v="613458000"/>
    <n v="0"/>
    <n v="0"/>
    <n v="0"/>
    <n v="0"/>
    <n v="5750940"/>
    <n v="944337"/>
    <n v="0"/>
    <n v="37"/>
    <x v="23"/>
    <n v="1.4711939283425746E-8"/>
    <n v="-1.7665078626711729E-9"/>
  </r>
  <r>
    <n v="67.095399999999998"/>
    <n v="85.138999999999996"/>
    <n v="1.0566"/>
    <n v="0.02"/>
    <n v="0.02"/>
    <n v="3.0645199999999999"/>
    <n v="3.3669199999999999"/>
    <n v="0"/>
    <n v="0.53474100000000002"/>
    <n v="5.3222399999999999"/>
    <n v="139410000"/>
    <n v="0"/>
    <n v="0"/>
    <n v="0"/>
    <n v="0"/>
    <n v="4581390"/>
    <n v="-62412.2"/>
    <n v="408539"/>
    <n v="95.623699999999999"/>
    <n v="98.274000000000001"/>
    <n v="1.7872399999999999"/>
    <n v="0"/>
    <n v="0"/>
    <n v="2.3883299999999998"/>
    <n v="2.0859299999999998"/>
    <n v="0"/>
    <n v="1.7173400000000001"/>
    <n v="2.9635199999999999"/>
    <n v="614416000"/>
    <n v="0"/>
    <n v="0"/>
    <n v="0"/>
    <n v="0"/>
    <n v="6179170"/>
    <n v="958295"/>
    <n v="0"/>
    <n v="38"/>
    <x v="23"/>
    <n v="1.3894753065168671E-8"/>
    <n v="-1.2205455239508028E-9"/>
  </r>
  <r>
    <n v="65.012799999999999"/>
    <n v="85.138999999999996"/>
    <n v="0.89877099999999999"/>
    <n v="0.02"/>
    <n v="0.02"/>
    <n v="3.06481"/>
    <n v="3.36721"/>
    <n v="0"/>
    <n v="0.57429200000000002"/>
    <n v="5.3222399999999999"/>
    <n v="139348000"/>
    <n v="0"/>
    <n v="0"/>
    <n v="0"/>
    <n v="0"/>
    <n v="4581810"/>
    <n v="-62382.8"/>
    <n v="408539"/>
    <n v="94.729799999999997"/>
    <n v="98.274000000000001"/>
    <n v="1.5885899999999999"/>
    <n v="0"/>
    <n v="0"/>
    <n v="2.3885000000000001"/>
    <n v="2.0861000000000001"/>
    <n v="0"/>
    <n v="1.8452200000000001"/>
    <n v="2.9635199999999999"/>
    <n v="615375000"/>
    <n v="0"/>
    <n v="0"/>
    <n v="0"/>
    <n v="0"/>
    <n v="6179630"/>
    <n v="958310"/>
    <n v="0"/>
    <n v="39"/>
    <x v="23"/>
    <n v="1.3893936241562887E-8"/>
    <n v="-1.2198587408079027E-9"/>
  </r>
  <r>
    <n v="62.856299999999997"/>
    <n v="85.138999999999996"/>
    <n v="0.79711200000000004"/>
    <n v="0.02"/>
    <n v="0.02"/>
    <n v="3.0651000000000002"/>
    <n v="3.3675000000000002"/>
    <n v="0"/>
    <n v="0.57434499999999999"/>
    <n v="5.3222399999999999"/>
    <n v="139286000"/>
    <n v="0"/>
    <n v="0"/>
    <n v="0"/>
    <n v="0"/>
    <n v="4582240"/>
    <n v="-62353.4"/>
    <n v="408539"/>
    <n v="93.845200000000006"/>
    <n v="98.274000000000001"/>
    <n v="1.48058"/>
    <n v="0"/>
    <n v="0"/>
    <n v="2.3886799999999999"/>
    <n v="2.0862799999999999"/>
    <n v="0"/>
    <n v="1.8453599999999999"/>
    <n v="2.9635199999999999"/>
    <n v="616333000"/>
    <n v="0"/>
    <n v="0"/>
    <n v="0"/>
    <n v="0"/>
    <n v="6180090"/>
    <n v="958325"/>
    <n v="0"/>
    <n v="40"/>
    <x v="23"/>
    <n v="1.389311953955367E-8"/>
    <n v="-1.219169422917426E-9"/>
  </r>
  <r>
    <n v="60.810400000000001"/>
    <n v="85.138999999999996"/>
    <n v="0.88517500000000005"/>
    <n v="0.02"/>
    <n v="0.02"/>
    <n v="3.0653800000000002"/>
    <n v="3.3677800000000002"/>
    <n v="0"/>
    <n v="0.57439899999999999"/>
    <n v="5.3222399999999999"/>
    <n v="139223000"/>
    <n v="0"/>
    <n v="0"/>
    <n v="0"/>
    <n v="0"/>
    <n v="4582670"/>
    <n v="-62324.1"/>
    <n v="408539"/>
    <n v="93.181100000000001"/>
    <n v="98.274000000000001"/>
    <n v="1.52803"/>
    <n v="0"/>
    <n v="0"/>
    <n v="2.3888600000000002"/>
    <n v="2.0864600000000002"/>
    <n v="0"/>
    <n v="1.8454900000000001"/>
    <n v="2.9635199999999999"/>
    <n v="617291000"/>
    <n v="0"/>
    <n v="0"/>
    <n v="0"/>
    <n v="0"/>
    <n v="6180540"/>
    <n v="958340"/>
    <n v="0"/>
    <n v="41"/>
    <x v="23"/>
    <n v="1.3892325436604442E-8"/>
    <n v="-1.2184821894606366E-9"/>
  </r>
  <r>
    <n v="59.2654"/>
    <n v="85.138999999999996"/>
    <n v="1.4203399999999999"/>
    <n v="0.02"/>
    <n v="0.02"/>
    <n v="3.0656699999999999"/>
    <n v="3.3680699999999999"/>
    <n v="0"/>
    <n v="0.57445299999999999"/>
    <n v="5.3222399999999999"/>
    <n v="139161000"/>
    <n v="0"/>
    <n v="0"/>
    <n v="0"/>
    <n v="0"/>
    <n v="4583090"/>
    <n v="-62294.7"/>
    <n v="408539"/>
    <n v="92.664299999999997"/>
    <n v="98.274000000000001"/>
    <n v="1.84066"/>
    <n v="0"/>
    <n v="0"/>
    <n v="2.3890400000000001"/>
    <n v="2.0866400000000001"/>
    <n v="0"/>
    <n v="1.8456300000000001"/>
    <n v="2.9635199999999999"/>
    <n v="618250000"/>
    <n v="0"/>
    <n v="0"/>
    <n v="0"/>
    <n v="0"/>
    <n v="6181000"/>
    <n v="958355"/>
    <n v="0"/>
    <n v="42"/>
    <x v="23"/>
    <n v="1.3891508974713185E-8"/>
    <n v="-1.21779578721423E-9"/>
  </r>
  <r>
    <n v="58.287599999999998"/>
    <n v="85.138999999999996"/>
    <n v="1.85005"/>
    <n v="0.03"/>
    <n v="0.02"/>
    <n v="2.9631799999999999"/>
    <n v="3.2655799999999999"/>
    <n v="0"/>
    <n v="0.57450599999999996"/>
    <n v="5.3222399999999999"/>
    <n v="139088000"/>
    <n v="0"/>
    <n v="0"/>
    <n v="0"/>
    <n v="0"/>
    <n v="4429880"/>
    <n v="-72830.5"/>
    <n v="408539"/>
    <n v="92.2928"/>
    <n v="98.274000000000001"/>
    <n v="2.0680499999999999"/>
    <n v="0"/>
    <n v="0"/>
    <n v="2.2888099999999998"/>
    <n v="1.98641"/>
    <n v="0"/>
    <n v="1.8457699999999999"/>
    <n v="2.9635199999999999"/>
    <n v="619200000"/>
    <n v="0"/>
    <n v="0"/>
    <n v="0"/>
    <n v="0"/>
    <n v="5921690"/>
    <n v="949902"/>
    <n v="0"/>
    <n v="43"/>
    <x v="23"/>
    <n v="1.4371923210981349E-8"/>
    <n v="-1.4730011436408529E-9"/>
  </r>
  <r>
    <n v="57.274700000000003"/>
    <n v="85.138999999999996"/>
    <n v="1.8224499999999999"/>
    <n v="0.03"/>
    <n v="0.02"/>
    <n v="2.96346"/>
    <n v="3.26586"/>
    <n v="0"/>
    <n v="0.55530000000000002"/>
    <n v="5.3222399999999999"/>
    <n v="139015000"/>
    <n v="0"/>
    <n v="0"/>
    <n v="0"/>
    <n v="0"/>
    <n v="4430290"/>
    <n v="-72802"/>
    <n v="408539"/>
    <n v="92.1023"/>
    <n v="98.274000000000001"/>
    <n v="2.6741799999999998"/>
    <n v="0"/>
    <n v="0"/>
    <n v="2.28898"/>
    <n v="1.98658"/>
    <n v="0"/>
    <n v="1.76833"/>
    <n v="2.9635199999999999"/>
    <n v="620150000"/>
    <n v="0"/>
    <n v="0"/>
    <n v="0"/>
    <n v="0"/>
    <n v="5922120"/>
    <n v="949917"/>
    <n v="0"/>
    <n v="44"/>
    <x v="23"/>
    <n v="1.4371106610130684E-8"/>
    <n v="-1.4722884643138237E-9"/>
  </r>
  <r>
    <n v="56.162500000000001"/>
    <n v="85.138999999999996"/>
    <n v="1.7250700000000001"/>
    <n v="0.03"/>
    <n v="0.02"/>
    <n v="2.96374"/>
    <n v="3.26614"/>
    <n v="0"/>
    <n v="0.55535199999999996"/>
    <n v="5.3222399999999999"/>
    <n v="138942000"/>
    <n v="0"/>
    <n v="0"/>
    <n v="0"/>
    <n v="0"/>
    <n v="4430710"/>
    <n v="-72773.5"/>
    <n v="408539"/>
    <n v="91.923599999999993"/>
    <n v="98.274000000000001"/>
    <n v="2.6408700000000001"/>
    <n v="0"/>
    <n v="0"/>
    <n v="2.2891400000000002"/>
    <n v="1.98674"/>
    <n v="0"/>
    <n v="1.7684599999999999"/>
    <n v="2.9635199999999999"/>
    <n v="621100000"/>
    <n v="0"/>
    <n v="0"/>
    <n v="0"/>
    <n v="0"/>
    <n v="5922560"/>
    <n v="949931"/>
    <n v="0"/>
    <n v="45"/>
    <x v="23"/>
    <n v="1.4370250736531955E-8"/>
    <n v="-1.4715725955745326E-9"/>
  </r>
  <r>
    <n v="55.2684"/>
    <n v="85.138999999999996"/>
    <n v="1.96828"/>
    <n v="0.03"/>
    <n v="0.02"/>
    <n v="2.96401"/>
    <n v="3.26641"/>
    <n v="0"/>
    <n v="0.55540400000000001"/>
    <n v="5.3222399999999999"/>
    <n v="138870000"/>
    <n v="0"/>
    <n v="0"/>
    <n v="0"/>
    <n v="0"/>
    <n v="4431120"/>
    <n v="-72745"/>
    <n v="408539"/>
    <n v="91.939099999999996"/>
    <n v="98.274000000000001"/>
    <n v="3.2147100000000002"/>
    <n v="0"/>
    <n v="0"/>
    <n v="2.28931"/>
    <n v="1.98691"/>
    <n v="0"/>
    <n v="1.7685900000000001"/>
    <n v="2.9635199999999999"/>
    <n v="622050000"/>
    <n v="0"/>
    <n v="0"/>
    <n v="0"/>
    <n v="0"/>
    <n v="5923000"/>
    <n v="949945"/>
    <n v="0"/>
    <n v="46"/>
    <x v="23"/>
    <n v="1.4369394990093243E-8"/>
    <n v="-1.4708601819204139E-9"/>
  </r>
  <r>
    <n v="55.592500000000001"/>
    <n v="85.138999999999996"/>
    <n v="3.24133"/>
    <n v="0.02"/>
    <n v="0.02"/>
    <n v="2.8799000000000001"/>
    <n v="3.1823000000000001"/>
    <n v="0"/>
    <n v="0.55545599999999995"/>
    <n v="5.3222399999999999"/>
    <n v="138788000"/>
    <n v="0"/>
    <n v="0"/>
    <n v="0"/>
    <n v="0"/>
    <n v="4305380"/>
    <n v="-81391.600000000006"/>
    <n v="408539"/>
    <n v="92.244699999999995"/>
    <n v="98.274000000000001"/>
    <n v="4.0369099999999998"/>
    <n v="0"/>
    <n v="0"/>
    <n v="2.1980599999999999"/>
    <n v="1.8956599999999999"/>
    <n v="0"/>
    <n v="1.7687200000000001"/>
    <n v="2.9635199999999999"/>
    <n v="622992000"/>
    <n v="0"/>
    <n v="0"/>
    <n v="0"/>
    <n v="0"/>
    <n v="5686890"/>
    <n v="942249"/>
    <n v="0"/>
    <n v="47"/>
    <x v="23"/>
    <n v="1.4844740554589373E-8"/>
    <n v="-1.693752118076255E-9"/>
  </r>
  <r>
    <n v="59.247399999999999"/>
    <n v="85.138999999999996"/>
    <n v="6.6824500000000002"/>
    <n v="0.02"/>
    <n v="0.02"/>
    <n v="2.8801700000000001"/>
    <n v="3.1825700000000001"/>
    <n v="0"/>
    <n v="0.53969400000000001"/>
    <n v="5.3222399999999999"/>
    <n v="138707000"/>
    <n v="0"/>
    <n v="0"/>
    <n v="0"/>
    <n v="0"/>
    <n v="4305790"/>
    <n v="-81363.899999999994"/>
    <n v="408539"/>
    <n v="93.784700000000001"/>
    <n v="98.274000000000001"/>
    <n v="7.9276900000000001"/>
    <n v="0"/>
    <n v="0"/>
    <n v="2.1982200000000001"/>
    <n v="1.8958200000000001"/>
    <n v="0"/>
    <n v="1.6982200000000001"/>
    <n v="2.9635199999999999"/>
    <n v="623934000"/>
    <n v="0"/>
    <n v="0"/>
    <n v="0"/>
    <n v="0"/>
    <n v="5687310"/>
    <n v="942263"/>
    <n v="0"/>
    <n v="48"/>
    <x v="23"/>
    <n v="1.4843864838852874E-8"/>
    <n v="-1.6930144582441343E-9"/>
  </r>
  <r>
    <n v="61.188499999999998"/>
    <n v="85.138999999999996"/>
    <n v="4.9889999999999999"/>
    <n v="0.02"/>
    <n v="0.02"/>
    <n v="2.8804400000000001"/>
    <n v="3.1828400000000001"/>
    <n v="0"/>
    <n v="0.539744"/>
    <n v="5.3222399999999999"/>
    <n v="138626000"/>
    <n v="0"/>
    <n v="0"/>
    <n v="0"/>
    <n v="0"/>
    <n v="4306190"/>
    <n v="-81336.100000000006"/>
    <n v="408539"/>
    <n v="95.135900000000007"/>
    <n v="98.274000000000001"/>
    <n v="6.0006700000000004"/>
    <n v="0"/>
    <n v="0"/>
    <n v="2.1983799999999998"/>
    <n v="1.89598"/>
    <n v="0"/>
    <n v="1.69834"/>
    <n v="2.9635199999999999"/>
    <n v="624876000"/>
    <n v="0"/>
    <n v="0"/>
    <n v="0"/>
    <n v="0"/>
    <n v="5687730"/>
    <n v="942276"/>
    <n v="0"/>
    <n v="49"/>
    <x v="23"/>
    <n v="1.4842973500190851E-8"/>
    <n v="-1.6922787881502071E-9"/>
  </r>
  <r>
    <n v="64.908500000000004"/>
    <n v="85.138999999999996"/>
    <n v="6.7877999999999998"/>
    <n v="0.02"/>
    <n v="0.02"/>
    <n v="2.8807100000000001"/>
    <n v="3.1831100000000001"/>
    <n v="0"/>
    <n v="0.53979500000000002"/>
    <n v="5.3222399999999999"/>
    <n v="138544000"/>
    <n v="0"/>
    <n v="0"/>
    <n v="0"/>
    <n v="0"/>
    <n v="4306590"/>
    <n v="-81308.3"/>
    <n v="408539"/>
    <n v="96.451599999999999"/>
    <n v="98.274000000000001"/>
    <n v="7.0716099999999997"/>
    <n v="0"/>
    <n v="0"/>
    <n v="2.1985399999999999"/>
    <n v="1.8961399999999999"/>
    <n v="0"/>
    <n v="1.6984699999999999"/>
    <n v="2.9635199999999999"/>
    <n v="625819000"/>
    <n v="0"/>
    <n v="0"/>
    <n v="0"/>
    <n v="0"/>
    <n v="5688140"/>
    <n v="942290"/>
    <n v="0"/>
    <n v="50"/>
    <x v="23"/>
    <n v="1.4842124137311685E-8"/>
    <n v="-1.6915432547156952E-9"/>
  </r>
  <r>
    <n v="67.194999999999993"/>
    <n v="85.138999999999996"/>
    <n v="5.2169699999999999"/>
    <n v="0.02"/>
    <n v="0.02"/>
    <n v="2.6412399999999998"/>
    <n v="2.9436399999999998"/>
    <n v="0"/>
    <n v="0.53984600000000005"/>
    <n v="5.3222399999999999"/>
    <n v="138438000"/>
    <n v="0"/>
    <n v="0"/>
    <n v="0"/>
    <n v="0"/>
    <n v="3948580"/>
    <n v="-105927"/>
    <n v="408539"/>
    <n v="96.912499999999994"/>
    <n v="98.274000000000001"/>
    <n v="4.4450900000000004"/>
    <n v="0"/>
    <n v="0"/>
    <n v="2.0082200000000001"/>
    <n v="1.7058199999999999"/>
    <n v="0"/>
    <n v="1.69859"/>
    <n v="2.9635199999999999"/>
    <n v="626745000"/>
    <n v="0"/>
    <n v="0"/>
    <n v="0"/>
    <n v="0"/>
    <n v="5195750"/>
    <n v="926240"/>
    <n v="0"/>
    <n v="51"/>
    <x v="23"/>
    <n v="1.5971916841046041E-8"/>
    <n v="-2.4035185903880434E-9"/>
  </r>
  <r>
    <n v="71.341099999999997"/>
    <n v="85.138999999999996"/>
    <n v="7.0798500000000004"/>
    <n v="0.02"/>
    <n v="0.02"/>
    <n v="2.6414900000000001"/>
    <n v="2.9438900000000001"/>
    <n v="0"/>
    <n v="0.49496800000000002"/>
    <n v="5.3222399999999999"/>
    <n v="138333000"/>
    <n v="0"/>
    <n v="0"/>
    <n v="0"/>
    <n v="0"/>
    <n v="3948960"/>
    <n v="-105901"/>
    <n v="408539"/>
    <n v="97.597300000000004"/>
    <n v="98.274000000000001"/>
    <n v="4.1600999999999999"/>
    <n v="0"/>
    <n v="0"/>
    <n v="2.0083700000000002"/>
    <n v="1.70597"/>
    <n v="0"/>
    <n v="1.55155"/>
    <n v="2.9635199999999999"/>
    <n v="627671000"/>
    <n v="0"/>
    <n v="0"/>
    <n v="0"/>
    <n v="0"/>
    <n v="5196120"/>
    <n v="926252"/>
    <n v="0"/>
    <n v="52"/>
    <x v="23"/>
    <n v="1.5970986440241133E-8"/>
    <n v="-2.4026974131077711E-9"/>
  </r>
  <r>
    <n v="75.913600000000002"/>
    <n v="85.138999999999996"/>
    <n v="7.6491199999999999"/>
    <n v="0.02"/>
    <n v="0.02"/>
    <n v="2.64174"/>
    <n v="2.94414"/>
    <n v="0"/>
    <n v="0.49501499999999998"/>
    <n v="5.3222399999999999"/>
    <n v="138227000"/>
    <n v="0"/>
    <n v="0"/>
    <n v="0"/>
    <n v="0"/>
    <n v="3949330"/>
    <n v="-105875"/>
    <n v="408539"/>
    <n v="98.387600000000006"/>
    <n v="98.274000000000001"/>
    <n v="4.2899200000000004"/>
    <n v="0"/>
    <n v="0"/>
    <n v="2.0085099999999998"/>
    <n v="1.70611"/>
    <n v="0"/>
    <n v="1.55166"/>
    <n v="2.9635199999999999"/>
    <n v="628597000"/>
    <n v="0"/>
    <n v="0"/>
    <n v="0"/>
    <n v="0"/>
    <n v="5196500"/>
    <n v="926264"/>
    <n v="0"/>
    <n v="1"/>
    <x v="24"/>
    <n v="7.8864780139339786E-9"/>
    <n v="-1.1861216757224822E-9"/>
  </r>
  <r>
    <n v="83.517499999999998"/>
    <n v="85.138999999999996"/>
    <n v="11.043799999999999"/>
    <n v="0"/>
    <n v="0.02"/>
    <n v="2.9443899999999998"/>
    <n v="2.9443899999999998"/>
    <n v="0"/>
    <n v="0.495062"/>
    <n v="5.3222399999999999"/>
    <n v="138529000"/>
    <n v="0"/>
    <n v="0"/>
    <n v="0"/>
    <n v="0"/>
    <n v="4401790"/>
    <n v="302689"/>
    <n v="0"/>
    <n v="99.302199999999999"/>
    <n v="98.274000000000001"/>
    <n v="10.3482"/>
    <n v="0"/>
    <n v="0"/>
    <n v="1.7062600000000001"/>
    <n v="1.7062600000000001"/>
    <n v="0"/>
    <n v="1.5517799999999999"/>
    <n v="2.9635199999999999"/>
    <n v="628741000"/>
    <n v="0"/>
    <n v="0"/>
    <n v="0"/>
    <n v="0"/>
    <n v="4414490"/>
    <n v="143895"/>
    <n v="0"/>
    <n v="2"/>
    <x v="24"/>
    <n v="1.4421964079376718E-9"/>
    <n v="3.0424718067170915E-9"/>
  </r>
  <r>
    <n v="85.138999999999996"/>
    <n v="85.138999999999996"/>
    <n v="12.0739"/>
    <n v="0"/>
    <n v="0.02"/>
    <n v="2.9446400000000001"/>
    <n v="2.9446400000000001"/>
    <n v="0"/>
    <n v="0.55177799999999999"/>
    <n v="5.3222399999999999"/>
    <n v="138832000"/>
    <n v="0"/>
    <n v="0"/>
    <n v="0"/>
    <n v="0"/>
    <n v="4402160"/>
    <n v="302714"/>
    <n v="0"/>
    <n v="99.302199999999999"/>
    <n v="98.274000000000001"/>
    <n v="7.30802"/>
    <n v="0"/>
    <n v="0"/>
    <n v="1.7063999999999999"/>
    <n v="1.7063999999999999"/>
    <n v="0"/>
    <n v="1.3182499999999999"/>
    <n v="2.9635199999999999"/>
    <n v="628885000"/>
    <n v="0"/>
    <n v="0"/>
    <n v="0"/>
    <n v="0"/>
    <n v="4414870"/>
    <n v="143908"/>
    <n v="0"/>
    <n v="3"/>
    <x v="24"/>
    <n v="1.4422025562050373E-9"/>
    <n v="3.0424673538595736E-9"/>
  </r>
  <r>
    <n v="85.138999999999996"/>
    <n v="85.138999999999996"/>
    <n v="6.2792300000000001"/>
    <n v="0"/>
    <n v="0.02"/>
    <n v="2.9446400000000001"/>
    <n v="2.9446400000000001"/>
    <n v="0"/>
    <n v="0.55182500000000001"/>
    <n v="5.3222399999999999"/>
    <n v="139135000"/>
    <n v="0"/>
    <n v="0"/>
    <n v="0"/>
    <n v="0"/>
    <n v="4402160"/>
    <n v="302714"/>
    <n v="0"/>
    <n v="99.302199999999999"/>
    <n v="98.274000000000001"/>
    <n v="5.31487"/>
    <n v="0"/>
    <n v="0"/>
    <n v="1.7063999999999999"/>
    <n v="1.7063999999999999"/>
    <n v="0"/>
    <n v="1.31837"/>
    <n v="2.9635199999999999"/>
    <n v="629029000"/>
    <n v="0"/>
    <n v="0"/>
    <n v="0"/>
    <n v="0"/>
    <n v="4414870"/>
    <n v="143908"/>
    <n v="0"/>
    <n v="4"/>
    <x v="24"/>
    <n v="1.4422025562050373E-9"/>
    <n v="3.0424673538595736E-9"/>
  </r>
  <r>
    <n v="85.138999999999996"/>
    <n v="85.138999999999996"/>
    <n v="5.9607299999999999"/>
    <n v="0"/>
    <n v="0.02"/>
    <n v="3.03714"/>
    <n v="3.03714"/>
    <n v="0"/>
    <n v="0.55182500000000001"/>
    <n v="5.3222399999999999"/>
    <n v="139447000"/>
    <n v="0"/>
    <n v="0"/>
    <n v="0"/>
    <n v="0"/>
    <n v="4540440"/>
    <n v="312224"/>
    <n v="0"/>
    <n v="99.302199999999999"/>
    <n v="98.274000000000001"/>
    <n v="5.6964399999999999"/>
    <n v="0"/>
    <n v="0"/>
    <n v="1.76172"/>
    <n v="1.76172"/>
    <n v="0"/>
    <n v="1.31837"/>
    <n v="2.9635199999999999"/>
    <n v="629178000"/>
    <n v="0"/>
    <n v="0"/>
    <n v="0"/>
    <n v="0"/>
    <n v="4557990"/>
    <n v="148573"/>
    <n v="0"/>
    <n v="5"/>
    <x v="24"/>
    <n v="1.4422009194633118E-9"/>
    <n v="3.0424789744530997E-9"/>
  </r>
  <r>
    <n v="85.138999999999996"/>
    <n v="85.138999999999996"/>
    <n v="6.2857000000000003"/>
    <n v="0"/>
    <n v="0.02"/>
    <n v="3.0373700000000001"/>
    <n v="3.0373700000000001"/>
    <n v="0"/>
    <n v="0.56915899999999997"/>
    <n v="5.3222399999999999"/>
    <n v="139759000"/>
    <n v="0"/>
    <n v="0"/>
    <n v="0"/>
    <n v="0"/>
    <n v="4540800"/>
    <n v="312248"/>
    <n v="0"/>
    <n v="99.302199999999999"/>
    <n v="98.274000000000001"/>
    <n v="5.3582799999999997"/>
    <n v="0"/>
    <n v="0"/>
    <n v="1.76186"/>
    <n v="1.76186"/>
    <n v="0"/>
    <n v="1.36111"/>
    <n v="2.9635199999999999"/>
    <n v="629326000"/>
    <n v="0"/>
    <n v="0"/>
    <n v="0"/>
    <n v="0"/>
    <n v="4558350"/>
    <n v="148585"/>
    <n v="0"/>
    <n v="6"/>
    <x v="24"/>
    <n v="1.4422034953098497E-9"/>
    <n v="3.0424716135147935E-9"/>
  </r>
  <r>
    <n v="85.138999999999996"/>
    <n v="85.138999999999996"/>
    <n v="3.6141000000000001"/>
    <n v="0"/>
    <n v="0.02"/>
    <n v="3.0376099999999999"/>
    <n v="3.0376099999999999"/>
    <n v="0"/>
    <n v="0.56920400000000004"/>
    <n v="5.3222399999999999"/>
    <n v="140072000"/>
    <n v="0"/>
    <n v="0"/>
    <n v="0"/>
    <n v="0"/>
    <n v="4541150"/>
    <n v="312273"/>
    <n v="0"/>
    <n v="99.302199999999999"/>
    <n v="98.274000000000001"/>
    <n v="3.99837"/>
    <n v="0"/>
    <n v="0"/>
    <n v="1.762"/>
    <n v="1.762"/>
    <n v="0"/>
    <n v="1.36121"/>
    <n v="2.9635199999999999"/>
    <n v="629475000"/>
    <n v="0"/>
    <n v="0"/>
    <n v="0"/>
    <n v="0"/>
    <n v="4558710"/>
    <n v="148596"/>
    <n v="0"/>
    <n v="7"/>
    <x v="24"/>
    <n v="1.4421963652637774E-9"/>
    <n v="3.0424806965251551E-9"/>
  </r>
  <r>
    <n v="84.634900000000002"/>
    <n v="85.138999999999996"/>
    <n v="3.03085"/>
    <n v="0"/>
    <n v="0.02"/>
    <n v="3.0378500000000002"/>
    <n v="3.0378500000000002"/>
    <n v="0"/>
    <n v="0.569249"/>
    <n v="5.3222399999999999"/>
    <n v="140384000"/>
    <n v="0"/>
    <n v="0"/>
    <n v="0"/>
    <n v="0"/>
    <n v="4541510"/>
    <n v="312297"/>
    <n v="0"/>
    <n v="99.302199999999999"/>
    <n v="98.274000000000001"/>
    <n v="3.8154300000000001"/>
    <n v="0"/>
    <n v="0"/>
    <n v="1.76214"/>
    <n v="1.76214"/>
    <n v="0"/>
    <n v="1.3613200000000001"/>
    <n v="2.9635199999999999"/>
    <n v="629623000"/>
    <n v="0"/>
    <n v="0"/>
    <n v="0"/>
    <n v="0"/>
    <n v="4559070"/>
    <n v="148608"/>
    <n v="0"/>
    <n v="8"/>
    <x v="24"/>
    <n v="1.442198941063135E-9"/>
    <n v="3.04247333660112E-9"/>
  </r>
  <r>
    <n v="84.578599999999994"/>
    <n v="85.138999999999996"/>
    <n v="3.7962799999999999"/>
    <n v="0"/>
    <n v="0.02"/>
    <n v="3.3344200000000002"/>
    <n v="3.3344200000000002"/>
    <n v="0"/>
    <n v="0.56929300000000005"/>
    <n v="5.3222399999999999"/>
    <n v="140727000"/>
    <n v="0"/>
    <n v="0"/>
    <n v="0"/>
    <n v="0"/>
    <n v="4984870"/>
    <n v="342785"/>
    <n v="0"/>
    <n v="99.302199999999999"/>
    <n v="98.274000000000001"/>
    <n v="5.1029"/>
    <n v="0"/>
    <n v="0"/>
    <n v="1.9694799999999999"/>
    <n v="1.9694799999999999"/>
    <n v="0"/>
    <n v="1.3614299999999999"/>
    <n v="2.9635199999999999"/>
    <n v="629790000"/>
    <n v="0"/>
    <n v="0"/>
    <n v="0"/>
    <n v="0"/>
    <n v="5095520"/>
    <n v="166094"/>
    <n v="0"/>
    <n v="9"/>
    <x v="24"/>
    <n v="1.4421972963239165E-9"/>
    <n v="3.0424763833741587E-9"/>
  </r>
  <r>
    <n v="84.656099999999995"/>
    <n v="85.138999999999996"/>
    <n v="3.9206400000000001"/>
    <n v="0"/>
    <n v="0.02"/>
    <n v="3.3346800000000001"/>
    <n v="3.3346800000000001"/>
    <n v="0"/>
    <n v="0.62487000000000004"/>
    <n v="5.3222399999999999"/>
    <n v="141069000"/>
    <n v="0"/>
    <n v="0"/>
    <n v="0"/>
    <n v="0"/>
    <n v="4985260"/>
    <n v="342812"/>
    <n v="0"/>
    <n v="99.302199999999999"/>
    <n v="98.274000000000001"/>
    <n v="4.5736100000000004"/>
    <n v="0"/>
    <n v="0"/>
    <n v="1.9696400000000001"/>
    <n v="1.9696400000000001"/>
    <n v="0"/>
    <n v="1.52162"/>
    <n v="2.9635199999999999"/>
    <n v="629956000"/>
    <n v="0"/>
    <n v="0"/>
    <n v="0"/>
    <n v="0"/>
    <n v="5095920"/>
    <n v="166107"/>
    <n v="0"/>
    <n v="10"/>
    <x v="24"/>
    <n v="1.4421969626290452E-9"/>
    <n v="3.0424779952415226E-9"/>
  </r>
  <r>
    <n v="84.198800000000006"/>
    <n v="85.138999999999996"/>
    <n v="3.3494799999999998"/>
    <n v="0"/>
    <n v="0.02"/>
    <n v="3.33494"/>
    <n v="3.33494"/>
    <n v="0"/>
    <n v="0.624919"/>
    <n v="5.3222399999999999"/>
    <n v="141412000"/>
    <n v="0"/>
    <n v="0"/>
    <n v="0"/>
    <n v="0"/>
    <n v="4985650"/>
    <n v="342838"/>
    <n v="0"/>
    <n v="99.302199999999999"/>
    <n v="98.274000000000001"/>
    <n v="5.0266200000000003"/>
    <n v="0"/>
    <n v="0"/>
    <n v="1.9697899999999999"/>
    <n v="1.9697899999999999"/>
    <n v="0"/>
    <n v="1.5217400000000001"/>
    <n v="2.9635199999999999"/>
    <n v="630122000"/>
    <n v="0"/>
    <n v="0"/>
    <n v="0"/>
    <n v="0"/>
    <n v="5096320"/>
    <n v="166120"/>
    <n v="0"/>
    <n v="11"/>
    <x v="24"/>
    <n v="1.4421966289865562E-9"/>
    <n v="3.0424707324882564E-9"/>
  </r>
  <r>
    <n v="84.632400000000004"/>
    <n v="85.138999999999996"/>
    <n v="4.24688"/>
    <n v="0"/>
    <n v="0.02"/>
    <n v="3.3351999999999999"/>
    <n v="3.3351999999999999"/>
    <n v="0"/>
    <n v="0.62496799999999997"/>
    <n v="5.3222399999999999"/>
    <n v="141755000"/>
    <n v="0"/>
    <n v="0"/>
    <n v="0"/>
    <n v="0"/>
    <n v="4986040"/>
    <n v="342865"/>
    <n v="0"/>
    <n v="99.302199999999999"/>
    <n v="98.274000000000001"/>
    <n v="5.0972799999999996"/>
    <n v="0"/>
    <n v="0"/>
    <n v="1.96994"/>
    <n v="1.96994"/>
    <n v="0"/>
    <n v="1.52186"/>
    <n v="2.9635199999999999"/>
    <n v="630288000"/>
    <n v="0"/>
    <n v="0"/>
    <n v="0"/>
    <n v="0"/>
    <n v="5096720"/>
    <n v="166133"/>
    <n v="0"/>
    <n v="12"/>
    <x v="24"/>
    <n v="1.4421962953964368E-9"/>
    <n v="3.0424723445454685E-9"/>
  </r>
  <r>
    <n v="85.138999999999996"/>
    <n v="85.138999999999996"/>
    <n v="5.8475799999999998"/>
    <n v="0"/>
    <n v="0.02"/>
    <n v="2.9126699999999999"/>
    <n v="2.9126699999999999"/>
    <n v="0"/>
    <n v="0.62501700000000004"/>
    <n v="5.3222399999999999"/>
    <n v="142055000"/>
    <n v="0"/>
    <n v="0"/>
    <n v="0"/>
    <n v="0"/>
    <n v="4354370"/>
    <n v="299429"/>
    <n v="0"/>
    <n v="99.302199999999999"/>
    <n v="98.274000000000001"/>
    <n v="5.16845"/>
    <n v="0"/>
    <n v="0"/>
    <n v="1.69194"/>
    <n v="1.69194"/>
    <n v="0"/>
    <n v="1.5219800000000001"/>
    <n v="2.9635199999999999"/>
    <n v="630431000"/>
    <n v="0"/>
    <n v="0"/>
    <n v="0"/>
    <n v="0"/>
    <n v="4377450"/>
    <n v="142688"/>
    <n v="0"/>
    <n v="13"/>
    <x v="24"/>
    <n v="1.4422000286248776E-9"/>
    <n v="3.042480294531256E-9"/>
  </r>
  <r>
    <n v="85.138999999999996"/>
    <n v="85.138999999999996"/>
    <n v="5.1067600000000004"/>
    <n v="0"/>
    <n v="0.02"/>
    <n v="2.9129"/>
    <n v="2.9129"/>
    <n v="0"/>
    <n v="0.54583499999999996"/>
    <n v="5.3222399999999999"/>
    <n v="142354000"/>
    <n v="0"/>
    <n v="0"/>
    <n v="0"/>
    <n v="0"/>
    <n v="4354720"/>
    <n v="299452"/>
    <n v="0"/>
    <n v="99.302199999999999"/>
    <n v="98.274000000000001"/>
    <n v="5.0718800000000002"/>
    <n v="0"/>
    <n v="0"/>
    <n v="1.69207"/>
    <n v="1.69207"/>
    <n v="0"/>
    <n v="1.3071900000000001"/>
    <n v="2.9635199999999999"/>
    <n v="630573000"/>
    <n v="0"/>
    <n v="0"/>
    <n v="0"/>
    <n v="0"/>
    <n v="4377790"/>
    <n v="142699"/>
    <n v="0"/>
    <n v="14"/>
    <x v="24"/>
    <n v="1.442199192914679E-9"/>
    <n v="3.0424694454488733E-9"/>
  </r>
  <r>
    <n v="85.138999999999996"/>
    <n v="85.138999999999996"/>
    <n v="4.7594500000000002"/>
    <n v="0"/>
    <n v="0.02"/>
    <n v="2.9131300000000002"/>
    <n v="2.9131300000000002"/>
    <n v="0"/>
    <n v="0.54587799999999997"/>
    <n v="5.3222399999999999"/>
    <n v="142653000"/>
    <n v="0"/>
    <n v="0"/>
    <n v="0"/>
    <n v="0"/>
    <n v="4355060"/>
    <n v="299476"/>
    <n v="0"/>
    <n v="99.302199999999999"/>
    <n v="98.274000000000001"/>
    <n v="4.9203700000000001"/>
    <n v="0"/>
    <n v="0"/>
    <n v="1.6921999999999999"/>
    <n v="1.6921999999999999"/>
    <n v="0"/>
    <n v="1.3072900000000001"/>
    <n v="2.9635199999999999"/>
    <n v="630716000"/>
    <n v="0"/>
    <n v="0"/>
    <n v="0"/>
    <n v="0"/>
    <n v="4378140"/>
    <n v="142710"/>
    <n v="0"/>
    <n v="15"/>
    <x v="24"/>
    <n v="1.4421950632451077E-9"/>
    <n v="3.0424757434724807E-9"/>
  </r>
  <r>
    <n v="85.138999999999996"/>
    <n v="85.138999999999996"/>
    <n v="4.8394300000000001"/>
    <n v="0"/>
    <n v="0.02"/>
    <n v="2.9133599999999999"/>
    <n v="2.9133599999999999"/>
    <n v="0"/>
    <n v="0.54592099999999999"/>
    <n v="5.3222399999999999"/>
    <n v="142953000"/>
    <n v="0"/>
    <n v="0"/>
    <n v="0"/>
    <n v="0"/>
    <n v="4355400"/>
    <n v="299499"/>
    <n v="0"/>
    <n v="99.302199999999999"/>
    <n v="98.274000000000001"/>
    <n v="4.6798000000000002"/>
    <n v="0"/>
    <n v="0"/>
    <n v="1.69234"/>
    <n v="1.69234"/>
    <n v="0"/>
    <n v="1.3073999999999999"/>
    <n v="2.9635199999999999"/>
    <n v="630859000"/>
    <n v="0"/>
    <n v="0"/>
    <n v="0"/>
    <n v="0"/>
    <n v="4378480"/>
    <n v="142722"/>
    <n v="0"/>
    <n v="16"/>
    <x v="24"/>
    <n v="1.4422043330418336E-9"/>
    <n v="3.0424718819750921E-9"/>
  </r>
  <r>
    <n v="85.138999999999996"/>
    <n v="85.138999999999996"/>
    <n v="5.7767999999999997"/>
    <n v="0"/>
    <n v="0.02"/>
    <n v="2.9135900000000001"/>
    <n v="2.9135900000000001"/>
    <n v="0"/>
    <n v="0.545964"/>
    <n v="5.3222399999999999"/>
    <n v="143252000"/>
    <n v="0"/>
    <n v="0"/>
    <n v="0"/>
    <n v="0"/>
    <n v="4355740"/>
    <n v="299523"/>
    <n v="0"/>
    <n v="99.302199999999999"/>
    <n v="98.274000000000001"/>
    <n v="5.7960900000000004"/>
    <n v="0"/>
    <n v="0"/>
    <n v="1.6924699999999999"/>
    <n v="1.6924699999999999"/>
    <n v="0"/>
    <n v="1.3075000000000001"/>
    <n v="2.9635199999999999"/>
    <n v="631001000"/>
    <n v="0"/>
    <n v="0"/>
    <n v="0"/>
    <n v="0"/>
    <n v="4378820"/>
    <n v="142733"/>
    <n v="0"/>
    <n v="17"/>
    <x v="24"/>
    <n v="1.4422034971939907E-9"/>
    <n v="3.0424781788252879E-9"/>
  </r>
  <r>
    <n v="85.138999999999996"/>
    <n v="85.138999999999996"/>
    <n v="5.4142599999999996"/>
    <n v="0"/>
    <n v="0.02"/>
    <n v="3.0202800000000001"/>
    <n v="3.0202800000000001"/>
    <n v="0"/>
    <n v="0.54600599999999999"/>
    <n v="5.3222399999999999"/>
    <n v="143563000"/>
    <n v="0"/>
    <n v="0"/>
    <n v="0"/>
    <n v="0"/>
    <n v="4515240"/>
    <n v="310491"/>
    <n v="0"/>
    <n v="99.302199999999999"/>
    <n v="98.274000000000001"/>
    <n v="7.1154700000000002"/>
    <n v="0"/>
    <n v="0"/>
    <n v="1.76068"/>
    <n v="1.76068"/>
    <n v="0"/>
    <n v="1.3076000000000001"/>
    <n v="2.9635199999999999"/>
    <n v="631150000"/>
    <n v="0"/>
    <n v="0"/>
    <n v="0"/>
    <n v="0"/>
    <n v="4555290"/>
    <n v="148485"/>
    <n v="0"/>
    <n v="18"/>
    <x v="24"/>
    <n v="1.442201013181756E-9"/>
    <n v="3.0424778139757911E-9"/>
  </r>
  <r>
    <n v="85.138999999999996"/>
    <n v="85.138999999999996"/>
    <n v="6.02928"/>
    <n v="0"/>
    <n v="0.02"/>
    <n v="3.0205199999999999"/>
    <n v="3.0205199999999999"/>
    <n v="0"/>
    <n v="0.56600099999999998"/>
    <n v="5.3222399999999999"/>
    <n v="143873000"/>
    <n v="0"/>
    <n v="0"/>
    <n v="0"/>
    <n v="0"/>
    <n v="4515600"/>
    <n v="310515"/>
    <n v="0"/>
    <n v="99.302199999999999"/>
    <n v="98.274000000000001"/>
    <n v="6.6636899999999999"/>
    <n v="0"/>
    <n v="0"/>
    <n v="1.7608200000000001"/>
    <n v="1.7608200000000001"/>
    <n v="0"/>
    <n v="1.3603000000000001"/>
    <n v="2.9635199999999999"/>
    <n v="631298000"/>
    <n v="0"/>
    <n v="0"/>
    <n v="0"/>
    <n v="0"/>
    <n v="4555650"/>
    <n v="148497"/>
    <n v="0"/>
    <n v="19"/>
    <x v="24"/>
    <n v="1.4422035905475163E-9"/>
    <n v="3.0424704120511545E-9"/>
  </r>
  <r>
    <n v="85.138999999999996"/>
    <n v="85.138999999999996"/>
    <n v="4.9132300000000004"/>
    <n v="0"/>
    <n v="0.02"/>
    <n v="3.0207600000000001"/>
    <n v="3.0207600000000001"/>
    <n v="0"/>
    <n v="0.56604500000000002"/>
    <n v="5.3222399999999999"/>
    <n v="144184000"/>
    <n v="0"/>
    <n v="0"/>
    <n v="0"/>
    <n v="0"/>
    <n v="4515950"/>
    <n v="310540"/>
    <n v="0"/>
    <n v="99.302199999999999"/>
    <n v="98.274000000000001"/>
    <n v="6.3990200000000002"/>
    <n v="0"/>
    <n v="0"/>
    <n v="1.76095"/>
    <n v="1.76095"/>
    <n v="0"/>
    <n v="1.3604099999999999"/>
    <n v="2.9635199999999999"/>
    <n v="631447000"/>
    <n v="0"/>
    <n v="0"/>
    <n v="0"/>
    <n v="0"/>
    <n v="4556010"/>
    <n v="148508"/>
    <n v="0"/>
    <n v="20"/>
    <x v="24"/>
    <n v="1.442196456268484E-9"/>
    <n v="3.0424795458398406E-9"/>
  </r>
  <r>
    <n v="85.138999999999996"/>
    <n v="85.138999999999996"/>
    <n v="3.8161800000000001"/>
    <n v="0"/>
    <n v="0.02"/>
    <n v="3.0209899999999998"/>
    <n v="3.0209899999999998"/>
    <n v="0"/>
    <n v="0.56608999999999998"/>
    <n v="5.3222399999999999"/>
    <n v="144495000"/>
    <n v="0"/>
    <n v="0"/>
    <n v="0"/>
    <n v="0"/>
    <n v="4516310"/>
    <n v="310564"/>
    <n v="0"/>
    <n v="99.302199999999999"/>
    <n v="98.274000000000001"/>
    <n v="4.3828199999999997"/>
    <n v="0"/>
    <n v="0"/>
    <n v="1.76109"/>
    <n v="1.76109"/>
    <n v="0"/>
    <n v="1.3605100000000001"/>
    <n v="2.9635199999999999"/>
    <n v="631595000"/>
    <n v="0"/>
    <n v="0"/>
    <n v="0"/>
    <n v="0"/>
    <n v="4556370"/>
    <n v="148520"/>
    <n v="0"/>
    <n v="21"/>
    <x v="24"/>
    <n v="1.4421990335870107E-9"/>
    <n v="3.0424721449407971E-9"/>
  </r>
  <r>
    <n v="84.936700000000002"/>
    <n v="85.138999999999996"/>
    <n v="3.1755300000000002"/>
    <n v="0"/>
    <n v="0.02"/>
    <n v="2.97959"/>
    <n v="2.97959"/>
    <n v="0"/>
    <n v="0.56613400000000003"/>
    <n v="5.3222399999999999"/>
    <n v="144801000"/>
    <n v="0"/>
    <n v="0"/>
    <n v="0"/>
    <n v="0"/>
    <n v="4454410"/>
    <n v="306308"/>
    <n v="0"/>
    <n v="99.302199999999999"/>
    <n v="98.274000000000001"/>
    <n v="4.5962899999999998"/>
    <n v="0"/>
    <n v="0"/>
    <n v="1.73478"/>
    <n v="1.73478"/>
    <n v="0"/>
    <n v="1.3606199999999999"/>
    <n v="2.9635199999999999"/>
    <n v="631742000"/>
    <n v="0"/>
    <n v="0"/>
    <n v="0"/>
    <n v="0"/>
    <n v="4488300"/>
    <n v="146301"/>
    <n v="0"/>
    <n v="22"/>
    <x v="24"/>
    <n v="1.4421972408398861E-9"/>
    <n v="3.0424776349320003E-9"/>
  </r>
  <r>
    <n v="84.450699999999998"/>
    <n v="85.138999999999996"/>
    <n v="2.8749099999999999"/>
    <n v="0"/>
    <n v="0.02"/>
    <n v="2.9798200000000001"/>
    <n v="2.9798200000000001"/>
    <n v="0"/>
    <n v="0.55837499999999995"/>
    <n v="5.3222399999999999"/>
    <n v="145107000"/>
    <n v="0"/>
    <n v="0"/>
    <n v="0"/>
    <n v="0"/>
    <n v="4454760"/>
    <n v="306332"/>
    <n v="0"/>
    <n v="99.302199999999999"/>
    <n v="98.274000000000001"/>
    <n v="3.8896299999999999"/>
    <n v="0"/>
    <n v="0"/>
    <n v="1.73492"/>
    <n v="1.73492"/>
    <n v="0"/>
    <n v="1.34029"/>
    <n v="2.9635199999999999"/>
    <n v="631888000"/>
    <n v="0"/>
    <n v="0"/>
    <n v="0"/>
    <n v="0"/>
    <n v="4488650"/>
    <n v="146313"/>
    <n v="0"/>
    <n v="23"/>
    <x v="24"/>
    <n v="1.4422030699659659E-9"/>
    <n v="3.0424769616544093E-9"/>
  </r>
  <r>
    <n v="84.522499999999994"/>
    <n v="85.138999999999996"/>
    <n v="3.4277199999999999"/>
    <n v="0"/>
    <n v="0.02"/>
    <n v="2.9800599999999999"/>
    <n v="2.9800599999999999"/>
    <n v="0"/>
    <n v="0.558419"/>
    <n v="5.3222399999999999"/>
    <n v="145414000"/>
    <n v="0"/>
    <n v="0"/>
    <n v="0"/>
    <n v="0"/>
    <n v="4455110"/>
    <n v="306356"/>
    <n v="0"/>
    <n v="99.302199999999999"/>
    <n v="98.274000000000001"/>
    <n v="4.0883799999999999"/>
    <n v="0"/>
    <n v="0"/>
    <n v="1.73506"/>
    <n v="1.73506"/>
    <n v="0"/>
    <n v="1.3404"/>
    <n v="2.9635199999999999"/>
    <n v="632034000"/>
    <n v="0"/>
    <n v="0"/>
    <n v="0"/>
    <n v="0"/>
    <n v="4489000"/>
    <n v="146324"/>
    <n v="0"/>
    <n v="24"/>
    <x v="24"/>
    <n v="1.4421990419801102E-9"/>
    <n v="3.0424762884826052E-9"/>
  </r>
  <r>
    <n v="83.904399999999995"/>
    <n v="85.138999999999996"/>
    <n v="2.6263200000000002"/>
    <n v="0"/>
    <n v="0.02"/>
    <n v="2.9802900000000001"/>
    <n v="2.9802900000000001"/>
    <n v="0"/>
    <n v="0.55846300000000004"/>
    <n v="5.3222399999999999"/>
    <n v="145720000"/>
    <n v="0"/>
    <n v="0"/>
    <n v="0"/>
    <n v="0"/>
    <n v="4455460"/>
    <n v="306380"/>
    <n v="0"/>
    <n v="99.302199999999999"/>
    <n v="98.274000000000001"/>
    <n v="3.84362"/>
    <n v="0"/>
    <n v="0"/>
    <n v="1.73519"/>
    <n v="1.73519"/>
    <n v="0"/>
    <n v="1.3405"/>
    <n v="2.9635199999999999"/>
    <n v="632181000"/>
    <n v="0"/>
    <n v="0"/>
    <n v="0"/>
    <n v="0"/>
    <n v="4489350"/>
    <n v="146336"/>
    <n v="0"/>
    <n v="25"/>
    <x v="24"/>
    <n v="1.442204870056865E-9"/>
    <n v="3.0424756154165641E-9"/>
  </r>
  <r>
    <n v="82.956500000000005"/>
    <n v="85.138999999999996"/>
    <n v="2.3836300000000001"/>
    <n v="0"/>
    <n v="0.02"/>
    <n v="3.1219100000000002"/>
    <n v="3.1219100000000002"/>
    <n v="0"/>
    <n v="0.55850699999999998"/>
    <n v="5.3222399999999999"/>
    <n v="146041000"/>
    <n v="0"/>
    <n v="0"/>
    <n v="0"/>
    <n v="0"/>
    <n v="4667180"/>
    <n v="320939"/>
    <n v="0"/>
    <n v="99.302199999999999"/>
    <n v="98.274000000000001"/>
    <n v="3.2959100000000001"/>
    <n v="0"/>
    <n v="0"/>
    <n v="1.8291500000000001"/>
    <n v="1.8291500000000001"/>
    <n v="0"/>
    <n v="1.3406100000000001"/>
    <n v="2.9635199999999999"/>
    <n v="632335000"/>
    <n v="0"/>
    <n v="0"/>
    <n v="0"/>
    <n v="0"/>
    <n v="4732440"/>
    <n v="154259"/>
    <n v="0"/>
    <n v="26"/>
    <x v="24"/>
    <n v="1.4421971684759696E-9"/>
    <n v="3.0424761867914245E-9"/>
  </r>
  <r>
    <n v="81.954899999999995"/>
    <n v="85.138999999999996"/>
    <n v="2.3121200000000002"/>
    <n v="0"/>
    <n v="0.02"/>
    <n v="3.12216"/>
    <n v="3.12216"/>
    <n v="0"/>
    <n v="0.58504599999999995"/>
    <n v="5.3222399999999999"/>
    <n v="146362000"/>
    <n v="0"/>
    <n v="0"/>
    <n v="0"/>
    <n v="0"/>
    <n v="4667550"/>
    <n v="320964"/>
    <n v="0"/>
    <n v="99.302199999999999"/>
    <n v="98.274000000000001"/>
    <n v="3.0064500000000001"/>
    <n v="0"/>
    <n v="0"/>
    <n v="1.8292900000000001"/>
    <n v="1.8292900000000001"/>
    <n v="0"/>
    <n v="1.4132"/>
    <n v="2.9635199999999999"/>
    <n v="632489000"/>
    <n v="0"/>
    <n v="0"/>
    <n v="0"/>
    <n v="0"/>
    <n v="4732820"/>
    <n v="154272"/>
    <n v="0"/>
    <n v="27"/>
    <x v="24"/>
    <n v="1.4422029036427708E-9"/>
    <n v="3.0424719867695968E-9"/>
  </r>
  <r>
    <n v="80.707700000000003"/>
    <n v="85.138999999999996"/>
    <n v="2.0293800000000002"/>
    <n v="0"/>
    <n v="0.02"/>
    <n v="3.1223999999999998"/>
    <n v="3.1223999999999998"/>
    <n v="0"/>
    <n v="0.58509199999999995"/>
    <n v="5.3222399999999999"/>
    <n v="146683000"/>
    <n v="0"/>
    <n v="0"/>
    <n v="0"/>
    <n v="0"/>
    <n v="4667910"/>
    <n v="320989"/>
    <n v="0"/>
    <n v="99.302199999999999"/>
    <n v="98.274000000000001"/>
    <n v="2.8131200000000001"/>
    <n v="0"/>
    <n v="0"/>
    <n v="1.82944"/>
    <n v="1.82944"/>
    <n v="0"/>
    <n v="1.4133100000000001"/>
    <n v="2.9635199999999999"/>
    <n v="632644000"/>
    <n v="0"/>
    <n v="0"/>
    <n v="0"/>
    <n v="0"/>
    <n v="4733190"/>
    <n v="154284"/>
    <n v="0"/>
    <n v="28"/>
    <x v="24"/>
    <n v="1.44220233718901E-9"/>
    <n v="3.0424743052508861E-9"/>
  </r>
  <r>
    <n v="79.401799999999994"/>
    <n v="85.138999999999996"/>
    <n v="1.91568"/>
    <n v="0"/>
    <n v="0.02"/>
    <n v="3.1226500000000001"/>
    <n v="3.1226500000000001"/>
    <n v="0"/>
    <n v="0.58513800000000005"/>
    <n v="5.3222399999999999"/>
    <n v="147004000"/>
    <n v="0"/>
    <n v="0"/>
    <n v="0"/>
    <n v="0"/>
    <n v="4668280"/>
    <n v="321014"/>
    <n v="0"/>
    <n v="99.263400000000004"/>
    <n v="98.274000000000001"/>
    <n v="2.68825"/>
    <n v="0"/>
    <n v="0"/>
    <n v="1.82958"/>
    <n v="1.82958"/>
    <n v="0"/>
    <n v="1.4134199999999999"/>
    <n v="2.9635199999999999"/>
    <n v="632798000"/>
    <n v="0"/>
    <n v="0"/>
    <n v="0"/>
    <n v="0"/>
    <n v="4733560"/>
    <n v="154296"/>
    <n v="0"/>
    <n v="29"/>
    <x v="24"/>
    <n v="1.4422017708238033E-9"/>
    <n v="3.0424701060349631E-9"/>
  </r>
  <r>
    <n v="77.904399999999995"/>
    <n v="85.138999999999996"/>
    <n v="1.7189700000000001"/>
    <n v="0"/>
    <n v="0.02"/>
    <n v="3.1228899999999999"/>
    <n v="3.1228899999999999"/>
    <n v="0"/>
    <n v="0.58518400000000004"/>
    <n v="5.3222399999999999"/>
    <n v="147325000"/>
    <n v="0"/>
    <n v="0"/>
    <n v="0"/>
    <n v="0"/>
    <n v="4668650"/>
    <n v="321039"/>
    <n v="0"/>
    <n v="99.028700000000001"/>
    <n v="98.274000000000001"/>
    <n v="2.1943600000000001"/>
    <n v="0"/>
    <n v="0"/>
    <n v="1.82972"/>
    <n v="1.82972"/>
    <n v="0"/>
    <n v="1.41353"/>
    <n v="2.9635199999999999"/>
    <n v="632952000"/>
    <n v="0"/>
    <n v="0"/>
    <n v="0"/>
    <n v="0"/>
    <n v="4733930"/>
    <n v="154308"/>
    <n v="0"/>
    <n v="30"/>
    <x v="24"/>
    <n v="1.4422012045471297E-9"/>
    <n v="3.0424659074846326E-9"/>
  </r>
  <r>
    <n v="76.537899999999993"/>
    <n v="85.138999999999996"/>
    <n v="1.5650299999999999"/>
    <n v="0.01"/>
    <n v="0.02"/>
    <n v="2.79277"/>
    <n v="3.09517"/>
    <n v="0"/>
    <n v="0.58523000000000003"/>
    <n v="5.3222399999999999"/>
    <n v="147235000"/>
    <n v="0"/>
    <n v="0"/>
    <n v="0"/>
    <n v="0"/>
    <n v="4175110"/>
    <n v="-90349.5"/>
    <n v="408539"/>
    <n v="98.484999999999999"/>
    <n v="98.274000000000001"/>
    <n v="2.0337999999999998"/>
    <n v="0"/>
    <n v="0"/>
    <n v="2.1838500000000001"/>
    <n v="1.8814500000000001"/>
    <n v="0"/>
    <n v="1.41364"/>
    <n v="2.9635199999999999"/>
    <n v="633893000"/>
    <n v="0"/>
    <n v="0"/>
    <n v="0"/>
    <n v="0"/>
    <n v="5650150"/>
    <n v="941051"/>
    <n v="0"/>
    <n v="31"/>
    <x v="24"/>
    <n v="7.3690656616715655E-9"/>
    <n v="-9.5745214115842081E-10"/>
  </r>
  <r>
    <n v="75.047799999999995"/>
    <n v="85.138999999999996"/>
    <n v="1.4283999999999999"/>
    <n v="0.01"/>
    <n v="0.02"/>
    <n v="2.7930100000000002"/>
    <n v="3.0954100000000002"/>
    <n v="0"/>
    <n v="0.52336400000000005"/>
    <n v="5.3222399999999999"/>
    <n v="147144000"/>
    <n v="0"/>
    <n v="0"/>
    <n v="0"/>
    <n v="0"/>
    <n v="4175480"/>
    <n v="-90324.5"/>
    <n v="408539"/>
    <n v="97.893699999999995"/>
    <n v="98.274000000000001"/>
    <n v="1.8689800000000001"/>
    <n v="0"/>
    <n v="0"/>
    <n v="2.1840000000000002"/>
    <n v="1.8815999999999999"/>
    <n v="0"/>
    <n v="1.6872400000000001"/>
    <n v="2.9635199999999999"/>
    <n v="634834000"/>
    <n v="0"/>
    <n v="0"/>
    <n v="0"/>
    <n v="0"/>
    <n v="5650530"/>
    <n v="941064"/>
    <n v="0"/>
    <n v="32"/>
    <x v="24"/>
    <n v="7.3686718815278849E-9"/>
    <n v="-9.5710239222669042E-10"/>
  </r>
  <r>
    <n v="73.466399999999993"/>
    <n v="85.138999999999996"/>
    <n v="1.30393"/>
    <n v="0.01"/>
    <n v="0.02"/>
    <n v="2.79325"/>
    <n v="3.09565"/>
    <n v="0"/>
    <n v="0.52341000000000004"/>
    <n v="5.3222399999999999"/>
    <n v="147054000"/>
    <n v="0"/>
    <n v="0"/>
    <n v="0"/>
    <n v="0"/>
    <n v="4175840"/>
    <n v="-90299.5"/>
    <n v="408539"/>
    <n v="97.183899999999994"/>
    <n v="98.274000000000001"/>
    <n v="1.79148"/>
    <n v="0"/>
    <n v="0"/>
    <n v="2.1841499999999998"/>
    <n v="1.88175"/>
    <n v="0"/>
    <n v="1.68736"/>
    <n v="2.9635199999999999"/>
    <n v="635775000"/>
    <n v="0"/>
    <n v="0"/>
    <n v="0"/>
    <n v="0"/>
    <n v="5650910"/>
    <n v="941076"/>
    <n v="0"/>
    <n v="33"/>
    <x v="24"/>
    <n v="7.368270324721298E-9"/>
    <n v="-9.5675499643603874E-10"/>
  </r>
  <r>
    <n v="71.801000000000002"/>
    <n v="85.138999999999996"/>
    <n v="1.18109"/>
    <n v="0.02"/>
    <n v="0.02"/>
    <n v="2.7934999999999999"/>
    <n v="3.0958999999999999"/>
    <n v="0"/>
    <n v="0.523455"/>
    <n v="5.3222399999999999"/>
    <n v="146964000"/>
    <n v="0"/>
    <n v="0"/>
    <n v="0"/>
    <n v="0"/>
    <n v="4176200"/>
    <n v="-90274.5"/>
    <n v="408539"/>
    <n v="96.309700000000007"/>
    <n v="98.274000000000001"/>
    <n v="1.58955"/>
    <n v="0"/>
    <n v="0"/>
    <n v="2.1842999999999999"/>
    <n v="1.8818999999999999"/>
    <n v="0"/>
    <n v="1.68747"/>
    <n v="2.9635199999999999"/>
    <n v="636716000"/>
    <n v="0"/>
    <n v="0"/>
    <n v="0"/>
    <n v="0"/>
    <n v="5651290"/>
    <n v="941089"/>
    <n v="0"/>
    <n v="34"/>
    <x v="24"/>
    <n v="7.3678766510136608E-9"/>
    <n v="-9.5640766053834478E-10"/>
  </r>
  <r>
    <n v="69.999899999999997"/>
    <n v="85.138999999999996"/>
    <n v="1.0841000000000001"/>
    <n v="0.02"/>
    <n v="0.02"/>
    <n v="2.8660000000000001"/>
    <n v="3.1684000000000001"/>
    <n v="0"/>
    <n v="0.52350099999999999"/>
    <n v="5.3222399999999999"/>
    <n v="146881000"/>
    <n v="0"/>
    <n v="0"/>
    <n v="0"/>
    <n v="0"/>
    <n v="4284590"/>
    <n v="-82821.3"/>
    <n v="408539"/>
    <n v="95.450500000000005"/>
    <n v="98.274000000000001"/>
    <n v="1.4116599999999999"/>
    <n v="0"/>
    <n v="0"/>
    <n v="2.2304300000000001"/>
    <n v="1.9280299999999999"/>
    <n v="0"/>
    <n v="1.6875899999999999"/>
    <n v="2.9635199999999999"/>
    <n v="637661000"/>
    <n v="0"/>
    <n v="0"/>
    <n v="0"/>
    <n v="0"/>
    <n v="5770660"/>
    <n v="944979"/>
    <n v="0"/>
    <n v="35"/>
    <x v="24"/>
    <n v="7.2452923452437721E-9"/>
    <n v="-8.5524790029864329E-10"/>
  </r>
  <r>
    <n v="68.188699999999997"/>
    <n v="85.138999999999996"/>
    <n v="1.05952"/>
    <n v="0.02"/>
    <n v="0.02"/>
    <n v="2.8662399999999999"/>
    <n v="3.1686399999999999"/>
    <n v="0"/>
    <n v="0.53708800000000001"/>
    <n v="5.3222399999999999"/>
    <n v="146798000"/>
    <n v="0"/>
    <n v="0"/>
    <n v="0"/>
    <n v="0"/>
    <n v="4284960"/>
    <n v="-82795.7"/>
    <n v="408539"/>
    <n v="94.534700000000001"/>
    <n v="98.274000000000001"/>
    <n v="1.4746900000000001"/>
    <n v="0"/>
    <n v="0"/>
    <n v="2.2305799999999998"/>
    <n v="1.92818"/>
    <n v="0"/>
    <n v="1.72323"/>
    <n v="2.9635199999999999"/>
    <n v="638606000"/>
    <n v="0"/>
    <n v="0"/>
    <n v="0"/>
    <n v="0"/>
    <n v="5771050"/>
    <n v="944992"/>
    <n v="0"/>
    <n v="36"/>
    <x v="24"/>
    <n v="7.2449023840445992E-9"/>
    <n v="-8.549097172590355E-10"/>
  </r>
  <r>
    <n v="66.330299999999994"/>
    <n v="85.138999999999996"/>
    <n v="0.98856900000000003"/>
    <n v="0.02"/>
    <n v="0.02"/>
    <n v="2.8664900000000002"/>
    <n v="3.1688900000000002"/>
    <n v="0"/>
    <n v="0.537134"/>
    <n v="5.3222399999999999"/>
    <n v="146715000"/>
    <n v="0"/>
    <n v="0"/>
    <n v="0"/>
    <n v="0"/>
    <n v="4285330"/>
    <n v="-82770.2"/>
    <n v="408539"/>
    <n v="93.530699999999996"/>
    <n v="98.274000000000001"/>
    <n v="1.38771"/>
    <n v="0"/>
    <n v="0"/>
    <n v="2.2307299999999999"/>
    <n v="1.9283300000000001"/>
    <n v="0"/>
    <n v="1.7233499999999999"/>
    <n v="2.9635199999999999"/>
    <n v="639551000"/>
    <n v="0"/>
    <n v="0"/>
    <n v="0"/>
    <n v="0"/>
    <n v="5771440"/>
    <n v="945005"/>
    <n v="0"/>
    <n v="37"/>
    <x v="24"/>
    <n v="7.2445124755479991E-9"/>
    <n v="-8.5457262508173225E-10"/>
  </r>
  <r>
    <n v="64.413799999999995"/>
    <n v="85.138999999999996"/>
    <n v="0.90723399999999998"/>
    <n v="0.02"/>
    <n v="0.02"/>
    <n v="2.8667400000000001"/>
    <n v="3.1691400000000001"/>
    <n v="0"/>
    <n v="0.53718100000000002"/>
    <n v="5.3222399999999999"/>
    <n v="146633000"/>
    <n v="0"/>
    <n v="0"/>
    <n v="0"/>
    <n v="0"/>
    <n v="4285710"/>
    <n v="-82744.600000000006"/>
    <n v="408539"/>
    <n v="92.5261"/>
    <n v="98.274000000000001"/>
    <n v="1.3064"/>
    <n v="0"/>
    <n v="0"/>
    <n v="2.23089"/>
    <n v="1.92849"/>
    <n v="0"/>
    <n v="1.7234700000000001"/>
    <n v="2.9635199999999999"/>
    <n v="640496000"/>
    <n v="0"/>
    <n v="0"/>
    <n v="0"/>
    <n v="0"/>
    <n v="5771830"/>
    <n v="945018"/>
    <n v="0"/>
    <n v="38"/>
    <x v="24"/>
    <n v="7.2441226197432887E-9"/>
    <n v="-8.5423256551824872E-10"/>
  </r>
  <r>
    <n v="62.383000000000003"/>
    <n v="85.138999999999996"/>
    <n v="0.93410499999999996"/>
    <n v="0.02"/>
    <n v="0.02"/>
    <n v="3.0786600000000002"/>
    <n v="3.3810600000000002"/>
    <n v="0"/>
    <n v="0.53722700000000001"/>
    <n v="5.3222399999999999"/>
    <n v="146572000"/>
    <n v="0"/>
    <n v="0"/>
    <n v="0"/>
    <n v="0"/>
    <n v="4602520"/>
    <n v="-60958.9"/>
    <n v="408539"/>
    <n v="91.420500000000004"/>
    <n v="98.274000000000001"/>
    <n v="1.2671600000000001"/>
    <n v="0"/>
    <n v="0"/>
    <n v="2.3970899999999999"/>
    <n v="2.0946899999999999"/>
    <n v="0"/>
    <n v="1.7235799999999999"/>
    <n v="2.9635199999999999"/>
    <n v="641455000"/>
    <n v="0"/>
    <n v="0"/>
    <n v="0"/>
    <n v="0"/>
    <n v="6201830"/>
    <n v="959034"/>
    <n v="0"/>
    <n v="39"/>
    <x v="24"/>
    <n v="6.8418475036375916E-9"/>
    <n v="-5.8600413506078305E-10"/>
  </r>
  <r>
    <n v="60.414900000000003"/>
    <n v="85.138999999999996"/>
    <n v="0.99056500000000003"/>
    <n v="0.02"/>
    <n v="0.02"/>
    <n v="3.0789300000000002"/>
    <n v="3.3813300000000002"/>
    <n v="0"/>
    <n v="0.57694100000000004"/>
    <n v="5.3222399999999999"/>
    <n v="146511000"/>
    <n v="0"/>
    <n v="0"/>
    <n v="0"/>
    <n v="0"/>
    <n v="4602920"/>
    <n v="-60931.6"/>
    <n v="408539"/>
    <n v="90.123699999999999"/>
    <n v="98.274000000000001"/>
    <n v="1.3116399999999999"/>
    <n v="0"/>
    <n v="0"/>
    <n v="2.3972500000000001"/>
    <n v="2.0948500000000001"/>
    <n v="0"/>
    <n v="1.85199"/>
    <n v="2.9635199999999999"/>
    <n v="642414000"/>
    <n v="0"/>
    <n v="0"/>
    <n v="0"/>
    <n v="0"/>
    <n v="6202260"/>
    <n v="959048"/>
    <n v="0"/>
    <n v="40"/>
    <x v="24"/>
    <n v="6.8414730318329078E-9"/>
    <n v="-5.8569079562191326E-10"/>
  </r>
  <r>
    <n v="58.278199999999998"/>
    <n v="85.138999999999996"/>
    <n v="0.80268200000000001"/>
    <n v="0.02"/>
    <n v="0.02"/>
    <n v="3.0791900000000001"/>
    <n v="3.3815900000000001"/>
    <n v="0"/>
    <n v="0.57699100000000003"/>
    <n v="5.3222399999999999"/>
    <n v="146450000"/>
    <n v="0"/>
    <n v="0"/>
    <n v="0"/>
    <n v="0"/>
    <n v="4603310"/>
    <n v="-60904.4"/>
    <n v="408539"/>
    <n v="89.307500000000005"/>
    <n v="98.274000000000001"/>
    <n v="0.95944600000000002"/>
    <n v="0"/>
    <n v="0"/>
    <n v="2.3974099999999998"/>
    <n v="2.0950099999999998"/>
    <n v="0"/>
    <n v="1.8521099999999999"/>
    <n v="2.9635199999999999"/>
    <n v="643374000"/>
    <n v="0"/>
    <n v="0"/>
    <n v="0"/>
    <n v="0"/>
    <n v="6202680"/>
    <n v="959062"/>
    <n v="0"/>
    <n v="41"/>
    <x v="24"/>
    <n v="6.8411096412110936E-9"/>
    <n v="-5.8537974342757453E-10"/>
  </r>
  <r>
    <n v="56.337899999999998"/>
    <n v="85.138999999999996"/>
    <n v="0.96393200000000001"/>
    <n v="0.03"/>
    <n v="0.02"/>
    <n v="3.0794600000000001"/>
    <n v="3.3818600000000001"/>
    <n v="0"/>
    <n v="0.57704"/>
    <n v="5.3222399999999999"/>
    <n v="146389000"/>
    <n v="0"/>
    <n v="0"/>
    <n v="0"/>
    <n v="0"/>
    <n v="4603710"/>
    <n v="-60877.1"/>
    <n v="408539"/>
    <n v="88.375299999999996"/>
    <n v="98.274000000000001"/>
    <n v="1.6397699999999999"/>
    <n v="0"/>
    <n v="0"/>
    <n v="2.39758"/>
    <n v="2.09518"/>
    <n v="0"/>
    <n v="1.8522400000000001"/>
    <n v="2.9635199999999999"/>
    <n v="644333000"/>
    <n v="0"/>
    <n v="0"/>
    <n v="0"/>
    <n v="0"/>
    <n v="6203110"/>
    <n v="959076"/>
    <n v="0"/>
    <n v="42"/>
    <x v="24"/>
    <n v="6.84073527186822E-9"/>
    <n v="-5.8506651200915118E-10"/>
  </r>
  <r>
    <n v="54.3215"/>
    <n v="85.138999999999996"/>
    <n v="0.875556"/>
    <n v="0.03"/>
    <n v="0.02"/>
    <n v="3.07972"/>
    <n v="3.38212"/>
    <n v="0"/>
    <n v="0.57708999999999999"/>
    <n v="5.3222399999999999"/>
    <n v="146328000"/>
    <n v="0"/>
    <n v="0"/>
    <n v="0"/>
    <n v="0"/>
    <n v="4604110"/>
    <n v="-60849.8"/>
    <n v="408539"/>
    <n v="87.159599999999998"/>
    <n v="98.274000000000001"/>
    <n v="1.3537699999999999"/>
    <n v="0"/>
    <n v="0"/>
    <n v="2.3977400000000002"/>
    <n v="2.0953400000000002"/>
    <n v="0"/>
    <n v="1.8523700000000001"/>
    <n v="2.9635199999999999"/>
    <n v="645292000"/>
    <n v="0"/>
    <n v="0"/>
    <n v="0"/>
    <n v="0"/>
    <n v="6203530"/>
    <n v="959089"/>
    <n v="0"/>
    <n v="43"/>
    <x v="24"/>
    <n v="6.840364848838425E-9"/>
    <n v="-5.8475333501712847E-10"/>
  </r>
  <r>
    <n v="52.217700000000001"/>
    <n v="85.138999999999996"/>
    <n v="0.65156099999999995"/>
    <n v="7.0000000000000007E-2"/>
    <n v="0.02"/>
    <n v="2.9767899999999998"/>
    <n v="3.2791899999999998"/>
    <n v="0"/>
    <n v="0.57713999999999999"/>
    <n v="5.3222399999999999"/>
    <n v="146257000"/>
    <n v="0"/>
    <n v="0"/>
    <n v="0"/>
    <n v="0"/>
    <n v="4450220"/>
    <n v="-71431.7"/>
    <n v="408539"/>
    <n v="86.105800000000002"/>
    <n v="98.274000000000001"/>
    <n v="1.01353"/>
    <n v="0"/>
    <n v="0"/>
    <n v="2.2970799999999998"/>
    <n v="1.99468"/>
    <n v="0"/>
    <n v="1.8525"/>
    <n v="2.9635199999999999"/>
    <n v="646242000"/>
    <n v="0"/>
    <n v="0"/>
    <n v="0"/>
    <n v="0"/>
    <n v="5943100"/>
    <n v="950600"/>
    <n v="0"/>
    <n v="44"/>
    <x v="24"/>
    <n v="7.0769155881444792E-9"/>
    <n v="-7.1018050790102911E-10"/>
  </r>
  <r>
    <n v="50.271599999999999"/>
    <n v="85.138999999999996"/>
    <n v="0.79579800000000001"/>
    <n v="7.0000000000000007E-2"/>
    <n v="0.02"/>
    <n v="2.9770400000000001"/>
    <n v="3.2794400000000001"/>
    <n v="0"/>
    <n v="0.55784999999999996"/>
    <n v="5.3222399999999999"/>
    <n v="146185000"/>
    <n v="0"/>
    <n v="0"/>
    <n v="0"/>
    <n v="0"/>
    <n v="4450610"/>
    <n v="-71405.3"/>
    <n v="408539"/>
    <n v="85.646500000000003"/>
    <n v="98.274000000000001"/>
    <n v="1.1271899999999999"/>
    <n v="0"/>
    <n v="0"/>
    <n v="2.2972399999999999"/>
    <n v="1.9948399999999999"/>
    <n v="0"/>
    <n v="1.7747299999999999"/>
    <n v="2.9635199999999999"/>
    <n v="647193000"/>
    <n v="0"/>
    <n v="0"/>
    <n v="0"/>
    <n v="0"/>
    <n v="5943510"/>
    <n v="950614"/>
    <n v="0"/>
    <n v="45"/>
    <x v="24"/>
    <n v="7.0765316210173283E-9"/>
    <n v="-7.0985582767327629E-10"/>
  </r>
  <r>
    <n v="49.5989"/>
    <n v="85.138999999999996"/>
    <n v="2.1461000000000001"/>
    <n v="7.0000000000000007E-2"/>
    <n v="0.02"/>
    <n v="2.9773000000000001"/>
    <n v="3.2797000000000001"/>
    <n v="0"/>
    <n v="0.55789800000000001"/>
    <n v="5.3222399999999999"/>
    <n v="146114000"/>
    <n v="0"/>
    <n v="0"/>
    <n v="0"/>
    <n v="0"/>
    <n v="4450990"/>
    <n v="-71378.8"/>
    <n v="408539"/>
    <n v="84.789500000000004"/>
    <n v="98.274000000000001"/>
    <n v="2.5415399999999999"/>
    <n v="0"/>
    <n v="0"/>
    <n v="2.2974000000000001"/>
    <n v="1.9950000000000001"/>
    <n v="0"/>
    <n v="1.77485"/>
    <n v="2.9635199999999999"/>
    <n v="648144000"/>
    <n v="0"/>
    <n v="0"/>
    <n v="0"/>
    <n v="0"/>
    <n v="5943910"/>
    <n v="950627"/>
    <n v="0"/>
    <n v="46"/>
    <x v="24"/>
    <n v="7.0761521680625827E-9"/>
    <n v="-7.09531804403311E-10"/>
  </r>
  <r>
    <n v="48.043999999999997"/>
    <n v="85.138999999999996"/>
    <n v="1.2352799999999999"/>
    <n v="0.11"/>
    <n v="0.02"/>
    <n v="2.97756"/>
    <n v="3.27996"/>
    <n v="0"/>
    <n v="0.55794600000000005"/>
    <n v="5.3222399999999999"/>
    <n v="146042000"/>
    <n v="0"/>
    <n v="0"/>
    <n v="0"/>
    <n v="0"/>
    <n v="4451380"/>
    <n v="-71352.3"/>
    <n v="408539"/>
    <n v="83.826300000000003"/>
    <n v="98.274000000000001"/>
    <n v="1.24844"/>
    <n v="0"/>
    <n v="0"/>
    <n v="2.2975500000000002"/>
    <n v="1.99515"/>
    <n v="0"/>
    <n v="1.7749699999999999"/>
    <n v="2.9635199999999999"/>
    <n v="649094000"/>
    <n v="0"/>
    <n v="0"/>
    <n v="0"/>
    <n v="0"/>
    <n v="5944320"/>
    <n v="950640"/>
    <n v="0"/>
    <n v="47"/>
    <x v="24"/>
    <n v="7.0757608627572243E-9"/>
    <n v="-7.0920624322372548E-10"/>
  </r>
  <r>
    <n v="46.6297"/>
    <n v="85.138999999999996"/>
    <n v="1.3099400000000001"/>
    <n v="0.11"/>
    <n v="0.02"/>
    <n v="2.8930799999999999"/>
    <n v="3.1954799999999999"/>
    <n v="0"/>
    <n v="0.55799500000000002"/>
    <n v="5.3222399999999999"/>
    <n v="145962000"/>
    <n v="0"/>
    <n v="0"/>
    <n v="0"/>
    <n v="0"/>
    <n v="4325080"/>
    <n v="-80036.899999999994"/>
    <n v="408539"/>
    <n v="82.808899999999994"/>
    <n v="98.274000000000001"/>
    <n v="1.1928700000000001"/>
    <n v="0"/>
    <n v="0"/>
    <n v="2.2059099999999998"/>
    <n v="1.90351"/>
    <n v="0"/>
    <n v="1.7750900000000001"/>
    <n v="2.9635199999999999"/>
    <n v="650037000"/>
    <n v="0"/>
    <n v="0"/>
    <n v="0"/>
    <n v="0"/>
    <n v="5707200"/>
    <n v="942911"/>
    <n v="0"/>
    <n v="48"/>
    <x v="24"/>
    <n v="7.3098228744672907E-9"/>
    <n v="-8.1875762506447939E-10"/>
  </r>
  <r>
    <n v="45.069200000000002"/>
    <n v="85.138999999999996"/>
    <n v="1.16618"/>
    <n v="0.1"/>
    <n v="0.02"/>
    <n v="2.8933300000000002"/>
    <n v="3.1957300000000002"/>
    <n v="0"/>
    <n v="0.54216299999999995"/>
    <n v="5.3222399999999999"/>
    <n v="145882000"/>
    <n v="0"/>
    <n v="0"/>
    <n v="0"/>
    <n v="0"/>
    <n v="4325460"/>
    <n v="-80011.100000000006"/>
    <n v="408539"/>
    <n v="82.485500000000002"/>
    <n v="98.274000000000001"/>
    <n v="0.870946"/>
    <n v="0"/>
    <n v="0"/>
    <n v="2.2060499999999998"/>
    <n v="1.9036500000000001"/>
    <n v="0"/>
    <n v="1.70428"/>
    <n v="2.9635199999999999"/>
    <n v="650980000"/>
    <n v="0"/>
    <n v="0"/>
    <n v="0"/>
    <n v="0"/>
    <n v="5707590"/>
    <n v="942924"/>
    <n v="0"/>
    <n v="49"/>
    <x v="24"/>
    <n v="7.3094241680982484E-9"/>
    <n v="-8.1842179121771436E-10"/>
  </r>
  <r>
    <n v="43.886400000000002"/>
    <n v="85.138999999999996"/>
    <n v="1.53996"/>
    <n v="0.1"/>
    <n v="0.02"/>
    <n v="2.89358"/>
    <n v="3.19598"/>
    <n v="0"/>
    <n v="0.54220999999999997"/>
    <n v="5.3222399999999999"/>
    <n v="145802000"/>
    <n v="0"/>
    <n v="0"/>
    <n v="0"/>
    <n v="0"/>
    <n v="4325830"/>
    <n v="-79985.3"/>
    <n v="408539"/>
    <n v="82.110600000000005"/>
    <n v="98.274000000000001"/>
    <n v="2.0841099999999999"/>
    <n v="0"/>
    <n v="0"/>
    <n v="2.2061999999999999"/>
    <n v="1.9037999999999999"/>
    <n v="0"/>
    <n v="1.7043999999999999"/>
    <n v="2.9635199999999999"/>
    <n v="651923000"/>
    <n v="0"/>
    <n v="0"/>
    <n v="0"/>
    <n v="0"/>
    <n v="5707980"/>
    <n v="942936"/>
    <n v="0"/>
    <n v="50"/>
    <x v="24"/>
    <n v="7.3090177648725033E-9"/>
    <n v="-8.1808790753850035E-10"/>
  </r>
  <r>
    <n v="45.172499999999999"/>
    <n v="85.138999999999996"/>
    <n v="4.19747"/>
    <n v="0.13"/>
    <n v="0.02"/>
    <n v="2.8938299999999999"/>
    <n v="3.1962299999999999"/>
    <n v="0"/>
    <n v="0.54225699999999999"/>
    <n v="5.3222399999999999"/>
    <n v="145722000"/>
    <n v="0"/>
    <n v="0"/>
    <n v="0"/>
    <n v="0"/>
    <n v="4326210"/>
    <n v="-79959.5"/>
    <n v="408539"/>
    <n v="82.311700000000002"/>
    <n v="98.274000000000001"/>
    <n v="3.9769000000000001"/>
    <n v="0"/>
    <n v="0"/>
    <n v="2.20635"/>
    <n v="1.90395"/>
    <n v="0"/>
    <n v="1.70451"/>
    <n v="2.9635199999999999"/>
    <n v="652866000"/>
    <n v="0"/>
    <n v="0"/>
    <n v="0"/>
    <n v="0"/>
    <n v="5708360"/>
    <n v="942949"/>
    <n v="0"/>
    <n v="51"/>
    <x v="24"/>
    <n v="7.3086319713495842E-9"/>
    <n v="-8.1775219073830577E-10"/>
  </r>
  <r>
    <n v="46.3596"/>
    <n v="85.138999999999996"/>
    <n v="3.8092600000000001"/>
    <n v="0.1"/>
    <n v="0.02"/>
    <n v="2.6533500000000001"/>
    <n v="2.9557500000000001"/>
    <n v="0"/>
    <n v="0.54230400000000001"/>
    <n v="5.3222399999999999"/>
    <n v="145618000"/>
    <n v="0"/>
    <n v="0"/>
    <n v="0"/>
    <n v="0"/>
    <n v="3966700"/>
    <n v="-104681"/>
    <n v="408539"/>
    <n v="82.402699999999996"/>
    <n v="98.274000000000001"/>
    <n v="3.5322900000000002"/>
    <n v="0"/>
    <n v="0"/>
    <n v="2.0152399999999999"/>
    <n v="1.7128399999999999"/>
    <n v="0"/>
    <n v="1.7046300000000001"/>
    <n v="2.9635199999999999"/>
    <n v="653793000"/>
    <n v="0"/>
    <n v="0"/>
    <n v="0"/>
    <n v="0"/>
    <n v="5213910"/>
    <n v="926832"/>
    <n v="0"/>
    <n v="52"/>
    <x v="24"/>
    <n v="7.8649638894071148E-9"/>
    <n v="-1.1676098496091034E-9"/>
  </r>
  <r>
    <n v="46.465499999999999"/>
    <n v="85.138999999999996"/>
    <n v="2.7812199999999998"/>
    <n v="0.1"/>
    <n v="0.02"/>
    <n v="2.6535799999999998"/>
    <n v="2.9559799999999998"/>
    <n v="0"/>
    <n v="0.49723800000000001"/>
    <n v="5.3222399999999999"/>
    <n v="145513000"/>
    <n v="0"/>
    <n v="0"/>
    <n v="0"/>
    <n v="0"/>
    <n v="3967040"/>
    <n v="-104658"/>
    <n v="408539"/>
    <n v="82.196799999999996"/>
    <n v="98.274000000000001"/>
    <n v="2.7442099999999998"/>
    <n v="0"/>
    <n v="0"/>
    <n v="2.0153799999999999"/>
    <n v="1.7129799999999999"/>
    <n v="0"/>
    <n v="1.55698"/>
    <n v="2.9635199999999999"/>
    <n v="654720000"/>
    <n v="0"/>
    <n v="0"/>
    <n v="0"/>
    <n v="0"/>
    <n v="5214260"/>
    <n v="926843"/>
    <n v="0"/>
    <n v="1"/>
    <x v="25"/>
    <n v="3.8837405893176194E-9"/>
    <n v="-5.7642468913208815E-10"/>
  </r>
  <r>
    <n v="46.543799999999997"/>
    <n v="85.138999999999996"/>
    <n v="2.76146"/>
    <n v="0.09"/>
    <n v="0.02"/>
    <n v="2.6538200000000001"/>
    <n v="2.9562200000000001"/>
    <n v="0"/>
    <n v="0.497282"/>
    <n v="5.3222399999999999"/>
    <n v="145408000"/>
    <n v="0"/>
    <n v="0"/>
    <n v="0"/>
    <n v="0"/>
    <n v="3967390"/>
    <n v="-104634"/>
    <n v="408539"/>
    <n v="81.962599999999995"/>
    <n v="98.274000000000001"/>
    <n v="2.5318999999999998"/>
    <n v="0"/>
    <n v="0"/>
    <n v="2.0155099999999999"/>
    <n v="1.7131099999999999"/>
    <n v="0"/>
    <n v="1.55708"/>
    <n v="2.9635199999999999"/>
    <n v="655646000"/>
    <n v="0"/>
    <n v="0"/>
    <n v="0"/>
    <n v="0"/>
    <n v="5214610"/>
    <n v="926854"/>
    <n v="0"/>
    <n v="2"/>
    <x v="25"/>
    <n v="3.8835260061844668E-9"/>
    <n v="-5.7624166430499948E-10"/>
  </r>
  <r>
    <n v="47.741700000000002"/>
    <n v="85.138999999999996"/>
    <n v="3.9870399999999999"/>
    <n v="0.09"/>
    <n v="0.02"/>
    <n v="2.6540499999999998"/>
    <n v="2.9564499999999998"/>
    <n v="0"/>
    <n v="0.49732500000000002"/>
    <n v="5.3222399999999999"/>
    <n v="145304000"/>
    <n v="0"/>
    <n v="0"/>
    <n v="0"/>
    <n v="0"/>
    <n v="3967740"/>
    <n v="-104610"/>
    <n v="408539"/>
    <n v="82.177999999999997"/>
    <n v="98.274000000000001"/>
    <n v="3.2834400000000001"/>
    <n v="0"/>
    <n v="0"/>
    <n v="2.0156499999999999"/>
    <n v="1.7132499999999999"/>
    <n v="0"/>
    <n v="1.55718"/>
    <n v="2.9635199999999999"/>
    <n v="656573000"/>
    <n v="0"/>
    <n v="0"/>
    <n v="0"/>
    <n v="0"/>
    <n v="5214960"/>
    <n v="926866"/>
    <n v="0"/>
    <n v="3"/>
    <x v="25"/>
    <n v="3.8833156415817875E-9"/>
    <n v="-5.760586717676725E-10"/>
  </r>
  <r>
    <n v="48.5398"/>
    <n v="85.138999999999996"/>
    <n v="3.64364"/>
    <n v="0.09"/>
    <n v="0.02"/>
    <n v="2.65428"/>
    <n v="2.95668"/>
    <n v="0"/>
    <n v="0.49736900000000001"/>
    <n v="5.3222399999999999"/>
    <n v="145199000"/>
    <n v="0"/>
    <n v="0"/>
    <n v="0"/>
    <n v="0"/>
    <n v="3968080"/>
    <n v="-104586"/>
    <n v="408539"/>
    <n v="82.440700000000007"/>
    <n v="98.274000000000001"/>
    <n v="3.3526500000000001"/>
    <n v="0"/>
    <n v="0"/>
    <n v="2.0157799999999999"/>
    <n v="1.7133799999999999"/>
    <n v="0"/>
    <n v="1.5572900000000001"/>
    <n v="2.9635199999999999"/>
    <n v="657500000"/>
    <n v="0"/>
    <n v="0"/>
    <n v="0"/>
    <n v="0"/>
    <n v="5215300"/>
    <n v="926877"/>
    <n v="0"/>
    <n v="4"/>
    <x v="25"/>
    <n v="3.8831085613632288E-9"/>
    <n v="-5.7587716278197978E-10"/>
  </r>
  <r>
    <n v="50.320999999999998"/>
    <n v="85.138999999999996"/>
    <n v="4.7175599999999998"/>
    <n v="0.09"/>
    <n v="0.02"/>
    <n v="2.7471399999999999"/>
    <n v="3.0495399999999999"/>
    <n v="0"/>
    <n v="0.49741200000000002"/>
    <n v="5.3222399999999999"/>
    <n v="145104000"/>
    <n v="0"/>
    <n v="0"/>
    <n v="0"/>
    <n v="0"/>
    <n v="4106900"/>
    <n v="-95040.1"/>
    <n v="408539"/>
    <n v="82.730699999999999"/>
    <n v="98.274000000000001"/>
    <n v="3.9585300000000001"/>
    <n v="0"/>
    <n v="0"/>
    <n v="2.0713200000000001"/>
    <n v="1.76892"/>
    <n v="0"/>
    <n v="1.5573900000000001"/>
    <n v="2.9635199999999999"/>
    <n v="658432000"/>
    <n v="0"/>
    <n v="0"/>
    <n v="0"/>
    <n v="0"/>
    <n v="5358990"/>
    <n v="931561"/>
    <n v="0"/>
    <n v="5"/>
    <x v="25"/>
    <n v="3.7980884479141015E-9"/>
    <n v="-5.0562609413697446E-10"/>
  </r>
  <r>
    <n v="52.271599999999999"/>
    <n v="85.138999999999996"/>
    <n v="4.9795299999999996"/>
    <n v="0.08"/>
    <n v="0.02"/>
    <n v="2.74736"/>
    <n v="3.04976"/>
    <n v="0"/>
    <n v="0.51481399999999999"/>
    <n v="5.3222399999999999"/>
    <n v="145009000"/>
    <n v="0"/>
    <n v="0"/>
    <n v="0"/>
    <n v="0"/>
    <n v="4107230"/>
    <n v="-95017.5"/>
    <n v="408539"/>
    <n v="83.073899999999995"/>
    <n v="98.274000000000001"/>
    <n v="3.7443200000000001"/>
    <n v="0"/>
    <n v="0"/>
    <n v="2.0714399999999999"/>
    <n v="1.7690399999999999"/>
    <n v="0"/>
    <n v="1.6003000000000001"/>
    <n v="2.9635199999999999"/>
    <n v="659363000"/>
    <n v="0"/>
    <n v="0"/>
    <n v="0"/>
    <n v="0"/>
    <n v="5359320"/>
    <n v="931571"/>
    <n v="0"/>
    <n v="6"/>
    <x v="25"/>
    <n v="3.7978953494253014E-9"/>
    <n v="-5.0546524366711076E-10"/>
  </r>
  <r>
    <n v="52.275300000000001"/>
    <n v="85.138999999999996"/>
    <n v="2.8601000000000001"/>
    <n v="7.0000000000000007E-2"/>
    <n v="0.02"/>
    <n v="2.7475800000000001"/>
    <n v="3.0499800000000001"/>
    <n v="0"/>
    <n v="0.51485499999999995"/>
    <n v="5.3222399999999999"/>
    <n v="144914000"/>
    <n v="0"/>
    <n v="0"/>
    <n v="0"/>
    <n v="0"/>
    <n v="4107560"/>
    <n v="-94994.8"/>
    <n v="408539"/>
    <n v="83.087199999999996"/>
    <n v="98.274000000000001"/>
    <n v="2.7867099999999998"/>
    <n v="0"/>
    <n v="0"/>
    <n v="2.0715699999999999"/>
    <n v="1.7691699999999999"/>
    <n v="0"/>
    <n v="1.6004"/>
    <n v="2.9635199999999999"/>
    <n v="660295000"/>
    <n v="0"/>
    <n v="0"/>
    <n v="0"/>
    <n v="0"/>
    <n v="5359650"/>
    <n v="931582"/>
    <n v="0"/>
    <n v="7"/>
    <x v="25"/>
    <n v="3.7977063513356835E-9"/>
    <n v="-5.0530388711464861E-10"/>
  </r>
  <r>
    <n v="51.768599999999999"/>
    <n v="85.138999999999996"/>
    <n v="2.3594499999999998"/>
    <n v="0.08"/>
    <n v="0.02"/>
    <n v="2.7477999999999998"/>
    <n v="3.0501999999999998"/>
    <n v="0"/>
    <n v="0.51489600000000002"/>
    <n v="5.3222399999999999"/>
    <n v="144819000"/>
    <n v="0"/>
    <n v="0"/>
    <n v="0"/>
    <n v="0"/>
    <n v="4107890"/>
    <n v="-94972.2"/>
    <n v="408539"/>
    <n v="82.692499999999995"/>
    <n v="98.274000000000001"/>
    <n v="2.6610999999999998"/>
    <n v="0"/>
    <n v="0"/>
    <n v="2.0716999999999999"/>
    <n v="1.7693000000000001"/>
    <n v="0"/>
    <n v="1.6005"/>
    <n v="2.9635199999999999"/>
    <n v="661226000"/>
    <n v="0"/>
    <n v="0"/>
    <n v="0"/>
    <n v="0"/>
    <n v="5359980"/>
    <n v="931593"/>
    <n v="0"/>
    <n v="8"/>
    <x v="25"/>
    <n v="3.7975173765183057E-9"/>
    <n v="-5.0514308837197992E-10"/>
  </r>
  <r>
    <n v="52.694499999999998"/>
    <n v="85.138999999999996"/>
    <n v="4.1256399999999998"/>
    <n v="0.09"/>
    <n v="0.02"/>
    <n v="3.04555"/>
    <n v="3.34795"/>
    <n v="0"/>
    <n v="0.51493699999999998"/>
    <n v="5.3222399999999999"/>
    <n v="144755000"/>
    <n v="0"/>
    <n v="0"/>
    <n v="0"/>
    <n v="0"/>
    <n v="4553020"/>
    <n v="-64362.8"/>
    <n v="408539"/>
    <n v="83.053200000000004"/>
    <n v="98.274000000000001"/>
    <n v="2.73691"/>
    <n v="0"/>
    <n v="0"/>
    <n v="2.2798699999999998"/>
    <n v="1.9774700000000001"/>
    <n v="0"/>
    <n v="1.60059"/>
    <n v="2.9635199999999999"/>
    <n v="662176000"/>
    <n v="0"/>
    <n v="0"/>
    <n v="0"/>
    <n v="0"/>
    <n v="5898580"/>
    <n v="949149"/>
    <n v="0"/>
    <n v="9"/>
    <x v="25"/>
    <n v="3.5157957995383717E-9"/>
    <n v="-3.0886741506321604E-10"/>
  </r>
  <r>
    <n v="53.501600000000003"/>
    <n v="85.138999999999996"/>
    <n v="4.0656100000000004"/>
    <n v="0.08"/>
    <n v="0.02"/>
    <n v="3.0457900000000002"/>
    <n v="3.3481900000000002"/>
    <n v="0"/>
    <n v="0.57073600000000002"/>
    <n v="5.3222399999999999"/>
    <n v="144691000"/>
    <n v="0"/>
    <n v="0"/>
    <n v="0"/>
    <n v="0"/>
    <n v="4553380"/>
    <n v="-64338"/>
    <n v="408539"/>
    <n v="83.65"/>
    <n v="98.274000000000001"/>
    <n v="4.3506999999999998"/>
    <n v="0"/>
    <n v="0"/>
    <n v="2.2800199999999999"/>
    <n v="1.9776199999999999"/>
    <n v="0"/>
    <n v="1.7614300000000001"/>
    <n v="2.9635199999999999"/>
    <n v="663125000"/>
    <n v="0"/>
    <n v="0"/>
    <n v="0"/>
    <n v="0"/>
    <n v="5898940"/>
    <n v="949161"/>
    <n v="0"/>
    <n v="10"/>
    <x v="25"/>
    <n v="3.5156256850137179E-9"/>
    <n v="-3.0872399327444495E-10"/>
  </r>
  <r>
    <n v="54.363599999999998"/>
    <n v="85.138999999999996"/>
    <n v="4.2493699999999999"/>
    <n v="0.08"/>
    <n v="0.02"/>
    <n v="3.04603"/>
    <n v="3.34843"/>
    <n v="0"/>
    <n v="0.57078099999999998"/>
    <n v="5.3222399999999999"/>
    <n v="144626000"/>
    <n v="0"/>
    <n v="0"/>
    <n v="0"/>
    <n v="0"/>
    <n v="4553740"/>
    <n v="-64313.1"/>
    <n v="408539"/>
    <n v="83.774500000000003"/>
    <n v="98.274000000000001"/>
    <n v="3.1669800000000001"/>
    <n v="0"/>
    <n v="0"/>
    <n v="2.28016"/>
    <n v="1.97776"/>
    <n v="0"/>
    <n v="1.7615400000000001"/>
    <n v="2.9635199999999999"/>
    <n v="664074000"/>
    <n v="0"/>
    <n v="0"/>
    <n v="0"/>
    <n v="0"/>
    <n v="5899310"/>
    <n v="949173"/>
    <n v="0"/>
    <n v="11"/>
    <x v="25"/>
    <n v="3.5154496321550475E-9"/>
    <n v="-3.0858011435323764E-10"/>
  </r>
  <r>
    <n v="58.2194"/>
    <n v="85.138999999999996"/>
    <n v="7.3327600000000004"/>
    <n v="0.09"/>
    <n v="0.02"/>
    <n v="3.0462699999999998"/>
    <n v="3.3486699999999998"/>
    <n v="0"/>
    <n v="0.57082699999999997"/>
    <n v="5.3222399999999999"/>
    <n v="144562000"/>
    <n v="0"/>
    <n v="0"/>
    <n v="0"/>
    <n v="0"/>
    <n v="4554100"/>
    <n v="-64288.3"/>
    <n v="408539"/>
    <n v="84.001599999999996"/>
    <n v="98.274000000000001"/>
    <n v="4.5221299999999998"/>
    <n v="0"/>
    <n v="0"/>
    <n v="2.2803"/>
    <n v="1.9779"/>
    <n v="0"/>
    <n v="1.7616499999999999"/>
    <n v="2.9635199999999999"/>
    <n v="665023000"/>
    <n v="0"/>
    <n v="0"/>
    <n v="0"/>
    <n v="0"/>
    <n v="5899680"/>
    <n v="949185"/>
    <n v="0"/>
    <n v="12"/>
    <x v="25"/>
    <n v="3.5152736013787809E-9"/>
    <n v="-3.0843673795037024E-10"/>
  </r>
  <r>
    <n v="61.492400000000004"/>
    <n v="85.138999999999996"/>
    <n v="6.4668999999999999"/>
    <n v="0.05"/>
    <n v="0.02"/>
    <n v="2.62202"/>
    <n v="2.92442"/>
    <n v="0"/>
    <n v="0.57087200000000005"/>
    <n v="5.3222399999999999"/>
    <n v="144454000"/>
    <n v="0"/>
    <n v="0"/>
    <n v="0"/>
    <n v="0"/>
    <n v="3919850"/>
    <n v="-107903"/>
    <n v="408539"/>
    <n v="88.013800000000003"/>
    <n v="98.274000000000001"/>
    <n v="9.5127500000000005"/>
    <n v="0"/>
    <n v="0"/>
    <n v="2.00116"/>
    <n v="1.69876"/>
    <n v="0"/>
    <n v="1.76176"/>
    <n v="2.9635199999999999"/>
    <n v="665949000"/>
    <n v="0"/>
    <n v="0"/>
    <n v="0"/>
    <n v="0"/>
    <n v="5177480"/>
    <n v="925644"/>
    <n v="0"/>
    <n v="13"/>
    <x v="25"/>
    <n v="3.9062702208675712E-9"/>
    <n v="-6.0145175090648311E-10"/>
  </r>
  <r>
    <n v="64.110900000000001"/>
    <n v="85.138999999999996"/>
    <n v="5.7892400000000004"/>
    <n v="0.05"/>
    <n v="0.02"/>
    <n v="2.6222300000000001"/>
    <n v="2.9246300000000001"/>
    <n v="0"/>
    <n v="0.491367"/>
    <n v="5.3222399999999999"/>
    <n v="144346000"/>
    <n v="0"/>
    <n v="0"/>
    <n v="0"/>
    <n v="0"/>
    <n v="3920170"/>
    <n v="-107881"/>
    <n v="408539"/>
    <n v="91.472300000000004"/>
    <n v="98.274000000000001"/>
    <n v="9.0712100000000007"/>
    <n v="0"/>
    <n v="0"/>
    <n v="2.0012799999999999"/>
    <n v="1.6988799999999999"/>
    <n v="0"/>
    <n v="1.5461"/>
    <n v="2.9635199999999999"/>
    <n v="666874000"/>
    <n v="0"/>
    <n v="0"/>
    <n v="0"/>
    <n v="0"/>
    <n v="5177800"/>
    <n v="925655"/>
    <n v="0"/>
    <n v="14"/>
    <x v="25"/>
    <n v="3.9060752221004531E-9"/>
    <n v="-6.0128003685610392E-10"/>
  </r>
  <r>
    <n v="68.764899999999997"/>
    <n v="85.138999999999996"/>
    <n v="7.9788800000000002"/>
    <n v="0.05"/>
    <n v="0.02"/>
    <n v="2.6224400000000001"/>
    <n v="2.9248400000000001"/>
    <n v="0"/>
    <n v="0.49140600000000001"/>
    <n v="5.3222399999999999"/>
    <n v="144238000"/>
    <n v="0"/>
    <n v="0"/>
    <n v="0"/>
    <n v="0"/>
    <n v="3920480"/>
    <n v="-107859"/>
    <n v="408539"/>
    <n v="95.571399999999997"/>
    <n v="98.274000000000001"/>
    <n v="10.5312"/>
    <n v="0"/>
    <n v="0"/>
    <n v="2.0014099999999999"/>
    <n v="1.6990099999999999"/>
    <n v="0"/>
    <n v="1.54619"/>
    <n v="2.9635199999999999"/>
    <n v="667800000"/>
    <n v="0"/>
    <n v="0"/>
    <n v="0"/>
    <n v="0"/>
    <n v="5178120"/>
    <n v="925665"/>
    <n v="0"/>
    <n v="15"/>
    <x v="25"/>
    <n v="3.9058760278994187E-9"/>
    <n v="-6.0110988408909331E-10"/>
  </r>
  <r>
    <n v="72.370900000000006"/>
    <n v="85.138999999999996"/>
    <n v="6.9633200000000004"/>
    <n v="0.05"/>
    <n v="0.02"/>
    <n v="2.6226500000000001"/>
    <n v="2.9250500000000001"/>
    <n v="0"/>
    <n v="0.49144599999999999"/>
    <n v="5.3222399999999999"/>
    <n v="144130000"/>
    <n v="0"/>
    <n v="0"/>
    <n v="0"/>
    <n v="0"/>
    <n v="3920800"/>
    <n v="-107837"/>
    <n v="408539"/>
    <n v="99.134500000000003"/>
    <n v="98.274000000000001"/>
    <n v="9.6069899999999997"/>
    <n v="0"/>
    <n v="0"/>
    <n v="2.0015299999999998"/>
    <n v="1.69913"/>
    <n v="0"/>
    <n v="1.5462899999999999"/>
    <n v="2.9635199999999999"/>
    <n v="668726000"/>
    <n v="0"/>
    <n v="0"/>
    <n v="0"/>
    <n v="0"/>
    <n v="5178440"/>
    <n v="925675"/>
    <n v="0"/>
    <n v="16"/>
    <x v="25"/>
    <n v="3.9056768583166649E-9"/>
    <n v="-6.0093822553178537E-10"/>
  </r>
  <r>
    <n v="78.928100000000001"/>
    <n v="85.138999999999996"/>
    <n v="10.3491"/>
    <n v="0.03"/>
    <n v="0.02"/>
    <n v="2.6228600000000002"/>
    <n v="2.9252600000000002"/>
    <n v="0"/>
    <n v="0.49148500000000001"/>
    <n v="5.3222399999999999"/>
    <n v="144023000"/>
    <n v="0"/>
    <n v="0"/>
    <n v="0"/>
    <n v="0"/>
    <n v="3921120"/>
    <n v="-107816"/>
    <n v="408539"/>
    <n v="99.302199999999999"/>
    <n v="98.274000000000001"/>
    <n v="16.429500000000001"/>
    <n v="0"/>
    <n v="0"/>
    <n v="2.0016500000000002"/>
    <n v="1.6992499999999999"/>
    <n v="0"/>
    <n v="1.5463800000000001"/>
    <n v="2.9635199999999999"/>
    <n v="669651000"/>
    <n v="0"/>
    <n v="0"/>
    <n v="0"/>
    <n v="0"/>
    <n v="5178750"/>
    <n v="925686"/>
    <n v="0"/>
    <n v="17"/>
    <x v="25"/>
    <n v="3.9054894737215818E-9"/>
    <n v="-6.0077216719098639E-10"/>
  </r>
  <r>
    <n v="82.477800000000002"/>
    <n v="85.138999999999996"/>
    <n v="7.55945"/>
    <n v="0"/>
    <n v="0.02"/>
    <n v="3.0323699999999998"/>
    <n v="3.0323699999999998"/>
    <n v="0"/>
    <n v="0.49152499999999999"/>
    <n v="5.3222399999999999"/>
    <n v="144334000"/>
    <n v="0"/>
    <n v="0"/>
    <n v="0"/>
    <n v="0"/>
    <n v="4533310"/>
    <n v="311733"/>
    <n v="0"/>
    <n v="99.302199999999999"/>
    <n v="98.274000000000001"/>
    <n v="15.6915"/>
    <n v="0"/>
    <n v="0"/>
    <n v="1.76772"/>
    <n v="1.76772"/>
    <n v="0"/>
    <n v="1.5464800000000001"/>
    <n v="2.9635199999999999"/>
    <n v="669801000"/>
    <n v="0"/>
    <n v="0"/>
    <n v="0"/>
    <n v="0"/>
    <n v="4573520"/>
    <n v="149079"/>
    <n v="0"/>
    <n v="18"/>
    <x v="25"/>
    <n v="7.1220105174683372E-10"/>
    <n v="1.5024640286736394E-9"/>
  </r>
  <r>
    <n v="85.138999999999996"/>
    <n v="85.138999999999996"/>
    <n v="6.54901"/>
    <n v="0"/>
    <n v="0.02"/>
    <n v="3.0325899999999999"/>
    <n v="3.0325899999999999"/>
    <n v="0"/>
    <n v="0.56826500000000002"/>
    <n v="5.3222399999999999"/>
    <n v="144646000"/>
    <n v="0"/>
    <n v="0"/>
    <n v="0"/>
    <n v="0"/>
    <n v="4533640"/>
    <n v="311756"/>
    <n v="0"/>
    <n v="99.302199999999999"/>
    <n v="98.274000000000001"/>
    <n v="12.111599999999999"/>
    <n v="0"/>
    <n v="0"/>
    <n v="1.7678499999999999"/>
    <n v="1.7678499999999999"/>
    <n v="0"/>
    <n v="1.36574"/>
    <n v="2.9635199999999999"/>
    <n v="669950000"/>
    <n v="0"/>
    <n v="0"/>
    <n v="0"/>
    <n v="0"/>
    <n v="4573850"/>
    <n v="149090"/>
    <n v="0"/>
    <n v="19"/>
    <x v="25"/>
    <n v="7.1220221389845994E-10"/>
    <n v="1.5024655108907109E-9"/>
  </r>
  <r>
    <n v="85.138999999999996"/>
    <n v="85.138999999999996"/>
    <n v="5.3112500000000002"/>
    <n v="0"/>
    <n v="0.02"/>
    <n v="3.0327999999999999"/>
    <n v="3.0327999999999999"/>
    <n v="0"/>
    <n v="0.56830599999999998"/>
    <n v="5.3222399999999999"/>
    <n v="144958000"/>
    <n v="0"/>
    <n v="0"/>
    <n v="0"/>
    <n v="0"/>
    <n v="4533970"/>
    <n v="311778"/>
    <n v="0"/>
    <n v="99.302199999999999"/>
    <n v="98.274000000000001"/>
    <n v="8.9607700000000001"/>
    <n v="0"/>
    <n v="0"/>
    <n v="1.7679800000000001"/>
    <n v="1.7679800000000001"/>
    <n v="0"/>
    <n v="1.3658399999999999"/>
    <n v="2.9635199999999999"/>
    <n v="670099000"/>
    <n v="0"/>
    <n v="0"/>
    <n v="0"/>
    <n v="0"/>
    <n v="4574180"/>
    <n v="149101"/>
    <n v="0"/>
    <n v="20"/>
    <x v="25"/>
    <n v="7.1220337588240156E-10"/>
    <n v="1.5024621738792154E-9"/>
  </r>
  <r>
    <n v="85.138999999999996"/>
    <n v="85.138999999999996"/>
    <n v="4.1292900000000001"/>
    <n v="0"/>
    <n v="0.02"/>
    <n v="3.03302"/>
    <n v="3.03302"/>
    <n v="0"/>
    <n v="0.56834700000000005"/>
    <n v="5.3222399999999999"/>
    <n v="145270000"/>
    <n v="0"/>
    <n v="0"/>
    <n v="0"/>
    <n v="0"/>
    <n v="4534290"/>
    <n v="311801"/>
    <n v="0"/>
    <n v="99.302199999999999"/>
    <n v="98.274000000000001"/>
    <n v="6.7194900000000004"/>
    <n v="0"/>
    <n v="0"/>
    <n v="1.7681100000000001"/>
    <n v="1.7681100000000001"/>
    <n v="0"/>
    <n v="1.3659399999999999"/>
    <n v="2.9635199999999999"/>
    <n v="670248000"/>
    <n v="0"/>
    <n v="0"/>
    <n v="0"/>
    <n v="0"/>
    <n v="4574510"/>
    <n v="149111"/>
    <n v="0"/>
    <n v="21"/>
    <x v="25"/>
    <n v="7.1219976139271185E-10"/>
    <n v="1.5024669695743354E-9"/>
  </r>
  <r>
    <n v="85.138999999999996"/>
    <n v="85.138999999999996"/>
    <n v="3.82572"/>
    <n v="0"/>
    <n v="0.02"/>
    <n v="2.9914399999999999"/>
    <n v="2.9914399999999999"/>
    <n v="0"/>
    <n v="0.568388"/>
    <n v="5.3222399999999999"/>
    <n v="145577000"/>
    <n v="0"/>
    <n v="0"/>
    <n v="0"/>
    <n v="0"/>
    <n v="4472120"/>
    <n v="307525"/>
    <n v="0"/>
    <n v="99.302199999999999"/>
    <n v="98.274000000000001"/>
    <n v="6.0742700000000003"/>
    <n v="0"/>
    <n v="0"/>
    <n v="1.7416799999999999"/>
    <n v="1.7416799999999999"/>
    <n v="0"/>
    <n v="1.3660399999999999"/>
    <n v="2.9635199999999999"/>
    <n v="670395000"/>
    <n v="0"/>
    <n v="0"/>
    <n v="0"/>
    <n v="0"/>
    <n v="4506140"/>
    <n v="146883"/>
    <n v="0"/>
    <n v="22"/>
    <x v="25"/>
    <n v="7.1220263470834235E-10"/>
    <n v="1.5024627071567766E-9"/>
  </r>
  <r>
    <n v="84.828800000000001"/>
    <n v="85.138999999999996"/>
    <n v="3.1390400000000001"/>
    <n v="0"/>
    <n v="0.02"/>
    <n v="2.9916499999999999"/>
    <n v="2.9916499999999999"/>
    <n v="0"/>
    <n v="0.56059499999999995"/>
    <n v="5.3222399999999999"/>
    <n v="145885000"/>
    <n v="0"/>
    <n v="0"/>
    <n v="0"/>
    <n v="0"/>
    <n v="4472440"/>
    <n v="307548"/>
    <n v="0"/>
    <n v="99.302199999999999"/>
    <n v="98.274000000000001"/>
    <n v="3.8087"/>
    <n v="0"/>
    <n v="0"/>
    <n v="1.7418100000000001"/>
    <n v="1.7418100000000001"/>
    <n v="0"/>
    <n v="1.34562"/>
    <n v="2.9635199999999999"/>
    <n v="670542000"/>
    <n v="0"/>
    <n v="0"/>
    <n v="0"/>
    <n v="0"/>
    <n v="4506470"/>
    <n v="146893"/>
    <n v="0"/>
    <n v="23"/>
    <x v="25"/>
    <n v="7.1219896570030664E-10"/>
    <n v="1.5024675691340809E-9"/>
  </r>
  <r>
    <n v="84.210499999999996"/>
    <n v="85.138999999999996"/>
    <n v="2.7252800000000001"/>
    <n v="0"/>
    <n v="0.02"/>
    <n v="2.99187"/>
    <n v="2.99187"/>
    <n v="0"/>
    <n v="0.56063600000000002"/>
    <n v="5.3222399999999999"/>
    <n v="146192000"/>
    <n v="0"/>
    <n v="0"/>
    <n v="0"/>
    <n v="0"/>
    <n v="4472770"/>
    <n v="307570"/>
    <n v="0"/>
    <n v="99.302199999999999"/>
    <n v="98.274000000000001"/>
    <n v="3.46469"/>
    <n v="0"/>
    <n v="0"/>
    <n v="1.74193"/>
    <n v="1.74193"/>
    <n v="0"/>
    <n v="1.34572"/>
    <n v="2.9635199999999999"/>
    <n v="670689000"/>
    <n v="0"/>
    <n v="0"/>
    <n v="0"/>
    <n v="0"/>
    <n v="4506790"/>
    <n v="146904"/>
    <n v="0"/>
    <n v="24"/>
    <x v="25"/>
    <n v="7.1220172557712992E-10"/>
    <n v="1.502464186311081E-9"/>
  </r>
  <r>
    <n v="83.415499999999994"/>
    <n v="85.138999999999996"/>
    <n v="2.5027400000000002"/>
    <n v="0"/>
    <n v="0.02"/>
    <n v="2.9920800000000001"/>
    <n v="2.9920800000000001"/>
    <n v="0"/>
    <n v="0.56067599999999995"/>
    <n v="5.3222399999999999"/>
    <n v="146500000"/>
    <n v="0"/>
    <n v="0"/>
    <n v="0"/>
    <n v="0"/>
    <n v="4473090"/>
    <n v="307592"/>
    <n v="0"/>
    <n v="99.302199999999999"/>
    <n v="98.274000000000001"/>
    <n v="2.9616099999999999"/>
    <n v="0"/>
    <n v="0"/>
    <n v="1.7420599999999999"/>
    <n v="1.7420599999999999"/>
    <n v="0"/>
    <n v="1.34582"/>
    <n v="2.9635199999999999"/>
    <n v="670835000"/>
    <n v="0"/>
    <n v="0"/>
    <n v="0"/>
    <n v="0"/>
    <n v="4507120"/>
    <n v="146915"/>
    <n v="0"/>
    <n v="25"/>
    <x v="25"/>
    <n v="7.1220290488561322E-10"/>
    <n v="1.5024641628751486E-9"/>
  </r>
  <r>
    <n v="82.654300000000006"/>
    <n v="85.138999999999996"/>
    <n v="2.6051199999999999"/>
    <n v="0"/>
    <n v="0.02"/>
    <n v="3.1342500000000002"/>
    <n v="3.1342500000000002"/>
    <n v="0"/>
    <n v="0.56071700000000002"/>
    <n v="5.3222399999999999"/>
    <n v="146822000"/>
    <n v="0"/>
    <n v="0"/>
    <n v="0"/>
    <n v="0"/>
    <n v="4685620"/>
    <n v="322207"/>
    <n v="0"/>
    <n v="99.302199999999999"/>
    <n v="98.274000000000001"/>
    <n v="3.2428499999999998"/>
    <n v="0"/>
    <n v="0"/>
    <n v="1.8363700000000001"/>
    <n v="1.8363700000000001"/>
    <n v="0"/>
    <n v="1.3459099999999999"/>
    <n v="2.9635199999999999"/>
    <n v="670990000"/>
    <n v="0"/>
    <n v="0"/>
    <n v="0"/>
    <n v="0"/>
    <n v="4751140"/>
    <n v="154869"/>
    <n v="0"/>
    <n v="26"/>
    <x v="25"/>
    <n v="7.1220232756366598E-10"/>
    <n v="1.5024659169185077E-9"/>
  </r>
  <r>
    <n v="81.776700000000005"/>
    <n v="85.138999999999996"/>
    <n v="2.4832299999999998"/>
    <n v="0"/>
    <n v="0.02"/>
    <n v="3.1344699999999999"/>
    <n v="3.1344699999999999"/>
    <n v="0"/>
    <n v="0.58735800000000005"/>
    <n v="5.3222399999999999"/>
    <n v="147144000"/>
    <n v="0"/>
    <n v="0"/>
    <n v="0"/>
    <n v="0"/>
    <n v="4685960"/>
    <n v="322230"/>
    <n v="0"/>
    <n v="99.277600000000007"/>
    <n v="98.274000000000001"/>
    <n v="2.9058299999999999"/>
    <n v="0"/>
    <n v="0"/>
    <n v="1.8365100000000001"/>
    <n v="1.8365100000000001"/>
    <n v="0"/>
    <n v="1.4187799999999999"/>
    <n v="2.9635199999999999"/>
    <n v="671145000"/>
    <n v="0"/>
    <n v="0"/>
    <n v="0"/>
    <n v="0"/>
    <n v="4751480"/>
    <n v="154880"/>
    <n v="0"/>
    <n v="27"/>
    <x v="25"/>
    <n v="7.1220194727434991E-10"/>
    <n v="1.5024641445082252E-9"/>
  </r>
  <r>
    <n v="80.643799999999999"/>
    <n v="85.138999999999996"/>
    <n v="2.1945100000000002"/>
    <n v="0"/>
    <n v="0.02"/>
    <n v="3.1347"/>
    <n v="3.1347"/>
    <n v="0"/>
    <n v="0.58740000000000003"/>
    <n v="5.3222399999999999"/>
    <n v="147467000"/>
    <n v="0"/>
    <n v="0"/>
    <n v="0"/>
    <n v="0"/>
    <n v="4686290"/>
    <n v="322253"/>
    <n v="0"/>
    <n v="99.302199999999999"/>
    <n v="98.274000000000001"/>
    <n v="2.6029200000000001"/>
    <n v="0"/>
    <n v="0"/>
    <n v="1.8366400000000001"/>
    <n v="1.8366400000000001"/>
    <n v="0"/>
    <n v="1.41889"/>
    <n v="2.9635199999999999"/>
    <n v="671300000"/>
    <n v="0"/>
    <n v="0"/>
    <n v="0"/>
    <n v="0"/>
    <n v="4751830"/>
    <n v="154891"/>
    <n v="0"/>
    <n v="28"/>
    <x v="25"/>
    <n v="7.1220006824516464E-10"/>
    <n v="1.5024655784357837E-9"/>
  </r>
  <r>
    <n v="79.367599999999996"/>
    <n v="85.138999999999996"/>
    <n v="2.0036"/>
    <n v="0"/>
    <n v="0.02"/>
    <n v="3.1349200000000002"/>
    <n v="3.1349200000000002"/>
    <n v="0"/>
    <n v="0.58744200000000002"/>
    <n v="5.3222399999999999"/>
    <n v="147789000"/>
    <n v="0"/>
    <n v="0"/>
    <n v="0"/>
    <n v="0"/>
    <n v="4686630"/>
    <n v="322276"/>
    <n v="0"/>
    <n v="99.302199999999999"/>
    <n v="98.274000000000001"/>
    <n v="2.7441"/>
    <n v="0"/>
    <n v="0"/>
    <n v="1.83677"/>
    <n v="1.83677"/>
    <n v="0"/>
    <n v="1.41899"/>
    <n v="2.9635199999999999"/>
    <n v="671455000"/>
    <n v="0"/>
    <n v="0"/>
    <n v="0"/>
    <n v="0"/>
    <n v="4752170"/>
    <n v="154902"/>
    <n v="0"/>
    <n v="29"/>
    <x v="25"/>
    <n v="7.1219968817271124E-10"/>
    <n v="1.5024638063034409E-9"/>
  </r>
  <r>
    <n v="78.400000000000006"/>
    <n v="85.138999999999996"/>
    <n v="2.2920199999999999"/>
    <n v="0"/>
    <n v="0.02"/>
    <n v="3.1351499999999999"/>
    <n v="3.1351499999999999"/>
    <n v="0"/>
    <n v="0.58748500000000003"/>
    <n v="5.3222399999999999"/>
    <n v="148111000"/>
    <n v="0"/>
    <n v="0"/>
    <n v="0"/>
    <n v="0"/>
    <n v="4686970"/>
    <n v="322300"/>
    <n v="0"/>
    <n v="99.302199999999999"/>
    <n v="98.274000000000001"/>
    <n v="2.6472600000000002"/>
    <n v="0"/>
    <n v="0"/>
    <n v="1.83691"/>
    <n v="1.83691"/>
    <n v="0"/>
    <n v="1.41909"/>
    <n v="2.9635199999999999"/>
    <n v="671610000"/>
    <n v="0"/>
    <n v="0"/>
    <n v="0"/>
    <n v="0"/>
    <n v="4752510"/>
    <n v="154914"/>
    <n v="0"/>
    <n v="30"/>
    <x v="25"/>
    <n v="7.1220390556936982E-10"/>
    <n v="1.5024666961306433E-9"/>
  </r>
  <r>
    <n v="77.903599999999997"/>
    <n v="85.138999999999996"/>
    <n v="2.4765899999999998"/>
    <n v="0.01"/>
    <n v="0.02"/>
    <n v="2.8048999999999999"/>
    <n v="3.1073"/>
    <n v="0"/>
    <n v="0.58752700000000002"/>
    <n v="5.3222399999999999"/>
    <n v="148022000"/>
    <n v="0"/>
    <n v="0"/>
    <n v="0"/>
    <n v="0"/>
    <n v="4193250"/>
    <n v="-89102.5"/>
    <n v="408539"/>
    <n v="99.136899999999997"/>
    <n v="98.274000000000001"/>
    <n v="2.60419"/>
    <n v="0"/>
    <n v="0"/>
    <n v="2.19123"/>
    <n v="1.88883"/>
    <n v="0"/>
    <n v="1.41919"/>
    <n v="2.9635199999999999"/>
    <n v="672552000"/>
    <n v="0"/>
    <n v="0"/>
    <n v="0"/>
    <n v="0"/>
    <n v="5669220"/>
    <n v="941673"/>
    <n v="0"/>
    <n v="31"/>
    <x v="25"/>
    <n v="3.6292219605801556E-9"/>
    <n v="-4.6427559599739359E-10"/>
  </r>
  <r>
    <n v="77.305800000000005"/>
    <n v="85.138999999999996"/>
    <n v="2.3480099999999999"/>
    <n v="0.01"/>
    <n v="0.02"/>
    <n v="2.8051200000000001"/>
    <n v="3.1075200000000001"/>
    <n v="0"/>
    <n v="0.52563700000000002"/>
    <n v="5.3222399999999999"/>
    <n v="147933000"/>
    <n v="0"/>
    <n v="0"/>
    <n v="0"/>
    <n v="0"/>
    <n v="4193580"/>
    <n v="-89079.5"/>
    <n v="408539"/>
    <n v="98.928200000000004"/>
    <n v="98.274000000000001"/>
    <n v="2.5337499999999999"/>
    <n v="0"/>
    <n v="0"/>
    <n v="2.19136"/>
    <n v="1.88896"/>
    <n v="0"/>
    <n v="1.6929399999999999"/>
    <n v="2.9635199999999999"/>
    <n v="673493000"/>
    <n v="0"/>
    <n v="0"/>
    <n v="0"/>
    <n v="0"/>
    <n v="5669580"/>
    <n v="941685"/>
    <n v="0"/>
    <n v="32"/>
    <x v="25"/>
    <n v="3.6290377619636735E-9"/>
    <n v="-4.6411922747342482E-10"/>
  </r>
  <r>
    <n v="76.578100000000006"/>
    <n v="85.138999999999996"/>
    <n v="2.1994899999999999"/>
    <n v="0.01"/>
    <n v="0.02"/>
    <n v="2.8053400000000002"/>
    <n v="3.1077400000000002"/>
    <n v="0"/>
    <n v="0.52567900000000001"/>
    <n v="5.3222399999999999"/>
    <n v="147844000"/>
    <n v="0"/>
    <n v="0"/>
    <n v="0"/>
    <n v="0"/>
    <n v="4193920"/>
    <n v="-89056.4"/>
    <n v="408539"/>
    <n v="98.546700000000001"/>
    <n v="98.274000000000001"/>
    <n v="2.3718599999999999"/>
    <n v="0"/>
    <n v="0"/>
    <n v="2.1915"/>
    <n v="1.8891"/>
    <n v="0"/>
    <n v="1.6930499999999999"/>
    <n v="2.9635199999999999"/>
    <n v="674435000"/>
    <n v="0"/>
    <n v="0"/>
    <n v="0"/>
    <n v="0"/>
    <n v="5669930"/>
    <n v="941696"/>
    <n v="0"/>
    <n v="33"/>
    <x v="25"/>
    <n v="3.6288561333787711E-9"/>
    <n v="-4.6396125630770045E-10"/>
  </r>
  <r>
    <n v="75.7376"/>
    <n v="85.138999999999996"/>
    <n v="2.0694599999999999"/>
    <n v="0.01"/>
    <n v="0.02"/>
    <n v="2.8055699999999999"/>
    <n v="3.1079699999999999"/>
    <n v="0"/>
    <n v="0.52572200000000002"/>
    <n v="5.3222399999999999"/>
    <n v="147755000"/>
    <n v="0"/>
    <n v="0"/>
    <n v="0"/>
    <n v="0"/>
    <n v="4194250"/>
    <n v="-89033.3"/>
    <n v="408539"/>
    <n v="97.991299999999995"/>
    <n v="98.274000000000001"/>
    <n v="2.2330800000000002"/>
    <n v="0"/>
    <n v="0"/>
    <n v="2.19163"/>
    <n v="1.88923"/>
    <n v="0"/>
    <n v="1.6931499999999999"/>
    <n v="2.9635199999999999"/>
    <n v="675377000"/>
    <n v="0"/>
    <n v="0"/>
    <n v="0"/>
    <n v="0"/>
    <n v="5670280"/>
    <n v="941708"/>
    <n v="0"/>
    <n v="34"/>
    <x v="25"/>
    <n v="3.6286783805106746E-9"/>
    <n v="-4.6380441656076229E-10"/>
  </r>
  <r>
    <n v="74.519599999999997"/>
    <n v="85.138999999999996"/>
    <n v="1.7529600000000001"/>
    <n v="0.01"/>
    <n v="0.02"/>
    <n v="2.8783300000000001"/>
    <n v="3.1807300000000001"/>
    <n v="0"/>
    <n v="0.52576400000000001"/>
    <n v="5.3222399999999999"/>
    <n v="147673000"/>
    <n v="0"/>
    <n v="0"/>
    <n v="0"/>
    <n v="0"/>
    <n v="4303030"/>
    <n v="-81553.100000000006"/>
    <n v="408539"/>
    <n v="97.265699999999995"/>
    <n v="98.274000000000001"/>
    <n v="1.86625"/>
    <n v="0"/>
    <n v="0"/>
    <n v="2.23794"/>
    <n v="1.93554"/>
    <n v="0"/>
    <n v="1.69326"/>
    <n v="2.9635199999999999"/>
    <n v="676322000"/>
    <n v="0"/>
    <n v="0"/>
    <n v="0"/>
    <n v="0"/>
    <n v="5790080"/>
    <n v="945613"/>
    <n v="0"/>
    <n v="35"/>
    <x v="25"/>
    <n v="3.5683347735637201E-9"/>
    <n v="-4.1409770403398054E-10"/>
  </r>
  <r>
    <n v="73.202100000000002"/>
    <n v="85.138999999999996"/>
    <n v="1.6136600000000001"/>
    <n v="0.01"/>
    <n v="0.02"/>
    <n v="2.8785599999999998"/>
    <n v="3.1809599999999998"/>
    <n v="0"/>
    <n v="0.53939899999999996"/>
    <n v="5.3222399999999999"/>
    <n v="147592000"/>
    <n v="0"/>
    <n v="0"/>
    <n v="0"/>
    <n v="0"/>
    <n v="4303380"/>
    <n v="-81529.5"/>
    <n v="408539"/>
    <n v="96.362200000000001"/>
    <n v="98.274000000000001"/>
    <n v="1.7674700000000001"/>
    <n v="0"/>
    <n v="0"/>
    <n v="2.2380800000000001"/>
    <n v="1.9356800000000001"/>
    <n v="0"/>
    <n v="1.7290300000000001"/>
    <n v="2.9635199999999999"/>
    <n v="677268000"/>
    <n v="0"/>
    <n v="0"/>
    <n v="0"/>
    <n v="0"/>
    <n v="5790440"/>
    <n v="945624"/>
    <n v="0"/>
    <n v="36"/>
    <x v="25"/>
    <n v="3.5681544317133268E-9"/>
    <n v="-4.1394420220049933E-10"/>
  </r>
  <r>
    <n v="71.759"/>
    <n v="85.138999999999996"/>
    <n v="1.4689700000000001"/>
    <n v="0.01"/>
    <n v="0.02"/>
    <n v="2.87879"/>
    <n v="3.18119"/>
    <n v="0"/>
    <n v="0.53944199999999998"/>
    <n v="5.3222399999999999"/>
    <n v="147510000"/>
    <n v="0"/>
    <n v="0"/>
    <n v="0"/>
    <n v="0"/>
    <n v="4303720"/>
    <n v="-81505.899999999994"/>
    <n v="408539"/>
    <n v="95.795100000000005"/>
    <n v="98.274000000000001"/>
    <n v="1.5543499999999999"/>
    <n v="0"/>
    <n v="0"/>
    <n v="2.2382200000000001"/>
    <n v="1.9358200000000001"/>
    <n v="0"/>
    <n v="1.7291399999999999"/>
    <n v="2.9635199999999999"/>
    <n v="678214000"/>
    <n v="0"/>
    <n v="0"/>
    <n v="0"/>
    <n v="0"/>
    <n v="5790800"/>
    <n v="945636"/>
    <n v="0"/>
    <n v="37"/>
    <x v="25"/>
    <n v="3.5679778853843837E-9"/>
    <n v="-4.137916868062584E-10"/>
  </r>
  <r>
    <n v="70.514399999999995"/>
    <n v="85.138999999999996"/>
    <n v="1.65073"/>
    <n v="0.01"/>
    <n v="0.02"/>
    <n v="2.8790200000000001"/>
    <n v="3.1814200000000001"/>
    <n v="0"/>
    <n v="0.53948499999999999"/>
    <n v="5.3222399999999999"/>
    <n v="147429000"/>
    <n v="0"/>
    <n v="0"/>
    <n v="0"/>
    <n v="0"/>
    <n v="4304060"/>
    <n v="-81482.3"/>
    <n v="408539"/>
    <n v="94.978999999999999"/>
    <n v="98.274000000000001"/>
    <n v="2.0701299999999998"/>
    <n v="0"/>
    <n v="0"/>
    <n v="2.2383600000000001"/>
    <n v="1.9359599999999999"/>
    <n v="0"/>
    <n v="1.72925"/>
    <n v="2.9635199999999999"/>
    <n v="679159000"/>
    <n v="0"/>
    <n v="0"/>
    <n v="0"/>
    <n v="0"/>
    <n v="5791170"/>
    <n v="945648"/>
    <n v="0"/>
    <n v="38"/>
    <x v="25"/>
    <n v="3.5677952002441065E-9"/>
    <n v="-4.1363919550798E-10"/>
  </r>
  <r>
    <n v="68.874700000000004"/>
    <n v="85.138999999999996"/>
    <n v="1.40689"/>
    <n v="0.01"/>
    <n v="0.02"/>
    <n v="3.0917400000000002"/>
    <n v="3.3941400000000002"/>
    <n v="0"/>
    <n v="0.53952800000000001"/>
    <n v="5.3222399999999999"/>
    <n v="147369000"/>
    <n v="0"/>
    <n v="0"/>
    <n v="0"/>
    <n v="0"/>
    <n v="4622070"/>
    <n v="-59614.5"/>
    <n v="408539"/>
    <n v="94.0976"/>
    <n v="98.274000000000001"/>
    <n v="1.57961"/>
    <n v="0"/>
    <n v="0"/>
    <n v="2.4051900000000002"/>
    <n v="2.1027900000000002"/>
    <n v="0"/>
    <n v="1.72936"/>
    <n v="2.9635199999999999"/>
    <n v="680119000"/>
    <n v="0"/>
    <n v="0"/>
    <n v="0"/>
    <n v="0"/>
    <n v="6222790"/>
    <n v="959717"/>
    <n v="0"/>
    <n v="39"/>
    <x v="25"/>
    <n v="3.3697273668945073E-9"/>
    <n v="-2.8180721610381161E-10"/>
  </r>
  <r>
    <n v="67.293599999999998"/>
    <n v="85.138999999999996"/>
    <n v="1.46753"/>
    <n v="0.01"/>
    <n v="0.02"/>
    <n v="3.09198"/>
    <n v="3.39438"/>
    <n v="0"/>
    <n v="0.57939200000000002"/>
    <n v="5.3222399999999999"/>
    <n v="147310000"/>
    <n v="0"/>
    <n v="0"/>
    <n v="0"/>
    <n v="0"/>
    <n v="4622440"/>
    <n v="-59589.3"/>
    <n v="408539"/>
    <n v="93.051100000000005"/>
    <n v="98.274000000000001"/>
    <n v="1.6220600000000001"/>
    <n v="0"/>
    <n v="0"/>
    <n v="2.4053399999999998"/>
    <n v="2.1029399999999998"/>
    <n v="0"/>
    <n v="1.85825"/>
    <n v="2.9635199999999999"/>
    <n v="681079000"/>
    <n v="0"/>
    <n v="0"/>
    <n v="0"/>
    <n v="0"/>
    <n v="6223190"/>
    <n v="959730"/>
    <n v="0"/>
    <n v="40"/>
    <x v="25"/>
    <n v="3.3695564174982169E-9"/>
    <n v="-2.8166554417104827E-10"/>
  </r>
  <r>
    <n v="65.4452"/>
    <n v="85.138999999999996"/>
    <n v="1.19641"/>
    <n v="0.01"/>
    <n v="0.02"/>
    <n v="3.0922299999999998"/>
    <n v="3.3946299999999998"/>
    <n v="0"/>
    <n v="0.57943800000000001"/>
    <n v="5.3222399999999999"/>
    <n v="147250000"/>
    <n v="0"/>
    <n v="0"/>
    <n v="0"/>
    <n v="0"/>
    <n v="4622800"/>
    <n v="-59564.1"/>
    <n v="408539"/>
    <n v="92.394300000000001"/>
    <n v="98.274000000000001"/>
    <n v="1.22909"/>
    <n v="0"/>
    <n v="0"/>
    <n v="2.4054899999999999"/>
    <n v="2.1030899999999999"/>
    <n v="0"/>
    <n v="1.8583700000000001"/>
    <n v="2.9635199999999999"/>
    <n v="682038000"/>
    <n v="0"/>
    <n v="0"/>
    <n v="0"/>
    <n v="0"/>
    <n v="6223580"/>
    <n v="959743"/>
    <n v="0"/>
    <n v="41"/>
    <x v="25"/>
    <n v="3.3693909039787362E-9"/>
    <n v="-2.815245039065277E-10"/>
  </r>
  <r>
    <n v="63.603700000000003"/>
    <n v="85.138999999999996"/>
    <n v="1.4135899999999999"/>
    <n v="0"/>
    <n v="0.02"/>
    <n v="3.3948700000000001"/>
    <n v="3.3948700000000001"/>
    <n v="0"/>
    <n v="0.579484"/>
    <n v="5.3222399999999999"/>
    <n v="147599000"/>
    <n v="0"/>
    <n v="0"/>
    <n v="0"/>
    <n v="0"/>
    <n v="5075250"/>
    <n v="349000"/>
    <n v="0"/>
    <n v="91.826300000000003"/>
    <n v="98.274000000000001"/>
    <n v="1.98224"/>
    <n v="0"/>
    <n v="0"/>
    <n v="2.10324"/>
    <n v="2.10324"/>
    <n v="0"/>
    <n v="1.8584799999999999"/>
    <n v="2.9635199999999999"/>
    <n v="682216000"/>
    <n v="0"/>
    <n v="0"/>
    <n v="0"/>
    <n v="0"/>
    <n v="5441590"/>
    <n v="177375"/>
    <n v="0"/>
    <n v="42"/>
    <x v="25"/>
    <n v="7.1220220569039842E-10"/>
    <n v="1.502466195538982E-9"/>
  </r>
  <r>
    <n v="61.595399999999998"/>
    <n v="85.138999999999996"/>
    <n v="1.2412700000000001"/>
    <n v="0"/>
    <n v="0.02"/>
    <n v="3.3951199999999999"/>
    <n v="3.3951199999999999"/>
    <n v="0"/>
    <n v="0.63619899999999996"/>
    <n v="5.3222399999999999"/>
    <n v="147948000"/>
    <n v="0"/>
    <n v="0"/>
    <n v="0"/>
    <n v="0"/>
    <n v="5075620"/>
    <n v="349025"/>
    <n v="0"/>
    <n v="91.469899999999996"/>
    <n v="98.274000000000001"/>
    <n v="1.8178300000000001"/>
    <n v="0"/>
    <n v="0"/>
    <n v="2.1033900000000001"/>
    <n v="2.1033900000000001"/>
    <n v="0"/>
    <n v="1.62497"/>
    <n v="2.9635199999999999"/>
    <n v="682393000"/>
    <n v="0"/>
    <n v="0"/>
    <n v="0"/>
    <n v="0"/>
    <n v="5441980"/>
    <n v="177388"/>
    <n v="0"/>
    <n v="43"/>
    <x v="25"/>
    <n v="7.1220335996017441E-10"/>
    <n v="1.5024642881847433E-9"/>
  </r>
  <r>
    <n v="59.935899999999997"/>
    <n v="85.138999999999996"/>
    <n v="1.49329"/>
    <n v="0"/>
    <n v="0.02"/>
    <n v="3.2917700000000001"/>
    <n v="3.2917700000000001"/>
    <n v="0"/>
    <n v="0.63624499999999995"/>
    <n v="5.3222399999999999"/>
    <n v="148287000"/>
    <n v="0"/>
    <n v="0"/>
    <n v="0"/>
    <n v="0"/>
    <n v="4921110"/>
    <n v="338400"/>
    <n v="0"/>
    <n v="91.250200000000007"/>
    <n v="98.274000000000001"/>
    <n v="2.2405900000000001"/>
    <n v="0"/>
    <n v="0"/>
    <n v="2.0023399999999998"/>
    <n v="2.0023399999999998"/>
    <n v="0"/>
    <n v="1.6250800000000001"/>
    <n v="2.9635199999999999"/>
    <n v="682562000"/>
    <n v="0"/>
    <n v="0"/>
    <n v="0"/>
    <n v="0"/>
    <n v="5180520"/>
    <n v="168865"/>
    <n v="0"/>
    <n v="44"/>
    <x v="25"/>
    <n v="7.1220170992072709E-10"/>
    <n v="1.5024637548051957E-9"/>
  </r>
  <r>
    <n v="58.551200000000001"/>
    <n v="85.138999999999996"/>
    <n v="1.77661"/>
    <n v="0"/>
    <n v="0.02"/>
    <n v="3.2920099999999999"/>
    <n v="3.2920099999999999"/>
    <n v="0"/>
    <n v="0.61687700000000001"/>
    <n v="5.3222399999999999"/>
    <n v="148625000"/>
    <n v="0"/>
    <n v="0"/>
    <n v="0"/>
    <n v="0"/>
    <n v="4921460"/>
    <n v="338425"/>
    <n v="0"/>
    <n v="91.086500000000001"/>
    <n v="98.274000000000001"/>
    <n v="2.17964"/>
    <n v="0"/>
    <n v="0"/>
    <n v="2.0024799999999998"/>
    <n v="2.0024799999999998"/>
    <n v="0"/>
    <n v="1.5469999999999999"/>
    <n v="2.9635199999999999"/>
    <n v="682731000"/>
    <n v="0"/>
    <n v="0"/>
    <n v="0"/>
    <n v="0"/>
    <n v="5180890"/>
    <n v="168877"/>
    <n v="0"/>
    <n v="45"/>
    <x v="25"/>
    <n v="7.1220145445904047E-10"/>
    <n v="1.5024678936527828E-9"/>
  </r>
  <r>
    <n v="58.080599999999997"/>
    <n v="85.138999999999996"/>
    <n v="2.7654899999999998"/>
    <n v="0"/>
    <n v="0.02"/>
    <n v="3.2922400000000001"/>
    <n v="3.2922400000000001"/>
    <n v="0"/>
    <n v="0.61692199999999997"/>
    <n v="5.3222399999999999"/>
    <n v="148963000"/>
    <n v="0"/>
    <n v="0"/>
    <n v="0"/>
    <n v="0"/>
    <n v="4921820"/>
    <n v="338449"/>
    <n v="0"/>
    <n v="91.395099999999999"/>
    <n v="98.274000000000001"/>
    <n v="3.8108"/>
    <n v="0"/>
    <n v="0"/>
    <n v="2.0026199999999998"/>
    <n v="2.0026199999999998"/>
    <n v="0"/>
    <n v="1.5471200000000001"/>
    <n v="2.9635199999999999"/>
    <n v="682900000"/>
    <n v="0"/>
    <n v="0"/>
    <n v="0"/>
    <n v="0"/>
    <n v="5181270"/>
    <n v="168889"/>
    <n v="0"/>
    <n v="46"/>
    <x v="25"/>
    <n v="7.1219982446505809E-10"/>
    <n v="1.5024645399717933E-9"/>
  </r>
  <r>
    <n v="57.187399999999997"/>
    <n v="85.138999999999996"/>
    <n v="2.4339200000000001"/>
    <n v="0"/>
    <n v="0.02"/>
    <n v="3.2924799999999999"/>
    <n v="3.2924799999999999"/>
    <n v="0"/>
    <n v="0.61696600000000001"/>
    <n v="5.3222399999999999"/>
    <n v="149302000"/>
    <n v="0"/>
    <n v="0"/>
    <n v="0"/>
    <n v="0"/>
    <n v="4922180"/>
    <n v="338473"/>
    <n v="0"/>
    <n v="91.460999999999999"/>
    <n v="98.274000000000001"/>
    <n v="2.9726400000000002"/>
    <n v="0"/>
    <n v="0"/>
    <n v="2.0027699999999999"/>
    <n v="2.0027699999999999"/>
    <n v="0"/>
    <n v="1.5472300000000001"/>
    <n v="2.9635199999999999"/>
    <n v="683069000"/>
    <n v="0"/>
    <n v="0"/>
    <n v="0"/>
    <n v="0"/>
    <n v="5181640"/>
    <n v="168902"/>
    <n v="0"/>
    <n v="47"/>
    <x v="25"/>
    <n v="7.1220378584373414E-10"/>
    <n v="1.5024611867813688E-9"/>
  </r>
  <r>
    <n v="57.123600000000003"/>
    <n v="85.138999999999996"/>
    <n v="3.2203200000000001"/>
    <n v="0"/>
    <n v="0.02"/>
    <n v="3.2076600000000002"/>
    <n v="3.2076600000000002"/>
    <n v="0"/>
    <n v="0.61701099999999998"/>
    <n v="5.3222399999999999"/>
    <n v="149632000"/>
    <n v="0"/>
    <n v="0"/>
    <n v="0"/>
    <n v="0"/>
    <n v="4795370"/>
    <n v="329754"/>
    <n v="0"/>
    <n v="91.618099999999998"/>
    <n v="98.274000000000001"/>
    <n v="3.07572"/>
    <n v="0"/>
    <n v="0"/>
    <n v="1.91076"/>
    <n v="1.91076"/>
    <n v="0"/>
    <n v="1.5473399999999999"/>
    <n v="2.9635199999999999"/>
    <n v="683230000"/>
    <n v="0"/>
    <n v="0"/>
    <n v="0"/>
    <n v="0"/>
    <n v="4943590"/>
    <n v="161142"/>
    <n v="0"/>
    <n v="48"/>
    <x v="25"/>
    <n v="7.1220173422672019E-10"/>
    <n v="1.5024660685068461E-9"/>
  </r>
  <r>
    <n v="57.063099999999999"/>
    <n v="85.138999999999996"/>
    <n v="3.2281499999999999"/>
    <n v="0"/>
    <n v="0.02"/>
    <n v="3.2078899999999999"/>
    <n v="3.2078899999999999"/>
    <n v="0"/>
    <n v="0.60111499999999995"/>
    <n v="5.3222399999999999"/>
    <n v="149961000"/>
    <n v="0"/>
    <n v="0"/>
    <n v="0"/>
    <n v="0"/>
    <n v="4795720"/>
    <n v="329777"/>
    <n v="0"/>
    <n v="91.783100000000005"/>
    <n v="98.274000000000001"/>
    <n v="3.2240700000000002"/>
    <n v="0"/>
    <n v="0"/>
    <n v="1.9109"/>
    <n v="1.9109"/>
    <n v="0"/>
    <n v="1.4762500000000001"/>
    <n v="2.9635199999999999"/>
    <n v="683391000"/>
    <n v="0"/>
    <n v="0"/>
    <n v="0"/>
    <n v="0"/>
    <n v="4943950"/>
    <n v="161154"/>
    <n v="0"/>
    <n v="49"/>
    <x v="25"/>
    <n v="7.1220290707220851E-10"/>
    <n v="1.5024612037199296E-9"/>
  </r>
  <r>
    <n v="57.278799999999997"/>
    <n v="85.138999999999996"/>
    <n v="3.51362"/>
    <n v="0"/>
    <n v="0.02"/>
    <n v="3.2081200000000001"/>
    <n v="3.2081200000000001"/>
    <n v="0"/>
    <n v="0.601159"/>
    <n v="5.3222399999999999"/>
    <n v="150291000"/>
    <n v="0"/>
    <n v="0"/>
    <n v="0"/>
    <n v="0"/>
    <n v="4796060"/>
    <n v="329801"/>
    <n v="0"/>
    <n v="92.644499999999994"/>
    <n v="98.274000000000001"/>
    <n v="4.5401600000000002"/>
    <n v="0"/>
    <n v="0"/>
    <n v="1.9110400000000001"/>
    <n v="1.9110400000000001"/>
    <n v="0"/>
    <n v="1.4763599999999999"/>
    <n v="2.9635199999999999"/>
    <n v="683552000"/>
    <n v="0"/>
    <n v="0"/>
    <n v="0"/>
    <n v="0"/>
    <n v="4944310"/>
    <n v="161165"/>
    <n v="0"/>
    <n v="50"/>
    <x v="25"/>
    <n v="7.1219966067538999E-10"/>
    <n v="1.5024640280003349E-9"/>
  </r>
  <r>
    <n v="57.067"/>
    <n v="85.138999999999996"/>
    <n v="3.1088399999999998"/>
    <n v="0"/>
    <n v="0.02"/>
    <n v="3.2083499999999998"/>
    <n v="3.2083499999999998"/>
    <n v="0"/>
    <n v="0.60120200000000001"/>
    <n v="5.3222399999999999"/>
    <n v="150621000"/>
    <n v="0"/>
    <n v="0"/>
    <n v="0"/>
    <n v="0"/>
    <n v="4796410"/>
    <n v="329825"/>
    <n v="0"/>
    <n v="93.467100000000002"/>
    <n v="98.274000000000001"/>
    <n v="4.3407299999999998"/>
    <n v="0"/>
    <n v="0"/>
    <n v="1.91117"/>
    <n v="1.91117"/>
    <n v="0"/>
    <n v="1.4764699999999999"/>
    <n v="2.9635199999999999"/>
    <n v="683713000"/>
    <n v="0"/>
    <n v="0"/>
    <n v="0"/>
    <n v="0"/>
    <n v="4944660"/>
    <n v="161177"/>
    <n v="0"/>
    <n v="51"/>
    <x v="25"/>
    <n v="7.1220227384445255E-10"/>
    <n v="1.5024637193982234E-9"/>
  </r>
  <r>
    <n v="56.872"/>
    <n v="85.138999999999996"/>
    <n v="3.0862599999999998"/>
    <n v="0"/>
    <n v="0.02"/>
    <n v="2.9669400000000001"/>
    <n v="2.9669400000000001"/>
    <n v="0"/>
    <n v="0.60124599999999995"/>
    <n v="5.3222399999999999"/>
    <n v="150926000"/>
    <n v="0"/>
    <n v="0"/>
    <n v="0"/>
    <n v="0"/>
    <n v="4435500"/>
    <n v="305007"/>
    <n v="0"/>
    <n v="94.3078"/>
    <n v="98.274000000000001"/>
    <n v="4.5531699999999997"/>
    <n v="0"/>
    <n v="0"/>
    <n v="1.71933"/>
    <n v="1.71933"/>
    <n v="0"/>
    <n v="1.4765699999999999"/>
    <n v="2.9635199999999999"/>
    <n v="683858000"/>
    <n v="0"/>
    <n v="0"/>
    <n v="0"/>
    <n v="0"/>
    <n v="4448310"/>
    <n v="144998"/>
    <n v="0"/>
    <n v="52"/>
    <x v="25"/>
    <n v="7.1220282000192147E-10"/>
    <n v="1.5024635523743693E-9"/>
  </r>
  <r>
    <n v="56.573099999999997"/>
    <n v="85.138999999999996"/>
    <n v="2.9521799999999998"/>
    <n v="0"/>
    <n v="0.02"/>
    <n v="2.9671599999999998"/>
    <n v="2.9671599999999998"/>
    <n v="0"/>
    <n v="0.55600499999999997"/>
    <n v="5.3222399999999999"/>
    <n v="151231000"/>
    <n v="0"/>
    <n v="0"/>
    <n v="0"/>
    <n v="0"/>
    <n v="4435820"/>
    <n v="305029"/>
    <n v="0"/>
    <n v="95.0642"/>
    <n v="98.274000000000001"/>
    <n v="4.9213300000000002"/>
    <n v="0"/>
    <n v="0"/>
    <n v="1.7194499999999999"/>
    <n v="1.7194499999999999"/>
    <n v="0"/>
    <n v="1.3283499999999999"/>
    <n v="2.9635199999999999"/>
    <n v="684003000"/>
    <n v="0"/>
    <n v="0"/>
    <n v="0"/>
    <n v="0"/>
    <n v="4448630"/>
    <n v="145008"/>
    <n v="0"/>
    <n v="1"/>
    <x v="26"/>
    <n v="3.5170607736490871E-10"/>
    <n v="7.4196157201001761E-10"/>
  </r>
  <r>
    <n v="58.068600000000004"/>
    <n v="85.138999999999996"/>
    <n v="4.7008400000000004"/>
    <n v="0"/>
    <n v="0.02"/>
    <n v="2.9673699999999998"/>
    <n v="2.9673699999999998"/>
    <n v="0"/>
    <n v="0.55604500000000001"/>
    <n v="5.3222399999999999"/>
    <n v="151536000"/>
    <n v="0"/>
    <n v="0"/>
    <n v="0"/>
    <n v="0"/>
    <n v="4436140"/>
    <n v="305051"/>
    <n v="0"/>
    <n v="96.235200000000006"/>
    <n v="98.274000000000001"/>
    <n v="6.6618599999999999"/>
    <n v="0"/>
    <n v="0"/>
    <n v="1.7195800000000001"/>
    <n v="1.7195800000000001"/>
    <n v="0"/>
    <n v="1.3284499999999999"/>
    <n v="2.9635199999999999"/>
    <n v="684148000"/>
    <n v="0"/>
    <n v="0"/>
    <n v="0"/>
    <n v="0"/>
    <n v="4448950"/>
    <n v="145019"/>
    <n v="0"/>
    <n v="2"/>
    <x v="26"/>
    <n v="3.5170745793209027E-10"/>
    <n v="7.4196156036367545E-10"/>
  </r>
  <r>
    <n v="60.049300000000002"/>
    <n v="85.138999999999996"/>
    <n v="5.2675900000000002"/>
    <n v="0"/>
    <n v="0.02"/>
    <n v="2.96759"/>
    <n v="2.96759"/>
    <n v="0"/>
    <n v="0.55608500000000005"/>
    <n v="5.3222399999999999"/>
    <n v="151841000"/>
    <n v="0"/>
    <n v="0"/>
    <n v="0"/>
    <n v="0"/>
    <n v="4436460"/>
    <n v="305074"/>
    <n v="0"/>
    <n v="97.305899999999994"/>
    <n v="98.274000000000001"/>
    <n v="6.3839800000000002"/>
    <n v="0"/>
    <n v="0"/>
    <n v="1.7197"/>
    <n v="1.7197"/>
    <n v="0"/>
    <n v="1.3285400000000001"/>
    <n v="2.9635199999999999"/>
    <n v="684293000"/>
    <n v="0"/>
    <n v="0"/>
    <n v="0"/>
    <n v="0"/>
    <n v="4449270"/>
    <n v="145029"/>
    <n v="0"/>
    <n v="3"/>
    <x v="26"/>
    <n v="3.5170641322423055E-10"/>
    <n v="7.4196398079772454E-10"/>
  </r>
  <r>
    <n v="64.305599999999998"/>
    <n v="85.138999999999996"/>
    <n v="7.7166499999999996"/>
    <n v="0"/>
    <n v="0.02"/>
    <n v="2.9678"/>
    <n v="2.9678"/>
    <n v="0"/>
    <n v="0.55612499999999998"/>
    <n v="5.3222399999999999"/>
    <n v="152146000"/>
    <n v="0"/>
    <n v="0"/>
    <n v="0"/>
    <n v="0"/>
    <n v="4436780"/>
    <n v="305096"/>
    <n v="0"/>
    <n v="99.302199999999999"/>
    <n v="98.274000000000001"/>
    <n v="8.3633900000000008"/>
    <n v="0"/>
    <n v="0"/>
    <n v="1.7198199999999999"/>
    <n v="1.7198199999999999"/>
    <n v="0"/>
    <n v="1.32864"/>
    <n v="2.9635199999999999"/>
    <n v="684438000"/>
    <n v="0"/>
    <n v="0"/>
    <n v="0"/>
    <n v="0"/>
    <n v="4449590"/>
    <n v="145040"/>
    <n v="0"/>
    <n v="4"/>
    <x v="26"/>
    <n v="3.5170779356868644E-10"/>
    <n v="7.4196396897932995E-10"/>
  </r>
  <r>
    <n v="71.877200000000002"/>
    <n v="85.138999999999996"/>
    <n v="11.4869"/>
    <n v="0"/>
    <n v="0.02"/>
    <n v="3.0609899999999999"/>
    <n v="3.0609899999999999"/>
    <n v="0"/>
    <n v="0.55616600000000005"/>
    <n v="5.3222399999999999"/>
    <n v="152461000"/>
    <n v="0"/>
    <n v="0"/>
    <n v="0"/>
    <n v="0"/>
    <n v="4576100"/>
    <n v="314675"/>
    <n v="0"/>
    <n v="99.302199999999999"/>
    <n v="98.274000000000001"/>
    <n v="13.9146"/>
    <n v="0"/>
    <n v="0"/>
    <n v="1.77556"/>
    <n v="1.77556"/>
    <n v="0"/>
    <n v="1.32874"/>
    <n v="2.9635199999999999"/>
    <n v="684588000"/>
    <n v="0"/>
    <n v="0"/>
    <n v="0"/>
    <n v="0"/>
    <n v="4593790"/>
    <n v="149740"/>
    <n v="0"/>
    <n v="5"/>
    <x v="26"/>
    <n v="3.5170689883710805E-10"/>
    <n v="7.4196074895676045E-10"/>
  </r>
  <r>
    <n v="78.609399999999994"/>
    <n v="85.138999999999996"/>
    <n v="10.727499999999999"/>
    <n v="0"/>
    <n v="0.02"/>
    <n v="3.0611899999999999"/>
    <n v="3.0611899999999999"/>
    <n v="0"/>
    <n v="0.57362899999999994"/>
    <n v="5.3222399999999999"/>
    <n v="152776000"/>
    <n v="0"/>
    <n v="0"/>
    <n v="0"/>
    <n v="0"/>
    <n v="4576400"/>
    <n v="314696"/>
    <n v="0"/>
    <n v="99.302199999999999"/>
    <n v="98.274000000000001"/>
    <n v="13.926299999999999"/>
    <n v="0"/>
    <n v="0"/>
    <n v="1.7756700000000001"/>
    <n v="1.7756700000000001"/>
    <n v="0"/>
    <n v="1.3717900000000001"/>
    <n v="2.9635199999999999"/>
    <n v="684738000"/>
    <n v="0"/>
    <n v="0"/>
    <n v="0"/>
    <n v="0"/>
    <n v="4594090"/>
    <n v="149750"/>
    <n v="0"/>
    <n v="6"/>
    <x v="26"/>
    <n v="3.5170741822822752E-10"/>
    <n v="7.419616225678153E-10"/>
  </r>
  <r>
    <n v="81.642499999999998"/>
    <n v="85.138999999999996"/>
    <n v="6.8547099999999999"/>
    <n v="0"/>
    <n v="0.02"/>
    <n v="3.0613899999999998"/>
    <n v="3.0613899999999998"/>
    <n v="0"/>
    <n v="0.57366700000000004"/>
    <n v="5.3222399999999999"/>
    <n v="153090000"/>
    <n v="0"/>
    <n v="0"/>
    <n v="0"/>
    <n v="0"/>
    <n v="4576700"/>
    <n v="314717"/>
    <n v="0"/>
    <n v="99.302199999999999"/>
    <n v="98.274000000000001"/>
    <n v="7.7263299999999999"/>
    <n v="0"/>
    <n v="0"/>
    <n v="1.77579"/>
    <n v="1.77579"/>
    <n v="0"/>
    <n v="1.3718900000000001"/>
    <n v="2.9635199999999999"/>
    <n v="684888000"/>
    <n v="0"/>
    <n v="0"/>
    <n v="0"/>
    <n v="0"/>
    <n v="4594390"/>
    <n v="149760"/>
    <n v="0"/>
    <n v="7"/>
    <x v="26"/>
    <n v="3.5170793755151757E-10"/>
    <n v="7.4196249606434057E-10"/>
  </r>
  <r>
    <n v="83.489900000000006"/>
    <n v="85.138999999999996"/>
    <n v="5.5467700000000004"/>
    <n v="0"/>
    <n v="0.02"/>
    <n v="3.0615899999999998"/>
    <n v="3.0615899999999998"/>
    <n v="0"/>
    <n v="0.57370500000000002"/>
    <n v="5.3222399999999999"/>
    <n v="153405000"/>
    <n v="0"/>
    <n v="0"/>
    <n v="0"/>
    <n v="0"/>
    <n v="4577000"/>
    <n v="314738"/>
    <n v="0"/>
    <n v="99.302199999999999"/>
    <n v="98.274000000000001"/>
    <n v="5.2377399999999996"/>
    <n v="0"/>
    <n v="0"/>
    <n v="1.7759100000000001"/>
    <n v="1.7759100000000001"/>
    <n v="0"/>
    <n v="1.37198"/>
    <n v="2.9635199999999999"/>
    <n v="685037000"/>
    <n v="0"/>
    <n v="0"/>
    <n v="0"/>
    <n v="0"/>
    <n v="4594700"/>
    <n v="149769"/>
    <n v="0"/>
    <n v="8"/>
    <x v="26"/>
    <n v="3.5170534302274279E-10"/>
    <n v="7.4196336944635924E-10"/>
  </r>
  <r>
    <n v="85.138999999999996"/>
    <n v="85.138999999999996"/>
    <n v="8.1517900000000001"/>
    <n v="0"/>
    <n v="0.02"/>
    <n v="3.3604400000000001"/>
    <n v="3.3604400000000001"/>
    <n v="0"/>
    <n v="0.57374199999999997"/>
    <n v="5.3222399999999999"/>
    <n v="153751000"/>
    <n v="0"/>
    <n v="0"/>
    <n v="0"/>
    <n v="0"/>
    <n v="5023770"/>
    <n v="345459"/>
    <n v="0"/>
    <n v="99.302199999999999"/>
    <n v="98.274000000000001"/>
    <n v="11.9903"/>
    <n v="0"/>
    <n v="0"/>
    <n v="1.98485"/>
    <n v="1.98485"/>
    <n v="0"/>
    <n v="1.3720699999999999"/>
    <n v="2.9635199999999999"/>
    <n v="685205000"/>
    <n v="0"/>
    <n v="0"/>
    <n v="0"/>
    <n v="0"/>
    <n v="5135270"/>
    <n v="167390"/>
    <n v="0"/>
    <n v="9"/>
    <x v="26"/>
    <n v="3.5170652300570719E-10"/>
    <n v="7.419607983080174E-10"/>
  </r>
  <r>
    <n v="85.138999999999996"/>
    <n v="85.138999999999996"/>
    <n v="8.6738700000000009"/>
    <n v="0"/>
    <n v="0.02"/>
    <n v="3.3606600000000002"/>
    <n v="3.3606600000000002"/>
    <n v="0"/>
    <n v="0.62974600000000003"/>
    <n v="5.3222399999999999"/>
    <n v="154096000"/>
    <n v="0"/>
    <n v="0"/>
    <n v="0"/>
    <n v="0"/>
    <n v="5024100"/>
    <n v="345482"/>
    <n v="0"/>
    <n v="99.302199999999999"/>
    <n v="98.274000000000001"/>
    <n v="14.2669"/>
    <n v="0"/>
    <n v="0"/>
    <n v="1.98498"/>
    <n v="1.98498"/>
    <n v="0"/>
    <n v="1.53349"/>
    <n v="2.9635199999999999"/>
    <n v="685372000"/>
    <n v="0"/>
    <n v="0"/>
    <n v="0"/>
    <n v="0"/>
    <n v="5135610"/>
    <n v="167401"/>
    <n v="0"/>
    <n v="10"/>
    <x v="26"/>
    <n v="3.517063492778145E-10"/>
    <n v="7.4196145888298934E-10"/>
  </r>
  <r>
    <n v="85.138999999999996"/>
    <n v="85.138999999999996"/>
    <n v="8.4373799999999992"/>
    <n v="0"/>
    <n v="0.02"/>
    <n v="3.3608799999999999"/>
    <n v="3.3608799999999999"/>
    <n v="0"/>
    <n v="0.62978699999999999"/>
    <n v="5.3222399999999999"/>
    <n v="154442000"/>
    <n v="0"/>
    <n v="0"/>
    <n v="0"/>
    <n v="0"/>
    <n v="5024430"/>
    <n v="345505"/>
    <n v="0"/>
    <n v="99.302199999999999"/>
    <n v="98.274000000000001"/>
    <n v="13.815899999999999"/>
    <n v="0"/>
    <n v="0"/>
    <n v="1.9851099999999999"/>
    <n v="1.9851099999999999"/>
    <n v="0"/>
    <n v="1.53359"/>
    <n v="2.9635199999999999"/>
    <n v="685540000"/>
    <n v="0"/>
    <n v="0"/>
    <n v="0"/>
    <n v="0"/>
    <n v="5135950"/>
    <n v="167412"/>
    <n v="0"/>
    <n v="11"/>
    <x v="26"/>
    <n v="3.5170617557292348E-10"/>
    <n v="7.4196211937118932E-10"/>
  </r>
  <r>
    <n v="85.138999999999996"/>
    <n v="85.138999999999996"/>
    <n v="8.4115199999999994"/>
    <n v="0"/>
    <n v="0.02"/>
    <n v="3.3611"/>
    <n v="3.3611"/>
    <n v="0"/>
    <n v="0.62982899999999997"/>
    <n v="5.3222399999999999"/>
    <n v="154787000"/>
    <n v="0"/>
    <n v="0"/>
    <n v="0"/>
    <n v="0"/>
    <n v="5024760"/>
    <n v="345528"/>
    <n v="0"/>
    <n v="99.302199999999999"/>
    <n v="98.274000000000001"/>
    <n v="10.0656"/>
    <n v="0"/>
    <n v="0"/>
    <n v="1.9852399999999999"/>
    <n v="1.9852399999999999"/>
    <n v="0"/>
    <n v="1.5337000000000001"/>
    <n v="2.9635199999999999"/>
    <n v="685707000"/>
    <n v="0"/>
    <n v="0"/>
    <n v="0"/>
    <n v="0"/>
    <n v="5136290"/>
    <n v="167423"/>
    <n v="0"/>
    <n v="12"/>
    <x v="26"/>
    <n v="3.5170600189102942E-10"/>
    <n v="7.4196277977263449E-10"/>
  </r>
  <r>
    <n v="85.138999999999996"/>
    <n v="85.138999999999996"/>
    <n v="8.2911199999999994"/>
    <n v="0"/>
    <n v="0.02"/>
    <n v="2.9352499999999999"/>
    <n v="2.9352499999999999"/>
    <n v="0"/>
    <n v="0.62987000000000004"/>
    <n v="5.3222399999999999"/>
    <n v="155089000"/>
    <n v="0"/>
    <n v="0"/>
    <n v="0"/>
    <n v="0"/>
    <n v="4388130"/>
    <n v="301750"/>
    <n v="0"/>
    <n v="99.302199999999999"/>
    <n v="98.274000000000001"/>
    <n v="7.3402700000000003"/>
    <n v="0"/>
    <n v="0"/>
    <n v="1.70506"/>
    <n v="1.70506"/>
    <n v="0"/>
    <n v="1.5338000000000001"/>
    <n v="2.9635199999999999"/>
    <n v="685851000"/>
    <n v="0"/>
    <n v="0"/>
    <n v="0"/>
    <n v="0"/>
    <n v="4411380"/>
    <n v="143794"/>
    <n v="0"/>
    <n v="13"/>
    <x v="26"/>
    <n v="3.5170657834171399E-10"/>
    <n v="7.4196255827335489E-10"/>
  </r>
  <r>
    <n v="85.138999999999996"/>
    <n v="85.138999999999996"/>
    <n v="10.3611"/>
    <n v="0"/>
    <n v="0.02"/>
    <n v="2.9354499999999999"/>
    <n v="2.9354499999999999"/>
    <n v="0"/>
    <n v="0.55006600000000005"/>
    <n v="5.3222399999999999"/>
    <n v="155391000"/>
    <n v="0"/>
    <n v="0"/>
    <n v="0"/>
    <n v="0"/>
    <n v="4388420"/>
    <n v="301770"/>
    <n v="0"/>
    <n v="99.302199999999999"/>
    <n v="98.274000000000001"/>
    <n v="10.1587"/>
    <n v="0"/>
    <n v="0"/>
    <n v="1.7051700000000001"/>
    <n v="1.7051700000000001"/>
    <n v="0"/>
    <n v="1.3173299999999999"/>
    <n v="2.9635199999999999"/>
    <n v="685995000"/>
    <n v="0"/>
    <n v="0"/>
    <n v="0"/>
    <n v="0"/>
    <n v="4411670"/>
    <n v="143804"/>
    <n v="0"/>
    <n v="14"/>
    <x v="26"/>
    <n v="3.5170791644984091E-10"/>
    <n v="7.4196270120782775E-10"/>
  </r>
  <r>
    <n v="85.138999999999996"/>
    <n v="85.138999999999996"/>
    <n v="11.588100000000001"/>
    <n v="0"/>
    <n v="0.02"/>
    <n v="2.9356399999999998"/>
    <n v="2.9356399999999998"/>
    <n v="0"/>
    <n v="0.55010300000000001"/>
    <n v="5.3222399999999999"/>
    <n v="155692000"/>
    <n v="0"/>
    <n v="0"/>
    <n v="0"/>
    <n v="0"/>
    <n v="4388710"/>
    <n v="301790"/>
    <n v="0"/>
    <n v="99.302199999999999"/>
    <n v="98.274000000000001"/>
    <n v="12.047800000000001"/>
    <n v="0"/>
    <n v="0"/>
    <n v="1.7052799999999999"/>
    <n v="1.7052799999999999"/>
    <n v="0"/>
    <n v="1.31741"/>
    <n v="2.9635199999999999"/>
    <n v="686138000"/>
    <n v="0"/>
    <n v="0"/>
    <n v="0"/>
    <n v="0"/>
    <n v="4411970"/>
    <n v="143813"/>
    <n v="0"/>
    <n v="15"/>
    <x v="26"/>
    <n v="3.5170601163279645E-10"/>
    <n v="7.4196284412341059E-10"/>
  </r>
  <r>
    <n v="85.138999999999996"/>
    <n v="85.138999999999996"/>
    <n v="9.9813799999999997"/>
    <n v="0"/>
    <n v="0.02"/>
    <n v="2.9358300000000002"/>
    <n v="2.9358300000000002"/>
    <n v="0"/>
    <n v="0.55013900000000004"/>
    <n v="5.3222399999999999"/>
    <n v="155994000"/>
    <n v="0"/>
    <n v="0"/>
    <n v="0"/>
    <n v="0"/>
    <n v="4389000"/>
    <n v="301809"/>
    <n v="0"/>
    <n v="99.302199999999999"/>
    <n v="98.274000000000001"/>
    <n v="9.5264500000000005"/>
    <n v="0"/>
    <n v="0"/>
    <n v="1.70539"/>
    <n v="1.70539"/>
    <n v="0"/>
    <n v="1.3174999999999999"/>
    <n v="2.9635199999999999"/>
    <n v="686282000"/>
    <n v="0"/>
    <n v="0"/>
    <n v="0"/>
    <n v="0"/>
    <n v="4412260"/>
    <n v="143823"/>
    <n v="0"/>
    <n v="16"/>
    <x v="26"/>
    <n v="3.5170734959924118E-10"/>
    <n v="7.4196052864236322E-10"/>
  </r>
  <r>
    <n v="85.138999999999996"/>
    <n v="85.138999999999996"/>
    <n v="9.7109100000000002"/>
    <n v="0"/>
    <n v="0.02"/>
    <n v="2.9360300000000001"/>
    <n v="2.9360300000000001"/>
    <n v="0"/>
    <n v="0.55017499999999997"/>
    <n v="5.3222399999999999"/>
    <n v="156296000"/>
    <n v="0"/>
    <n v="0"/>
    <n v="0"/>
    <n v="0"/>
    <n v="4389290"/>
    <n v="301829"/>
    <n v="0"/>
    <n v="99.302199999999999"/>
    <n v="98.274000000000001"/>
    <n v="9.4483499999999996"/>
    <n v="0"/>
    <n v="0"/>
    <n v="1.7055100000000001"/>
    <n v="1.7055100000000001"/>
    <n v="0"/>
    <n v="1.31759"/>
    <n v="2.9635199999999999"/>
    <n v="686426000"/>
    <n v="0"/>
    <n v="0"/>
    <n v="0"/>
    <n v="0"/>
    <n v="4412550"/>
    <n v="143832"/>
    <n v="0"/>
    <n v="17"/>
    <x v="26"/>
    <n v="3.5170624213255994E-10"/>
    <n v="7.4196067168260249E-10"/>
  </r>
  <r>
    <n v="85.138999999999996"/>
    <n v="85.138999999999996"/>
    <n v="12.1838"/>
    <n v="0"/>
    <n v="0.02"/>
    <n v="3.0434999999999999"/>
    <n v="3.0434999999999999"/>
    <n v="0"/>
    <n v="0.55021200000000003"/>
    <n v="5.3222399999999999"/>
    <n v="156609000"/>
    <n v="0"/>
    <n v="0"/>
    <n v="0"/>
    <n v="0"/>
    <n v="4549960"/>
    <n v="312878"/>
    <n v="0"/>
    <n v="99.302199999999999"/>
    <n v="98.274000000000001"/>
    <n v="12.833"/>
    <n v="0"/>
    <n v="0"/>
    <n v="1.7742199999999999"/>
    <n v="1.7742199999999999"/>
    <n v="0"/>
    <n v="1.3176699999999999"/>
    <n v="2.9635199999999999"/>
    <n v="686576000"/>
    <n v="0"/>
    <n v="0"/>
    <n v="0"/>
    <n v="0"/>
    <n v="4590320"/>
    <n v="149627"/>
    <n v="0"/>
    <n v="18"/>
    <x v="26"/>
    <n v="3.51707154437592E-10"/>
    <n v="7.4196196821618954E-10"/>
  </r>
  <r>
    <n v="85.138999999999996"/>
    <n v="85.138999999999996"/>
    <n v="9.3033400000000004"/>
    <n v="0"/>
    <n v="0.02"/>
    <n v="3.0437099999999999"/>
    <n v="3.0437099999999999"/>
    <n v="0"/>
    <n v="0.570353"/>
    <n v="5.3222399999999999"/>
    <n v="156922000"/>
    <n v="0"/>
    <n v="0"/>
    <n v="0"/>
    <n v="0"/>
    <n v="4550260"/>
    <n v="312899"/>
    <n v="0"/>
    <n v="99.302199999999999"/>
    <n v="98.274000000000001"/>
    <n v="10.6046"/>
    <n v="0"/>
    <n v="0"/>
    <n v="1.77433"/>
    <n v="1.77433"/>
    <n v="0"/>
    <n v="1.37076"/>
    <n v="2.9635199999999999"/>
    <n v="686725000"/>
    <n v="0"/>
    <n v="0"/>
    <n v="0"/>
    <n v="0"/>
    <n v="4590620"/>
    <n v="149637"/>
    <n v="0"/>
    <n v="19"/>
    <x v="26"/>
    <n v="3.5170767420460996E-10"/>
    <n v="7.4196284676551501E-10"/>
  </r>
  <r>
    <n v="85.138999999999996"/>
    <n v="85.138999999999996"/>
    <n v="7.32904"/>
    <n v="0"/>
    <n v="0.02"/>
    <n v="3.0439099999999999"/>
    <n v="3.0439099999999999"/>
    <n v="0"/>
    <n v="0.57038999999999995"/>
    <n v="5.3222399999999999"/>
    <n v="157235000"/>
    <n v="0"/>
    <n v="0"/>
    <n v="0"/>
    <n v="0"/>
    <n v="4550560"/>
    <n v="312919"/>
    <n v="0"/>
    <n v="99.302199999999999"/>
    <n v="98.274000000000001"/>
    <n v="8.6031499999999994"/>
    <n v="0"/>
    <n v="0"/>
    <n v="1.7744500000000001"/>
    <n v="1.7744500000000001"/>
    <n v="0"/>
    <n v="1.3708499999999999"/>
    <n v="2.9635199999999999"/>
    <n v="686875000"/>
    <n v="0"/>
    <n v="0"/>
    <n v="0"/>
    <n v="0"/>
    <n v="4590930"/>
    <n v="149646"/>
    <n v="0"/>
    <n v="20"/>
    <x v="26"/>
    <n v="3.5170507756303102E-10"/>
    <n v="7.4196135410183595E-10"/>
  </r>
  <r>
    <n v="85.138999999999996"/>
    <n v="85.138999999999996"/>
    <n v="6.7085400000000002"/>
    <n v="0"/>
    <n v="0.02"/>
    <n v="3.0441099999999999"/>
    <n v="3.0441099999999999"/>
    <n v="0"/>
    <n v="0.57042800000000005"/>
    <n v="5.3222399999999999"/>
    <n v="157548000"/>
    <n v="0"/>
    <n v="0"/>
    <n v="0"/>
    <n v="0"/>
    <n v="4550860"/>
    <n v="312940"/>
    <n v="0"/>
    <n v="99.302199999999999"/>
    <n v="98.274000000000001"/>
    <n v="8.0177200000000006"/>
    <n v="0"/>
    <n v="0"/>
    <n v="1.77457"/>
    <n v="1.77457"/>
    <n v="0"/>
    <n v="1.37094"/>
    <n v="2.9635199999999999"/>
    <n v="687025000"/>
    <n v="0"/>
    <n v="0"/>
    <n v="0"/>
    <n v="0"/>
    <n v="4591230"/>
    <n v="149656"/>
    <n v="0"/>
    <n v="21"/>
    <x v="26"/>
    <n v="3.5170559739669874E-10"/>
    <n v="7.4196223257581406E-10"/>
  </r>
  <r>
    <n v="85.138999999999996"/>
    <n v="85.138999999999996"/>
    <n v="6.5272699999999997"/>
    <n v="0"/>
    <n v="0.02"/>
    <n v="3.0023499999999999"/>
    <n v="3.0023499999999999"/>
    <n v="0"/>
    <n v="0.57046600000000003"/>
    <n v="5.3222399999999999"/>
    <n v="157856000"/>
    <n v="0"/>
    <n v="0"/>
    <n v="0"/>
    <n v="0"/>
    <n v="4488440"/>
    <n v="308647"/>
    <n v="0"/>
    <n v="99.302199999999999"/>
    <n v="98.274000000000001"/>
    <n v="5.7339599999999997"/>
    <n v="0"/>
    <n v="0"/>
    <n v="1.74803"/>
    <n v="1.74803"/>
    <n v="0"/>
    <n v="1.37103"/>
    <n v="2.9635199999999999"/>
    <n v="687172000"/>
    <n v="0"/>
    <n v="0"/>
    <n v="0"/>
    <n v="0"/>
    <n v="4522580"/>
    <n v="147419"/>
    <n v="0"/>
    <n v="22"/>
    <x v="26"/>
    <n v="3.5170731369589543E-10"/>
    <n v="7.4196058069702384E-10"/>
  </r>
  <r>
    <n v="85.138999999999996"/>
    <n v="85.138999999999996"/>
    <n v="6.5252100000000004"/>
    <n v="0"/>
    <n v="0.02"/>
    <n v="3.0025499999999998"/>
    <n v="3.0025499999999998"/>
    <n v="0"/>
    <n v="0.56264000000000003"/>
    <n v="5.3222399999999999"/>
    <n v="158165000"/>
    <n v="0"/>
    <n v="0"/>
    <n v="0"/>
    <n v="0"/>
    <n v="4488730"/>
    <n v="308668"/>
    <n v="0"/>
    <n v="99.302199999999999"/>
    <n v="98.274000000000001"/>
    <n v="6.0976900000000001"/>
    <n v="0"/>
    <n v="0"/>
    <n v="1.7481500000000001"/>
    <n v="1.7481500000000001"/>
    <n v="0"/>
    <n v="1.35053"/>
    <n v="2.9635199999999999"/>
    <n v="687320000"/>
    <n v="0"/>
    <n v="0"/>
    <n v="0"/>
    <n v="0"/>
    <n v="4522880"/>
    <n v="147428"/>
    <n v="0"/>
    <n v="23"/>
    <x v="26"/>
    <n v="3.5170545562872813E-10"/>
    <n v="7.4196312432293049E-10"/>
  </r>
  <r>
    <n v="85.138999999999996"/>
    <n v="85.138999999999996"/>
    <n v="5.4802900000000001"/>
    <n v="0"/>
    <n v="0.02"/>
    <n v="3.0027499999999998"/>
    <n v="3.0027499999999998"/>
    <n v="0"/>
    <n v="0.56267699999999998"/>
    <n v="5.3222399999999999"/>
    <n v="158474000"/>
    <n v="0"/>
    <n v="0"/>
    <n v="0"/>
    <n v="0"/>
    <n v="4489030"/>
    <n v="308688"/>
    <n v="0"/>
    <n v="99.302199999999999"/>
    <n v="98.274000000000001"/>
    <n v="5.9011100000000001"/>
    <n v="0"/>
    <n v="0"/>
    <n v="1.74827"/>
    <n v="1.74827"/>
    <n v="0"/>
    <n v="1.3506199999999999"/>
    <n v="2.9635199999999999"/>
    <n v="687467000"/>
    <n v="0"/>
    <n v="0"/>
    <n v="0"/>
    <n v="0"/>
    <n v="4523180"/>
    <n v="147438"/>
    <n v="0"/>
    <n v="24"/>
    <x v="26"/>
    <n v="3.5170598325807532E-10"/>
    <n v="7.4196161118113857E-10"/>
  </r>
  <r>
    <n v="85.138999999999996"/>
    <n v="85.138999999999996"/>
    <n v="4.9487500000000004"/>
    <n v="0"/>
    <n v="0.02"/>
    <n v="3.0029400000000002"/>
    <n v="3.0029400000000002"/>
    <n v="0"/>
    <n v="0.56271499999999997"/>
    <n v="5.3222399999999999"/>
    <n v="158782000"/>
    <n v="0"/>
    <n v="0"/>
    <n v="0"/>
    <n v="0"/>
    <n v="4489330"/>
    <n v="308708"/>
    <n v="0"/>
    <n v="99.302199999999999"/>
    <n v="98.274000000000001"/>
    <n v="5.4085400000000003"/>
    <n v="0"/>
    <n v="0"/>
    <n v="1.74838"/>
    <n v="1.74838"/>
    <n v="0"/>
    <n v="1.3507100000000001"/>
    <n v="2.9635199999999999"/>
    <n v="687614000"/>
    <n v="0"/>
    <n v="0"/>
    <n v="0"/>
    <n v="0"/>
    <n v="4523480"/>
    <n v="147448"/>
    <n v="0"/>
    <n v="25"/>
    <x v="26"/>
    <n v="3.5170651081743708E-10"/>
    <n v="7.4196009824157834E-10"/>
  </r>
  <r>
    <n v="85.138999999999996"/>
    <n v="85.138999999999996"/>
    <n v="5.0996600000000001"/>
    <n v="0"/>
    <n v="0.02"/>
    <n v="3.1456"/>
    <n v="3.1456"/>
    <n v="0"/>
    <n v="0.56275200000000003"/>
    <n v="5.3222399999999999"/>
    <n v="159106000"/>
    <n v="0"/>
    <n v="0"/>
    <n v="0"/>
    <n v="0"/>
    <n v="4702600"/>
    <n v="323374"/>
    <n v="0"/>
    <n v="99.302199999999999"/>
    <n v="98.274000000000001"/>
    <n v="4.5339499999999999"/>
    <n v="0"/>
    <n v="0"/>
    <n v="1.8430299999999999"/>
    <n v="1.8430299999999999"/>
    <n v="0"/>
    <n v="1.3508"/>
    <n v="2.9635199999999999"/>
    <n v="687770000"/>
    <n v="0"/>
    <n v="0"/>
    <n v="0"/>
    <n v="0"/>
    <n v="4768350"/>
    <n v="155430"/>
    <n v="0"/>
    <n v="26"/>
    <x v="26"/>
    <n v="3.517069238108081E-10"/>
    <n v="7.4196130370102091E-10"/>
  </r>
  <r>
    <n v="85.138999999999996"/>
    <n v="85.138999999999996"/>
    <n v="4.3096800000000002"/>
    <n v="0"/>
    <n v="0.02"/>
    <n v="3.14581"/>
    <n v="3.14581"/>
    <n v="0"/>
    <n v="0.58948599999999995"/>
    <n v="5.3222399999999999"/>
    <n v="159429000"/>
    <n v="0"/>
    <n v="0"/>
    <n v="0"/>
    <n v="0"/>
    <n v="4702910"/>
    <n v="323395"/>
    <n v="0"/>
    <n v="99.302199999999999"/>
    <n v="98.274000000000001"/>
    <n v="3.9860500000000001"/>
    <n v="0"/>
    <n v="0"/>
    <n v="1.8431500000000001"/>
    <n v="1.8431500000000001"/>
    <n v="0"/>
    <n v="1.4239200000000001"/>
    <n v="2.9635199999999999"/>
    <n v="687925000"/>
    <n v="0"/>
    <n v="0"/>
    <n v="0"/>
    <n v="0"/>
    <n v="4768670"/>
    <n v="155440"/>
    <n v="0"/>
    <n v="27"/>
    <x v="26"/>
    <n v="3.5170594911211433E-10"/>
    <n v="7.4196057611196873E-10"/>
  </r>
  <r>
    <n v="85.138999999999996"/>
    <n v="85.138999999999996"/>
    <n v="4.0403399999999996"/>
    <n v="0"/>
    <n v="0.02"/>
    <n v="3.14602"/>
    <n v="3.14602"/>
    <n v="0"/>
    <n v="0.58952499999999997"/>
    <n v="5.3222399999999999"/>
    <n v="159753000"/>
    <n v="0"/>
    <n v="0"/>
    <n v="0"/>
    <n v="0"/>
    <n v="4703220"/>
    <n v="323417"/>
    <n v="0"/>
    <n v="99.302199999999999"/>
    <n v="98.274000000000001"/>
    <n v="3.6890900000000002"/>
    <n v="0"/>
    <n v="0"/>
    <n v="1.84327"/>
    <n v="1.84327"/>
    <n v="0"/>
    <n v="1.4240200000000001"/>
    <n v="2.9635199999999999"/>
    <n v="688081000"/>
    <n v="0"/>
    <n v="0"/>
    <n v="0"/>
    <n v="0"/>
    <n v="4768980"/>
    <n v="155450"/>
    <n v="0"/>
    <n v="28"/>
    <x v="26"/>
    <n v="3.5170571202891717E-10"/>
    <n v="7.4196214275347055E-10"/>
  </r>
  <r>
    <n v="85.138999999999996"/>
    <n v="85.138999999999996"/>
    <n v="3.9754299999999998"/>
    <n v="0"/>
    <n v="0.02"/>
    <n v="3.14622"/>
    <n v="3.14622"/>
    <n v="0"/>
    <n v="0.58956399999999998"/>
    <n v="5.3222399999999999"/>
    <n v="160076000"/>
    <n v="0"/>
    <n v="0"/>
    <n v="0"/>
    <n v="0"/>
    <n v="4703530"/>
    <n v="323438"/>
    <n v="0"/>
    <n v="99.302199999999999"/>
    <n v="98.274000000000001"/>
    <n v="3.7497799999999999"/>
    <n v="0"/>
    <n v="0"/>
    <n v="1.8433900000000001"/>
    <n v="1.8433900000000001"/>
    <n v="0"/>
    <n v="1.42411"/>
    <n v="2.9635199999999999"/>
    <n v="688236000"/>
    <n v="0"/>
    <n v="0"/>
    <n v="0"/>
    <n v="0"/>
    <n v="4769300"/>
    <n v="155461"/>
    <n v="0"/>
    <n v="29"/>
    <x v="26"/>
    <n v="3.5170699988903707E-10"/>
    <n v="7.4196141520502601E-10"/>
  </r>
  <r>
    <n v="85.138999999999996"/>
    <n v="85.138999999999996"/>
    <n v="3.9797199999999999"/>
    <n v="0"/>
    <n v="0.02"/>
    <n v="3.1464300000000001"/>
    <n v="3.1464300000000001"/>
    <n v="0"/>
    <n v="0.58960299999999999"/>
    <n v="5.3222399999999999"/>
    <n v="160399000"/>
    <n v="0"/>
    <n v="0"/>
    <n v="0"/>
    <n v="0"/>
    <n v="4703840"/>
    <n v="323459"/>
    <n v="0"/>
    <n v="99.302199999999999"/>
    <n v="98.274000000000001"/>
    <n v="4.2548300000000001"/>
    <n v="0"/>
    <n v="0"/>
    <n v="1.84352"/>
    <n v="1.84352"/>
    <n v="0"/>
    <n v="1.42421"/>
    <n v="2.9635199999999999"/>
    <n v="688392000"/>
    <n v="0"/>
    <n v="0"/>
    <n v="0"/>
    <n v="0"/>
    <n v="4769610"/>
    <n v="155471"/>
    <n v="0"/>
    <n v="30"/>
    <x v="26"/>
    <n v="3.5170676276886029E-10"/>
    <n v="7.4196068775247765E-10"/>
  </r>
  <r>
    <n v="85.138999999999996"/>
    <n v="85.138999999999996"/>
    <n v="3.9676800000000001"/>
    <n v="0"/>
    <n v="0.02"/>
    <n v="3.1184599999999998"/>
    <n v="3.1184599999999998"/>
    <n v="0"/>
    <n v="0.58964099999999997"/>
    <n v="5.3222399999999999"/>
    <n v="160720000"/>
    <n v="0"/>
    <n v="0"/>
    <n v="0"/>
    <n v="0"/>
    <n v="4662010"/>
    <n v="320583"/>
    <n v="0"/>
    <n v="99.302199999999999"/>
    <n v="98.274000000000001"/>
    <n v="4.2194399999999996"/>
    <n v="0"/>
    <n v="0"/>
    <n v="1.89561"/>
    <n v="1.89561"/>
    <n v="0"/>
    <n v="1.4242999999999999"/>
    <n v="2.9635199999999999"/>
    <n v="688552000"/>
    <n v="0"/>
    <n v="0"/>
    <n v="0"/>
    <n v="0"/>
    <n v="4904400"/>
    <n v="159864"/>
    <n v="0"/>
    <n v="31"/>
    <x v="26"/>
    <n v="3.5170536083480042E-10"/>
    <n v="7.4196169450256914E-10"/>
  </r>
  <r>
    <n v="85.138999999999996"/>
    <n v="85.138999999999996"/>
    <n v="3.6222500000000002"/>
    <n v="0"/>
    <n v="0.02"/>
    <n v="3.1186600000000002"/>
    <n v="3.1186600000000002"/>
    <n v="0"/>
    <n v="0.584399"/>
    <n v="5.3222399999999999"/>
    <n v="161041000"/>
    <n v="0"/>
    <n v="0"/>
    <n v="0"/>
    <n v="0"/>
    <n v="4662320"/>
    <n v="320605"/>
    <n v="0"/>
    <n v="99.302199999999999"/>
    <n v="98.274000000000001"/>
    <n v="4.06304"/>
    <n v="0"/>
    <n v="0"/>
    <n v="1.89574"/>
    <n v="1.89574"/>
    <n v="0"/>
    <n v="1.46455"/>
    <n v="2.9635199999999999"/>
    <n v="688711000"/>
    <n v="0"/>
    <n v="0"/>
    <n v="0"/>
    <n v="0"/>
    <n v="4904720"/>
    <n v="159875"/>
    <n v="0"/>
    <n v="32"/>
    <x v="26"/>
    <n v="3.5170661315983673E-10"/>
    <n v="7.419632748130031E-10"/>
  </r>
  <r>
    <n v="85.138999999999996"/>
    <n v="85.138999999999996"/>
    <n v="3.43371"/>
    <n v="0"/>
    <n v="0.02"/>
    <n v="3.1188699999999998"/>
    <n v="3.1188699999999998"/>
    <n v="0"/>
    <n v="0.58443699999999998"/>
    <n v="5.3222399999999999"/>
    <n v="161361000"/>
    <n v="0"/>
    <n v="0"/>
    <n v="0"/>
    <n v="0"/>
    <n v="4662630"/>
    <n v="320626"/>
    <n v="0"/>
    <n v="99.302199999999999"/>
    <n v="98.274000000000001"/>
    <n v="3.6821999999999999"/>
    <n v="0"/>
    <n v="0"/>
    <n v="1.8958600000000001"/>
    <n v="1.8958600000000001"/>
    <n v="0"/>
    <n v="1.46465"/>
    <n v="2.9635199999999999"/>
    <n v="688871000"/>
    <n v="0"/>
    <n v="0"/>
    <n v="0"/>
    <n v="0"/>
    <n v="4905040"/>
    <n v="159885"/>
    <n v="0"/>
    <n v="33"/>
    <x v="26"/>
    <n v="3.51705665579998E-10"/>
    <n v="7.4196254080732955E-10"/>
  </r>
  <r>
    <n v="85.138999999999996"/>
    <n v="85.138999999999996"/>
    <n v="3.3084199999999999"/>
    <n v="0"/>
    <n v="0.02"/>
    <n v="3.1190699999999998"/>
    <n v="3.1190699999999998"/>
    <n v="0"/>
    <n v="0.584476"/>
    <n v="5.3222399999999999"/>
    <n v="161682000"/>
    <n v="0"/>
    <n v="0"/>
    <n v="0"/>
    <n v="0"/>
    <n v="4662940"/>
    <n v="320647"/>
    <n v="0"/>
    <n v="99.302199999999999"/>
    <n v="98.274000000000001"/>
    <n v="3.5335999999999999"/>
    <n v="0"/>
    <n v="0"/>
    <n v="1.8959900000000001"/>
    <n v="1.8959900000000001"/>
    <n v="0"/>
    <n v="1.4647399999999999"/>
    <n v="2.9635199999999999"/>
    <n v="689031000"/>
    <n v="0"/>
    <n v="0"/>
    <n v="0"/>
    <n v="0"/>
    <n v="4905370"/>
    <n v="159896"/>
    <n v="0"/>
    <n v="34"/>
    <x v="26"/>
    <n v="3.5170620073829959E-10"/>
    <n v="7.4196180689925184E-10"/>
  </r>
  <r>
    <n v="84.646900000000002"/>
    <n v="85.138999999999996"/>
    <n v="2.7893300000000001"/>
    <n v="0"/>
    <n v="0.02"/>
    <n v="3.1920799999999998"/>
    <n v="3.1920799999999998"/>
    <n v="0"/>
    <n v="0.58451500000000001"/>
    <n v="5.3222399999999999"/>
    <n v="162010000"/>
    <n v="0"/>
    <n v="0"/>
    <n v="0"/>
    <n v="0"/>
    <n v="4772080"/>
    <n v="328152"/>
    <n v="0"/>
    <n v="99.302199999999999"/>
    <n v="98.274000000000001"/>
    <n v="2.9156200000000001"/>
    <n v="0"/>
    <n v="0"/>
    <n v="1.9424399999999999"/>
    <n v="1.9424399999999999"/>
    <n v="0"/>
    <n v="1.4648399999999999"/>
    <n v="2.9635199999999999"/>
    <n v="689195000"/>
    <n v="0"/>
    <n v="0"/>
    <n v="0"/>
    <n v="0"/>
    <n v="5025560"/>
    <n v="163814"/>
    <n v="0"/>
    <n v="35"/>
    <x v="26"/>
    <n v="3.5170678697734813E-10"/>
    <n v="7.4196178319764167E-10"/>
  </r>
  <r>
    <n v="84.180899999999994"/>
    <n v="85.138999999999996"/>
    <n v="2.8563399999999999"/>
    <n v="0"/>
    <n v="0.02"/>
    <n v="3.1922899999999998"/>
    <n v="3.1922899999999998"/>
    <n v="0"/>
    <n v="0.59819500000000003"/>
    <n v="5.3222399999999999"/>
    <n v="162338000"/>
    <n v="0"/>
    <n v="0"/>
    <n v="0"/>
    <n v="0"/>
    <n v="4772390"/>
    <n v="328174"/>
    <n v="0"/>
    <n v="99.302199999999999"/>
    <n v="98.274000000000001"/>
    <n v="3.0793200000000001"/>
    <n v="0"/>
    <n v="0"/>
    <n v="1.9425699999999999"/>
    <n v="1.9425699999999999"/>
    <n v="0"/>
    <n v="1.5007299999999999"/>
    <n v="2.9635199999999999"/>
    <n v="689359000"/>
    <n v="0"/>
    <n v="0"/>
    <n v="0"/>
    <n v="0"/>
    <n v="5025900"/>
    <n v="163825"/>
    <n v="0"/>
    <n v="36"/>
    <x v="26"/>
    <n v="3.5170660943930453E-10"/>
    <n v="7.4196332705416793E-10"/>
  </r>
  <r>
    <n v="83.548900000000003"/>
    <n v="85.138999999999996"/>
    <n v="2.6469299999999998"/>
    <n v="0"/>
    <n v="0.02"/>
    <n v="3.1924999999999999"/>
    <n v="3.1924999999999999"/>
    <n v="0"/>
    <n v="0.59823499999999996"/>
    <n v="5.3222399999999999"/>
    <n v="162666000"/>
    <n v="0"/>
    <n v="0"/>
    <n v="0"/>
    <n v="0"/>
    <n v="4772710"/>
    <n v="328195"/>
    <n v="0"/>
    <n v="99.302199999999999"/>
    <n v="98.274000000000001"/>
    <n v="2.9355000000000002"/>
    <n v="0"/>
    <n v="0"/>
    <n v="1.9427000000000001"/>
    <n v="1.9427000000000001"/>
    <n v="0"/>
    <n v="1.5008300000000001"/>
    <n v="2.9635199999999999"/>
    <n v="689523000"/>
    <n v="0"/>
    <n v="0"/>
    <n v="0"/>
    <n v="0"/>
    <n v="5026230"/>
    <n v="163836"/>
    <n v="0"/>
    <n v="37"/>
    <x v="26"/>
    <n v="3.5170713166729735E-10"/>
    <n v="7.4196105537909453E-10"/>
  </r>
  <r>
    <n v="82.698499999999996"/>
    <n v="85.138999999999996"/>
    <n v="2.4100999999999999"/>
    <n v="0"/>
    <n v="0.02"/>
    <n v="3.1927099999999999"/>
    <n v="3.1927099999999999"/>
    <n v="0"/>
    <n v="0.59827399999999997"/>
    <n v="5.3222399999999999"/>
    <n v="162995000"/>
    <n v="0"/>
    <n v="0"/>
    <n v="0"/>
    <n v="0"/>
    <n v="4773020"/>
    <n v="328217"/>
    <n v="0"/>
    <n v="99.273099999999999"/>
    <n v="98.274000000000001"/>
    <n v="2.6139100000000002"/>
    <n v="0"/>
    <n v="0"/>
    <n v="1.9428300000000001"/>
    <n v="1.9428300000000001"/>
    <n v="0"/>
    <n v="1.5009300000000001"/>
    <n v="2.9635199999999999"/>
    <n v="689687000"/>
    <n v="0"/>
    <n v="0"/>
    <n v="0"/>
    <n v="0"/>
    <n v="5026560"/>
    <n v="163846"/>
    <n v="0"/>
    <n v="38"/>
    <x v="26"/>
    <n v="3.5170550726527071E-10"/>
    <n v="7.4196259907911481E-10"/>
  </r>
  <r>
    <n v="81.858800000000002"/>
    <n v="85.138999999999996"/>
    <n v="2.6102500000000002"/>
    <n v="0"/>
    <n v="0.02"/>
    <n v="3.4061599999999999"/>
    <n v="3.4061599999999999"/>
    <n v="0"/>
    <n v="0.59831400000000001"/>
    <n v="5.3222399999999999"/>
    <n v="163345000"/>
    <n v="0"/>
    <n v="0"/>
    <n v="0"/>
    <n v="0"/>
    <n v="5092130"/>
    <n v="350160"/>
    <n v="0"/>
    <n v="99.221100000000007"/>
    <n v="98.274000000000001"/>
    <n v="2.9736799999999999"/>
    <n v="0"/>
    <n v="0"/>
    <n v="2.1102400000000001"/>
    <n v="2.1102400000000001"/>
    <n v="0"/>
    <n v="1.5010300000000001"/>
    <n v="2.9635199999999999"/>
    <n v="689864000"/>
    <n v="0"/>
    <n v="0"/>
    <n v="0"/>
    <n v="0"/>
    <n v="5459680"/>
    <n v="177965"/>
    <n v="0"/>
    <n v="39"/>
    <x v="26"/>
    <n v="3.5170748139976683E-10"/>
    <n v="7.4196128990410996E-10"/>
  </r>
  <r>
    <n v="80.706800000000001"/>
    <n v="85.138999999999996"/>
    <n v="2.3129499999999998"/>
    <n v="0"/>
    <n v="0.02"/>
    <n v="3.40639"/>
    <n v="3.40639"/>
    <n v="0"/>
    <n v="0.63831499999999997"/>
    <n v="5.3222399999999999"/>
    <n v="163695000"/>
    <n v="0"/>
    <n v="0"/>
    <n v="0"/>
    <n v="0"/>
    <n v="5092460"/>
    <n v="350183"/>
    <n v="0"/>
    <n v="99.0227"/>
    <n v="98.274000000000001"/>
    <n v="2.5040499999999999"/>
    <n v="0"/>
    <n v="0"/>
    <n v="2.1103800000000001"/>
    <n v="2.1103800000000001"/>
    <n v="0"/>
    <n v="1.6303700000000001"/>
    <n v="2.9635199999999999"/>
    <n v="690042000"/>
    <n v="0"/>
    <n v="0"/>
    <n v="0"/>
    <n v="0"/>
    <n v="5460040"/>
    <n v="177976"/>
    <n v="0"/>
    <n v="40"/>
    <x v="26"/>
    <n v="3.5170602963857368E-10"/>
    <n v="7.4196194157982072E-10"/>
  </r>
  <r>
    <n v="79.684100000000001"/>
    <n v="85.138999999999996"/>
    <n v="2.1762100000000002"/>
    <n v="0.01"/>
    <n v="0.02"/>
    <n v="3.1042100000000001"/>
    <n v="3.4066100000000001"/>
    <n v="0"/>
    <n v="0.63835699999999995"/>
    <n v="5.3222399999999999"/>
    <n v="163637000"/>
    <n v="0"/>
    <n v="0"/>
    <n v="0"/>
    <n v="0"/>
    <n v="4640720"/>
    <n v="-58332.3"/>
    <n v="408539"/>
    <n v="98.808999999999997"/>
    <n v="98.274000000000001"/>
    <n v="2.88659"/>
    <n v="0"/>
    <n v="0"/>
    <n v="2.4129100000000001"/>
    <n v="2.1105100000000001"/>
    <n v="0"/>
    <n v="1.6304799999999999"/>
    <n v="2.9635199999999999"/>
    <n v="691003000"/>
    <n v="0"/>
    <n v="0"/>
    <n v="0"/>
    <n v="0"/>
    <n v="6242780"/>
    <n v="960369"/>
    <n v="0"/>
    <n v="41"/>
    <x v="26"/>
    <n v="1.659870853477822E-9"/>
    <n v="-1.356244316646528E-10"/>
  </r>
  <r>
    <n v="78.587400000000002"/>
    <n v="85.138999999999996"/>
    <n v="2.0868199999999999"/>
    <n v="0.01"/>
    <n v="0.02"/>
    <n v="3.1044399999999999"/>
    <n v="3.4068399999999999"/>
    <n v="0"/>
    <n v="0.58172900000000005"/>
    <n v="5.3222399999999999"/>
    <n v="163578000"/>
    <n v="0"/>
    <n v="0"/>
    <n v="0"/>
    <n v="0"/>
    <n v="4641050"/>
    <n v="-58309.2"/>
    <n v="408539"/>
    <n v="98.584100000000007"/>
    <n v="98.274000000000001"/>
    <n v="2.8389099999999998"/>
    <n v="0"/>
    <n v="0"/>
    <n v="2.4130500000000001"/>
    <n v="2.1106500000000001"/>
    <n v="0"/>
    <n v="1.86422"/>
    <n v="2.9635199999999999"/>
    <n v="691963000"/>
    <n v="0"/>
    <n v="0"/>
    <n v="0"/>
    <n v="0"/>
    <n v="6243150"/>
    <n v="960381"/>
    <n v="0"/>
    <n v="42"/>
    <x v="26"/>
    <n v="1.6597932204917895E-9"/>
    <n v="-1.3556108373636079E-10"/>
  </r>
  <r>
    <n v="77.949799999999996"/>
    <n v="85.138999999999996"/>
    <n v="2.5630899999999999"/>
    <n v="0.02"/>
    <n v="0.02"/>
    <n v="3.10466"/>
    <n v="3.40706"/>
    <n v="0"/>
    <n v="0.58177100000000004"/>
    <n v="5.3222399999999999"/>
    <n v="163520000"/>
    <n v="0"/>
    <n v="0"/>
    <n v="0"/>
    <n v="0"/>
    <n v="4641390"/>
    <n v="-58286"/>
    <n v="408539"/>
    <n v="98.421499999999995"/>
    <n v="98.274000000000001"/>
    <n v="3.1675599999999999"/>
    <n v="0"/>
    <n v="0"/>
    <n v="2.4131900000000002"/>
    <n v="2.1107900000000002"/>
    <n v="0"/>
    <n v="1.86433"/>
    <n v="2.9635199999999999"/>
    <n v="692924000"/>
    <n v="0"/>
    <n v="0"/>
    <n v="0"/>
    <n v="0"/>
    <n v="6243510"/>
    <n v="960392"/>
    <n v="0"/>
    <n v="43"/>
    <x v="26"/>
    <n v="1.6597165268466671E-9"/>
    <n v="-1.3549722041295715E-10"/>
  </r>
  <r>
    <n v="78.3095"/>
    <n v="85.138999999999996"/>
    <n v="3.5562900000000002"/>
    <n v="0.02"/>
    <n v="0.02"/>
    <n v="3.0009299999999999"/>
    <n v="3.3033299999999999"/>
    <n v="0"/>
    <n v="0.58181300000000002"/>
    <n v="5.3222399999999999"/>
    <n v="163451000"/>
    <n v="0"/>
    <n v="0"/>
    <n v="0"/>
    <n v="0"/>
    <n v="4486310"/>
    <n v="-68950.3"/>
    <n v="408539"/>
    <n v="98.475200000000001"/>
    <n v="98.274000000000001"/>
    <n v="3.95241"/>
    <n v="0"/>
    <n v="0"/>
    <n v="2.3117700000000001"/>
    <n v="2.0093700000000001"/>
    <n v="0"/>
    <n v="1.86443"/>
    <n v="2.9635199999999999"/>
    <n v="693875000"/>
    <n v="0"/>
    <n v="0"/>
    <n v="0"/>
    <n v="0"/>
    <n v="5981090"/>
    <n v="951839"/>
    <n v="0"/>
    <n v="44"/>
    <x v="26"/>
    <n v="1.7171069826331577E-9"/>
    <n v="-1.6582922723229223E-10"/>
  </r>
  <r>
    <n v="78.718299999999999"/>
    <n v="85.138999999999996"/>
    <n v="3.6875399999999998"/>
    <n v="0.02"/>
    <n v="0.02"/>
    <n v="3.0011399999999999"/>
    <n v="3.3035399999999999"/>
    <n v="0"/>
    <n v="0.56237300000000001"/>
    <n v="5.3222399999999999"/>
    <n v="163382000"/>
    <n v="0"/>
    <n v="0"/>
    <n v="0"/>
    <n v="0"/>
    <n v="4486630"/>
    <n v="-68927.899999999994"/>
    <n v="408539"/>
    <n v="98.882599999999996"/>
    <n v="98.274000000000001"/>
    <n v="4.8338099999999997"/>
    <n v="0"/>
    <n v="0"/>
    <n v="2.3119000000000001"/>
    <n v="2.0095000000000001"/>
    <n v="0"/>
    <n v="1.78607"/>
    <n v="2.9635199999999999"/>
    <n v="694827000"/>
    <n v="0"/>
    <n v="0"/>
    <n v="0"/>
    <n v="0"/>
    <n v="5981430"/>
    <n v="951850"/>
    <n v="0"/>
    <n v="45"/>
    <x v="26"/>
    <n v="1.7170292205670671E-9"/>
    <n v="-1.657635304133166E-10"/>
  </r>
  <r>
    <n v="79.123400000000004"/>
    <n v="85.138999999999996"/>
    <n v="3.73204"/>
    <n v="0.01"/>
    <n v="0.02"/>
    <n v="3.00136"/>
    <n v="3.30376"/>
    <n v="0"/>
    <n v="0.56241399999999997"/>
    <n v="5.3222399999999999"/>
    <n v="163313000"/>
    <n v="0"/>
    <n v="0"/>
    <n v="0"/>
    <n v="0"/>
    <n v="4486960"/>
    <n v="-68905.5"/>
    <n v="408539"/>
    <n v="99.302199999999999"/>
    <n v="98.274000000000001"/>
    <n v="5.1148999999999996"/>
    <n v="0"/>
    <n v="0"/>
    <n v="2.31203"/>
    <n v="2.00963"/>
    <n v="0"/>
    <n v="1.78617"/>
    <n v="2.9635199999999999"/>
    <n v="695779000"/>
    <n v="0"/>
    <n v="0"/>
    <n v="0"/>
    <n v="0"/>
    <n v="5981780"/>
    <n v="951861"/>
    <n v="0"/>
    <n v="46"/>
    <x v="26"/>
    <n v="1.7169485970389402E-9"/>
    <n v="-1.6569747367752163E-10"/>
  </r>
  <r>
    <n v="79.7791"/>
    <n v="85.138999999999996"/>
    <n v="4.1234500000000001"/>
    <n v="0.01"/>
    <n v="0.02"/>
    <n v="3.0015800000000001"/>
    <n v="3.3039800000000001"/>
    <n v="0"/>
    <n v="0.56245500000000004"/>
    <n v="5.3222399999999999"/>
    <n v="163244000"/>
    <n v="0"/>
    <n v="0"/>
    <n v="0"/>
    <n v="0"/>
    <n v="4487290"/>
    <n v="-68883"/>
    <n v="408539"/>
    <n v="99.302199999999999"/>
    <n v="98.274000000000001"/>
    <n v="5.4742199999999999"/>
    <n v="0"/>
    <n v="0"/>
    <n v="2.31216"/>
    <n v="2.00976"/>
    <n v="0"/>
    <n v="1.7862800000000001"/>
    <n v="2.9635199999999999"/>
    <n v="696731000"/>
    <n v="0"/>
    <n v="0"/>
    <n v="0"/>
    <n v="0"/>
    <n v="5982120"/>
    <n v="951872"/>
    <n v="0"/>
    <n v="47"/>
    <x v="26"/>
    <n v="1.7168708529442257E-9"/>
    <n v="-1.6563118620456763E-10"/>
  </r>
  <r>
    <n v="79.339600000000004"/>
    <n v="85.138999999999996"/>
    <n v="2.8622999999999998"/>
    <n v="0.01"/>
    <n v="0.02"/>
    <n v="2.9164400000000001"/>
    <n v="3.2188400000000001"/>
    <n v="0"/>
    <n v="0.562496"/>
    <n v="5.3222399999999999"/>
    <n v="163167000"/>
    <n v="0"/>
    <n v="0"/>
    <n v="0"/>
    <n v="0"/>
    <n v="4360010"/>
    <n v="-77635.3"/>
    <n v="408539"/>
    <n v="99.302199999999999"/>
    <n v="98.274000000000001"/>
    <n v="3.8826999999999998"/>
    <n v="0"/>
    <n v="0"/>
    <n v="2.2198199999999999"/>
    <n v="1.9174199999999999"/>
    <n v="0"/>
    <n v="1.7863800000000001"/>
    <n v="2.9635199999999999"/>
    <n v="697675000"/>
    <n v="0"/>
    <n v="0"/>
    <n v="0"/>
    <n v="0"/>
    <n v="5743210"/>
    <n v="944085"/>
    <n v="0"/>
    <n v="48"/>
    <x v="26"/>
    <n v="1.7736609211744457E-9"/>
    <n v="-1.9212591402978798E-10"/>
  </r>
  <r>
    <n v="78.765000000000001"/>
    <n v="85.138999999999996"/>
    <n v="2.8353999999999999"/>
    <n v="0.01"/>
    <n v="0.02"/>
    <n v="2.9166500000000002"/>
    <n v="3.2190500000000002"/>
    <n v="0"/>
    <n v="0.54654100000000005"/>
    <n v="5.3222399999999999"/>
    <n v="163089000"/>
    <n v="0"/>
    <n v="0"/>
    <n v="0"/>
    <n v="0"/>
    <n v="4360320"/>
    <n v="-77613.5"/>
    <n v="408539"/>
    <n v="99.302199999999999"/>
    <n v="98.274000000000001"/>
    <n v="4.2263500000000001"/>
    <n v="0"/>
    <n v="0"/>
    <n v="2.2199499999999999"/>
    <n v="1.9175500000000001"/>
    <n v="0"/>
    <n v="1.7150300000000001"/>
    <n v="2.9635199999999999"/>
    <n v="698619000"/>
    <n v="0"/>
    <n v="0"/>
    <n v="0"/>
    <n v="0"/>
    <n v="5743530"/>
    <n v="944095"/>
    <n v="0"/>
    <n v="49"/>
    <x v="26"/>
    <n v="1.7735808879378168E-9"/>
    <n v="-1.9205830956323424E-10"/>
  </r>
  <r>
    <n v="78.281099999999995"/>
    <n v="85.138999999999996"/>
    <n v="2.92164"/>
    <n v="0.01"/>
    <n v="0.02"/>
    <n v="2.9168699999999999"/>
    <n v="3.2192699999999999"/>
    <n v="0"/>
    <n v="0.54658099999999998"/>
    <n v="5.3222399999999999"/>
    <n v="163012000"/>
    <n v="0"/>
    <n v="0"/>
    <n v="0"/>
    <n v="0"/>
    <n v="4360640"/>
    <n v="-77591.7"/>
    <n v="408539"/>
    <n v="99.302199999999999"/>
    <n v="98.274000000000001"/>
    <n v="5.3498400000000004"/>
    <n v="0"/>
    <n v="0"/>
    <n v="2.2200700000000002"/>
    <n v="1.91767"/>
    <n v="0"/>
    <n v="1.71513"/>
    <n v="2.9635199999999999"/>
    <n v="699563000"/>
    <n v="0"/>
    <n v="0"/>
    <n v="0"/>
    <n v="0"/>
    <n v="5743860"/>
    <n v="944106"/>
    <n v="0"/>
    <n v="50"/>
    <x v="26"/>
    <n v="1.7734996544687035E-9"/>
    <n v="-1.9199027442772327E-10"/>
  </r>
  <r>
    <n v="79.378"/>
    <n v="85.138999999999996"/>
    <n v="4.5517399999999997"/>
    <n v="0.02"/>
    <n v="0.02"/>
    <n v="2.9170799999999999"/>
    <n v="3.2194799999999999"/>
    <n v="0"/>
    <n v="0.54662100000000002"/>
    <n v="5.3222399999999999"/>
    <n v="162934000"/>
    <n v="0"/>
    <n v="0"/>
    <n v="0"/>
    <n v="0"/>
    <n v="4360960"/>
    <n v="-77569.8"/>
    <n v="408539"/>
    <n v="99.302199999999999"/>
    <n v="98.274000000000001"/>
    <n v="4.5219699999999996"/>
    <n v="0"/>
    <n v="0"/>
    <n v="2.2202000000000002"/>
    <n v="1.9177999999999999"/>
    <n v="0"/>
    <n v="1.71523"/>
    <n v="2.9635199999999999"/>
    <n v="700507000"/>
    <n v="0"/>
    <n v="0"/>
    <n v="0"/>
    <n v="0"/>
    <n v="5744190"/>
    <n v="944117"/>
    <n v="0"/>
    <n v="51"/>
    <x v="26"/>
    <n v="1.7734184303332108E-9"/>
    <n v="-1.9192200185836628E-10"/>
  </r>
  <r>
    <n v="80.248800000000003"/>
    <n v="85.138999999999996"/>
    <n v="4.1135900000000003"/>
    <n v="0.01"/>
    <n v="0.02"/>
    <n v="2.6748099999999999"/>
    <n v="2.9772099999999999"/>
    <n v="0"/>
    <n v="0.54666099999999995"/>
    <n v="5.3222399999999999"/>
    <n v="162832000"/>
    <n v="0"/>
    <n v="0"/>
    <n v="0"/>
    <n v="0"/>
    <n v="3998780"/>
    <n v="-102475"/>
    <n v="408539"/>
    <n v="99.302199999999999"/>
    <n v="98.274000000000001"/>
    <n v="5.6837900000000001"/>
    <n v="0"/>
    <n v="0"/>
    <n v="2.0276800000000001"/>
    <n v="1.7252799999999999"/>
    <n v="0"/>
    <n v="1.71533"/>
    <n v="2.9635199999999999"/>
    <n v="701435000"/>
    <n v="0"/>
    <n v="0"/>
    <n v="0"/>
    <n v="0"/>
    <n v="5246090"/>
    <n v="927880"/>
    <n v="0"/>
    <n v="52"/>
    <x v="26"/>
    <n v="1.9084038030792412E-9"/>
    <n v="-2.7650603341365838E-10"/>
  </r>
  <r>
    <n v="85.138999999999996"/>
    <n v="85.138999999999996"/>
    <n v="9.4131099999999996"/>
    <n v="0"/>
    <n v="0.02"/>
    <n v="2.9774099999999999"/>
    <n v="2.9774099999999999"/>
    <n v="0"/>
    <n v="0.50126000000000004"/>
    <n v="5.3222399999999999"/>
    <n v="163138000"/>
    <n v="0"/>
    <n v="0"/>
    <n v="0"/>
    <n v="0"/>
    <n v="4451150"/>
    <n v="306083"/>
    <n v="0"/>
    <n v="99.302199999999999"/>
    <n v="98.274000000000001"/>
    <n v="9.8904499999999995"/>
    <n v="0"/>
    <n v="0"/>
    <n v="1.72539"/>
    <n v="1.72539"/>
    <n v="0"/>
    <n v="1.5665800000000001"/>
    <n v="2.9635199999999999"/>
    <n v="701581000"/>
    <n v="0"/>
    <n v="0"/>
    <n v="0"/>
    <n v="0"/>
    <n v="4464000"/>
    <n v="145509"/>
    <n v="0"/>
    <n v="1"/>
    <x v="27"/>
    <n v="1.7368301048596753E-10"/>
    <n v="3.6640268502439528E-10"/>
  </r>
  <r>
    <n v="85.138999999999996"/>
    <n v="85.138999999999996"/>
    <n v="7.2917800000000002"/>
    <n v="0"/>
    <n v="0.02"/>
    <n v="2.9775999999999998"/>
    <n v="2.9775999999999998"/>
    <n v="0"/>
    <n v="0.55796599999999996"/>
    <n v="5.3222399999999999"/>
    <n v="163444000"/>
    <n v="0"/>
    <n v="0"/>
    <n v="0"/>
    <n v="0"/>
    <n v="4451440"/>
    <n v="306104"/>
    <n v="0"/>
    <n v="99.302199999999999"/>
    <n v="98.274000000000001"/>
    <n v="11.245200000000001"/>
    <n v="0"/>
    <n v="0"/>
    <n v="1.7255100000000001"/>
    <n v="1.7255100000000001"/>
    <n v="0"/>
    <n v="1.33304"/>
    <n v="2.9635199999999999"/>
    <n v="701726000"/>
    <n v="0"/>
    <n v="0"/>
    <n v="0"/>
    <n v="0"/>
    <n v="4464290"/>
    <n v="145519"/>
    <n v="0"/>
    <n v="2"/>
    <x v="27"/>
    <n v="1.7368366351140187E-10"/>
    <n v="3.664039516468934E-10"/>
  </r>
  <r>
    <n v="85.138999999999996"/>
    <n v="85.138999999999996"/>
    <n v="6.1731499999999997"/>
    <n v="0"/>
    <n v="0.02"/>
    <n v="2.9777999999999998"/>
    <n v="2.9777999999999998"/>
    <n v="0"/>
    <n v="0.55800300000000003"/>
    <n v="5.3222399999999999"/>
    <n v="163750000"/>
    <n v="0"/>
    <n v="0"/>
    <n v="0"/>
    <n v="0"/>
    <n v="4451740"/>
    <n v="306124"/>
    <n v="0"/>
    <n v="99.302199999999999"/>
    <n v="98.274000000000001"/>
    <n v="7.4334699999999998"/>
    <n v="0"/>
    <n v="0"/>
    <n v="1.7256199999999999"/>
    <n v="1.7256199999999999"/>
    <n v="0"/>
    <n v="1.3331299999999999"/>
    <n v="2.9635199999999999"/>
    <n v="701872000"/>
    <n v="0"/>
    <n v="0"/>
    <n v="0"/>
    <n v="0"/>
    <n v="4464590"/>
    <n v="145528"/>
    <n v="0"/>
    <n v="3"/>
    <x v="27"/>
    <n v="1.7368273395955234E-10"/>
    <n v="3.6640319813263168E-10"/>
  </r>
  <r>
    <n v="85.138999999999996"/>
    <n v="85.138999999999996"/>
    <n v="12.441000000000001"/>
    <n v="0"/>
    <n v="0.02"/>
    <n v="2.9780000000000002"/>
    <n v="2.9780000000000002"/>
    <n v="0"/>
    <n v="0.55803999999999998"/>
    <n v="5.3222399999999999"/>
    <n v="164056000"/>
    <n v="0"/>
    <n v="0"/>
    <n v="0"/>
    <n v="0"/>
    <n v="4452030"/>
    <n v="306144"/>
    <n v="0"/>
    <n v="99.302199999999999"/>
    <n v="98.274000000000001"/>
    <n v="13.963200000000001"/>
    <n v="0"/>
    <n v="0"/>
    <n v="1.72573"/>
    <n v="1.72573"/>
    <n v="0"/>
    <n v="1.33321"/>
    <n v="2.9635199999999999"/>
    <n v="702017000"/>
    <n v="0"/>
    <n v="0"/>
    <n v="0"/>
    <n v="0"/>
    <n v="4464880"/>
    <n v="145538"/>
    <n v="0"/>
    <n v="4"/>
    <x v="27"/>
    <n v="1.7368338691665513E-10"/>
    <n v="3.6640326772076471E-10"/>
  </r>
  <r>
    <n v="85.138999999999996"/>
    <n v="85.138999999999996"/>
    <n v="6.9098600000000001"/>
    <n v="0"/>
    <n v="0.02"/>
    <n v="3.0714899999999998"/>
    <n v="3.0714899999999998"/>
    <n v="0"/>
    <n v="0.55807700000000005"/>
    <n v="5.3222399999999999"/>
    <n v="164372000"/>
    <n v="0"/>
    <n v="0"/>
    <n v="0"/>
    <n v="0"/>
    <n v="4591800"/>
    <n v="315755"/>
    <n v="0"/>
    <n v="99.302199999999999"/>
    <n v="98.274000000000001"/>
    <n v="6.8829000000000002"/>
    <n v="0"/>
    <n v="0"/>
    <n v="1.78165"/>
    <n v="1.78165"/>
    <n v="0"/>
    <n v="1.3332999999999999"/>
    <n v="2.9635199999999999"/>
    <n v="702168000"/>
    <n v="0"/>
    <n v="0"/>
    <n v="0"/>
    <n v="0"/>
    <n v="4609550"/>
    <n v="150253"/>
    <n v="0"/>
    <n v="5"/>
    <x v="27"/>
    <n v="1.7368259126558672E-10"/>
    <n v="3.6640293238699486E-10"/>
  </r>
  <r>
    <n v="85.138999999999996"/>
    <n v="85.138999999999996"/>
    <n v="3.9749400000000001"/>
    <n v="0"/>
    <n v="0.02"/>
    <n v="3.0716700000000001"/>
    <n v="3.0716700000000001"/>
    <n v="0"/>
    <n v="0.57559700000000003"/>
    <n v="5.3222399999999999"/>
    <n v="164688000"/>
    <n v="0"/>
    <n v="0"/>
    <n v="0"/>
    <n v="0"/>
    <n v="4592070"/>
    <n v="315774"/>
    <n v="0"/>
    <n v="99.302199999999999"/>
    <n v="98.274000000000001"/>
    <n v="7.1296200000000001"/>
    <n v="0"/>
    <n v="0"/>
    <n v="1.7817499999999999"/>
    <n v="1.7817499999999999"/>
    <n v="0"/>
    <n v="1.3765000000000001"/>
    <n v="2.9635199999999999"/>
    <n v="702318000"/>
    <n v="0"/>
    <n v="0"/>
    <n v="0"/>
    <n v="0"/>
    <n v="4609820"/>
    <n v="150262"/>
    <n v="0"/>
    <n v="6"/>
    <x v="27"/>
    <n v="1.7368282136817637E-10"/>
    <n v="3.6640343534260626E-10"/>
  </r>
  <r>
    <n v="85.138999999999996"/>
    <n v="85.138999999999996"/>
    <n v="3.6704599999999998"/>
    <n v="0"/>
    <n v="0.02"/>
    <n v="3.07185"/>
    <n v="3.07185"/>
    <n v="0"/>
    <n v="0.575631"/>
    <n v="5.3222399999999999"/>
    <n v="165003000"/>
    <n v="0"/>
    <n v="0"/>
    <n v="0"/>
    <n v="0"/>
    <n v="4592350"/>
    <n v="315793"/>
    <n v="0"/>
    <n v="99.302199999999999"/>
    <n v="98.274000000000001"/>
    <n v="6.4346100000000002"/>
    <n v="0"/>
    <n v="0"/>
    <n v="1.78186"/>
    <n v="1.78186"/>
    <n v="0"/>
    <n v="1.3765799999999999"/>
    <n v="2.9635199999999999"/>
    <n v="702468000"/>
    <n v="0"/>
    <n v="0"/>
    <n v="0"/>
    <n v="0"/>
    <n v="4610100"/>
    <n v="150271"/>
    <n v="0"/>
    <n v="7"/>
    <x v="27"/>
    <n v="1.7368267469916234E-10"/>
    <n v="3.6640314038190482E-10"/>
  </r>
  <r>
    <n v="85.138999999999996"/>
    <n v="85.138999999999996"/>
    <n v="4.1852200000000002"/>
    <n v="0"/>
    <n v="0.02"/>
    <n v="3.0720399999999999"/>
    <n v="3.0720399999999999"/>
    <n v="0"/>
    <n v="0.57566600000000001"/>
    <n v="5.3222399999999999"/>
    <n v="165319000"/>
    <n v="0"/>
    <n v="0"/>
    <n v="0"/>
    <n v="0"/>
    <n v="4592620"/>
    <n v="315812"/>
    <n v="0"/>
    <n v="99.302199999999999"/>
    <n v="98.274000000000001"/>
    <n v="6.8476800000000004"/>
    <n v="0"/>
    <n v="0"/>
    <n v="1.7819700000000001"/>
    <n v="1.7819700000000001"/>
    <n v="0"/>
    <n v="1.3766700000000001"/>
    <n v="2.9635199999999999"/>
    <n v="702618000"/>
    <n v="0"/>
    <n v="0"/>
    <n v="0"/>
    <n v="0"/>
    <n v="4610370"/>
    <n v="150280"/>
    <n v="0"/>
    <n v="8"/>
    <x v="27"/>
    <n v="1.7368290476941542E-10"/>
    <n v="3.6640364326505556E-10"/>
  </r>
  <r>
    <n v="85.138999999999996"/>
    <n v="85.138999999999996"/>
    <n v="8.30199"/>
    <n v="0"/>
    <n v="0.02"/>
    <n v="3.37188"/>
    <n v="3.37188"/>
    <n v="0"/>
    <n v="0.57569999999999999"/>
    <n v="5.3222399999999999"/>
    <n v="165666000"/>
    <n v="0"/>
    <n v="0"/>
    <n v="0"/>
    <n v="0"/>
    <n v="5040880"/>
    <n v="346636"/>
    <n v="0"/>
    <n v="99.302199999999999"/>
    <n v="98.274000000000001"/>
    <n v="8.7511100000000006"/>
    <n v="0"/>
    <n v="0"/>
    <n v="1.9916100000000001"/>
    <n v="1.9916100000000001"/>
    <n v="0"/>
    <n v="1.3767499999999999"/>
    <n v="2.9635199999999999"/>
    <n v="702786000"/>
    <n v="0"/>
    <n v="0"/>
    <n v="0"/>
    <n v="0"/>
    <n v="5152760"/>
    <n v="167960"/>
    <n v="0"/>
    <n v="9"/>
    <x v="27"/>
    <n v="1.7368312287205562E-10"/>
    <n v="3.6640296010288509E-10"/>
  </r>
  <r>
    <n v="85.138999999999996"/>
    <n v="85.138999999999996"/>
    <n v="14.375299999999999"/>
    <n v="0"/>
    <n v="0.02"/>
    <n v="3.37208"/>
    <n v="3.37208"/>
    <n v="0"/>
    <n v="0.63188999999999995"/>
    <n v="5.3222399999999999"/>
    <n v="166012000"/>
    <n v="0"/>
    <n v="0"/>
    <n v="0"/>
    <n v="0"/>
    <n v="5041180"/>
    <n v="346657"/>
    <n v="0"/>
    <n v="99.302199999999999"/>
    <n v="98.274000000000001"/>
    <n v="13.587199999999999"/>
    <n v="0"/>
    <n v="0"/>
    <n v="1.99173"/>
    <n v="1.99173"/>
    <n v="0"/>
    <n v="1.5387200000000001"/>
    <n v="2.9635199999999999"/>
    <n v="702954000"/>
    <n v="0"/>
    <n v="0"/>
    <n v="0"/>
    <n v="0"/>
    <n v="5153070"/>
    <n v="167970"/>
    <n v="0"/>
    <n v="10"/>
    <x v="27"/>
    <n v="1.7368301450944207E-10"/>
    <n v="3.6640335171450763E-10"/>
  </r>
  <r>
    <n v="85.138999999999996"/>
    <n v="85.138999999999996"/>
    <n v="6.03681"/>
    <n v="0"/>
    <n v="0.02"/>
    <n v="3.3722799999999999"/>
    <n v="3.3722799999999999"/>
    <n v="0"/>
    <n v="0.63192800000000005"/>
    <n v="5.3222399999999999"/>
    <n v="166359000"/>
    <n v="0"/>
    <n v="0"/>
    <n v="0"/>
    <n v="0"/>
    <n v="5041480"/>
    <n v="346677"/>
    <n v="0"/>
    <n v="99.302199999999999"/>
    <n v="98.274000000000001"/>
    <n v="6.8750799999999996"/>
    <n v="0"/>
    <n v="0"/>
    <n v="1.9918499999999999"/>
    <n v="1.9918499999999999"/>
    <n v="0"/>
    <n v="1.53881"/>
    <n v="2.9635199999999999"/>
    <n v="703122000"/>
    <n v="0"/>
    <n v="0"/>
    <n v="0"/>
    <n v="0"/>
    <n v="5153380"/>
    <n v="167980"/>
    <n v="0"/>
    <n v="11"/>
    <x v="27"/>
    <n v="1.7368290615986555E-10"/>
    <n v="3.6640268638020107E-10"/>
  </r>
  <r>
    <n v="85.138999999999996"/>
    <n v="85.138999999999996"/>
    <n v="4.9049699999999996"/>
    <n v="0"/>
    <n v="0.02"/>
    <n v="3.37249"/>
    <n v="3.37249"/>
    <n v="0"/>
    <n v="0.63196600000000003"/>
    <n v="5.3222399999999999"/>
    <n v="166706000"/>
    <n v="0"/>
    <n v="0"/>
    <n v="0"/>
    <n v="0"/>
    <n v="5041780"/>
    <n v="346698"/>
    <n v="0"/>
    <n v="99.302199999999999"/>
    <n v="98.274000000000001"/>
    <n v="6.9131"/>
    <n v="0"/>
    <n v="0"/>
    <n v="1.99197"/>
    <n v="1.99197"/>
    <n v="0"/>
    <n v="1.5388999999999999"/>
    <n v="2.9635199999999999"/>
    <n v="703290000"/>
    <n v="0"/>
    <n v="0"/>
    <n v="0"/>
    <n v="0"/>
    <n v="5153690"/>
    <n v="167990"/>
    <n v="0"/>
    <n v="12"/>
    <x v="27"/>
    <n v="1.7368279782332372E-10"/>
    <n v="3.6640307796150692E-10"/>
  </r>
  <r>
    <n v="85.138999999999996"/>
    <n v="85.138999999999996"/>
    <n v="6.4938399999999996"/>
    <n v="0"/>
    <n v="0.02"/>
    <n v="2.9451800000000001"/>
    <n v="2.9451800000000001"/>
    <n v="0"/>
    <n v="0.63200400000000001"/>
    <n v="5.3222399999999999"/>
    <n v="167009000"/>
    <n v="0"/>
    <n v="0"/>
    <n v="0"/>
    <n v="0"/>
    <n v="4402970"/>
    <n v="302770"/>
    <n v="0"/>
    <n v="99.302199999999999"/>
    <n v="98.274000000000001"/>
    <n v="11.748699999999999"/>
    <n v="0"/>
    <n v="0"/>
    <n v="1.71082"/>
    <n v="1.71082"/>
    <n v="0"/>
    <n v="1.5389900000000001"/>
    <n v="2.9635199999999999"/>
    <n v="703435000"/>
    <n v="0"/>
    <n v="0"/>
    <n v="0"/>
    <n v="0"/>
    <n v="4426300"/>
    <n v="144280"/>
    <n v="0"/>
    <n v="13"/>
    <x v="27"/>
    <n v="1.7368285766608934E-10"/>
    <n v="3.6640279893846543E-10"/>
  </r>
  <r>
    <n v="85.138999999999996"/>
    <n v="85.138999999999996"/>
    <n v="7.9476300000000002"/>
    <n v="0"/>
    <n v="0.02"/>
    <n v="2.94536"/>
    <n v="2.94536"/>
    <n v="0"/>
    <n v="0.55192600000000003"/>
    <n v="5.3222399999999999"/>
    <n v="167311000"/>
    <n v="0"/>
    <n v="0"/>
    <n v="0"/>
    <n v="0"/>
    <n v="4403230"/>
    <n v="302788"/>
    <n v="0"/>
    <n v="99.302199999999999"/>
    <n v="98.274000000000001"/>
    <n v="13.130599999999999"/>
    <n v="0"/>
    <n v="0"/>
    <n v="1.71092"/>
    <n v="1.71092"/>
    <n v="0"/>
    <n v="1.32178"/>
    <n v="2.9635199999999999"/>
    <n v="703579000"/>
    <n v="0"/>
    <n v="0"/>
    <n v="0"/>
    <n v="0"/>
    <n v="4426570"/>
    <n v="144289"/>
    <n v="0"/>
    <n v="14"/>
    <x v="27"/>
    <n v="1.7368309727815728E-10"/>
    <n v="3.6640294549783186E-10"/>
  </r>
  <r>
    <n v="85.138999999999996"/>
    <n v="85.138999999999996"/>
    <n v="6.7744299999999997"/>
    <n v="0"/>
    <n v="0.02"/>
    <n v="2.9455300000000002"/>
    <n v="2.9455300000000002"/>
    <n v="0"/>
    <n v="0.55196000000000001"/>
    <n v="5.3222399999999999"/>
    <n v="167614000"/>
    <n v="0"/>
    <n v="0"/>
    <n v="0"/>
    <n v="0"/>
    <n v="4403500"/>
    <n v="302806"/>
    <n v="0"/>
    <n v="99.302199999999999"/>
    <n v="98.274000000000001"/>
    <n v="12.790699999999999"/>
    <n v="0"/>
    <n v="0"/>
    <n v="1.7110300000000001"/>
    <n v="1.7110300000000001"/>
    <n v="0"/>
    <n v="1.32186"/>
    <n v="2.9635199999999999"/>
    <n v="703723000"/>
    <n v="0"/>
    <n v="0"/>
    <n v="0"/>
    <n v="0"/>
    <n v="4426830"/>
    <n v="144298"/>
    <n v="0"/>
    <n v="15"/>
    <x v="27"/>
    <n v="1.7368372920345581E-10"/>
    <n v="3.6640225996746707E-10"/>
  </r>
  <r>
    <n v="85.138999999999996"/>
    <n v="85.138999999999996"/>
    <n v="5.4439399999999996"/>
    <n v="0"/>
    <n v="0.02"/>
    <n v="2.9457100000000001"/>
    <n v="2.9457100000000001"/>
    <n v="0"/>
    <n v="0.55199299999999996"/>
    <n v="5.3222399999999999"/>
    <n v="167917000"/>
    <n v="0"/>
    <n v="0"/>
    <n v="0"/>
    <n v="0"/>
    <n v="4403760"/>
    <n v="302825"/>
    <n v="0"/>
    <n v="99.302199999999999"/>
    <n v="98.274000000000001"/>
    <n v="10.414199999999999"/>
    <n v="0"/>
    <n v="0"/>
    <n v="1.71113"/>
    <n v="1.71113"/>
    <n v="0"/>
    <n v="1.3219399999999999"/>
    <n v="2.9635199999999999"/>
    <n v="703868000"/>
    <n v="0"/>
    <n v="0"/>
    <n v="0"/>
    <n v="0"/>
    <n v="4427100"/>
    <n v="144306"/>
    <n v="0"/>
    <n v="16"/>
    <x v="27"/>
    <n v="1.7368276516096317E-10"/>
    <n v="3.6640361649269262E-10"/>
  </r>
  <r>
    <n v="85.138999999999996"/>
    <n v="85.138999999999996"/>
    <n v="6.1756399999999996"/>
    <n v="0"/>
    <n v="0.02"/>
    <n v="2.9458799999999998"/>
    <n v="2.9458799999999998"/>
    <n v="0"/>
    <n v="0.55202600000000002"/>
    <n v="5.3222399999999999"/>
    <n v="168220000"/>
    <n v="0"/>
    <n v="0"/>
    <n v="0"/>
    <n v="0"/>
    <n v="4404020"/>
    <n v="302843"/>
    <n v="0"/>
    <n v="99.302199999999999"/>
    <n v="98.274000000000001"/>
    <n v="10.988200000000001"/>
    <n v="0"/>
    <n v="0"/>
    <n v="1.71123"/>
    <n v="1.71123"/>
    <n v="0"/>
    <n v="1.32202"/>
    <n v="2.9635199999999999"/>
    <n v="704012000"/>
    <n v="0"/>
    <n v="0"/>
    <n v="0"/>
    <n v="0"/>
    <n v="4427360"/>
    <n v="144315"/>
    <n v="0"/>
    <n v="17"/>
    <x v="27"/>
    <n v="1.7368339703011765E-10"/>
    <n v="3.6640376297750309E-10"/>
  </r>
  <r>
    <n v="85.138999999999996"/>
    <n v="85.138999999999996"/>
    <n v="7.8907800000000003"/>
    <n v="0"/>
    <n v="0.02"/>
    <n v="3.0537000000000001"/>
    <n v="3.0537000000000001"/>
    <n v="0"/>
    <n v="0.55205899999999997"/>
    <n v="5.3222399999999999"/>
    <n v="168534000"/>
    <n v="0"/>
    <n v="0"/>
    <n v="0"/>
    <n v="0"/>
    <n v="4565210"/>
    <n v="313927"/>
    <n v="0"/>
    <n v="99.302199999999999"/>
    <n v="98.274000000000001"/>
    <n v="11.2395"/>
    <n v="0"/>
    <n v="0"/>
    <n v="1.78016"/>
    <n v="1.78016"/>
    <n v="0"/>
    <n v="1.3221000000000001"/>
    <n v="2.9635199999999999"/>
    <n v="704162000"/>
    <n v="0"/>
    <n v="0"/>
    <n v="0"/>
    <n v="0"/>
    <n v="4605700"/>
    <n v="150128"/>
    <n v="0"/>
    <n v="18"/>
    <x v="27"/>
    <n v="1.7368316357314185E-10"/>
    <n v="3.6640346999853568E-10"/>
  </r>
  <r>
    <n v="85.138999999999996"/>
    <n v="85.138999999999996"/>
    <n v="6.3368599999999997"/>
    <n v="0"/>
    <n v="0.02"/>
    <n v="3.05389"/>
    <n v="3.05389"/>
    <n v="0"/>
    <n v="0.57226399999999999"/>
    <n v="5.3222399999999999"/>
    <n v="168848000"/>
    <n v="0"/>
    <n v="0"/>
    <n v="0"/>
    <n v="0"/>
    <n v="4565480"/>
    <n v="313945"/>
    <n v="0"/>
    <n v="99.302199999999999"/>
    <n v="98.274000000000001"/>
    <n v="10.1313"/>
    <n v="0"/>
    <n v="0"/>
    <n v="1.78027"/>
    <n v="1.78027"/>
    <n v="0"/>
    <n v="1.3753500000000001"/>
    <n v="2.9635199999999999"/>
    <n v="704312000"/>
    <n v="0"/>
    <n v="0"/>
    <n v="0"/>
    <n v="0"/>
    <n v="4605980"/>
    <n v="150137"/>
    <n v="0"/>
    <n v="19"/>
    <x v="27"/>
    <n v="1.7368301675213113E-10"/>
    <n v="3.664028087592845E-10"/>
  </r>
  <r>
    <n v="85.138999999999996"/>
    <n v="85.138999999999996"/>
    <n v="5.9406499999999998"/>
    <n v="0"/>
    <n v="0.02"/>
    <n v="3.0540699999999998"/>
    <n v="3.0540699999999998"/>
    <n v="0"/>
    <n v="0.57229799999999997"/>
    <n v="5.3222399999999999"/>
    <n v="169162000"/>
    <n v="0"/>
    <n v="0"/>
    <n v="0"/>
    <n v="0"/>
    <n v="4565760"/>
    <n v="313964"/>
    <n v="0"/>
    <n v="99.302199999999999"/>
    <n v="98.274000000000001"/>
    <n v="10.88"/>
    <n v="0"/>
    <n v="0"/>
    <n v="1.7803800000000001"/>
    <n v="1.7803800000000001"/>
    <n v="0"/>
    <n v="1.37544"/>
    <n v="2.9635199999999999"/>
    <n v="704462000"/>
    <n v="0"/>
    <n v="0"/>
    <n v="0"/>
    <n v="0"/>
    <n v="4606250"/>
    <n v="150146"/>
    <n v="0"/>
    <n v="20"/>
    <x v="27"/>
    <n v="1.7368324700811778E-10"/>
    <n v="3.6640251211922154E-10"/>
  </r>
  <r>
    <n v="85.138999999999996"/>
    <n v="85.138999999999996"/>
    <n v="5.7534700000000001"/>
    <n v="0"/>
    <n v="0.02"/>
    <n v="3.0542500000000001"/>
    <n v="3.0542500000000001"/>
    <n v="0"/>
    <n v="0.57233299999999998"/>
    <n v="5.3222399999999999"/>
    <n v="169476000"/>
    <n v="0"/>
    <n v="0"/>
    <n v="0"/>
    <n v="0"/>
    <n v="4566030"/>
    <n v="313983"/>
    <n v="0"/>
    <n v="99.302199999999999"/>
    <n v="98.274000000000001"/>
    <n v="10.316000000000001"/>
    <n v="0"/>
    <n v="0"/>
    <n v="1.7804800000000001"/>
    <n v="1.7804800000000001"/>
    <n v="0"/>
    <n v="1.3755200000000001"/>
    <n v="2.9635199999999999"/>
    <n v="704612000"/>
    <n v="0"/>
    <n v="0"/>
    <n v="0"/>
    <n v="0"/>
    <n v="4606530"/>
    <n v="150155"/>
    <n v="0"/>
    <n v="21"/>
    <x v="27"/>
    <n v="1.7368310019956543E-10"/>
    <n v="3.6640301796803259E-10"/>
  </r>
  <r>
    <n v="85.138999999999996"/>
    <n v="85.138999999999996"/>
    <n v="6.5083900000000003"/>
    <n v="0"/>
    <n v="0.02"/>
    <n v="3.01234"/>
    <n v="3.01234"/>
    <n v="0"/>
    <n v="0.57236699999999996"/>
    <n v="5.3222399999999999"/>
    <n v="169785000"/>
    <n v="0"/>
    <n v="0"/>
    <n v="0"/>
    <n v="0"/>
    <n v="4503370"/>
    <n v="309674"/>
    <n v="0"/>
    <n v="99.302199999999999"/>
    <n v="98.274000000000001"/>
    <n v="7.4995099999999999"/>
    <n v="0"/>
    <n v="0"/>
    <n v="1.7538499999999999"/>
    <n v="1.7538499999999999"/>
    <n v="0"/>
    <n v="1.3755999999999999"/>
    <n v="2.9635199999999999"/>
    <n v="704760000"/>
    <n v="0"/>
    <n v="0"/>
    <n v="0"/>
    <n v="0"/>
    <n v="4537630"/>
    <n v="147909"/>
    <n v="0"/>
    <n v="22"/>
    <x v="27"/>
    <n v="1.7368295059736086E-10"/>
    <n v="3.6640279810004297E-10"/>
  </r>
  <r>
    <n v="85.138999999999996"/>
    <n v="85.138999999999996"/>
    <n v="4.6970900000000002"/>
    <n v="0"/>
    <n v="0.02"/>
    <n v="3.0125199999999999"/>
    <n v="3.0125199999999999"/>
    <n v="0"/>
    <n v="0.56451200000000001"/>
    <n v="5.3222399999999999"/>
    <n v="170095000"/>
    <n v="0"/>
    <n v="0"/>
    <n v="0"/>
    <n v="0"/>
    <n v="4503640"/>
    <n v="309693"/>
    <n v="0"/>
    <n v="99.302199999999999"/>
    <n v="98.274000000000001"/>
    <n v="5.7329800000000004"/>
    <n v="0"/>
    <n v="0"/>
    <n v="1.7539499999999999"/>
    <n v="1.7539499999999999"/>
    <n v="0"/>
    <n v="1.3550199999999999"/>
    <n v="2.9635199999999999"/>
    <n v="704908000"/>
    <n v="0"/>
    <n v="0"/>
    <n v="0"/>
    <n v="0"/>
    <n v="4537900"/>
    <n v="147918"/>
    <n v="0"/>
    <n v="23"/>
    <x v="27"/>
    <n v="1.7368318432540692E-10"/>
    <n v="3.6640331093935334E-10"/>
  </r>
  <r>
    <n v="85.138999999999996"/>
    <n v="85.138999999999996"/>
    <n v="4.0530299999999997"/>
    <n v="0"/>
    <n v="0.02"/>
    <n v="3.0127000000000002"/>
    <n v="3.0127000000000002"/>
    <n v="0"/>
    <n v="0.56454599999999999"/>
    <n v="5.3222399999999999"/>
    <n v="170405000"/>
    <n v="0"/>
    <n v="0"/>
    <n v="0"/>
    <n v="0"/>
    <n v="4503910"/>
    <n v="309711"/>
    <n v="0"/>
    <n v="99.302199999999999"/>
    <n v="98.274000000000001"/>
    <n v="5.3675499999999996"/>
    <n v="0"/>
    <n v="0"/>
    <n v="1.75406"/>
    <n v="1.75406"/>
    <n v="0"/>
    <n v="1.35511"/>
    <n v="2.9635199999999999"/>
    <n v="705056000"/>
    <n v="0"/>
    <n v="0"/>
    <n v="0"/>
    <n v="0"/>
    <n v="4538170"/>
    <n v="147927"/>
    <n v="0"/>
    <n v="24"/>
    <x v="27"/>
    <n v="1.7368341802564152E-10"/>
    <n v="3.6640264067026923E-10"/>
  </r>
  <r>
    <n v="85.104399999999998"/>
    <n v="85.138999999999996"/>
    <n v="3.3484799999999999"/>
    <n v="0"/>
    <n v="0.02"/>
    <n v="3.01288"/>
    <n v="3.01288"/>
    <n v="0"/>
    <n v="0.56457999999999997"/>
    <n v="5.3222399999999999"/>
    <n v="170714000"/>
    <n v="0"/>
    <n v="0"/>
    <n v="0"/>
    <n v="0"/>
    <n v="4504180"/>
    <n v="309730"/>
    <n v="0"/>
    <n v="99.302199999999999"/>
    <n v="98.274000000000001"/>
    <n v="4.6424000000000003"/>
    <n v="0"/>
    <n v="0"/>
    <n v="1.7541599999999999"/>
    <n v="1.7541599999999999"/>
    <n v="0"/>
    <n v="1.3551899999999999"/>
    <n v="2.9635199999999999"/>
    <n v="705204000"/>
    <n v="0"/>
    <n v="0"/>
    <n v="0"/>
    <n v="0"/>
    <n v="4538440"/>
    <n v="147936"/>
    <n v="0"/>
    <n v="25"/>
    <x v="27"/>
    <n v="1.7368365169806964E-10"/>
    <n v="3.6640315345753304E-10"/>
  </r>
  <r>
    <n v="84.926299999999998"/>
    <n v="85.138999999999996"/>
    <n v="3.3052800000000002"/>
    <n v="0"/>
    <n v="0.02"/>
    <n v="3.1559900000000001"/>
    <n v="3.1559900000000001"/>
    <n v="0"/>
    <n v="0.56461399999999995"/>
    <n v="5.3222399999999999"/>
    <n v="171039000"/>
    <n v="0"/>
    <n v="0"/>
    <n v="0"/>
    <n v="0"/>
    <n v="4718130"/>
    <n v="324442"/>
    <n v="0"/>
    <n v="99.302199999999999"/>
    <n v="98.274000000000001"/>
    <n v="4.0990000000000002"/>
    <n v="0"/>
    <n v="0"/>
    <n v="1.8491200000000001"/>
    <n v="1.8491200000000001"/>
    <n v="0"/>
    <n v="1.35527"/>
    <n v="2.9635199999999999"/>
    <n v="705360000"/>
    <n v="0"/>
    <n v="0"/>
    <n v="0"/>
    <n v="0"/>
    <n v="4784100"/>
    <n v="155943"/>
    <n v="0"/>
    <n v="26"/>
    <x v="27"/>
    <n v="1.7368299678852211E-10"/>
    <n v="3.6640284321947016E-10"/>
  </r>
  <r>
    <n v="84.945499999999996"/>
    <n v="85.138999999999996"/>
    <n v="3.5177999999999998"/>
    <n v="0"/>
    <n v="0.02"/>
    <n v="3.15618"/>
    <n v="3.15618"/>
    <n v="0"/>
    <n v="0.59143199999999996"/>
    <n v="5.3222399999999999"/>
    <n v="171363000"/>
    <n v="0"/>
    <n v="0"/>
    <n v="0"/>
    <n v="0"/>
    <n v="4718410"/>
    <n v="324461"/>
    <n v="0"/>
    <n v="99.302199999999999"/>
    <n v="98.274000000000001"/>
    <n v="4.6247199999999999"/>
    <n v="0"/>
    <n v="0"/>
    <n v="1.8492299999999999"/>
    <n v="1.8492299999999999"/>
    <n v="0"/>
    <n v="1.4286300000000001"/>
    <n v="2.9635199999999999"/>
    <n v="705516000"/>
    <n v="0"/>
    <n v="0"/>
    <n v="0"/>
    <n v="0"/>
    <n v="4784390"/>
    <n v="155953"/>
    <n v="0"/>
    <n v="27"/>
    <x v="27"/>
    <n v="1.7368360612406723E-10"/>
    <n v="3.6640255617426157E-10"/>
  </r>
  <r>
    <n v="84.797300000000007"/>
    <n v="85.138999999999996"/>
    <n v="3.3260900000000002"/>
    <n v="0"/>
    <n v="0.02"/>
    <n v="3.1563699999999999"/>
    <n v="3.1563699999999999"/>
    <n v="0"/>
    <n v="0.59146799999999999"/>
    <n v="5.3222399999999999"/>
    <n v="171688000"/>
    <n v="0"/>
    <n v="0"/>
    <n v="0"/>
    <n v="0"/>
    <n v="4718690"/>
    <n v="324481"/>
    <n v="0"/>
    <n v="99.302199999999999"/>
    <n v="98.274000000000001"/>
    <n v="3.9594900000000002"/>
    <n v="0"/>
    <n v="0"/>
    <n v="1.84934"/>
    <n v="1.84934"/>
    <n v="0"/>
    <n v="1.4287099999999999"/>
    <n v="2.9635199999999999"/>
    <n v="705672000"/>
    <n v="0"/>
    <n v="0"/>
    <n v="0"/>
    <n v="0"/>
    <n v="4784670"/>
    <n v="155962"/>
    <n v="0"/>
    <n v="28"/>
    <x v="27"/>
    <n v="1.7368346476038839E-10"/>
    <n v="3.6640339836143337E-10"/>
  </r>
  <r>
    <n v="84.445899999999995"/>
    <n v="85.138999999999996"/>
    <n v="3.0945900000000002"/>
    <n v="0"/>
    <n v="0.02"/>
    <n v="3.1565599999999998"/>
    <n v="3.1565599999999998"/>
    <n v="0"/>
    <n v="0.591503"/>
    <n v="5.3222399999999999"/>
    <n v="172012000"/>
    <n v="0"/>
    <n v="0"/>
    <n v="0"/>
    <n v="0"/>
    <n v="4718970"/>
    <n v="324500"/>
    <n v="0"/>
    <n v="99.302199999999999"/>
    <n v="98.274000000000001"/>
    <n v="3.5180400000000001"/>
    <n v="0"/>
    <n v="0"/>
    <n v="1.84945"/>
    <n v="1.84945"/>
    <n v="0"/>
    <n v="1.4288000000000001"/>
    <n v="2.9635199999999999"/>
    <n v="705828000"/>
    <n v="0"/>
    <n v="0"/>
    <n v="0"/>
    <n v="0"/>
    <n v="4784960"/>
    <n v="155971"/>
    <n v="0"/>
    <n v="29"/>
    <x v="27"/>
    <n v="1.7368296043566697E-10"/>
    <n v="3.6640311131734907E-10"/>
  </r>
  <r>
    <n v="84.165999999999997"/>
    <n v="85.138999999999996"/>
    <n v="3.0971600000000001"/>
    <n v="0"/>
    <n v="0.02"/>
    <n v="3.1567500000000002"/>
    <n v="3.1567500000000002"/>
    <n v="0"/>
    <n v="0.59153900000000004"/>
    <n v="5.3222399999999999"/>
    <n v="172337000"/>
    <n v="0"/>
    <n v="0"/>
    <n v="0"/>
    <n v="0"/>
    <n v="4719260"/>
    <n v="324520"/>
    <n v="0"/>
    <n v="99.302199999999999"/>
    <n v="98.274000000000001"/>
    <n v="3.3808799999999999"/>
    <n v="0"/>
    <n v="0"/>
    <n v="1.8495600000000001"/>
    <n v="1.8495600000000001"/>
    <n v="0"/>
    <n v="1.4288799999999999"/>
    <n v="2.9635199999999999"/>
    <n v="705984000"/>
    <n v="0"/>
    <n v="0"/>
    <n v="0"/>
    <n v="0"/>
    <n v="4785250"/>
    <n v="155981"/>
    <n v="0"/>
    <n v="30"/>
    <x v="27"/>
    <n v="1.7368356966390602E-10"/>
    <n v="3.6640317697036089E-10"/>
  </r>
  <r>
    <n v="84.143199999999993"/>
    <n v="85.138999999999996"/>
    <n v="3.3353100000000002"/>
    <n v="0"/>
    <n v="0.02"/>
    <n v="3.12866"/>
    <n v="3.12866"/>
    <n v="0"/>
    <n v="0.59157400000000004"/>
    <n v="5.3222399999999999"/>
    <n v="172659000"/>
    <n v="0"/>
    <n v="0"/>
    <n v="0"/>
    <n v="0"/>
    <n v="4677270"/>
    <n v="321632"/>
    <n v="0"/>
    <n v="99.205299999999994"/>
    <n v="98.274000000000001"/>
    <n v="3.5637500000000002"/>
    <n v="0"/>
    <n v="0"/>
    <n v="1.90181"/>
    <n v="1.90181"/>
    <n v="0"/>
    <n v="1.4289700000000001"/>
    <n v="2.9635199999999999"/>
    <n v="706144000"/>
    <n v="0"/>
    <n v="0"/>
    <n v="0"/>
    <n v="0"/>
    <n v="4920440"/>
    <n v="160387"/>
    <n v="0"/>
    <n v="31"/>
    <x v="27"/>
    <n v="1.7368283195327592E-10"/>
    <n v="3.6640254256929519E-10"/>
  </r>
  <r>
    <n v="83.974800000000002"/>
    <n v="85.138999999999996"/>
    <n v="3.16255"/>
    <n v="0"/>
    <n v="0.02"/>
    <n v="3.1288499999999999"/>
    <n v="3.1288499999999999"/>
    <n v="0"/>
    <n v="0.58631100000000003"/>
    <n v="5.3222399999999999"/>
    <n v="172980000"/>
    <n v="0"/>
    <n v="0"/>
    <n v="0"/>
    <n v="0"/>
    <n v="4677550"/>
    <n v="321652"/>
    <n v="0"/>
    <n v="99.067099999999996"/>
    <n v="98.274000000000001"/>
    <n v="3.4565199999999998"/>
    <n v="0"/>
    <n v="0"/>
    <n v="1.9019299999999999"/>
    <n v="1.9019299999999999"/>
    <n v="0"/>
    <n v="1.4693400000000001"/>
    <n v="2.9635199999999999"/>
    <n v="706305000"/>
    <n v="0"/>
    <n v="0"/>
    <n v="0"/>
    <n v="0"/>
    <n v="4920740"/>
    <n v="160397"/>
    <n v="0"/>
    <n v="32"/>
    <x v="27"/>
    <n v="1.7368307145350786E-10"/>
    <n v="3.6640339216448821E-10"/>
  </r>
  <r>
    <n v="83.625799999999998"/>
    <n v="85.138999999999996"/>
    <n v="2.9630999999999998"/>
    <n v="0"/>
    <n v="0.02"/>
    <n v="3.1290399999999998"/>
    <n v="3.1290399999999998"/>
    <n v="0"/>
    <n v="0.58634600000000003"/>
    <n v="5.3222399999999999"/>
    <n v="173302000"/>
    <n v="0"/>
    <n v="0"/>
    <n v="0"/>
    <n v="0"/>
    <n v="4677830"/>
    <n v="321671"/>
    <n v="0"/>
    <n v="98.846599999999995"/>
    <n v="98.274000000000001"/>
    <n v="3.2665000000000002"/>
    <n v="0"/>
    <n v="0"/>
    <n v="1.90204"/>
    <n v="1.90204"/>
    <n v="0"/>
    <n v="1.46943"/>
    <n v="2.9635199999999999"/>
    <n v="706465000"/>
    <n v="0"/>
    <n v="0"/>
    <n v="0"/>
    <n v="0"/>
    <n v="4921030"/>
    <n v="160407"/>
    <n v="0"/>
    <n v="33"/>
    <x v="27"/>
    <n v="1.7368366386551019E-10"/>
    <n v="3.6640310259631511E-10"/>
  </r>
  <r>
    <n v="83.103099999999998"/>
    <n v="85.138999999999996"/>
    <n v="2.7790400000000002"/>
    <n v="0"/>
    <n v="0.02"/>
    <n v="3.1292200000000001"/>
    <n v="3.1292200000000001"/>
    <n v="0"/>
    <n v="0.58638100000000004"/>
    <n v="5.3222399999999999"/>
    <n v="173624000"/>
    <n v="0"/>
    <n v="0"/>
    <n v="0"/>
    <n v="0"/>
    <n v="4678110"/>
    <n v="321690"/>
    <n v="0"/>
    <n v="98.586100000000002"/>
    <n v="98.274000000000001"/>
    <n v="3.0792799999999998"/>
    <n v="0"/>
    <n v="0"/>
    <n v="1.90215"/>
    <n v="1.90215"/>
    <n v="0"/>
    <n v="1.4695199999999999"/>
    <n v="2.9635199999999999"/>
    <n v="706626000"/>
    <n v="0"/>
    <n v="0"/>
    <n v="0"/>
    <n v="0"/>
    <n v="4921330"/>
    <n v="160416"/>
    <n v="0"/>
    <n v="34"/>
    <x v="27"/>
    <n v="1.7368282058371477E-10"/>
    <n v="3.6640281306280517E-10"/>
  </r>
  <r>
    <n v="82.886899999999997"/>
    <n v="85.138999999999996"/>
    <n v="3.1310099999999998"/>
    <n v="0"/>
    <n v="0.02"/>
    <n v="3.2024400000000002"/>
    <n v="3.2024400000000002"/>
    <n v="0"/>
    <n v="0.58641600000000005"/>
    <n v="5.3222399999999999"/>
    <n v="173953000"/>
    <n v="0"/>
    <n v="0"/>
    <n v="0"/>
    <n v="0"/>
    <n v="4787570"/>
    <n v="329218"/>
    <n v="0"/>
    <n v="98.348600000000005"/>
    <n v="98.274000000000001"/>
    <n v="3.1527400000000001"/>
    <n v="0"/>
    <n v="0"/>
    <n v="1.94875"/>
    <n v="1.94875"/>
    <n v="0"/>
    <n v="1.4696"/>
    <n v="2.9635199999999999"/>
    <n v="706790000"/>
    <n v="0"/>
    <n v="0"/>
    <n v="0"/>
    <n v="0"/>
    <n v="5041880"/>
    <n v="164346"/>
    <n v="0"/>
    <n v="35"/>
    <x v="27"/>
    <n v="1.7368339568384372E-10"/>
    <n v="3.6640391330371526E-10"/>
  </r>
  <r>
    <n v="82.675399999999996"/>
    <n v="85.138999999999996"/>
    <n v="3.12155"/>
    <n v="0"/>
    <n v="0.02"/>
    <n v="3.2026400000000002"/>
    <n v="3.2026400000000002"/>
    <n v="0"/>
    <n v="0.60013799999999995"/>
    <n v="5.3222399999999999"/>
    <n v="174282000"/>
    <n v="0"/>
    <n v="0"/>
    <n v="0"/>
    <n v="0"/>
    <n v="4787860"/>
    <n v="329237"/>
    <n v="0"/>
    <n v="98.112300000000005"/>
    <n v="98.274000000000001"/>
    <n v="3.2327599999999999"/>
    <n v="0"/>
    <n v="0"/>
    <n v="1.9488700000000001"/>
    <n v="1.9488700000000001"/>
    <n v="0"/>
    <n v="1.5056099999999999"/>
    <n v="2.9635199999999999"/>
    <n v="706954000"/>
    <n v="0"/>
    <n v="0"/>
    <n v="0"/>
    <n v="0"/>
    <n v="5042190"/>
    <n v="164356"/>
    <n v="0"/>
    <n v="36"/>
    <x v="27"/>
    <n v="1.7368328492151531E-10"/>
    <n v="3.6640286508264381E-10"/>
  </r>
  <r>
    <n v="82.081800000000001"/>
    <n v="85.138999999999996"/>
    <n v="2.72844"/>
    <n v="0"/>
    <n v="0.02"/>
    <n v="3.2028300000000001"/>
    <n v="3.2028300000000001"/>
    <n v="0"/>
    <n v="0.60017399999999999"/>
    <n v="5.3222399999999999"/>
    <n v="174611000"/>
    <n v="0"/>
    <n v="0"/>
    <n v="0"/>
    <n v="0"/>
    <n v="4788150"/>
    <n v="329257"/>
    <n v="0"/>
    <n v="97.838399999999993"/>
    <n v="98.274000000000001"/>
    <n v="2.9932500000000002"/>
    <n v="0"/>
    <n v="0"/>
    <n v="1.9489799999999999"/>
    <n v="1.9489799999999999"/>
    <n v="0"/>
    <n v="1.5057"/>
    <n v="2.9635199999999999"/>
    <n v="707119000"/>
    <n v="0"/>
    <n v="0"/>
    <n v="0"/>
    <n v="0"/>
    <n v="5042490"/>
    <n v="164366"/>
    <n v="0"/>
    <n v="37"/>
    <x v="27"/>
    <n v="1.7368351861210881E-10"/>
    <n v="3.6640292980597964E-10"/>
  </r>
  <r>
    <n v="81.544600000000003"/>
    <n v="85.138999999999996"/>
    <n v="2.51627"/>
    <n v="0.01"/>
    <n v="0.02"/>
    <n v="2.90062"/>
    <n v="3.20302"/>
    <n v="0"/>
    <n v="0.60021000000000002"/>
    <n v="5.3222399999999999"/>
    <n v="174532000"/>
    <n v="0"/>
    <n v="0"/>
    <n v="0"/>
    <n v="0"/>
    <n v="4336350"/>
    <n v="-79261.899999999994"/>
    <n v="408539"/>
    <n v="97.457800000000006"/>
    <n v="98.274000000000001"/>
    <n v="2.87066"/>
    <n v="0"/>
    <n v="0"/>
    <n v="2.2515000000000001"/>
    <n v="1.9491000000000001"/>
    <n v="0"/>
    <n v="1.50579"/>
    <n v="2.9635199999999999"/>
    <n v="708065000"/>
    <n v="0"/>
    <n v="0"/>
    <n v="0"/>
    <n v="0"/>
    <n v="5825170"/>
    <n v="946756"/>
    <n v="0"/>
    <n v="38"/>
    <x v="27"/>
    <n v="8.660064566999391E-10"/>
    <n v="-9.7393913837487686E-11"/>
  </r>
  <r>
    <n v="80.569999999999993"/>
    <n v="85.138999999999996"/>
    <n v="2.2178800000000001"/>
    <n v="0.01"/>
    <n v="0.02"/>
    <n v="3.1147399999999998"/>
    <n v="3.4171399999999998"/>
    <n v="0"/>
    <n v="0.54357599999999995"/>
    <n v="5.3222399999999999"/>
    <n v="174475000"/>
    <n v="0"/>
    <n v="0"/>
    <n v="0"/>
    <n v="0"/>
    <n v="4656460"/>
    <n v="-57249.8"/>
    <n v="408539"/>
    <n v="97.076700000000002"/>
    <n v="98.274000000000001"/>
    <n v="3.0596299999999998"/>
    <n v="0"/>
    <n v="0"/>
    <n v="2.4194399999999998"/>
    <n v="2.1170399999999998"/>
    <n v="0"/>
    <n v="1.7395099999999999"/>
    <n v="2.9635199999999999"/>
    <n v="709026000"/>
    <n v="0"/>
    <n v="0"/>
    <n v="0"/>
    <n v="0"/>
    <n v="6259660"/>
    <n v="960919"/>
    <n v="0"/>
    <n v="39"/>
    <x v="27"/>
    <n v="8.1795178418838377E-10"/>
    <n v="-6.551032670483151E-11"/>
  </r>
  <r>
    <n v="79.483599999999996"/>
    <n v="85.138999999999996"/>
    <n v="2.0721699999999998"/>
    <n v="0.01"/>
    <n v="0.02"/>
    <n v="3.1149499999999999"/>
    <n v="3.4173499999999999"/>
    <n v="0"/>
    <n v="0.58370200000000005"/>
    <n v="5.3222399999999999"/>
    <n v="174417000"/>
    <n v="0"/>
    <n v="0"/>
    <n v="0"/>
    <n v="0"/>
    <n v="4656760"/>
    <n v="-57228.800000000003"/>
    <n v="408539"/>
    <n v="96.662599999999998"/>
    <n v="98.274000000000001"/>
    <n v="3.1276199999999998"/>
    <n v="0"/>
    <n v="0"/>
    <n v="2.4195600000000002"/>
    <n v="2.1171600000000002"/>
    <n v="0"/>
    <n v="1.8692599999999999"/>
    <n v="2.9635199999999999"/>
    <n v="709987000"/>
    <n v="0"/>
    <n v="0"/>
    <n v="0"/>
    <n v="0"/>
    <n v="6259990"/>
    <n v="960930"/>
    <n v="0"/>
    <n v="40"/>
    <x v="27"/>
    <n v="8.1791802816257059E-10"/>
    <n v="-6.5482077842806901E-11"/>
  </r>
  <r>
    <n v="78.638099999999994"/>
    <n v="85.138999999999996"/>
    <n v="2.3052000000000001"/>
    <n v="0.01"/>
    <n v="0.02"/>
    <n v="3.1151499999999999"/>
    <n v="3.4175499999999999"/>
    <n v="0"/>
    <n v="0.58374099999999995"/>
    <n v="5.3222399999999999"/>
    <n v="174360000"/>
    <n v="0"/>
    <n v="0"/>
    <n v="0"/>
    <n v="0"/>
    <n v="4657070"/>
    <n v="-57207.7"/>
    <n v="408539"/>
    <n v="96.2637"/>
    <n v="98.274000000000001"/>
    <n v="3.2276099999999999"/>
    <n v="0"/>
    <n v="0"/>
    <n v="2.4196900000000001"/>
    <n v="2.1172900000000001"/>
    <n v="0"/>
    <n v="1.8693599999999999"/>
    <n v="2.9635199999999999"/>
    <n v="710948000"/>
    <n v="0"/>
    <n v="0"/>
    <n v="0"/>
    <n v="0"/>
    <n v="6260320"/>
    <n v="960940"/>
    <n v="0"/>
    <n v="41"/>
    <x v="27"/>
    <n v="8.1788342456701379E-10"/>
    <n v="-6.5453577659103168E-11"/>
  </r>
  <r>
    <n v="79.087500000000006"/>
    <n v="85.138999999999996"/>
    <n v="3.6969500000000002"/>
    <n v="0.01"/>
    <n v="0.02"/>
    <n v="3.1153599999999999"/>
    <n v="3.4177599999999999"/>
    <n v="0"/>
    <n v="0.58377900000000005"/>
    <n v="5.3222399999999999"/>
    <n v="174303000"/>
    <n v="0"/>
    <n v="0"/>
    <n v="0"/>
    <n v="0"/>
    <n v="4657380"/>
    <n v="-57186.7"/>
    <n v="408539"/>
    <n v="96.001199999999997"/>
    <n v="98.274000000000001"/>
    <n v="3.8866999999999998"/>
    <n v="0"/>
    <n v="0"/>
    <n v="2.4198200000000001"/>
    <n v="2.1174200000000001"/>
    <n v="0"/>
    <n v="1.8694500000000001"/>
    <n v="2.9635199999999999"/>
    <n v="711909000"/>
    <n v="0"/>
    <n v="0"/>
    <n v="0"/>
    <n v="0"/>
    <n v="6260650"/>
    <n v="960951"/>
    <n v="0"/>
    <n v="42"/>
    <x v="27"/>
    <n v="8.1784967570302145E-10"/>
    <n v="-6.5425195675716681E-11"/>
  </r>
  <r>
    <n v="80.318899999999999"/>
    <n v="85.138999999999996"/>
    <n v="4.4920299999999997"/>
    <n v="0.01"/>
    <n v="0.02"/>
    <n v="3.1155599999999999"/>
    <n v="3.4179599999999999"/>
    <n v="0"/>
    <n v="0.58381799999999995"/>
    <n v="5.3222399999999999"/>
    <n v="174246000"/>
    <n v="0"/>
    <n v="0"/>
    <n v="0"/>
    <n v="0"/>
    <n v="4657680"/>
    <n v="-57165.7"/>
    <n v="408539"/>
    <n v="95.864400000000003"/>
    <n v="98.274000000000001"/>
    <n v="3.8643800000000001"/>
    <n v="0"/>
    <n v="0"/>
    <n v="2.41995"/>
    <n v="2.11755"/>
    <n v="0"/>
    <n v="1.86955"/>
    <n v="2.9635199999999999"/>
    <n v="712870000"/>
    <n v="0"/>
    <n v="0"/>
    <n v="0"/>
    <n v="0"/>
    <n v="6260970"/>
    <n v="960962"/>
    <n v="0"/>
    <n v="43"/>
    <x v="27"/>
    <n v="8.1781723660948292E-10"/>
    <n v="-6.5396957876766778E-11"/>
  </r>
  <r>
    <n v="79.422499999999999"/>
    <n v="85.138999999999996"/>
    <n v="2.1143700000000001"/>
    <n v="0.01"/>
    <n v="0.02"/>
    <n v="3.0114700000000001"/>
    <n v="3.3138700000000001"/>
    <n v="0"/>
    <n v="0.58385600000000004"/>
    <n v="5.3222399999999999"/>
    <n v="174178000"/>
    <n v="0"/>
    <n v="0"/>
    <n v="0"/>
    <n v="0"/>
    <n v="4502070"/>
    <n v="-67866"/>
    <n v="408539"/>
    <n v="95.351299999999995"/>
    <n v="98.274000000000001"/>
    <n v="2.71556"/>
    <n v="0"/>
    <n v="0"/>
    <n v="2.3181799999999999"/>
    <n v="2.0157799999999999"/>
    <n v="0"/>
    <n v="1.86965"/>
    <n v="2.9635199999999999"/>
    <n v="713822000"/>
    <n v="0"/>
    <n v="0"/>
    <n v="0"/>
    <n v="0"/>
    <n v="5997690"/>
    <n v="952380"/>
    <n v="0"/>
    <n v="44"/>
    <x v="27"/>
    <n v="8.4609264525408116E-10"/>
    <n v="-8.0321475449908775E-11"/>
  </r>
  <r>
    <n v="78.915199999999999"/>
    <n v="85.138999999999996"/>
    <n v="2.5364100000000001"/>
    <n v="0.01"/>
    <n v="0.02"/>
    <n v="3.0116700000000001"/>
    <n v="3.3140700000000001"/>
    <n v="0"/>
    <n v="0.56435000000000002"/>
    <n v="5.3222399999999999"/>
    <n v="174110000"/>
    <n v="0"/>
    <n v="0"/>
    <n v="0"/>
    <n v="0"/>
    <n v="4502370"/>
    <n v="-67845.600000000006"/>
    <n v="408539"/>
    <n v="94.879099999999994"/>
    <n v="98.274000000000001"/>
    <n v="2.6618599999999999"/>
    <n v="0"/>
    <n v="0"/>
    <n v="2.3182999999999998"/>
    <n v="2.0158999999999998"/>
    <n v="0"/>
    <n v="1.7910299999999999"/>
    <n v="2.9635199999999999"/>
    <n v="714775000"/>
    <n v="0"/>
    <n v="0"/>
    <n v="0"/>
    <n v="0"/>
    <n v="5998000"/>
    <n v="952390"/>
    <n v="0"/>
    <n v="45"/>
    <x v="27"/>
    <n v="8.4605779941345563E-10"/>
    <n v="-8.0291981091766785E-11"/>
  </r>
  <r>
    <n v="79.724400000000003"/>
    <n v="85.138999999999996"/>
    <n v="3.92808"/>
    <n v="0.01"/>
    <n v="0.02"/>
    <n v="3.01187"/>
    <n v="3.31427"/>
    <n v="0"/>
    <n v="0.56438699999999997"/>
    <n v="5.3222399999999999"/>
    <n v="174042000"/>
    <n v="0"/>
    <n v="0"/>
    <n v="0"/>
    <n v="0"/>
    <n v="4502670"/>
    <n v="-67825.2"/>
    <n v="408539"/>
    <n v="94.724999999999994"/>
    <n v="98.274000000000001"/>
    <n v="4.6646700000000001"/>
    <n v="0"/>
    <n v="0"/>
    <n v="2.3184200000000001"/>
    <n v="2.0160200000000001"/>
    <n v="0"/>
    <n v="1.79112"/>
    <n v="2.9635199999999999"/>
    <n v="715727000"/>
    <n v="0"/>
    <n v="0"/>
    <n v="0"/>
    <n v="0"/>
    <n v="5998310"/>
    <n v="952400"/>
    <n v="0"/>
    <n v="46"/>
    <x v="27"/>
    <n v="8.460229571745816E-10"/>
    <n v="-8.0262490663873917E-11"/>
  </r>
  <r>
    <n v="79.8994"/>
    <n v="85.138999999999996"/>
    <n v="3.3817499999999998"/>
    <n v="0.01"/>
    <n v="0.02"/>
    <n v="3.01207"/>
    <n v="3.31447"/>
    <n v="0"/>
    <n v="0.56442400000000004"/>
    <n v="5.3222399999999999"/>
    <n v="173975000"/>
    <n v="0"/>
    <n v="0"/>
    <n v="0"/>
    <n v="0"/>
    <n v="4502970"/>
    <n v="-67804.800000000003"/>
    <n v="408539"/>
    <n v="94.4114"/>
    <n v="98.274000000000001"/>
    <n v="3.6445599999999998"/>
    <n v="0"/>
    <n v="0"/>
    <n v="2.31854"/>
    <n v="2.01614"/>
    <n v="0"/>
    <n v="1.79121"/>
    <n v="2.9635199999999999"/>
    <n v="716680000"/>
    <n v="0"/>
    <n v="0"/>
    <n v="0"/>
    <n v="0"/>
    <n v="5998630"/>
    <n v="952410"/>
    <n v="0"/>
    <n v="47"/>
    <x v="27"/>
    <n v="8.4598670823468389E-10"/>
    <n v="-8.0233004165444659E-11"/>
  </r>
  <r>
    <n v="79.883099999999999"/>
    <n v="85.138999999999996"/>
    <n v="3.1945800000000002"/>
    <n v="0.02"/>
    <n v="0.02"/>
    <n v="2.9266399999999999"/>
    <n v="3.2290399999999999"/>
    <n v="0"/>
    <n v="0.56446200000000002"/>
    <n v="5.3222399999999999"/>
    <n v="173898000"/>
    <n v="0"/>
    <n v="0"/>
    <n v="0"/>
    <n v="0"/>
    <n v="4375250"/>
    <n v="-76586.899999999994"/>
    <n v="408539"/>
    <n v="94.334999999999994"/>
    <n v="98.274000000000001"/>
    <n v="3.3531599999999999"/>
    <n v="0"/>
    <n v="0"/>
    <n v="2.2259000000000002"/>
    <n v="1.9235"/>
    <n v="0"/>
    <n v="1.79131"/>
    <n v="2.9635199999999999"/>
    <n v="717624000"/>
    <n v="0"/>
    <n v="0"/>
    <n v="0"/>
    <n v="0"/>
    <n v="5758920"/>
    <n v="944597"/>
    <n v="0"/>
    <n v="48"/>
    <x v="27"/>
    <n v="8.7397132660860205E-10"/>
    <n v="-9.3270281090365468E-11"/>
  </r>
  <r>
    <n v="79.618200000000002"/>
    <n v="85.138999999999996"/>
    <n v="2.8211400000000002"/>
    <n v="0.01"/>
    <n v="0.02"/>
    <n v="2.9268299999999998"/>
    <n v="3.2292299999999998"/>
    <n v="0"/>
    <n v="0.54845200000000005"/>
    <n v="5.3222399999999999"/>
    <n v="173821000"/>
    <n v="0"/>
    <n v="0"/>
    <n v="0"/>
    <n v="0"/>
    <n v="4375540"/>
    <n v="-76567"/>
    <n v="408539"/>
    <n v="94.212299999999999"/>
    <n v="98.274000000000001"/>
    <n v="3.4025400000000001"/>
    <n v="0"/>
    <n v="0"/>
    <n v="2.22601"/>
    <n v="1.92361"/>
    <n v="0"/>
    <n v="1.71973"/>
    <n v="2.9635199999999999"/>
    <n v="718569000"/>
    <n v="0"/>
    <n v="0"/>
    <n v="0"/>
    <n v="0"/>
    <n v="5759220"/>
    <n v="944607"/>
    <n v="0"/>
    <n v="49"/>
    <x v="27"/>
    <n v="8.7393505294133024E-10"/>
    <n v="-9.323986603673754E-11"/>
  </r>
  <r>
    <n v="79.223799999999997"/>
    <n v="85.138999999999996"/>
    <n v="2.7032400000000001"/>
    <n v="0.01"/>
    <n v="0.02"/>
    <n v="2.9270299999999998"/>
    <n v="3.2294299999999998"/>
    <n v="0"/>
    <n v="0.548489"/>
    <n v="5.3222399999999999"/>
    <n v="173745000"/>
    <n v="0"/>
    <n v="0"/>
    <n v="0"/>
    <n v="0"/>
    <n v="4375830"/>
    <n v="-76547.100000000006"/>
    <n v="408539"/>
    <n v="94.418400000000005"/>
    <n v="98.274000000000001"/>
    <n v="4.8238899999999996"/>
    <n v="0"/>
    <n v="0"/>
    <n v="2.2261299999999999"/>
    <n v="1.9237299999999999"/>
    <n v="0"/>
    <n v="1.7198199999999999"/>
    <n v="2.9635199999999999"/>
    <n v="719513000"/>
    <n v="0"/>
    <n v="0"/>
    <n v="0"/>
    <n v="0"/>
    <n v="5759520"/>
    <n v="944616"/>
    <n v="0"/>
    <n v="50"/>
    <x v="27"/>
    <n v="8.7389785791731424E-10"/>
    <n v="-9.3209455014511911E-11"/>
  </r>
  <r>
    <n v="78.879199999999997"/>
    <n v="85.138999999999996"/>
    <n v="2.77407"/>
    <n v="0.01"/>
    <n v="0.02"/>
    <n v="2.9272200000000002"/>
    <n v="3.2296200000000002"/>
    <n v="0"/>
    <n v="0.54852500000000004"/>
    <n v="5.3222399999999999"/>
    <n v="173668000"/>
    <n v="0"/>
    <n v="0"/>
    <n v="0"/>
    <n v="0"/>
    <n v="4376120"/>
    <n v="-76527.199999999997"/>
    <n v="408539"/>
    <n v="94.380499999999998"/>
    <n v="98.274000000000001"/>
    <n v="3.4736699999999998"/>
    <n v="0"/>
    <n v="0"/>
    <n v="2.2262400000000002"/>
    <n v="1.92384"/>
    <n v="0"/>
    <n v="1.71991"/>
    <n v="2.9635199999999999"/>
    <n v="720458000"/>
    <n v="0"/>
    <n v="0"/>
    <n v="0"/>
    <n v="0"/>
    <n v="5759820"/>
    <n v="944626"/>
    <n v="0"/>
    <n v="51"/>
    <x v="27"/>
    <n v="8.738615918552814E-10"/>
    <n v="-9.3179048022887094E-11"/>
  </r>
  <r>
    <n v="78.924400000000006"/>
    <n v="85.138999999999996"/>
    <n v="3.0505100000000001"/>
    <n v="0.01"/>
    <n v="0.02"/>
    <n v="2.6841699999999999"/>
    <n v="2.9865699999999999"/>
    <n v="0"/>
    <n v="0.54856099999999997"/>
    <n v="5.3222399999999999"/>
    <n v="173567000"/>
    <n v="0"/>
    <n v="0"/>
    <n v="0"/>
    <n v="0"/>
    <n v="4012770"/>
    <n v="-101513"/>
    <n v="408539"/>
    <n v="94.938599999999994"/>
    <n v="98.274000000000001"/>
    <n v="4.5904999999999996"/>
    <n v="0"/>
    <n v="0"/>
    <n v="2.0331000000000001"/>
    <n v="1.7306999999999999"/>
    <n v="0"/>
    <n v="1.7199899999999999"/>
    <n v="2.9635199999999999"/>
    <n v="721386000"/>
    <n v="0"/>
    <n v="0"/>
    <n v="0"/>
    <n v="0"/>
    <n v="5260120"/>
    <n v="928338"/>
    <n v="0"/>
    <n v="52"/>
    <x v="27"/>
    <n v="9.4037731539795571E-10"/>
    <n v="-1.347935349258937E-10"/>
  </r>
  <r>
    <n v="78.431200000000004"/>
    <n v="85.138999999999996"/>
    <n v="2.8576800000000002"/>
    <n v="0"/>
    <n v="0.02"/>
    <n v="2.9867499999999998"/>
    <n v="2.9867499999999998"/>
    <n v="0"/>
    <n v="0.50301399999999996"/>
    <n v="5.3222399999999999"/>
    <n v="173874000"/>
    <n v="0"/>
    <n v="0"/>
    <n v="0"/>
    <n v="0"/>
    <n v="4465120"/>
    <n v="307044"/>
    <n v="0"/>
    <n v="95.247500000000002"/>
    <n v="98.274000000000001"/>
    <n v="3.7640600000000002"/>
    <n v="0"/>
    <n v="0"/>
    <n v="1.73081"/>
    <n v="1.73081"/>
    <n v="0"/>
    <n v="1.57077"/>
    <n v="2.9635199999999999"/>
    <n v="721532000"/>
    <n v="0"/>
    <n v="0"/>
    <n v="0"/>
    <n v="0"/>
    <n v="4478010"/>
    <n v="145966"/>
    <n v="0"/>
    <n v="1"/>
    <x v="28"/>
    <n v="8.5770074319915497E-11"/>
    <n v="1.8094084688632127E-10"/>
  </r>
  <r>
    <n v="78.217100000000002"/>
    <n v="85.138999999999996"/>
    <n v="2.9291"/>
    <n v="0.01"/>
    <n v="0.02"/>
    <n v="2.6845300000000001"/>
    <n v="2.9869300000000001"/>
    <n v="0"/>
    <n v="0.55971700000000002"/>
    <n v="5.3222399999999999"/>
    <n v="173772000"/>
    <n v="0"/>
    <n v="0"/>
    <n v="0"/>
    <n v="0"/>
    <n v="4013300"/>
    <n v="-101476"/>
    <n v="408539"/>
    <n v="95.899600000000007"/>
    <n v="98.274000000000001"/>
    <n v="5.8297299999999996"/>
    <n v="0"/>
    <n v="0"/>
    <n v="2.0333100000000002"/>
    <n v="1.7309099999999999"/>
    <n v="0"/>
    <n v="1.3372200000000001"/>
    <n v="2.9635199999999999"/>
    <n v="722461000"/>
    <n v="0"/>
    <n v="0"/>
    <n v="0"/>
    <n v="0"/>
    <n v="5260660"/>
    <n v="928355"/>
    <n v="0"/>
    <n v="2"/>
    <x v="28"/>
    <n v="4.6434736495844503E-10"/>
    <n v="-6.6532042035206466E-11"/>
  </r>
  <r>
    <n v="77.022900000000007"/>
    <n v="85.138999999999996"/>
    <n v="1.81609"/>
    <n v="0.01"/>
    <n v="0.02"/>
    <n v="2.6847099999999999"/>
    <n v="2.9871099999999999"/>
    <n v="0"/>
    <n v="0.503081"/>
    <n v="5.3222399999999999"/>
    <n v="173671000"/>
    <n v="0"/>
    <n v="0"/>
    <n v="0"/>
    <n v="0"/>
    <n v="4013570"/>
    <n v="-101458"/>
    <n v="408539"/>
    <n v="95.702399999999997"/>
    <n v="98.274000000000001"/>
    <n v="2.7296100000000001"/>
    <n v="0"/>
    <n v="0"/>
    <n v="2.0334099999999999"/>
    <n v="1.7310099999999999"/>
    <n v="0"/>
    <n v="1.5709299999999999"/>
    <n v="2.9635199999999999"/>
    <n v="723389000"/>
    <n v="0"/>
    <n v="0"/>
    <n v="0"/>
    <n v="0"/>
    <n v="5260920"/>
    <n v="928364"/>
    <n v="0"/>
    <n v="3"/>
    <x v="28"/>
    <n v="4.6432891786519773E-10"/>
    <n v="-6.651576552389237E-11"/>
  </r>
  <r>
    <n v="75.489900000000006"/>
    <n v="85.138999999999996"/>
    <n v="1.7240500000000001"/>
    <n v="0"/>
    <n v="0.02"/>
    <n v="2.9872899999999998"/>
    <n v="2.9872899999999998"/>
    <n v="0"/>
    <n v="0.50311399999999995"/>
    <n v="5.3222399999999999"/>
    <n v="173978000"/>
    <n v="0"/>
    <n v="0"/>
    <n v="0"/>
    <n v="0"/>
    <n v="4465920"/>
    <n v="307099"/>
    <n v="0"/>
    <n v="95.817400000000006"/>
    <n v="98.274000000000001"/>
    <n v="2.54284"/>
    <n v="0"/>
    <n v="0"/>
    <n v="1.73112"/>
    <n v="1.73112"/>
    <n v="0"/>
    <n v="1.5710200000000001"/>
    <n v="2.9635199999999999"/>
    <n v="723535000"/>
    <n v="0"/>
    <n v="0"/>
    <n v="0"/>
    <n v="0"/>
    <n v="4478810"/>
    <n v="145992"/>
    <n v="0"/>
    <n v="4"/>
    <x v="28"/>
    <n v="8.5770029117557592E-11"/>
    <n v="1.8094083981354606E-10"/>
  </r>
  <r>
    <n v="82.969700000000003"/>
    <n v="85.138999999999996"/>
    <n v="11.106999999999999"/>
    <n v="0"/>
    <n v="0.02"/>
    <n v="3.0810499999999998"/>
    <n v="3.0810499999999998"/>
    <n v="0"/>
    <n v="0.55981800000000004"/>
    <n v="5.3222399999999999"/>
    <n v="174295000"/>
    <n v="0"/>
    <n v="0"/>
    <n v="0"/>
    <n v="0"/>
    <n v="4606090"/>
    <n v="316738"/>
    <n v="0"/>
    <n v="96.822100000000006"/>
    <n v="98.274000000000001"/>
    <n v="6.34999"/>
    <n v="0"/>
    <n v="0"/>
    <n v="1.7871900000000001"/>
    <n v="1.7871900000000001"/>
    <n v="0"/>
    <n v="1.3374600000000001"/>
    <n v="2.9635199999999999"/>
    <n v="723686000"/>
    <n v="0"/>
    <n v="0"/>
    <n v="0"/>
    <n v="0"/>
    <n v="4623900"/>
    <n v="150721"/>
    <n v="0"/>
    <n v="5"/>
    <x v="28"/>
    <n v="8.5769814799342406E-11"/>
    <n v="1.8094095954956866E-10"/>
  </r>
  <r>
    <n v="85.138999999999996"/>
    <n v="85.138999999999996"/>
    <n v="13.209"/>
    <n v="0"/>
    <n v="0.04"/>
    <n v="3.0812200000000001"/>
    <n v="3.0812200000000001"/>
    <n v="0"/>
    <n v="0.57738900000000004"/>
    <n v="5.3222399999999999"/>
    <n v="174612000"/>
    <n v="0"/>
    <n v="0"/>
    <n v="0"/>
    <n v="0"/>
    <n v="4606340"/>
    <n v="316755"/>
    <n v="0"/>
    <n v="99.218199999999996"/>
    <n v="98.274000000000001"/>
    <n v="9.98888"/>
    <n v="0"/>
    <n v="1"/>
    <n v="1.78729"/>
    <n v="1.78729"/>
    <n v="0"/>
    <n v="1.38079"/>
    <n v="2.9635199999999999"/>
    <n v="723837000"/>
    <n v="0"/>
    <n v="0"/>
    <n v="56061500"/>
    <n v="0"/>
    <n v="4624150"/>
    <n v="150729"/>
    <n v="0"/>
    <n v="6"/>
    <x v="28"/>
    <n v="8.5769730002529613E-11"/>
    <n v="1.8094085029443622E-10"/>
  </r>
  <r>
    <n v="85.138999999999996"/>
    <n v="85.138999999999996"/>
    <n v="13.509600000000001"/>
    <n v="0"/>
    <n v="0.04"/>
    <n v="3.0813799999999998"/>
    <n v="3.0813799999999998"/>
    <n v="0"/>
    <n v="0.57742000000000004"/>
    <n v="5.3222399999999999"/>
    <n v="174928000"/>
    <n v="0"/>
    <n v="0"/>
    <n v="0"/>
    <n v="0"/>
    <n v="4606590"/>
    <n v="316772"/>
    <n v="0"/>
    <n v="99.302199999999999"/>
    <n v="98.274000000000001"/>
    <n v="12.124000000000001"/>
    <n v="0"/>
    <n v="1"/>
    <n v="1.78739"/>
    <n v="1.78739"/>
    <n v="0"/>
    <n v="1.38086"/>
    <n v="2.9635199999999999"/>
    <n v="723987000"/>
    <n v="0"/>
    <n v="0"/>
    <n v="0"/>
    <n v="0"/>
    <n v="4624400"/>
    <n v="150737"/>
    <n v="0"/>
    <n v="7"/>
    <x v="28"/>
    <n v="8.5769645214885225E-11"/>
    <n v="1.8094074105116234E-10"/>
  </r>
  <r>
    <n v="85.138999999999996"/>
    <n v="85.138999999999996"/>
    <n v="9.9047300000000007"/>
    <n v="0"/>
    <n v="0.04"/>
    <n v="3.08155"/>
    <n v="3.08155"/>
    <n v="0"/>
    <n v="0.57745100000000005"/>
    <n v="5.3222399999999999"/>
    <n v="175245000"/>
    <n v="0"/>
    <n v="0"/>
    <n v="0"/>
    <n v="0"/>
    <n v="4606840"/>
    <n v="316789"/>
    <n v="0"/>
    <n v="99.302199999999999"/>
    <n v="98.274000000000001"/>
    <n v="9.2130700000000001"/>
    <n v="0"/>
    <n v="1"/>
    <n v="1.78748"/>
    <n v="1.78748"/>
    <n v="0"/>
    <n v="1.3809400000000001"/>
    <n v="2.9635199999999999"/>
    <n v="724138000"/>
    <n v="0"/>
    <n v="0"/>
    <n v="0"/>
    <n v="0"/>
    <n v="4624650"/>
    <n v="150746"/>
    <n v="0"/>
    <n v="8"/>
    <x v="28"/>
    <n v="8.5770129407587154E-11"/>
    <n v="1.8094063181974509E-10"/>
  </r>
  <r>
    <n v="85.138999999999996"/>
    <n v="85.138999999999996"/>
    <n v="10.423400000000001"/>
    <n v="0"/>
    <n v="0.04"/>
    <n v="3.3822999999999999"/>
    <n v="3.3822999999999999"/>
    <n v="0"/>
    <n v="0.57748200000000005"/>
    <n v="5.3222399999999999"/>
    <n v="175593000"/>
    <n v="0"/>
    <n v="0"/>
    <n v="0"/>
    <n v="0"/>
    <n v="5056450"/>
    <n v="347707"/>
    <n v="0"/>
    <n v="99.302199999999999"/>
    <n v="98.274000000000001"/>
    <n v="10.404199999999999"/>
    <n v="0"/>
    <n v="1"/>
    <n v="1.99776"/>
    <n v="1.99776"/>
    <n v="0"/>
    <n v="1.3810100000000001"/>
    <n v="2.9635199999999999"/>
    <n v="724307000"/>
    <n v="0"/>
    <n v="0"/>
    <n v="0"/>
    <n v="0"/>
    <n v="5168680"/>
    <n v="168479"/>
    <n v="0"/>
    <n v="9"/>
    <x v="28"/>
    <n v="8.5769972220255735E-11"/>
    <n v="1.8094094548729026E-10"/>
  </r>
  <r>
    <n v="85.138999999999996"/>
    <n v="85.138999999999996"/>
    <n v="7.3039199999999997"/>
    <n v="0"/>
    <n v="0.04"/>
    <n v="3.3824800000000002"/>
    <n v="3.3824800000000002"/>
    <n v="0"/>
    <n v="0.63384300000000005"/>
    <n v="5.3222399999999999"/>
    <n v="175941000"/>
    <n v="0"/>
    <n v="0"/>
    <n v="0"/>
    <n v="0"/>
    <n v="5056720"/>
    <n v="347726"/>
    <n v="0"/>
    <n v="99.302199999999999"/>
    <n v="98.274000000000001"/>
    <n v="7.6205600000000002"/>
    <n v="0"/>
    <n v="1"/>
    <n v="1.99787"/>
    <n v="1.99787"/>
    <n v="0"/>
    <n v="1.5434699999999999"/>
    <n v="2.9635199999999999"/>
    <n v="724475000"/>
    <n v="0"/>
    <n v="0"/>
    <n v="0"/>
    <n v="0"/>
    <n v="5168960"/>
    <n v="168488"/>
    <n v="0"/>
    <n v="10"/>
    <x v="28"/>
    <n v="8.5769907611680892E-11"/>
    <n v="1.8094117102942993E-10"/>
  </r>
  <r>
    <n v="85.138999999999996"/>
    <n v="85.138999999999996"/>
    <n v="9.1370400000000007"/>
    <n v="0"/>
    <n v="0.04"/>
    <n v="3.38266"/>
    <n v="3.38266"/>
    <n v="0"/>
    <n v="0.63387700000000002"/>
    <n v="5.3222399999999999"/>
    <n v="176288000"/>
    <n v="0"/>
    <n v="0"/>
    <n v="0"/>
    <n v="0"/>
    <n v="5056990"/>
    <n v="347744"/>
    <n v="0"/>
    <n v="99.302199999999999"/>
    <n v="98.274000000000001"/>
    <n v="9.7040699999999998"/>
    <n v="0"/>
    <n v="1"/>
    <n v="1.9979800000000001"/>
    <n v="1.9979800000000001"/>
    <n v="0"/>
    <n v="1.54355"/>
    <n v="2.9635199999999999"/>
    <n v="724643000"/>
    <n v="0"/>
    <n v="0"/>
    <n v="0"/>
    <n v="0"/>
    <n v="5169240"/>
    <n v="168497"/>
    <n v="0"/>
    <n v="11"/>
    <x v="28"/>
    <n v="8.5769843010105315E-11"/>
    <n v="1.8094087621966907E-10"/>
  </r>
  <r>
    <n v="85.138999999999996"/>
    <n v="85.138999999999996"/>
    <n v="8.6361000000000008"/>
    <n v="0"/>
    <n v="0.04"/>
    <n v="3.3828399999999998"/>
    <n v="3.3828399999999998"/>
    <n v="0"/>
    <n v="0.633911"/>
    <n v="5.3222399999999999"/>
    <n v="176636000"/>
    <n v="0"/>
    <n v="0"/>
    <n v="0"/>
    <n v="0"/>
    <n v="5057270"/>
    <n v="347763"/>
    <n v="0"/>
    <n v="99.302199999999999"/>
    <n v="98.274000000000001"/>
    <n v="8.5565499999999997"/>
    <n v="0"/>
    <n v="1"/>
    <n v="1.9980800000000001"/>
    <n v="1.9980800000000001"/>
    <n v="0"/>
    <n v="1.5436399999999999"/>
    <n v="2.9635199999999999"/>
    <n v="724812000"/>
    <n v="0"/>
    <n v="0"/>
    <n v="0"/>
    <n v="0"/>
    <n v="5169520"/>
    <n v="168506"/>
    <n v="0"/>
    <n v="12"/>
    <x v="28"/>
    <n v="8.576977841552784E-11"/>
    <n v="1.8094074395728019E-10"/>
  </r>
  <r>
    <n v="85.138999999999996"/>
    <n v="85.138999999999996"/>
    <n v="7.0454100000000004"/>
    <n v="0"/>
    <n v="0.04"/>
    <n v="2.9542099999999998"/>
    <n v="2.9542099999999998"/>
    <n v="0"/>
    <n v="0.63394499999999998"/>
    <n v="5.3222399999999999"/>
    <n v="176940000"/>
    <n v="0"/>
    <n v="0"/>
    <n v="0"/>
    <n v="0"/>
    <n v="4416460"/>
    <n v="303698"/>
    <n v="0"/>
    <n v="99.302199999999999"/>
    <n v="98.274000000000001"/>
    <n v="7.5922499999999999"/>
    <n v="0"/>
    <n v="1"/>
    <n v="1.71607"/>
    <n v="1.71607"/>
    <n v="0"/>
    <n v="1.54372"/>
    <n v="2.9635199999999999"/>
    <n v="724957000"/>
    <n v="0"/>
    <n v="0"/>
    <n v="0"/>
    <n v="0"/>
    <n v="4439870"/>
    <n v="144723"/>
    <n v="0"/>
    <n v="13"/>
    <x v="28"/>
    <n v="8.5770203597706428E-11"/>
    <n v="1.8094090953556008E-10"/>
  </r>
  <r>
    <n v="85.138999999999996"/>
    <n v="85.138999999999996"/>
    <n v="3.8387500000000001"/>
    <n v="0"/>
    <n v="0.04"/>
    <n v="2.9543699999999999"/>
    <n v="2.9543699999999999"/>
    <n v="0"/>
    <n v="0.55361800000000005"/>
    <n v="5.3222399999999999"/>
    <n v="177243000"/>
    <n v="0"/>
    <n v="0"/>
    <n v="0"/>
    <n v="0"/>
    <n v="4416700"/>
    <n v="303715"/>
    <n v="0"/>
    <n v="99.302199999999999"/>
    <n v="98.274000000000001"/>
    <n v="5.5035299999999996"/>
    <n v="0"/>
    <n v="1"/>
    <n v="1.7161599999999999"/>
    <n v="1.7161599999999999"/>
    <n v="0"/>
    <n v="1.3258300000000001"/>
    <n v="2.9635199999999999"/>
    <n v="725101000"/>
    <n v="0"/>
    <n v="0"/>
    <n v="0"/>
    <n v="0"/>
    <n v="4440110"/>
    <n v="144730"/>
    <n v="0"/>
    <n v="14"/>
    <x v="28"/>
    <n v="8.5769715816793281E-11"/>
    <n v="1.8094120526660635E-10"/>
  </r>
  <r>
    <n v="85.138999999999996"/>
    <n v="85.138999999999996"/>
    <n v="3.5731099999999998"/>
    <n v="0"/>
    <n v="0.04"/>
    <n v="2.95452"/>
    <n v="2.95452"/>
    <n v="0"/>
    <n v="0.55364800000000003"/>
    <n v="5.3222399999999999"/>
    <n v="177547000"/>
    <n v="0"/>
    <n v="0"/>
    <n v="0"/>
    <n v="0"/>
    <n v="4416940"/>
    <n v="303731"/>
    <n v="0"/>
    <n v="99.302199999999999"/>
    <n v="98.274000000000001"/>
    <n v="5.7556399999999996"/>
    <n v="0"/>
    <n v="1"/>
    <n v="1.7162500000000001"/>
    <n v="1.7162500000000001"/>
    <n v="0"/>
    <n v="1.3259000000000001"/>
    <n v="2.9635199999999999"/>
    <n v="725246000"/>
    <n v="0"/>
    <n v="0"/>
    <n v="0"/>
    <n v="0"/>
    <n v="4440350"/>
    <n v="144738"/>
    <n v="0"/>
    <n v="15"/>
    <x v="28"/>
    <n v="8.5769820675356682E-11"/>
    <n v="1.8094090523802817E-10"/>
  </r>
  <r>
    <n v="85.138999999999996"/>
    <n v="85.138999999999996"/>
    <n v="3.5809799999999998"/>
    <n v="0"/>
    <n v="0.04"/>
    <n v="2.9546800000000002"/>
    <n v="2.9546800000000002"/>
    <n v="0"/>
    <n v="0.553678"/>
    <n v="5.3222399999999999"/>
    <n v="177851000"/>
    <n v="0"/>
    <n v="0"/>
    <n v="0"/>
    <n v="0"/>
    <n v="4417180"/>
    <n v="303747"/>
    <n v="0"/>
    <n v="99.302199999999999"/>
    <n v="98.274000000000001"/>
    <n v="5.1650900000000002"/>
    <n v="0"/>
    <n v="1"/>
    <n v="1.71634"/>
    <n v="1.71634"/>
    <n v="0"/>
    <n v="1.3259700000000001"/>
    <n v="2.9635199999999999"/>
    <n v="725391000"/>
    <n v="0"/>
    <n v="0"/>
    <n v="0"/>
    <n v="0"/>
    <n v="4440590"/>
    <n v="144746"/>
    <n v="0"/>
    <n v="16"/>
    <x v="28"/>
    <n v="8.5769925522585498E-11"/>
    <n v="1.8094060524205308E-10"/>
  </r>
  <r>
    <n v="84.930099999999996"/>
    <n v="85.138999999999996"/>
    <n v="3.2308400000000002"/>
    <n v="0"/>
    <n v="0.04"/>
    <n v="2.9548399999999999"/>
    <n v="2.9548399999999999"/>
    <n v="0"/>
    <n v="0.55370799999999998"/>
    <n v="5.3222399999999999"/>
    <n v="178155000"/>
    <n v="0"/>
    <n v="0"/>
    <n v="0"/>
    <n v="0"/>
    <n v="4417420"/>
    <n v="303764"/>
    <n v="0"/>
    <n v="99.302199999999999"/>
    <n v="98.274000000000001"/>
    <n v="4.7805200000000001"/>
    <n v="0"/>
    <n v="1"/>
    <n v="1.7164299999999999"/>
    <n v="1.7164299999999999"/>
    <n v="0"/>
    <n v="1.32605"/>
    <n v="2.9635199999999999"/>
    <n v="725536000"/>
    <n v="0"/>
    <n v="0"/>
    <n v="0"/>
    <n v="0"/>
    <n v="4440830"/>
    <n v="144754"/>
    <n v="0"/>
    <n v="17"/>
    <x v="28"/>
    <n v="8.5770030358481617E-11"/>
    <n v="1.8094090094143023E-10"/>
  </r>
  <r>
    <n v="85.138999999999996"/>
    <n v="85.138999999999996"/>
    <n v="3.7139600000000002"/>
    <n v="0"/>
    <n v="0.04"/>
    <n v="3.06297"/>
    <n v="3.06297"/>
    <n v="0"/>
    <n v="0.55373799999999995"/>
    <n v="5.3222399999999999"/>
    <n v="178470000"/>
    <n v="0"/>
    <n v="0"/>
    <n v="0"/>
    <n v="0"/>
    <n v="4579070"/>
    <n v="314879"/>
    <n v="0"/>
    <n v="99.302199999999999"/>
    <n v="98.274000000000001"/>
    <n v="4.9956100000000001"/>
    <n v="0"/>
    <n v="1"/>
    <n v="1.78556"/>
    <n v="1.78556"/>
    <n v="0"/>
    <n v="1.32612"/>
    <n v="2.9635199999999999"/>
    <n v="725686000"/>
    <n v="0"/>
    <n v="0"/>
    <n v="0"/>
    <n v="0"/>
    <n v="4619680"/>
    <n v="150584"/>
    <n v="0"/>
    <n v="18"/>
    <x v="28"/>
    <n v="8.5770131171273662E-11"/>
    <n v="1.8094040307176234E-10"/>
  </r>
  <r>
    <n v="84.507900000000006"/>
    <n v="85.138999999999996"/>
    <n v="2.8333499999999998"/>
    <n v="0"/>
    <n v="0.04"/>
    <n v="3.0631400000000002"/>
    <n v="3.0631400000000002"/>
    <n v="0"/>
    <n v="0.57400099999999998"/>
    <n v="5.3222399999999999"/>
    <n v="178784000"/>
    <n v="0"/>
    <n v="0"/>
    <n v="0"/>
    <n v="0"/>
    <n v="4579310"/>
    <n v="314896"/>
    <n v="0"/>
    <n v="99.173900000000003"/>
    <n v="98.274000000000001"/>
    <n v="3.8010299999999999"/>
    <n v="0"/>
    <n v="1"/>
    <n v="1.78566"/>
    <n v="1.78566"/>
    <n v="0"/>
    <n v="1.3795299999999999"/>
    <n v="2.9635199999999999"/>
    <n v="725837000"/>
    <n v="0"/>
    <n v="0"/>
    <n v="0"/>
    <n v="0"/>
    <n v="4619930"/>
    <n v="150592"/>
    <n v="0"/>
    <n v="19"/>
    <x v="28"/>
    <n v="8.5770046279884644E-11"/>
    <n v="1.8094068832802657E-10"/>
  </r>
  <r>
    <n v="83.154700000000005"/>
    <n v="85.138999999999996"/>
    <n v="2.0318399999999999"/>
    <n v="0"/>
    <n v="0.04"/>
    <n v="3.0632999999999999"/>
    <n v="3.0632999999999999"/>
    <n v="0"/>
    <n v="0.57403199999999999"/>
    <n v="5.3222399999999999"/>
    <n v="179099000"/>
    <n v="0"/>
    <n v="0"/>
    <n v="0"/>
    <n v="0"/>
    <n v="4579560"/>
    <n v="314913"/>
    <n v="0"/>
    <n v="99.0441"/>
    <n v="98.274000000000001"/>
    <n v="2.8697300000000001"/>
    <n v="0"/>
    <n v="1"/>
    <n v="1.78576"/>
    <n v="1.78576"/>
    <n v="0"/>
    <n v="1.3795999999999999"/>
    <n v="2.9635199999999999"/>
    <n v="725987000"/>
    <n v="0"/>
    <n v="0"/>
    <n v="0"/>
    <n v="0"/>
    <n v="4620180"/>
    <n v="150600"/>
    <n v="0"/>
    <n v="20"/>
    <x v="28"/>
    <n v="8.5769961397682642E-11"/>
    <n v="1.8094057844880644E-10"/>
  </r>
  <r>
    <n v="81.5428"/>
    <n v="85.138999999999996"/>
    <n v="1.7457"/>
    <n v="0"/>
    <n v="0.04"/>
    <n v="3.0634700000000001"/>
    <n v="3.0634700000000001"/>
    <n v="0"/>
    <n v="0.57406299999999999"/>
    <n v="5.3222399999999999"/>
    <n v="179414000"/>
    <n v="0"/>
    <n v="0"/>
    <n v="0"/>
    <n v="0"/>
    <n v="4579810"/>
    <n v="314930"/>
    <n v="0"/>
    <n v="99.302199999999999"/>
    <n v="98.274000000000001"/>
    <n v="2.5762299999999998"/>
    <n v="0"/>
    <n v="1"/>
    <n v="1.7858499999999999"/>
    <n v="1.7858499999999999"/>
    <n v="0"/>
    <n v="1.37968"/>
    <n v="2.9635199999999999"/>
    <n v="726138000"/>
    <n v="0"/>
    <n v="0"/>
    <n v="0"/>
    <n v="0"/>
    <n v="4620430"/>
    <n v="150608"/>
    <n v="0"/>
    <n v="21"/>
    <x v="28"/>
    <n v="8.5769876524666172E-11"/>
    <n v="1.8094046858158237E-10"/>
  </r>
  <r>
    <n v="80.766599999999997"/>
    <n v="85.138999999999996"/>
    <n v="2.5598900000000002"/>
    <n v="0"/>
    <n v="0.04"/>
    <n v="3.0214099999999999"/>
    <n v="3.0214099999999999"/>
    <n v="0"/>
    <n v="0.57409399999999999"/>
    <n v="5.3222399999999999"/>
    <n v="179725000"/>
    <n v="0"/>
    <n v="0"/>
    <n v="0"/>
    <n v="0"/>
    <n v="4516930"/>
    <n v="310607"/>
    <n v="0"/>
    <n v="99.302199999999999"/>
    <n v="98.274000000000001"/>
    <n v="4.04678"/>
    <n v="0"/>
    <n v="1"/>
    <n v="1.7591300000000001"/>
    <n v="1.7591300000000001"/>
    <n v="0"/>
    <n v="1.37975"/>
    <n v="2.9635199999999999"/>
    <n v="726286000"/>
    <n v="0"/>
    <n v="0"/>
    <n v="0"/>
    <n v="0"/>
    <n v="4551290"/>
    <n v="148354"/>
    <n v="0"/>
    <n v="22"/>
    <x v="28"/>
    <n v="8.576969983234026E-11"/>
    <n v="1.8094101295730317E-10"/>
  </r>
  <r>
    <n v="79.940899999999999"/>
    <n v="85.138999999999996"/>
    <n v="2.4581300000000001"/>
    <n v="0"/>
    <n v="0.04"/>
    <n v="3.0215700000000001"/>
    <n v="3.0215700000000001"/>
    <n v="0"/>
    <n v="0.56621200000000005"/>
    <n v="5.3222399999999999"/>
    <n v="180036000"/>
    <n v="0"/>
    <n v="0"/>
    <n v="0"/>
    <n v="0"/>
    <n v="4517170"/>
    <n v="310623"/>
    <n v="0"/>
    <n v="99.302199999999999"/>
    <n v="98.274000000000001"/>
    <n v="3.8525800000000001"/>
    <n v="0"/>
    <n v="1"/>
    <n v="1.7592300000000001"/>
    <n v="1.7592300000000001"/>
    <n v="0"/>
    <n v="1.3591"/>
    <n v="2.9635199999999999"/>
    <n v="726435000"/>
    <n v="0"/>
    <n v="0"/>
    <n v="0"/>
    <n v="0"/>
    <n v="4551530"/>
    <n v="148362"/>
    <n v="0"/>
    <n v="23"/>
    <x v="28"/>
    <n v="8.5769802130371504E-11"/>
    <n v="1.8094071959617797E-10"/>
  </r>
  <r>
    <n v="79.078000000000003"/>
    <n v="85.138999999999996"/>
    <n v="2.3680099999999999"/>
    <n v="0"/>
    <n v="0.04"/>
    <n v="3.0217299999999998"/>
    <n v="3.0217299999999998"/>
    <n v="0"/>
    <n v="0.56624200000000002"/>
    <n v="5.3222399999999999"/>
    <n v="180346000"/>
    <n v="0"/>
    <n v="0"/>
    <n v="0"/>
    <n v="0"/>
    <n v="4517410"/>
    <n v="310640"/>
    <n v="0"/>
    <n v="99.302199999999999"/>
    <n v="98.274000000000001"/>
    <n v="4.0289799999999998"/>
    <n v="0"/>
    <n v="1"/>
    <n v="1.75932"/>
    <n v="1.75932"/>
    <n v="0"/>
    <n v="1.3591800000000001"/>
    <n v="2.9635199999999999"/>
    <n v="726583000"/>
    <n v="0"/>
    <n v="0"/>
    <n v="0"/>
    <n v="0"/>
    <n v="4551780"/>
    <n v="148370"/>
    <n v="0"/>
    <n v="24"/>
    <x v="28"/>
    <n v="8.5769715986046726E-11"/>
    <n v="1.8094100874436188E-10"/>
  </r>
  <r>
    <n v="78.057100000000005"/>
    <n v="85.138999999999996"/>
    <n v="2.1916799999999999"/>
    <n v="0"/>
    <n v="0.04"/>
    <n v="3.0219"/>
    <n v="3.0219"/>
    <n v="0"/>
    <n v="0.56627300000000003"/>
    <n v="5.3222399999999999"/>
    <n v="180657000"/>
    <n v="0"/>
    <n v="0"/>
    <n v="0"/>
    <n v="0"/>
    <n v="4517660"/>
    <n v="310657"/>
    <n v="0"/>
    <n v="99.302199999999999"/>
    <n v="98.274000000000001"/>
    <n v="3.7864499999999999"/>
    <n v="0"/>
    <n v="1"/>
    <n v="1.7594099999999999"/>
    <n v="1.7594099999999999"/>
    <n v="0"/>
    <n v="1.3592500000000001"/>
    <n v="2.9635199999999999"/>
    <n v="726732000"/>
    <n v="0"/>
    <n v="0"/>
    <n v="0"/>
    <n v="0"/>
    <n v="4552030"/>
    <n v="148378"/>
    <n v="0"/>
    <n v="25"/>
    <x v="28"/>
    <n v="8.5769629851184131E-11"/>
    <n v="1.8094089734186911E-10"/>
  </r>
  <r>
    <n v="77.343800000000002"/>
    <n v="85.138999999999996"/>
    <n v="2.3824100000000001"/>
    <n v="0.01"/>
    <n v="0.04"/>
    <n v="2.8630200000000001"/>
    <n v="3.1654200000000001"/>
    <n v="0"/>
    <n v="0.566303"/>
    <n v="5.3222399999999999"/>
    <n v="180574000"/>
    <n v="0"/>
    <n v="0"/>
    <n v="0"/>
    <n v="0"/>
    <n v="4280140"/>
    <n v="-83127.600000000006"/>
    <n v="408539"/>
    <n v="99.302199999999999"/>
    <n v="98.274000000000001"/>
    <n v="3.9892699999999999"/>
    <n v="0"/>
    <n v="1"/>
    <n v="2.1570399999999998"/>
    <n v="1.8546400000000001"/>
    <n v="0"/>
    <n v="1.3593200000000001"/>
    <n v="2.9635199999999999"/>
    <n v="727670000"/>
    <n v="0"/>
    <n v="0"/>
    <n v="0"/>
    <n v="0"/>
    <n v="5580770"/>
    <n v="938790"/>
    <n v="0"/>
    <n v="26"/>
    <x v="28"/>
    <n v="4.4263267378074893E-10"/>
    <n v="-5.1104177855153713E-11"/>
  </r>
  <r>
    <n v="76.499499999999998"/>
    <n v="85.138999999999996"/>
    <n v="2.2082799999999998"/>
    <n v="0.01"/>
    <n v="0.04"/>
    <n v="2.8631899999999999"/>
    <n v="3.1655899999999999"/>
    <n v="0"/>
    <n v="0.53652900000000003"/>
    <n v="5.3222399999999999"/>
    <n v="180491000"/>
    <n v="0"/>
    <n v="0"/>
    <n v="0"/>
    <n v="0"/>
    <n v="4280390"/>
    <n v="-83110.100000000006"/>
    <n v="408539"/>
    <n v="99.302199999999999"/>
    <n v="98.274000000000001"/>
    <n v="3.8791600000000002"/>
    <n v="0"/>
    <n v="1"/>
    <n v="2.1571400000000001"/>
    <n v="1.8547400000000001"/>
    <n v="0"/>
    <n v="1.6665300000000001"/>
    <n v="2.9635199999999999"/>
    <n v="728609000"/>
    <n v="0"/>
    <n v="0"/>
    <n v="0"/>
    <n v="0"/>
    <n v="5581030"/>
    <n v="938798"/>
    <n v="0"/>
    <n v="27"/>
    <x v="28"/>
    <n v="4.4261582489180455E-10"/>
    <n v="-5.1090435260589481E-11"/>
  </r>
  <r>
    <n v="75.579499999999996"/>
    <n v="85.138999999999996"/>
    <n v="2.11084"/>
    <n v="0.01"/>
    <n v="0.04"/>
    <n v="2.8633600000000001"/>
    <n v="3.1657600000000001"/>
    <n v="0"/>
    <n v="0.53656099999999995"/>
    <n v="5.3222399999999999"/>
    <n v="180408000"/>
    <n v="0"/>
    <n v="0"/>
    <n v="0"/>
    <n v="0"/>
    <n v="4280650"/>
    <n v="-83092.5"/>
    <n v="408539"/>
    <n v="99.302199999999999"/>
    <n v="98.274000000000001"/>
    <n v="3.9532400000000001"/>
    <n v="0"/>
    <n v="1"/>
    <n v="2.1572399999999998"/>
    <n v="1.85484"/>
    <n v="0"/>
    <n v="1.6666000000000001"/>
    <n v="2.9635199999999999"/>
    <n v="729548000"/>
    <n v="0"/>
    <n v="0"/>
    <n v="0"/>
    <n v="0"/>
    <n v="5581290"/>
    <n v="938807"/>
    <n v="0"/>
    <n v="28"/>
    <x v="28"/>
    <n v="4.4259944902146114E-10"/>
    <n v="-5.1076513481815869E-11"/>
  </r>
  <r>
    <n v="74.5779"/>
    <n v="85.138999999999996"/>
    <n v="2.0144700000000002"/>
    <n v="0.01"/>
    <n v="0.04"/>
    <n v="2.8635299999999999"/>
    <n v="3.1659299999999999"/>
    <n v="0"/>
    <n v="0.53659299999999999"/>
    <n v="5.3222399999999999"/>
    <n v="180324000"/>
    <n v="0"/>
    <n v="0"/>
    <n v="0"/>
    <n v="0"/>
    <n v="4280900"/>
    <n v="-83075"/>
    <n v="408539"/>
    <n v="99.302199999999999"/>
    <n v="98.274000000000001"/>
    <n v="3.8473199999999999"/>
    <n v="0"/>
    <n v="1"/>
    <n v="2.15734"/>
    <n v="1.85494"/>
    <n v="0"/>
    <n v="1.6666799999999999"/>
    <n v="2.9635199999999999"/>
    <n v="730487000"/>
    <n v="0"/>
    <n v="0"/>
    <n v="0"/>
    <n v="0"/>
    <n v="5581550"/>
    <n v="938815"/>
    <n v="0"/>
    <n v="29"/>
    <x v="28"/>
    <n v="4.4258260324990524E-10"/>
    <n v="-5.1062774140029452E-11"/>
  </r>
  <r>
    <n v="73.514200000000002"/>
    <n v="85.138999999999996"/>
    <n v="1.9281600000000001"/>
    <n v="0.01"/>
    <n v="0.04"/>
    <n v="2.8637000000000001"/>
    <n v="3.1661000000000001"/>
    <n v="0"/>
    <n v="0.53662500000000002"/>
    <n v="5.3222399999999999"/>
    <n v="180241000"/>
    <n v="0"/>
    <n v="0"/>
    <n v="0"/>
    <n v="0"/>
    <n v="4281160"/>
    <n v="-83057.5"/>
    <n v="408539"/>
    <n v="99.302199999999999"/>
    <n v="98.274000000000001"/>
    <n v="3.6240399999999999"/>
    <n v="0"/>
    <n v="1"/>
    <n v="2.1574399999999998"/>
    <n v="1.85504"/>
    <n v="0"/>
    <n v="1.66676"/>
    <n v="2.9635199999999999"/>
    <n v="731426000"/>
    <n v="0"/>
    <n v="0"/>
    <n v="0"/>
    <n v="0"/>
    <n v="5581810"/>
    <n v="938824"/>
    <n v="0"/>
    <n v="30"/>
    <x v="28"/>
    <n v="4.4256623045259359E-10"/>
    <n v="-5.1048917161743332E-11"/>
  </r>
  <r>
    <n v="72.750200000000007"/>
    <n v="85.138999999999996"/>
    <n v="2.1481699999999999"/>
    <n v="0.02"/>
    <n v="0.04"/>
    <n v="2.8355100000000002"/>
    <n v="3.1379100000000002"/>
    <n v="0"/>
    <n v="0.53665700000000005"/>
    <n v="5.3222399999999999"/>
    <n v="180155000"/>
    <n v="0"/>
    <n v="0"/>
    <n v="0"/>
    <n v="0"/>
    <n v="4239020"/>
    <n v="-85955.199999999997"/>
    <n v="408539"/>
    <n v="99.302199999999999"/>
    <n v="98.274000000000001"/>
    <n v="3.5836600000000001"/>
    <n v="0"/>
    <n v="1"/>
    <n v="2.2098399999999998"/>
    <n v="1.90744"/>
    <n v="0"/>
    <n v="1.6668400000000001"/>
    <n v="2.9635199999999999"/>
    <n v="732369000"/>
    <n v="0"/>
    <n v="0"/>
    <n v="0"/>
    <n v="0"/>
    <n v="5717370"/>
    <n v="943242"/>
    <n v="0"/>
    <n v="31"/>
    <x v="28"/>
    <n v="4.3410618192519071E-10"/>
    <n v="-5.3355086473058825E-11"/>
  </r>
  <r>
    <n v="71.852800000000002"/>
    <n v="85.138999999999996"/>
    <n v="2.0077199999999999"/>
    <n v="0.02"/>
    <n v="0.04"/>
    <n v="2.83568"/>
    <n v="3.13808"/>
    <n v="0"/>
    <n v="0.53137500000000004"/>
    <n v="5.3222399999999999"/>
    <n v="180069000"/>
    <n v="0"/>
    <n v="0"/>
    <n v="0"/>
    <n v="0"/>
    <n v="4239270"/>
    <n v="-85937.8"/>
    <n v="408539"/>
    <n v="99.302199999999999"/>
    <n v="98.274000000000001"/>
    <n v="3.4685800000000002"/>
    <n v="0"/>
    <n v="1"/>
    <n v="2.20994"/>
    <n v="1.90754"/>
    <n v="0"/>
    <n v="1.7073199999999999"/>
    <n v="2.9635199999999999"/>
    <n v="733312000"/>
    <n v="0"/>
    <n v="0"/>
    <n v="0"/>
    <n v="0"/>
    <n v="5717640"/>
    <n v="943251"/>
    <n v="0"/>
    <n v="32"/>
    <x v="28"/>
    <n v="4.3408982429581261E-10"/>
    <n v="-5.3341139906257281E-11"/>
  </r>
  <r>
    <n v="70.781899999999993"/>
    <n v="85.138999999999996"/>
    <n v="1.8255600000000001"/>
    <n v="0.02"/>
    <n v="0.04"/>
    <n v="2.8358500000000002"/>
    <n v="3.1382500000000002"/>
    <n v="0"/>
    <n v="0.53140600000000004"/>
    <n v="5.3222399999999999"/>
    <n v="179984000"/>
    <n v="0"/>
    <n v="0"/>
    <n v="0"/>
    <n v="0"/>
    <n v="4239520"/>
    <n v="-85920.4"/>
    <n v="408539"/>
    <n v="99.302199999999999"/>
    <n v="98.274000000000001"/>
    <n v="3.3006099999999998"/>
    <n v="0"/>
    <n v="1"/>
    <n v="2.2100399999999998"/>
    <n v="1.90764"/>
    <n v="0"/>
    <n v="1.7074"/>
    <n v="2.9635199999999999"/>
    <n v="734255000"/>
    <n v="0"/>
    <n v="0"/>
    <n v="0"/>
    <n v="0"/>
    <n v="5717900"/>
    <n v="943260"/>
    <n v="0"/>
    <n v="33"/>
    <x v="28"/>
    <n v="4.3407422735965877E-10"/>
    <n v="-5.3327194984284242E-11"/>
  </r>
  <r>
    <n v="69.5685"/>
    <n v="85.138999999999996"/>
    <n v="1.65954"/>
    <n v="0.02"/>
    <n v="0.04"/>
    <n v="2.83602"/>
    <n v="3.13842"/>
    <n v="0"/>
    <n v="0.53143799999999997"/>
    <n v="5.3222399999999999"/>
    <n v="179898000"/>
    <n v="0"/>
    <n v="0"/>
    <n v="0"/>
    <n v="0"/>
    <n v="4239780"/>
    <n v="-85903.1"/>
    <n v="408539"/>
    <n v="99.302199999999999"/>
    <n v="98.274000000000001"/>
    <n v="3.0657999999999999"/>
    <n v="0"/>
    <n v="1"/>
    <n v="2.21014"/>
    <n v="1.90774"/>
    <n v="0"/>
    <n v="1.7074800000000001"/>
    <n v="2.9635199999999999"/>
    <n v="735199000"/>
    <n v="0"/>
    <n v="0"/>
    <n v="0"/>
    <n v="0"/>
    <n v="5718170"/>
    <n v="943268"/>
    <n v="0"/>
    <n v="34"/>
    <x v="28"/>
    <n v="4.3405741259184507E-10"/>
    <n v="-5.331318802353016E-11"/>
  </r>
  <r>
    <n v="68.813000000000002"/>
    <n v="85.138999999999996"/>
    <n v="2.1567099999999999"/>
    <n v="0.02"/>
    <n v="0.04"/>
    <n v="2.90944"/>
    <n v="3.21184"/>
    <n v="0"/>
    <n v="0.53147"/>
    <n v="5.3222399999999999"/>
    <n v="179819000"/>
    <n v="0"/>
    <n v="0"/>
    <n v="0"/>
    <n v="0"/>
    <n v="4349530"/>
    <n v="-78355.600000000006"/>
    <n v="408539"/>
    <n v="99.302199999999999"/>
    <n v="98.274000000000001"/>
    <n v="3.45343"/>
    <n v="0"/>
    <n v="1"/>
    <n v="2.2568700000000002"/>
    <n v="1.9544699999999999"/>
    <n v="0"/>
    <n v="1.70756"/>
    <n v="2.9635199999999999"/>
    <n v="736146000"/>
    <n v="0"/>
    <n v="0"/>
    <n v="0"/>
    <n v="0"/>
    <n v="5839050"/>
    <n v="947209"/>
    <n v="0"/>
    <n v="35"/>
    <x v="28"/>
    <n v="4.2684751782532505E-10"/>
    <n v="-4.7402019916175412E-11"/>
  </r>
  <r>
    <n v="68.032300000000006"/>
    <n v="85.138999999999996"/>
    <n v="2.1282800000000002"/>
    <n v="0.02"/>
    <n v="0.04"/>
    <n v="2.9096099999999998"/>
    <n v="3.2120099999999998"/>
    <n v="0"/>
    <n v="0.54522800000000005"/>
    <n v="5.3222399999999999"/>
    <n v="179741000"/>
    <n v="0"/>
    <n v="0"/>
    <n v="0"/>
    <n v="0"/>
    <n v="4349790"/>
    <n v="-78337.8"/>
    <n v="408539"/>
    <n v="99.302199999999999"/>
    <n v="98.274000000000001"/>
    <n v="3.3641000000000001"/>
    <n v="0"/>
    <n v="1"/>
    <n v="2.2569699999999999"/>
    <n v="1.9545699999999999"/>
    <n v="0"/>
    <n v="1.7436499999999999"/>
    <n v="2.9635199999999999"/>
    <n v="737093000"/>
    <n v="0"/>
    <n v="0"/>
    <n v="0"/>
    <n v="0"/>
    <n v="5839320"/>
    <n v="947218"/>
    <n v="0"/>
    <n v="36"/>
    <x v="28"/>
    <n v="4.2683183668493022E-10"/>
    <n v="-4.7388418907200115E-11"/>
  </r>
  <r>
    <n v="67.096999999999994"/>
    <n v="85.138999999999996"/>
    <n v="1.96183"/>
    <n v="0.02"/>
    <n v="0.04"/>
    <n v="2.90978"/>
    <n v="3.21218"/>
    <n v="0"/>
    <n v="0.545261"/>
    <n v="5.3222399999999999"/>
    <n v="179663000"/>
    <n v="0"/>
    <n v="0"/>
    <n v="0"/>
    <n v="0"/>
    <n v="4350050"/>
    <n v="-78320"/>
    <n v="408539"/>
    <n v="99.302199999999999"/>
    <n v="98.274000000000001"/>
    <n v="3.2513000000000001"/>
    <n v="0"/>
    <n v="1"/>
    <n v="2.2570800000000002"/>
    <n v="1.95468"/>
    <n v="0"/>
    <n v="1.7437400000000001"/>
    <n v="2.9635199999999999"/>
    <n v="738040000"/>
    <n v="0"/>
    <n v="0"/>
    <n v="0"/>
    <n v="0"/>
    <n v="5839600"/>
    <n v="947226"/>
    <n v="0"/>
    <n v="37"/>
    <x v="28"/>
    <n v="4.2681497550030223E-10"/>
    <n v="-4.7374819524073877E-11"/>
  </r>
  <r>
    <n v="65.867000000000004"/>
    <n v="85.138999999999996"/>
    <n v="1.6388100000000001"/>
    <n v="0.02"/>
    <n v="0.04"/>
    <n v="2.9099499999999998"/>
    <n v="3.2123499999999998"/>
    <n v="0"/>
    <n v="0.54529300000000003"/>
    <n v="5.3222399999999999"/>
    <n v="179584000"/>
    <n v="0"/>
    <n v="0"/>
    <n v="0"/>
    <n v="0"/>
    <n v="4350310"/>
    <n v="-78302.2"/>
    <n v="408539"/>
    <n v="99.302199999999999"/>
    <n v="98.274000000000001"/>
    <n v="3.2128999999999999"/>
    <n v="0"/>
    <n v="1"/>
    <n v="2.25718"/>
    <n v="1.95478"/>
    <n v="0"/>
    <n v="1.7438199999999999"/>
    <n v="2.9635199999999999"/>
    <n v="738987000"/>
    <n v="0"/>
    <n v="0"/>
    <n v="0"/>
    <n v="0"/>
    <n v="5839870"/>
    <n v="947235"/>
    <n v="0"/>
    <n v="38"/>
    <x v="28"/>
    <n v="4.2679929734131883E-10"/>
    <n v="-4.7361221766505175E-11"/>
  </r>
  <r>
    <n v="64.337199999999996"/>
    <n v="85.138999999999996"/>
    <n v="1.5121100000000001"/>
    <n v="0.02"/>
    <n v="0.04"/>
    <n v="3.1246800000000001"/>
    <n v="3.4270800000000001"/>
    <n v="0"/>
    <n v="0.54532599999999998"/>
    <n v="5.3222399999999999"/>
    <n v="179528000"/>
    <n v="0"/>
    <n v="0"/>
    <n v="0"/>
    <n v="0"/>
    <n v="4671320"/>
    <n v="-56228.2"/>
    <n v="408539"/>
    <n v="99.302199999999999"/>
    <n v="98.274000000000001"/>
    <n v="3.15543"/>
    <n v="0"/>
    <n v="1"/>
    <n v="2.4255900000000001"/>
    <n v="2.1231900000000001"/>
    <n v="0"/>
    <n v="1.7439"/>
    <n v="2.9635199999999999"/>
    <n v="739949000"/>
    <n v="0"/>
    <n v="0"/>
    <n v="0"/>
    <n v="0"/>
    <n v="6275590"/>
    <n v="961438"/>
    <n v="0"/>
    <n v="39"/>
    <x v="28"/>
    <n v="4.0312140545537508E-10"/>
    <n v="-3.1672598877597949E-11"/>
  </r>
  <r>
    <n v="62.794199999999996"/>
    <n v="85.138999999999996"/>
    <n v="1.4923999999999999"/>
    <n v="0.02"/>
    <n v="0.04"/>
    <n v="3.12486"/>
    <n v="3.42726"/>
    <n v="0"/>
    <n v="0.585565"/>
    <n v="5.3222399999999999"/>
    <n v="179472000"/>
    <n v="0"/>
    <n v="0"/>
    <n v="0"/>
    <n v="0"/>
    <n v="4671590"/>
    <n v="-56209.2"/>
    <n v="408539"/>
    <n v="99.302199999999999"/>
    <n v="98.274000000000001"/>
    <n v="3.2586300000000001"/>
    <n v="0"/>
    <n v="1"/>
    <n v="2.42571"/>
    <n v="2.12331"/>
    <n v="0"/>
    <n v="1.87401"/>
    <n v="2.9635199999999999"/>
    <n v="740910000"/>
    <n v="0"/>
    <n v="0"/>
    <n v="0"/>
    <n v="0"/>
    <n v="6275890"/>
    <n v="961448"/>
    <n v="0"/>
    <n v="40"/>
    <x v="28"/>
    <n v="4.0310632815223734E-10"/>
    <n v="-3.1660066493457415E-11"/>
  </r>
  <r>
    <n v="61.191699999999997"/>
    <n v="85.138999999999996"/>
    <n v="1.40737"/>
    <n v="0.02"/>
    <n v="0.04"/>
    <n v="3.1250499999999999"/>
    <n v="3.4274499999999999"/>
    <n v="0"/>
    <n v="0.58559899999999998"/>
    <n v="5.3222399999999999"/>
    <n v="179416000"/>
    <n v="0"/>
    <n v="0"/>
    <n v="0"/>
    <n v="0"/>
    <n v="4671870"/>
    <n v="-56190.2"/>
    <n v="408539"/>
    <n v="99.296099999999996"/>
    <n v="98.274000000000001"/>
    <n v="3.0602800000000001"/>
    <n v="0"/>
    <n v="1"/>
    <n v="2.4258199999999999"/>
    <n v="2.1234199999999999"/>
    <n v="0"/>
    <n v="1.8741000000000001"/>
    <n v="2.9635199999999999"/>
    <n v="741872000"/>
    <n v="0"/>
    <n v="0"/>
    <n v="0"/>
    <n v="0"/>
    <n v="6276180"/>
    <n v="961458"/>
    <n v="0"/>
    <n v="41"/>
    <x v="28"/>
    <n v="4.0309189454620361E-10"/>
    <n v="-3.164746781726388E-11"/>
  </r>
  <r>
    <n v="60.113100000000003"/>
    <n v="85.138999999999996"/>
    <n v="1.9190100000000001"/>
    <n v="0.02"/>
    <n v="0.04"/>
    <n v="3.1252300000000002"/>
    <n v="3.4276300000000002"/>
    <n v="0"/>
    <n v="0.58563399999999999"/>
    <n v="5.3222399999999999"/>
    <n v="179360000"/>
    <n v="0"/>
    <n v="0"/>
    <n v="0"/>
    <n v="0"/>
    <n v="4672140"/>
    <n v="-56171.199999999997"/>
    <n v="408539"/>
    <n v="99.302199999999999"/>
    <n v="98.274000000000001"/>
    <n v="3.4365199999999998"/>
    <n v="0"/>
    <n v="1"/>
    <n v="2.4259400000000002"/>
    <n v="2.1235400000000002"/>
    <n v="0"/>
    <n v="1.87419"/>
    <n v="2.9635199999999999"/>
    <n v="742833000"/>
    <n v="0"/>
    <n v="0"/>
    <n v="0"/>
    <n v="0"/>
    <n v="6276480"/>
    <n v="961467"/>
    <n v="0"/>
    <n v="42"/>
    <x v="28"/>
    <n v="4.0307640084029174E-10"/>
    <n v="-3.1634938360732017E-11"/>
  </r>
  <r>
    <n v="59.860799999999998"/>
    <n v="85.138999999999996"/>
    <n v="2.8120799999999999"/>
    <n v="0.02"/>
    <n v="0.04"/>
    <n v="3.1254200000000001"/>
    <n v="3.4278200000000001"/>
    <n v="0"/>
    <n v="0.585669"/>
    <n v="5.3222399999999999"/>
    <n v="179303000"/>
    <n v="0"/>
    <n v="0"/>
    <n v="0"/>
    <n v="0"/>
    <n v="4672420"/>
    <n v="-56152.2"/>
    <n v="408539"/>
    <n v="99.302199999999999"/>
    <n v="98.274000000000001"/>
    <n v="4.0847699999999998"/>
    <n v="0"/>
    <n v="1"/>
    <n v="2.42605"/>
    <n v="2.12365"/>
    <n v="0"/>
    <n v="1.8742799999999999"/>
    <n v="2.9635199999999999"/>
    <n v="743795000"/>
    <n v="0"/>
    <n v="0"/>
    <n v="0"/>
    <n v="0"/>
    <n v="6276780"/>
    <n v="961477"/>
    <n v="0"/>
    <n v="43"/>
    <x v="28"/>
    <n v="4.0306132782600664E-10"/>
    <n v="-3.1622342673385607E-11"/>
  </r>
  <r>
    <n v="59.3767"/>
    <n v="85.138999999999996"/>
    <n v="2.4122599999999998"/>
    <n v="0.02"/>
    <n v="0.04"/>
    <n v="3.02101"/>
    <n v="3.32341"/>
    <n v="0"/>
    <n v="0.58570299999999997"/>
    <n v="5.3222399999999999"/>
    <n v="179237000"/>
    <n v="0"/>
    <n v="0"/>
    <n v="0"/>
    <n v="0"/>
    <n v="4516330"/>
    <n v="-66885.5"/>
    <n v="408539"/>
    <n v="99.302199999999999"/>
    <n v="98.274000000000001"/>
    <n v="3.1372300000000002"/>
    <n v="0"/>
    <n v="1"/>
    <n v="2.3239800000000002"/>
    <n v="2.0215800000000002"/>
    <n v="0"/>
    <n v="1.8743700000000001"/>
    <n v="2.9635199999999999"/>
    <n v="744748000"/>
    <n v="0"/>
    <n v="0"/>
    <n v="0"/>
    <n v="0"/>
    <n v="6012700"/>
    <n v="952869"/>
    <n v="0"/>
    <n v="44"/>
    <x v="28"/>
    <n v="4.1699687575871259E-10"/>
    <n v="-3.8968657923389113E-11"/>
  </r>
  <r>
    <n v="58.779299999999999"/>
    <n v="85.138999999999996"/>
    <n v="2.3800400000000002"/>
    <n v="0.02"/>
    <n v="0.04"/>
    <n v="3.0211899999999998"/>
    <n v="3.3235899999999998"/>
    <n v="0"/>
    <n v="0.566137"/>
    <n v="5.3222399999999999"/>
    <n v="179170000"/>
    <n v="0"/>
    <n v="0"/>
    <n v="0"/>
    <n v="0"/>
    <n v="4516600"/>
    <n v="-66867.100000000006"/>
    <n v="408539"/>
    <n v="99.302199999999999"/>
    <n v="98.274000000000001"/>
    <n v="3.69808"/>
    <n v="0"/>
    <n v="1"/>
    <n v="2.32409"/>
    <n v="2.02169"/>
    <n v="0"/>
    <n v="1.7955099999999999"/>
    <n v="2.9635199999999999"/>
    <n v="745701000"/>
    <n v="0"/>
    <n v="0"/>
    <n v="0"/>
    <n v="0"/>
    <n v="6012980"/>
    <n v="952878"/>
    <n v="0"/>
    <n v="45"/>
    <x v="28"/>
    <n v="4.1698139633052064E-10"/>
    <n v="-3.8955608877462846E-11"/>
  </r>
  <r>
    <n v="58.370800000000003"/>
    <n v="85.138999999999996"/>
    <n v="2.5792000000000002"/>
    <n v="0.04"/>
    <n v="0.04"/>
    <n v="3.0213700000000001"/>
    <n v="3.3237700000000001"/>
    <n v="0"/>
    <n v="0.56617099999999998"/>
    <n v="5.3222399999999999"/>
    <n v="179103000"/>
    <n v="0"/>
    <n v="0"/>
    <n v="0"/>
    <n v="0"/>
    <n v="4516870"/>
    <n v="-66848.7"/>
    <n v="408539"/>
    <n v="99.302199999999999"/>
    <n v="98.274000000000001"/>
    <n v="4.1052499999999998"/>
    <n v="0"/>
    <n v="1"/>
    <n v="2.3241999999999998"/>
    <n v="2.0217999999999998"/>
    <n v="0"/>
    <n v="1.79559"/>
    <n v="2.9635199999999999"/>
    <n v="746653000"/>
    <n v="0"/>
    <n v="0"/>
    <n v="0"/>
    <n v="0"/>
    <n v="6013260"/>
    <n v="952887"/>
    <n v="0"/>
    <n v="46"/>
    <x v="28"/>
    <n v="4.1696591834388942E-10"/>
    <n v="-3.8942561391573675E-11"/>
  </r>
  <r>
    <n v="58.0122"/>
    <n v="85.138999999999996"/>
    <n v="2.66303"/>
    <n v="0.04"/>
    <n v="0.04"/>
    <n v="3.02155"/>
    <n v="3.32395"/>
    <n v="0"/>
    <n v="0.56620400000000004"/>
    <n v="5.3222399999999999"/>
    <n v="179036000"/>
    <n v="0"/>
    <n v="0"/>
    <n v="0"/>
    <n v="0"/>
    <n v="4517140"/>
    <n v="-66830.3"/>
    <n v="408539"/>
    <n v="99.302199999999999"/>
    <n v="98.274000000000001"/>
    <n v="4.3188899999999997"/>
    <n v="0"/>
    <n v="1"/>
    <n v="2.3243100000000001"/>
    <n v="2.0219100000000001"/>
    <n v="0"/>
    <n v="1.7956799999999999"/>
    <n v="2.9635199999999999"/>
    <n v="747606000"/>
    <n v="0"/>
    <n v="0"/>
    <n v="0"/>
    <n v="0"/>
    <n v="6013540"/>
    <n v="952897"/>
    <n v="0"/>
    <n v="47"/>
    <x v="28"/>
    <n v="4.1695087935994841E-10"/>
    <n v="-3.8929515465441877E-11"/>
  </r>
  <r>
    <n v="57.257399999999997"/>
    <n v="85.138999999999996"/>
    <n v="2.2480000000000002"/>
    <n v="0.04"/>
    <n v="0.04"/>
    <n v="2.9358599999999999"/>
    <n v="3.2382599999999999"/>
    <n v="0"/>
    <n v="0.56623800000000002"/>
    <n v="5.3222399999999999"/>
    <n v="178960000"/>
    <n v="0"/>
    <n v="0"/>
    <n v="0"/>
    <n v="0"/>
    <n v="4389030"/>
    <n v="-75639.5"/>
    <n v="408539"/>
    <n v="99.302199999999999"/>
    <n v="98.274000000000001"/>
    <n v="4.7499099999999999"/>
    <n v="0"/>
    <n v="1"/>
    <n v="2.2313900000000002"/>
    <n v="1.92899"/>
    <n v="0"/>
    <n v="1.79576"/>
    <n v="2.9635199999999999"/>
    <n v="748551000"/>
    <n v="0"/>
    <n v="0"/>
    <n v="0"/>
    <n v="0"/>
    <n v="5773130"/>
    <n v="945060"/>
    <n v="0"/>
    <n v="48"/>
    <x v="28"/>
    <n v="4.3074196341262554E-10"/>
    <n v="-4.534707075388026E-11"/>
  </r>
  <r>
    <n v="55.943300000000001"/>
    <n v="85.138999999999996"/>
    <n v="1.6513599999999999"/>
    <n v="0.03"/>
    <n v="0.04"/>
    <n v="2.9360300000000001"/>
    <n v="3.2384300000000001"/>
    <n v="0"/>
    <n v="0.55017899999999997"/>
    <n v="5.3222399999999999"/>
    <n v="178885000"/>
    <n v="0"/>
    <n v="0"/>
    <n v="0"/>
    <n v="0"/>
    <n v="4389290"/>
    <n v="-75621.600000000006"/>
    <n v="408539"/>
    <n v="99.247200000000007"/>
    <n v="98.274000000000001"/>
    <n v="3.4926599999999999"/>
    <n v="0"/>
    <n v="1"/>
    <n v="2.23149"/>
    <n v="1.92909"/>
    <n v="0"/>
    <n v="1.72397"/>
    <n v="2.9635199999999999"/>
    <n v="749496000"/>
    <n v="0"/>
    <n v="0"/>
    <n v="0"/>
    <n v="0"/>
    <n v="5773400"/>
    <n v="945069"/>
    <n v="0"/>
    <n v="49"/>
    <x v="28"/>
    <n v="4.3072592109838459E-10"/>
    <n v="-4.533365391988093E-11"/>
  </r>
  <r>
    <n v="55.162300000000002"/>
    <n v="85.138999999999996"/>
    <n v="2.2388400000000002"/>
    <n v="0.03"/>
    <n v="0.04"/>
    <n v="2.93621"/>
    <n v="3.23861"/>
    <n v="0"/>
    <n v="0.55021200000000003"/>
    <n v="5.3222399999999999"/>
    <n v="178809000"/>
    <n v="0"/>
    <n v="0"/>
    <n v="0"/>
    <n v="0"/>
    <n v="4389550"/>
    <n v="-75603.7"/>
    <n v="408539"/>
    <n v="99.302199999999999"/>
    <n v="98.274000000000001"/>
    <n v="4.8128200000000003"/>
    <n v="0"/>
    <n v="1"/>
    <n v="2.2315900000000002"/>
    <n v="1.92919"/>
    <n v="0"/>
    <n v="1.7240500000000001"/>
    <n v="2.9635199999999999"/>
    <n v="750442000"/>
    <n v="0"/>
    <n v="0"/>
    <n v="0"/>
    <n v="0"/>
    <n v="5773660"/>
    <n v="945077"/>
    <n v="0"/>
    <n v="50"/>
    <x v="28"/>
    <n v="4.3071017053479619E-10"/>
    <n v="-4.5320238675282264E-11"/>
  </r>
  <r>
    <n v="57.035699999999999"/>
    <n v="85.138999999999996"/>
    <n v="4.9602300000000001"/>
    <n v="0.03"/>
    <n v="0.04"/>
    <n v="2.9363800000000002"/>
    <n v="3.2387800000000002"/>
    <n v="0"/>
    <n v="0.55024499999999998"/>
    <n v="5.3222399999999999"/>
    <n v="178734000"/>
    <n v="0"/>
    <n v="0"/>
    <n v="0"/>
    <n v="0"/>
    <n v="4389810"/>
    <n v="-75585.7"/>
    <n v="408539"/>
    <n v="99.302199999999999"/>
    <n v="98.274000000000001"/>
    <n v="7.3235200000000003"/>
    <n v="0"/>
    <n v="1"/>
    <n v="2.2317"/>
    <n v="1.9293"/>
    <n v="0"/>
    <n v="1.7241299999999999"/>
    <n v="2.9635199999999999"/>
    <n v="751387000"/>
    <n v="0"/>
    <n v="0"/>
    <n v="0"/>
    <n v="0"/>
    <n v="5773930"/>
    <n v="945086"/>
    <n v="0"/>
    <n v="51"/>
    <x v="28"/>
    <n v="4.3069413117980547E-10"/>
    <n v="-4.5306765078880379E-11"/>
  </r>
  <r>
    <n v="57.643700000000003"/>
    <n v="85.138999999999996"/>
    <n v="3.508"/>
    <n v="0.04"/>
    <n v="0.04"/>
    <n v="2.6926199999999998"/>
    <n v="2.9950199999999998"/>
    <n v="0"/>
    <n v="0.55027800000000004"/>
    <n v="5.3222399999999999"/>
    <n v="178633000"/>
    <n v="0"/>
    <n v="0"/>
    <n v="0"/>
    <n v="0"/>
    <n v="4025400"/>
    <n v="-100644"/>
    <n v="408539"/>
    <n v="99.302199999999999"/>
    <n v="98.274000000000001"/>
    <n v="5.04413"/>
    <n v="0"/>
    <n v="1"/>
    <n v="2.0379999999999998"/>
    <n v="1.7356"/>
    <n v="0"/>
    <n v="1.72421"/>
    <n v="2.9635199999999999"/>
    <n v="752315000"/>
    <n v="0"/>
    <n v="0"/>
    <n v="0"/>
    <n v="0"/>
    <n v="5272790"/>
    <n v="928751"/>
    <n v="0"/>
    <n v="52"/>
    <x v="28"/>
    <n v="4.6347675534165631E-10"/>
    <n v="-6.5788197169480712E-11"/>
  </r>
  <r>
    <n v="57.801000000000002"/>
    <n v="85.138999999999996"/>
    <n v="3.1048200000000001"/>
    <n v="0.04"/>
    <n v="0.04"/>
    <n v="2.69279"/>
    <n v="2.99519"/>
    <n v="0"/>
    <n v="0.50459799999999999"/>
    <n v="5.3222399999999999"/>
    <n v="178532000"/>
    <n v="0"/>
    <n v="0"/>
    <n v="0"/>
    <n v="0"/>
    <n v="4025650"/>
    <n v="-100628"/>
    <n v="408539"/>
    <n v="99.302199999999999"/>
    <n v="98.274000000000001"/>
    <n v="2.9605899999999998"/>
    <n v="0"/>
    <n v="1"/>
    <n v="2.03809"/>
    <n v="1.73569"/>
    <n v="0"/>
    <n v="1.57456"/>
    <n v="2.9635199999999999"/>
    <n v="753244000"/>
    <n v="0"/>
    <n v="0"/>
    <n v="0"/>
    <n v="0"/>
    <n v="5273030"/>
    <n v="928759"/>
    <n v="0"/>
    <n v="1"/>
    <x v="29"/>
    <n v="2.2887028028211774E-10"/>
    <n v="-3.248100332327614E-11"/>
  </r>
  <r>
    <n v="58.944000000000003"/>
    <n v="85.138999999999996"/>
    <n v="4.1981799999999998"/>
    <n v="0.04"/>
    <n v="0.04"/>
    <n v="2.6929500000000002"/>
    <n v="2.9953500000000002"/>
    <n v="0"/>
    <n v="0.50462799999999997"/>
    <n v="5.3222399999999999"/>
    <n v="178432000"/>
    <n v="0"/>
    <n v="0"/>
    <n v="0"/>
    <n v="0"/>
    <n v="4025890"/>
    <n v="-100611"/>
    <n v="408539"/>
    <n v="99.302199999999999"/>
    <n v="98.274000000000001"/>
    <n v="5.0416999999999996"/>
    <n v="0"/>
    <n v="1"/>
    <n v="2.0381900000000002"/>
    <n v="1.7357899999999999"/>
    <n v="0"/>
    <n v="1.57463"/>
    <n v="2.9635199999999999"/>
    <n v="754173000"/>
    <n v="0"/>
    <n v="0"/>
    <n v="0"/>
    <n v="0"/>
    <n v="5273270"/>
    <n v="928767"/>
    <n v="0"/>
    <n v="2"/>
    <x v="29"/>
    <n v="2.2886183512804738E-10"/>
    <n v="-3.2473580012820101E-11"/>
  </r>
  <r>
    <n v="58.468899999999998"/>
    <n v="85.138999999999996"/>
    <n v="2.50101"/>
    <n v="0.04"/>
    <n v="0.04"/>
    <n v="2.6931099999999999"/>
    <n v="2.9955099999999999"/>
    <n v="0"/>
    <n v="0.50465800000000005"/>
    <n v="5.3222399999999999"/>
    <n v="178331000"/>
    <n v="0"/>
    <n v="0"/>
    <n v="0"/>
    <n v="0"/>
    <n v="4026130"/>
    <n v="-100595"/>
    <n v="408539"/>
    <n v="99.302199999999999"/>
    <n v="98.274000000000001"/>
    <n v="4.3698199999999998"/>
    <n v="0"/>
    <n v="1"/>
    <n v="2.0382799999999999"/>
    <n v="1.7358800000000001"/>
    <n v="0"/>
    <n v="1.5747"/>
    <n v="2.9635199999999999"/>
    <n v="755102000"/>
    <n v="0"/>
    <n v="0"/>
    <n v="0"/>
    <n v="0"/>
    <n v="5273520"/>
    <n v="928775"/>
    <n v="0"/>
    <n v="3"/>
    <x v="29"/>
    <n v="2.2885295677561507E-10"/>
    <n v="-3.2466480331853658E-11"/>
  </r>
  <r>
    <n v="59.356699999999996"/>
    <n v="85.138999999999996"/>
    <n v="3.9519899999999999"/>
    <n v="0.05"/>
    <n v="0.04"/>
    <n v="2.6932700000000001"/>
    <n v="2.9956700000000001"/>
    <n v="0"/>
    <n v="0.50468800000000003"/>
    <n v="5.3222399999999999"/>
    <n v="178230000"/>
    <n v="0"/>
    <n v="0"/>
    <n v="0"/>
    <n v="0"/>
    <n v="4026370"/>
    <n v="-100578"/>
    <n v="408539"/>
    <n v="99.302199999999999"/>
    <n v="98.274000000000001"/>
    <n v="5.5684500000000003"/>
    <n v="0"/>
    <n v="1"/>
    <n v="2.03837"/>
    <n v="1.73597"/>
    <n v="0"/>
    <n v="1.5747800000000001"/>
    <n v="2.9635199999999999"/>
    <n v="756030000"/>
    <n v="0"/>
    <n v="0"/>
    <n v="0"/>
    <n v="0"/>
    <n v="5273760"/>
    <n v="928782"/>
    <n v="0"/>
    <n v="4"/>
    <x v="29"/>
    <n v="2.288442668027739E-10"/>
    <n v="-3.2459058772033291E-11"/>
  </r>
  <r>
    <n v="60.773699999999998"/>
    <n v="85.138999999999996"/>
    <n v="4.4865599999999999"/>
    <n v="0.04"/>
    <n v="0.04"/>
    <n v="2.78728"/>
    <n v="3.08968"/>
    <n v="0"/>
    <n v="0.50471900000000003"/>
    <n v="5.3222399999999999"/>
    <n v="178140000"/>
    <n v="0"/>
    <n v="0"/>
    <n v="0"/>
    <n v="0"/>
    <n v="4166910"/>
    <n v="-90913.8"/>
    <n v="408539"/>
    <n v="99.302199999999999"/>
    <n v="98.274000000000001"/>
    <n v="3.8447"/>
    <n v="0"/>
    <n v="1"/>
    <n v="2.0945999999999998"/>
    <n v="1.7922"/>
    <n v="0"/>
    <n v="1.5748500000000001"/>
    <n v="2.9635199999999999"/>
    <n v="756964000"/>
    <n v="0"/>
    <n v="0"/>
    <n v="0"/>
    <n v="0"/>
    <n v="5419220"/>
    <n v="933524"/>
    <n v="0"/>
    <n v="5"/>
    <x v="29"/>
    <n v="2.2383877171283847E-10"/>
    <n v="-2.8350602886211878E-11"/>
  </r>
  <r>
    <n v="61.529600000000002"/>
    <n v="85.138999999999996"/>
    <n v="3.7361200000000001"/>
    <n v="0.04"/>
    <n v="0.04"/>
    <n v="2.78742"/>
    <n v="3.08982"/>
    <n v="0"/>
    <n v="0.52233600000000002"/>
    <n v="5.3222399999999999"/>
    <n v="178049000"/>
    <n v="0"/>
    <n v="0"/>
    <n v="0"/>
    <n v="0"/>
    <n v="4167130"/>
    <n v="-90898.6"/>
    <n v="408539"/>
    <n v="99.302199999999999"/>
    <n v="98.274000000000001"/>
    <n v="4.4019199999999996"/>
    <n v="0"/>
    <n v="1"/>
    <n v="2.0946799999999999"/>
    <n v="1.7922800000000001"/>
    <n v="0"/>
    <n v="1.61829"/>
    <n v="2.9635199999999999"/>
    <n v="757897000"/>
    <n v="0"/>
    <n v="0"/>
    <n v="0"/>
    <n v="0"/>
    <n v="5419450"/>
    <n v="933531"/>
    <n v="0"/>
    <n v="6"/>
    <x v="29"/>
    <n v="2.2383095043225859E-10"/>
    <n v="-2.8344366415788586E-11"/>
  </r>
  <r>
    <n v="61.203299999999999"/>
    <n v="85.138999999999996"/>
    <n v="2.61809"/>
    <n v="0.04"/>
    <n v="0.04"/>
    <n v="2.7875700000000001"/>
    <n v="3.0899700000000001"/>
    <n v="0"/>
    <n v="0.52236300000000002"/>
    <n v="5.3222399999999999"/>
    <n v="177958000"/>
    <n v="0"/>
    <n v="0"/>
    <n v="0"/>
    <n v="0"/>
    <n v="4167350"/>
    <n v="-90883.4"/>
    <n v="408539"/>
    <n v="99.181100000000001"/>
    <n v="98.274000000000001"/>
    <n v="3.04393"/>
    <n v="0"/>
    <n v="1"/>
    <n v="2.09477"/>
    <n v="1.79237"/>
    <n v="0"/>
    <n v="1.61835"/>
    <n v="2.9635199999999999"/>
    <n v="758831000"/>
    <n v="0"/>
    <n v="0"/>
    <n v="0"/>
    <n v="0"/>
    <n v="5419670"/>
    <n v="933538"/>
    <n v="0"/>
    <n v="7"/>
    <x v="29"/>
    <n v="2.2382354279846542E-10"/>
    <n v="-2.8338130603828576E-11"/>
  </r>
  <r>
    <n v="61.116"/>
    <n v="85.138999999999996"/>
    <n v="2.9807700000000001"/>
    <n v="0.04"/>
    <n v="0.04"/>
    <n v="2.7877200000000002"/>
    <n v="3.0901200000000002"/>
    <n v="0"/>
    <n v="0.52239100000000005"/>
    <n v="5.3222399999999999"/>
    <n v="177867000"/>
    <n v="0"/>
    <n v="0"/>
    <n v="0"/>
    <n v="0"/>
    <n v="4167570"/>
    <n v="-90868.3"/>
    <n v="408539"/>
    <n v="99.086600000000004"/>
    <n v="98.274000000000001"/>
    <n v="3.2345299999999999"/>
    <n v="0"/>
    <n v="1"/>
    <n v="2.0948600000000002"/>
    <n v="1.7924599999999999"/>
    <n v="0"/>
    <n v="1.61842"/>
    <n v="2.9635199999999999"/>
    <n v="759765000"/>
    <n v="0"/>
    <n v="0"/>
    <n v="0"/>
    <n v="0"/>
    <n v="5419890"/>
    <n v="933546"/>
    <n v="0"/>
    <n v="8"/>
    <x v="29"/>
    <n v="2.2381637551467324E-10"/>
    <n v="-2.8331926629336944E-11"/>
  </r>
  <r>
    <n v="62.089100000000002"/>
    <n v="85.138999999999996"/>
    <n v="4.4344400000000004"/>
    <n v="0.04"/>
    <n v="0.04"/>
    <n v="3.0892900000000001"/>
    <n v="3.3916900000000001"/>
    <n v="0"/>
    <n v="0.52241899999999997"/>
    <n v="5.3222399999999999"/>
    <n v="177807000"/>
    <n v="0"/>
    <n v="0"/>
    <n v="0"/>
    <n v="0"/>
    <n v="4618400"/>
    <n v="-59866.7"/>
    <n v="408539"/>
    <n v="99.087599999999995"/>
    <n v="98.274000000000001"/>
    <n v="3.91"/>
    <n v="0"/>
    <n v="1"/>
    <n v="2.3057099999999999"/>
    <n v="2.0033099999999999"/>
    <n v="0"/>
    <n v="1.61849"/>
    <n v="2.9635199999999999"/>
    <n v="760716000"/>
    <n v="0"/>
    <n v="0"/>
    <n v="0"/>
    <n v="0"/>
    <n v="5965410"/>
    <n v="951328"/>
    <n v="0"/>
    <n v="9"/>
    <x v="29"/>
    <n v="2.072223477660483E-10"/>
    <n v="-1.6843811917516726E-11"/>
  </r>
  <r>
    <n v="65.413200000000003"/>
    <n v="85.138999999999996"/>
    <n v="6.8377600000000003"/>
    <n v="0.04"/>
    <n v="0.04"/>
    <n v="3.0894499999999998"/>
    <n v="3.3918499999999998"/>
    <n v="0"/>
    <n v="0.578932"/>
    <n v="5.3222399999999999"/>
    <n v="177747000"/>
    <n v="0"/>
    <n v="0"/>
    <n v="0"/>
    <n v="0"/>
    <n v="4618650"/>
    <n v="-59850"/>
    <n v="408539"/>
    <n v="99.302199999999999"/>
    <n v="98.274000000000001"/>
    <n v="5.3804400000000001"/>
    <n v="0"/>
    <n v="1"/>
    <n v="2.3058000000000001"/>
    <n v="2.0034000000000001"/>
    <n v="0"/>
    <n v="1.78139"/>
    <n v="2.9635199999999999"/>
    <n v="761667000"/>
    <n v="0"/>
    <n v="0"/>
    <n v="0"/>
    <n v="0"/>
    <n v="5965660"/>
    <n v="951336"/>
    <n v="0"/>
    <n v="10"/>
    <x v="29"/>
    <n v="2.0721540632163505E-10"/>
    <n v="-1.6838201810634569E-11"/>
  </r>
  <r>
    <n v="68.331500000000005"/>
    <n v="85.138999999999996"/>
    <n v="6.4962499999999999"/>
    <n v="0.04"/>
    <n v="0.04"/>
    <n v="3.08961"/>
    <n v="3.39201"/>
    <n v="0"/>
    <n v="0.57896199999999998"/>
    <n v="5.3222399999999999"/>
    <n v="177687000"/>
    <n v="0"/>
    <n v="0"/>
    <n v="0"/>
    <n v="0"/>
    <n v="4618890"/>
    <n v="-59833.4"/>
    <n v="408539"/>
    <n v="99.302199999999999"/>
    <n v="98.274000000000001"/>
    <n v="4.8379200000000004"/>
    <n v="0"/>
    <n v="1"/>
    <n v="2.3058999999999998"/>
    <n v="2.0034999999999998"/>
    <n v="0"/>
    <n v="1.78146"/>
    <n v="2.9635199999999999"/>
    <n v="762619000"/>
    <n v="0"/>
    <n v="0"/>
    <n v="0"/>
    <n v="0"/>
    <n v="5965910"/>
    <n v="951344"/>
    <n v="0"/>
    <n v="11"/>
    <x v="29"/>
    <n v="2.072084654589809E-10"/>
    <n v="-1.6832656886532534E-11"/>
  </r>
  <r>
    <n v="71.973699999999994"/>
    <n v="85.138999999999996"/>
    <n v="7.2460000000000004"/>
    <n v="0.04"/>
    <n v="0.04"/>
    <n v="3.0897700000000001"/>
    <n v="3.3921700000000001"/>
    <n v="0"/>
    <n v="0.57899299999999998"/>
    <n v="5.3222399999999999"/>
    <n v="177628000"/>
    <n v="0"/>
    <n v="0"/>
    <n v="0"/>
    <n v="0"/>
    <n v="4619130"/>
    <n v="-59816.7"/>
    <n v="408539"/>
    <n v="99.302199999999999"/>
    <n v="98.274000000000001"/>
    <n v="4.7204699999999997"/>
    <n v="0"/>
    <n v="1"/>
    <n v="2.30599"/>
    <n v="2.00359"/>
    <n v="0"/>
    <n v="1.7815399999999999"/>
    <n v="2.9635199999999999"/>
    <n v="763570000"/>
    <n v="0"/>
    <n v="0"/>
    <n v="0"/>
    <n v="0"/>
    <n v="5966150"/>
    <n v="951352"/>
    <n v="0"/>
    <n v="12"/>
    <x v="29"/>
    <n v="2.0720187247321166E-10"/>
    <n v="-1.682708440755388E-11"/>
  </r>
  <r>
    <n v="74.375900000000001"/>
    <n v="85.138999999999996"/>
    <n v="5.74512"/>
    <n v="0.03"/>
    <n v="0.04"/>
    <n v="2.6599300000000001"/>
    <n v="2.9623300000000001"/>
    <n v="0"/>
    <n v="0.57902299999999995"/>
    <n v="5.3222399999999999"/>
    <n v="177524000"/>
    <n v="0"/>
    <n v="0"/>
    <n v="0"/>
    <n v="0"/>
    <n v="3976530"/>
    <n v="-104005"/>
    <n v="408539"/>
    <n v="99.302199999999999"/>
    <n v="98.274000000000001"/>
    <n v="4.4007100000000001"/>
    <n v="0"/>
    <n v="1"/>
    <n v="2.02319"/>
    <n v="1.72079"/>
    <n v="0"/>
    <n v="1.7816099999999999"/>
    <n v="2.9635199999999999"/>
    <n v="764497000"/>
    <n v="0"/>
    <n v="0"/>
    <n v="0"/>
    <n v="0"/>
    <n v="5234460"/>
    <n v="927502"/>
    <n v="0"/>
    <n v="13"/>
    <x v="29"/>
    <n v="2.3024466595363949E-10"/>
    <n v="-3.3985726922069666E-11"/>
  </r>
  <r>
    <n v="76.583399999999997"/>
    <n v="85.138999999999996"/>
    <n v="5.7753800000000002"/>
    <n v="0.02"/>
    <n v="0.04"/>
    <n v="2.6600799999999998"/>
    <n v="2.9624799999999998"/>
    <n v="0"/>
    <n v="0.49847200000000003"/>
    <n v="5.3222399999999999"/>
    <n v="177420000"/>
    <n v="0"/>
    <n v="0"/>
    <n v="0"/>
    <n v="0"/>
    <n v="3976750"/>
    <n v="-103990"/>
    <n v="408539"/>
    <n v="99.302199999999999"/>
    <n v="98.274000000000001"/>
    <n v="7.9340700000000002"/>
    <n v="0"/>
    <n v="1"/>
    <n v="2.0232700000000001"/>
    <n v="1.7208699999999999"/>
    <n v="0"/>
    <n v="1.56311"/>
    <n v="2.9635199999999999"/>
    <n v="765425000"/>
    <n v="0"/>
    <n v="0"/>
    <n v="0"/>
    <n v="0"/>
    <n v="5234680"/>
    <n v="927509"/>
    <n v="0"/>
    <n v="14"/>
    <x v="29"/>
    <n v="2.3023672698735029E-10"/>
    <n v="-3.3978945498032109E-11"/>
  </r>
  <r>
    <n v="78.239400000000003"/>
    <n v="85.138999999999996"/>
    <n v="5.1678600000000001"/>
    <n v="0.02"/>
    <n v="0.04"/>
    <n v="2.6602199999999998"/>
    <n v="2.9626199999999998"/>
    <n v="0"/>
    <n v="0.498498"/>
    <n v="5.3222399999999999"/>
    <n v="177316000"/>
    <n v="0"/>
    <n v="0"/>
    <n v="0"/>
    <n v="0"/>
    <n v="3976960"/>
    <n v="-103976"/>
    <n v="408539"/>
    <n v="99.302199999999999"/>
    <n v="98.274000000000001"/>
    <n v="5.83169"/>
    <n v="0"/>
    <n v="1"/>
    <n v="2.0233500000000002"/>
    <n v="1.72095"/>
    <n v="0"/>
    <n v="1.56318"/>
    <n v="2.9635199999999999"/>
    <n v="766352000"/>
    <n v="0"/>
    <n v="0"/>
    <n v="0"/>
    <n v="0"/>
    <n v="5234890"/>
    <n v="927515"/>
    <n v="0"/>
    <n v="15"/>
    <x v="29"/>
    <n v="2.3022898026384324E-10"/>
    <n v="-3.397257698151066E-11"/>
  </r>
  <r>
    <n v="82.144199999999998"/>
    <n v="85.138999999999996"/>
    <n v="7.3997799999999998"/>
    <n v="0.02"/>
    <n v="0.04"/>
    <n v="2.6603599999999998"/>
    <n v="2.9627599999999998"/>
    <n v="0"/>
    <n v="0.498525"/>
    <n v="5.3222399999999999"/>
    <n v="177212000"/>
    <n v="0"/>
    <n v="0"/>
    <n v="0"/>
    <n v="0"/>
    <n v="3977170"/>
    <n v="-103961"/>
    <n v="408539"/>
    <n v="99.302199999999999"/>
    <n v="98.274000000000001"/>
    <n v="9.9679099999999998"/>
    <n v="0"/>
    <n v="1"/>
    <n v="2.0234299999999998"/>
    <n v="1.7210300000000001"/>
    <n v="0"/>
    <n v="1.56324"/>
    <n v="2.9635199999999999"/>
    <n v="767280000"/>
    <n v="0"/>
    <n v="0"/>
    <n v="0"/>
    <n v="0"/>
    <n v="5235100"/>
    <n v="927522"/>
    <n v="0"/>
    <n v="16"/>
    <x v="29"/>
    <n v="2.3022148237318209E-10"/>
    <n v="-3.396588241997958E-11"/>
  </r>
  <r>
    <n v="85.138999999999996"/>
    <n v="85.138999999999996"/>
    <n v="8.9674300000000002"/>
    <n v="0"/>
    <n v="0.04"/>
    <n v="2.9628999999999999"/>
    <n v="2.9628999999999999"/>
    <n v="0"/>
    <n v="0.49855100000000002"/>
    <n v="5.3222399999999999"/>
    <n v="177516000"/>
    <n v="0"/>
    <n v="0"/>
    <n v="0"/>
    <n v="0"/>
    <n v="4429460"/>
    <n v="304592"/>
    <n v="0"/>
    <n v="99.302199999999999"/>
    <n v="98.274000000000001"/>
    <n v="11.5601"/>
    <n v="0"/>
    <n v="1"/>
    <n v="1.72112"/>
    <n v="1.72112"/>
    <n v="0"/>
    <n v="1.5632999999999999"/>
    <n v="2.9635199999999999"/>
    <n v="767425000"/>
    <n v="0"/>
    <n v="0"/>
    <n v="0"/>
    <n v="0"/>
    <n v="4452940"/>
    <n v="145149"/>
    <n v="0"/>
    <n v="17"/>
    <x v="29"/>
    <n v="4.2355890134420748E-11"/>
    <n v="8.935406542468543E-11"/>
  </r>
  <r>
    <n v="85.138999999999996"/>
    <n v="85.138999999999996"/>
    <n v="5.6504599999999998"/>
    <n v="0"/>
    <n v="0.04"/>
    <n v="3.07131"/>
    <n v="3.07131"/>
    <n v="0"/>
    <n v="0.55524799999999996"/>
    <n v="5.3222399999999999"/>
    <n v="177832000"/>
    <n v="0"/>
    <n v="0"/>
    <n v="0"/>
    <n v="0"/>
    <n v="4591530"/>
    <n v="315736"/>
    <n v="0"/>
    <n v="99.302199999999999"/>
    <n v="98.274000000000001"/>
    <n v="9.4214400000000005"/>
    <n v="0"/>
    <n v="1"/>
    <n v="1.7904199999999999"/>
    <n v="1.7904199999999999"/>
    <n v="0"/>
    <n v="1.3297300000000001"/>
    <n v="2.9635199999999999"/>
    <n v="767576000"/>
    <n v="0"/>
    <n v="0"/>
    <n v="0"/>
    <n v="0"/>
    <n v="4632250"/>
    <n v="150994"/>
    <n v="0"/>
    <n v="18"/>
    <x v="29"/>
    <n v="4.2355938458703778E-11"/>
    <n v="8.9353853102743744E-11"/>
  </r>
  <r>
    <n v="85.138999999999996"/>
    <n v="85.138999999999996"/>
    <n v="6.3399599999999996"/>
    <n v="0"/>
    <n v="0.04"/>
    <n v="3.07145"/>
    <n v="3.07145"/>
    <n v="0"/>
    <n v="0.57556300000000005"/>
    <n v="5.3222399999999999"/>
    <n v="178148000"/>
    <n v="0"/>
    <n v="0"/>
    <n v="0"/>
    <n v="0"/>
    <n v="4591750"/>
    <n v="315751"/>
    <n v="0"/>
    <n v="99.302199999999999"/>
    <n v="98.274000000000001"/>
    <n v="8.3690700000000007"/>
    <n v="0"/>
    <n v="1"/>
    <n v="1.79051"/>
    <n v="1.79051"/>
    <n v="0"/>
    <n v="1.3832800000000001"/>
    <n v="2.9635199999999999"/>
    <n v="767727000"/>
    <n v="0"/>
    <n v="0"/>
    <n v="0"/>
    <n v="0"/>
    <n v="4632470"/>
    <n v="151001"/>
    <n v="0"/>
    <n v="19"/>
    <x v="29"/>
    <n v="4.2355890443712717E-11"/>
    <n v="8.9353816802953009E-11"/>
  </r>
  <r>
    <n v="85.138999999999996"/>
    <n v="85.138999999999996"/>
    <n v="4.2226800000000004"/>
    <n v="0"/>
    <n v="0.04"/>
    <n v="3.0716000000000001"/>
    <n v="3.0716000000000001"/>
    <n v="0"/>
    <n v="0.57559000000000005"/>
    <n v="5.3222399999999999"/>
    <n v="178463000"/>
    <n v="0"/>
    <n v="0"/>
    <n v="0"/>
    <n v="0"/>
    <n v="4591960"/>
    <n v="315767"/>
    <n v="0"/>
    <n v="99.302199999999999"/>
    <n v="98.274000000000001"/>
    <n v="5.9296300000000004"/>
    <n v="0"/>
    <n v="1"/>
    <n v="1.7905899999999999"/>
    <n v="1.7905899999999999"/>
    <n v="0"/>
    <n v="1.3833500000000001"/>
    <n v="2.9635199999999999"/>
    <n v="767878000"/>
    <n v="0"/>
    <n v="0"/>
    <n v="0"/>
    <n v="0"/>
    <n v="4632690"/>
    <n v="151008"/>
    <n v="0"/>
    <n v="20"/>
    <x v="29"/>
    <n v="4.2355842433281987E-11"/>
    <n v="8.9354258069383402E-11"/>
  </r>
  <r>
    <n v="85.138999999999996"/>
    <n v="85.138999999999996"/>
    <n v="4.5085300000000004"/>
    <n v="0"/>
    <n v="0.04"/>
    <n v="3.0717500000000002"/>
    <n v="3.0717500000000002"/>
    <n v="0"/>
    <n v="0.57561799999999996"/>
    <n v="5.3222399999999999"/>
    <n v="178779000"/>
    <n v="0"/>
    <n v="0"/>
    <n v="0"/>
    <n v="0"/>
    <n v="4592180"/>
    <n v="315782"/>
    <n v="0"/>
    <n v="99.302199999999999"/>
    <n v="98.274000000000001"/>
    <n v="6.3314399999999997"/>
    <n v="0"/>
    <n v="1"/>
    <n v="1.79068"/>
    <n v="1.79068"/>
    <n v="0"/>
    <n v="1.38341"/>
    <n v="2.9635199999999999"/>
    <n v="768029000"/>
    <n v="0"/>
    <n v="0"/>
    <n v="0"/>
    <n v="0"/>
    <n v="4632920"/>
    <n v="151015"/>
    <n v="0"/>
    <n v="21"/>
    <x v="29"/>
    <n v="4.2355703003871513E-11"/>
    <n v="8.9354221753590742E-11"/>
  </r>
  <r>
    <n v="85.138999999999996"/>
    <n v="85.138999999999996"/>
    <n v="4.1898799999999996"/>
    <n v="0"/>
    <n v="0.04"/>
    <n v="3.02956"/>
    <n v="3.02956"/>
    <n v="0"/>
    <n v="0.57564499999999996"/>
    <n v="5.3222399999999999"/>
    <n v="179091000"/>
    <n v="0"/>
    <n v="0"/>
    <n v="0"/>
    <n v="0"/>
    <n v="4529110"/>
    <n v="311444"/>
    <n v="0"/>
    <n v="99.302199999999999"/>
    <n v="98.274000000000001"/>
    <n v="6.5436899999999998"/>
    <n v="0"/>
    <n v="1"/>
    <n v="1.76387"/>
    <n v="1.76387"/>
    <n v="0"/>
    <n v="1.38348"/>
    <n v="2.9635199999999999"/>
    <n v="768178000"/>
    <n v="0"/>
    <n v="0"/>
    <n v="0"/>
    <n v="0"/>
    <n v="4563560"/>
    <n v="148755"/>
    <n v="0"/>
    <n v="22"/>
    <x v="29"/>
    <n v="4.235594891506789E-11"/>
    <n v="8.9353940229436553E-11"/>
  </r>
  <r>
    <n v="85.138999999999996"/>
    <n v="85.138999999999996"/>
    <n v="3.5699800000000002"/>
    <n v="0"/>
    <n v="0.04"/>
    <n v="3.0297000000000001"/>
    <n v="3.0297000000000001"/>
    <n v="0"/>
    <n v="0.56773899999999999"/>
    <n v="5.3222399999999999"/>
    <n v="179402000"/>
    <n v="0"/>
    <n v="0"/>
    <n v="0"/>
    <n v="0"/>
    <n v="4529330"/>
    <n v="311459"/>
    <n v="0"/>
    <n v="99.302199999999999"/>
    <n v="98.274000000000001"/>
    <n v="5.72851"/>
    <n v="0"/>
    <n v="1"/>
    <n v="1.76396"/>
    <n v="1.76396"/>
    <n v="0"/>
    <n v="1.36277"/>
    <n v="2.9635199999999999"/>
    <n v="768327000"/>
    <n v="0"/>
    <n v="0"/>
    <n v="0"/>
    <n v="0"/>
    <n v="4563780"/>
    <n v="148762"/>
    <n v="0"/>
    <n v="23"/>
    <x v="29"/>
    <n v="4.235590017689339E-11"/>
    <n v="8.9353903425155989E-11"/>
  </r>
  <r>
    <n v="84.866900000000001"/>
    <n v="85.138999999999996"/>
    <n v="3.1475"/>
    <n v="0"/>
    <n v="0.04"/>
    <n v="3.0298500000000002"/>
    <n v="3.0298500000000002"/>
    <n v="0"/>
    <n v="0.56776599999999999"/>
    <n v="5.3222399999999999"/>
    <n v="179714000"/>
    <n v="0"/>
    <n v="0"/>
    <n v="0"/>
    <n v="0"/>
    <n v="4529540"/>
    <n v="311474"/>
    <n v="0"/>
    <n v="99.302199999999999"/>
    <n v="98.274000000000001"/>
    <n v="5.0978599999999998"/>
    <n v="0"/>
    <n v="1"/>
    <n v="1.7640400000000001"/>
    <n v="1.7640400000000001"/>
    <n v="0"/>
    <n v="1.36283"/>
    <n v="2.9635199999999999"/>
    <n v="768475000"/>
    <n v="0"/>
    <n v="0"/>
    <n v="0"/>
    <n v="0"/>
    <n v="4564000"/>
    <n v="148769"/>
    <n v="0"/>
    <n v="24"/>
    <x v="29"/>
    <n v="4.2355851443417572E-11"/>
    <n v="8.9354063893636064E-11"/>
  </r>
  <r>
    <n v="84.310199999999995"/>
    <n v="85.138999999999996"/>
    <n v="2.8290199999999999"/>
    <n v="0"/>
    <n v="0.04"/>
    <n v="3.0299900000000002"/>
    <n v="3.0299900000000002"/>
    <n v="0"/>
    <n v="0.56779299999999999"/>
    <n v="5.3222399999999999"/>
    <n v="180025000"/>
    <n v="0"/>
    <n v="0"/>
    <n v="0"/>
    <n v="0"/>
    <n v="4529760"/>
    <n v="311489"/>
    <n v="0"/>
    <n v="99.302199999999999"/>
    <n v="98.274000000000001"/>
    <n v="4.56799"/>
    <n v="0"/>
    <n v="1"/>
    <n v="1.76413"/>
    <n v="1.76413"/>
    <n v="0"/>
    <n v="1.3629"/>
    <n v="2.9635199999999999"/>
    <n v="768624000"/>
    <n v="0"/>
    <n v="0"/>
    <n v="0"/>
    <n v="0"/>
    <n v="4564220"/>
    <n v="148776"/>
    <n v="0"/>
    <n v="25"/>
    <x v="29"/>
    <n v="4.2355802714639759E-11"/>
    <n v="8.9354027086843184E-11"/>
  </r>
  <r>
    <n v="83.448499999999996"/>
    <n v="85.138999999999996"/>
    <n v="2.5876299999999999"/>
    <n v="0"/>
    <n v="0.04"/>
    <n v="3.17388"/>
    <n v="3.17388"/>
    <n v="0"/>
    <n v="0.56781999999999999"/>
    <n v="5.3222399999999999"/>
    <n v="180351000"/>
    <n v="0"/>
    <n v="0"/>
    <n v="0"/>
    <n v="0"/>
    <n v="4744870"/>
    <n v="326281"/>
    <n v="0"/>
    <n v="99.302199999999999"/>
    <n v="98.274000000000001"/>
    <n v="4.4304100000000002"/>
    <n v="0"/>
    <n v="1"/>
    <n v="1.8595900000000001"/>
    <n v="1.8595900000000001"/>
    <n v="0"/>
    <n v="1.36297"/>
    <n v="2.9635199999999999"/>
    <n v="768781000"/>
    <n v="0"/>
    <n v="0"/>
    <n v="0"/>
    <n v="0"/>
    <n v="4811210"/>
    <n v="156827"/>
    <n v="0"/>
    <n v="26"/>
    <x v="29"/>
    <n v="4.2355823483281509E-11"/>
    <n v="8.9354015668316302E-11"/>
  </r>
  <r>
    <n v="82.341899999999995"/>
    <n v="85.138999999999996"/>
    <n v="2.2731599999999998"/>
    <n v="0"/>
    <n v="0.04"/>
    <n v="3.1740300000000001"/>
    <n v="3.1740300000000001"/>
    <n v="0"/>
    <n v="0.59478399999999998"/>
    <n v="5.3222399999999999"/>
    <n v="180678000"/>
    <n v="0"/>
    <n v="0"/>
    <n v="0"/>
    <n v="0"/>
    <n v="4745090"/>
    <n v="326296"/>
    <n v="0"/>
    <n v="99.302199999999999"/>
    <n v="98.274000000000001"/>
    <n v="4.0380000000000003"/>
    <n v="0"/>
    <n v="1"/>
    <n v="1.85968"/>
    <n v="1.85968"/>
    <n v="0"/>
    <n v="1.43672"/>
    <n v="2.9635199999999999"/>
    <n v="768938000"/>
    <n v="0"/>
    <n v="0"/>
    <n v="0"/>
    <n v="0"/>
    <n v="4811440"/>
    <n v="156835"/>
    <n v="0"/>
    <n v="27"/>
    <x v="29"/>
    <n v="4.2355959295068007E-11"/>
    <n v="8.9353980534034644E-11"/>
  </r>
  <r>
    <n v="81.029600000000002"/>
    <n v="85.138999999999996"/>
    <n v="1.9892300000000001"/>
    <n v="0"/>
    <n v="0.04"/>
    <n v="3.1741799999999998"/>
    <n v="3.1741799999999998"/>
    <n v="0"/>
    <n v="0.59481300000000004"/>
    <n v="5.3222399999999999"/>
    <n v="181004000"/>
    <n v="0"/>
    <n v="0"/>
    <n v="0"/>
    <n v="0"/>
    <n v="4745320"/>
    <n v="326312"/>
    <n v="0"/>
    <n v="99.302199999999999"/>
    <n v="98.274000000000001"/>
    <n v="3.9755500000000001"/>
    <n v="0"/>
    <n v="1"/>
    <n v="1.8597699999999999"/>
    <n v="1.8597699999999999"/>
    <n v="0"/>
    <n v="1.43679"/>
    <n v="2.9635199999999999"/>
    <n v="769095000"/>
    <n v="0"/>
    <n v="0"/>
    <n v="0"/>
    <n v="0"/>
    <n v="4811680"/>
    <n v="156842"/>
    <n v="0"/>
    <n v="28"/>
    <x v="29"/>
    <n v="4.2355737012668611E-11"/>
    <n v="8.9354030933966263E-11"/>
  </r>
  <r>
    <n v="79.703999999999994"/>
    <n v="85.138999999999996"/>
    <n v="1.96255"/>
    <n v="0"/>
    <n v="0.04"/>
    <n v="3.1743299999999999"/>
    <n v="3.1743299999999999"/>
    <n v="0"/>
    <n v="0.59484099999999995"/>
    <n v="5.3222399999999999"/>
    <n v="181330000"/>
    <n v="0"/>
    <n v="0"/>
    <n v="0"/>
    <n v="0"/>
    <n v="4745550"/>
    <n v="326328"/>
    <n v="0"/>
    <n v="99.302199999999999"/>
    <n v="98.274000000000001"/>
    <n v="4.00936"/>
    <n v="0"/>
    <n v="1"/>
    <n v="1.8598600000000001"/>
    <n v="1.8598600000000001"/>
    <n v="0"/>
    <n v="1.43686"/>
    <n v="2.9635199999999999"/>
    <n v="769252000"/>
    <n v="0"/>
    <n v="0"/>
    <n v="0"/>
    <n v="0"/>
    <n v="4811910"/>
    <n v="156850"/>
    <n v="0"/>
    <n v="29"/>
    <x v="29"/>
    <n v="4.2355872815322912E-11"/>
    <n v="8.9354081329012488E-11"/>
  </r>
  <r>
    <n v="78.272900000000007"/>
    <n v="85.138999999999996"/>
    <n v="1.8382000000000001"/>
    <n v="0"/>
    <n v="0.04"/>
    <n v="3.17448"/>
    <n v="3.17448"/>
    <n v="0"/>
    <n v="0.59487000000000001"/>
    <n v="5.3222399999999999"/>
    <n v="181657000"/>
    <n v="0"/>
    <n v="0"/>
    <n v="0"/>
    <n v="0"/>
    <n v="4745770"/>
    <n v="326343"/>
    <n v="0"/>
    <n v="99.302199999999999"/>
    <n v="98.274000000000001"/>
    <n v="3.8289599999999999"/>
    <n v="0"/>
    <n v="1"/>
    <n v="1.85995"/>
    <n v="1.85995"/>
    <n v="0"/>
    <n v="1.43693"/>
    <n v="2.9635199999999999"/>
    <n v="769408000"/>
    <n v="0"/>
    <n v="0"/>
    <n v="0"/>
    <n v="0"/>
    <n v="4812140"/>
    <n v="156857"/>
    <n v="0"/>
    <n v="30"/>
    <x v="29"/>
    <n v="4.2355738577272429E-11"/>
    <n v="8.9354046196721234E-11"/>
  </r>
  <r>
    <n v="78.053100000000001"/>
    <n v="85.138999999999996"/>
    <n v="2.7836099999999999"/>
    <n v="0.01"/>
    <n v="0.04"/>
    <n v="2.8437999999999999"/>
    <n v="3.1461999999999999"/>
    <n v="0"/>
    <n v="0.59489800000000004"/>
    <n v="5.3222399999999999"/>
    <n v="181572000"/>
    <n v="0"/>
    <n v="0"/>
    <n v="0"/>
    <n v="0"/>
    <n v="4251410"/>
    <n v="-85102.8"/>
    <n v="408539"/>
    <n v="99.296199999999999"/>
    <n v="98.274000000000001"/>
    <n v="3.5226199999999999"/>
    <n v="0"/>
    <n v="1"/>
    <n v="2.21488"/>
    <n v="1.91248"/>
    <n v="0"/>
    <n v="1.4370000000000001"/>
    <n v="2.9635199999999999"/>
    <n v="770352000"/>
    <n v="0"/>
    <n v="0"/>
    <n v="0"/>
    <n v="0"/>
    <n v="5730410"/>
    <n v="943668"/>
    <n v="0"/>
    <n v="31"/>
    <x v="29"/>
    <n v="2.1398342801554594E-10"/>
    <n v="-2.6011025081911792E-11"/>
  </r>
  <r>
    <n v="77.6678"/>
    <n v="85.138999999999996"/>
    <n v="2.6165600000000002"/>
    <n v="0.01"/>
    <n v="0.04"/>
    <n v="2.84395"/>
    <n v="3.14635"/>
    <n v="0"/>
    <n v="0.53292899999999999"/>
    <n v="5.3222399999999999"/>
    <n v="181486000"/>
    <n v="0"/>
    <n v="0"/>
    <n v="0"/>
    <n v="0"/>
    <n v="4251640"/>
    <n v="-85087.3"/>
    <n v="408539"/>
    <n v="99.245199999999997"/>
    <n v="98.274000000000001"/>
    <n v="3.3513799999999998"/>
    <n v="0"/>
    <n v="1"/>
    <n v="2.2149700000000001"/>
    <n v="1.9125700000000001"/>
    <n v="0"/>
    <n v="1.7112099999999999"/>
    <n v="2.9635199999999999"/>
    <n v="771296000"/>
    <n v="0"/>
    <n v="0"/>
    <n v="0"/>
    <n v="0"/>
    <n v="5730650"/>
    <n v="943675"/>
    <n v="0"/>
    <n v="32"/>
    <x v="29"/>
    <n v="2.139760536087564E-10"/>
    <n v="-2.6004880768307803E-11"/>
  </r>
  <r>
    <n v="77.0625"/>
    <n v="85.138999999999996"/>
    <n v="2.3909600000000002"/>
    <n v="0.01"/>
    <n v="0.04"/>
    <n v="2.8441000000000001"/>
    <n v="3.1465000000000001"/>
    <n v="0"/>
    <n v="0.53295700000000001"/>
    <n v="5.3222399999999999"/>
    <n v="181401000"/>
    <n v="0"/>
    <n v="0"/>
    <n v="0"/>
    <n v="0"/>
    <n v="4251860"/>
    <n v="-85071.8"/>
    <n v="408539"/>
    <n v="99.172799999999995"/>
    <n v="98.274000000000001"/>
    <n v="3.28708"/>
    <n v="0"/>
    <n v="1"/>
    <n v="2.2150599999999998"/>
    <n v="1.91266"/>
    <n v="0"/>
    <n v="1.7112799999999999"/>
    <n v="2.9635199999999999"/>
    <n v="772239000"/>
    <n v="0"/>
    <n v="0"/>
    <n v="0"/>
    <n v="0"/>
    <n v="5730890"/>
    <n v="943683"/>
    <n v="0"/>
    <n v="33"/>
    <x v="29"/>
    <n v="2.1396890655773939E-10"/>
    <n v="-2.5998798266181336E-11"/>
  </r>
  <r>
    <n v="76.254999999999995"/>
    <n v="85.138999999999996"/>
    <n v="2.1675499999999999"/>
    <n v="0.01"/>
    <n v="0.04"/>
    <n v="2.8442500000000002"/>
    <n v="3.1466500000000002"/>
    <n v="0"/>
    <n v="0.53298500000000004"/>
    <n v="5.3222399999999999"/>
    <n v="181316000"/>
    <n v="0"/>
    <n v="0"/>
    <n v="0"/>
    <n v="0"/>
    <n v="4252090"/>
    <n v="-85056.3"/>
    <n v="408539"/>
    <n v="99.048100000000005"/>
    <n v="98.274000000000001"/>
    <n v="2.9875400000000001"/>
    <n v="0"/>
    <n v="1"/>
    <n v="2.21515"/>
    <n v="1.91275"/>
    <n v="0"/>
    <n v="1.7113499999999999"/>
    <n v="2.9635199999999999"/>
    <n v="773183000"/>
    <n v="0"/>
    <n v="0"/>
    <n v="0"/>
    <n v="0"/>
    <n v="5731120"/>
    <n v="943691"/>
    <n v="0"/>
    <n v="34"/>
    <x v="29"/>
    <n v="2.1396213343855062E-10"/>
    <n v="-2.5992655264193226E-11"/>
  </r>
  <r>
    <n v="75.226500000000001"/>
    <n v="85.138999999999996"/>
    <n v="1.9450700000000001"/>
    <n v="0.02"/>
    <n v="0.04"/>
    <n v="2.9178500000000001"/>
    <n v="3.2202500000000001"/>
    <n v="0"/>
    <n v="0.53301299999999996"/>
    <n v="5.3222399999999999"/>
    <n v="181239000"/>
    <n v="0"/>
    <n v="0"/>
    <n v="0"/>
    <n v="0"/>
    <n v="4362100"/>
    <n v="-77491.100000000006"/>
    <n v="408539"/>
    <n v="98.772499999999994"/>
    <n v="98.274000000000001"/>
    <n v="2.74878"/>
    <n v="0"/>
    <n v="1"/>
    <n v="2.2619799999999999"/>
    <n v="1.9595800000000001"/>
    <n v="0"/>
    <n v="1.71143"/>
    <n v="2.9635199999999999"/>
    <n v="774131000"/>
    <n v="0"/>
    <n v="0"/>
    <n v="0"/>
    <n v="0"/>
    <n v="5852290"/>
    <n v="947640"/>
    <n v="0"/>
    <n v="35"/>
    <x v="29"/>
    <n v="2.1040892318260628E-10"/>
    <n v="-2.3083561553456916E-11"/>
  </r>
  <r>
    <n v="74.188999999999993"/>
    <n v="85.138999999999996"/>
    <n v="1.9550099999999999"/>
    <n v="0.02"/>
    <n v="0.04"/>
    <n v="2.9180000000000001"/>
    <n v="3.2204000000000002"/>
    <n v="0"/>
    <n v="0.54680399999999996"/>
    <n v="5.3222399999999999"/>
    <n v="181161000"/>
    <n v="0"/>
    <n v="0"/>
    <n v="0"/>
    <n v="0"/>
    <n v="4362340"/>
    <n v="-77475.199999999997"/>
    <n v="408539"/>
    <n v="98.465000000000003"/>
    <n v="98.274000000000001"/>
    <n v="2.8998200000000001"/>
    <n v="0"/>
    <n v="1"/>
    <n v="2.2620800000000001"/>
    <n v="1.9596800000000001"/>
    <n v="0"/>
    <n v="1.7476100000000001"/>
    <n v="2.9635199999999999"/>
    <n v="775078000"/>
    <n v="0"/>
    <n v="0"/>
    <n v="0"/>
    <n v="0"/>
    <n v="5852530"/>
    <n v="947648"/>
    <n v="0"/>
    <n v="36"/>
    <x v="29"/>
    <n v="2.1040207095768806E-10"/>
    <n v="-2.3077555443667582E-11"/>
  </r>
  <r>
    <n v="73.036799999999999"/>
    <n v="85.138999999999996"/>
    <n v="1.80321"/>
    <n v="0.02"/>
    <n v="0.04"/>
    <n v="2.9181499999999998"/>
    <n v="3.2205499999999998"/>
    <n v="0"/>
    <n v="0.54683300000000001"/>
    <n v="5.3222399999999999"/>
    <n v="181084000"/>
    <n v="0"/>
    <n v="0"/>
    <n v="0"/>
    <n v="0"/>
    <n v="4362570"/>
    <n v="-77459.399999999994"/>
    <n v="408539"/>
    <n v="98.080100000000002"/>
    <n v="98.274000000000001"/>
    <n v="2.7704399999999998"/>
    <n v="0"/>
    <n v="1"/>
    <n v="2.2621699999999998"/>
    <n v="1.95977"/>
    <n v="0"/>
    <n v="1.7476799999999999"/>
    <n v="2.9635199999999999"/>
    <n v="776026000"/>
    <n v="0"/>
    <n v="0"/>
    <n v="0"/>
    <n v="0"/>
    <n v="5852780"/>
    <n v="947656"/>
    <n v="0"/>
    <n v="37"/>
    <x v="29"/>
    <n v="2.1039485981561945E-10"/>
    <n v="-2.3071632665388534E-11"/>
  </r>
  <r>
    <n v="71.740300000000005"/>
    <n v="85.138999999999996"/>
    <n v="1.6412899999999999"/>
    <n v="0.02"/>
    <n v="0.04"/>
    <n v="2.91831"/>
    <n v="3.22071"/>
    <n v="0"/>
    <n v="0.54686199999999996"/>
    <n v="5.3222399999999999"/>
    <n v="181006000"/>
    <n v="0"/>
    <n v="0"/>
    <n v="0"/>
    <n v="0"/>
    <n v="4362800"/>
    <n v="-77443.5"/>
    <n v="408539"/>
    <n v="97.659099999999995"/>
    <n v="98.274000000000001"/>
    <n v="2.4148700000000001"/>
    <n v="0"/>
    <n v="1"/>
    <n v="2.2622599999999999"/>
    <n v="1.9598599999999999"/>
    <n v="0"/>
    <n v="1.7477499999999999"/>
    <n v="2.9635199999999999"/>
    <n v="776974000"/>
    <n v="0"/>
    <n v="0"/>
    <n v="0"/>
    <n v="0"/>
    <n v="5853020"/>
    <n v="947664"/>
    <n v="0"/>
    <n v="38"/>
    <x v="29"/>
    <n v="2.1038800874101308E-10"/>
    <n v="-2.306568072770663E-11"/>
  </r>
  <r>
    <n v="70.432699999999997"/>
    <n v="85.138999999999996"/>
    <n v="1.7885599999999999"/>
    <n v="0.02"/>
    <n v="0.04"/>
    <n v="3.1335700000000002"/>
    <n v="3.4359700000000002"/>
    <n v="0"/>
    <n v="0.54689100000000002"/>
    <n v="5.3222399999999999"/>
    <n v="180951000"/>
    <n v="0"/>
    <n v="0"/>
    <n v="0"/>
    <n v="0"/>
    <n v="4684610"/>
    <n v="-55314.2"/>
    <n v="408539"/>
    <n v="97.344499999999996"/>
    <n v="98.274000000000001"/>
    <n v="3.1101399999999999"/>
    <n v="0"/>
    <n v="1"/>
    <n v="2.4310999999999998"/>
    <n v="2.1286999999999998"/>
    <n v="0"/>
    <n v="1.74783"/>
    <n v="2.9635199999999999"/>
    <n v="777936000"/>
    <n v="0"/>
    <n v="0"/>
    <n v="0"/>
    <n v="0"/>
    <n v="6289840"/>
    <n v="961903"/>
    <n v="0"/>
    <n v="39"/>
    <x v="29"/>
    <n v="1.987184950826384E-10"/>
    <n v="-1.5342982966758001E-11"/>
  </r>
  <r>
    <n v="68.925899999999999"/>
    <n v="85.138999999999996"/>
    <n v="1.5581400000000001"/>
    <n v="0.02"/>
    <n v="0.04"/>
    <n v="3.1337299999999999"/>
    <n v="3.4361299999999999"/>
    <n v="0"/>
    <n v="0.58723099999999995"/>
    <n v="5.3222399999999999"/>
    <n v="180896000"/>
    <n v="0"/>
    <n v="0"/>
    <n v="0"/>
    <n v="0"/>
    <n v="4684850"/>
    <n v="-55297.3"/>
    <n v="408539"/>
    <n v="96.91"/>
    <n v="98.274000000000001"/>
    <n v="2.38192"/>
    <n v="0"/>
    <n v="1"/>
    <n v="2.4312"/>
    <n v="2.1288"/>
    <n v="0"/>
    <n v="1.8782700000000001"/>
    <n v="2.9635199999999999"/>
    <n v="778898000"/>
    <n v="0"/>
    <n v="0"/>
    <n v="0"/>
    <n v="0"/>
    <n v="6290110"/>
    <n v="961911"/>
    <n v="0"/>
    <n v="40"/>
    <x v="29"/>
    <n v="1.9871161782548244E-10"/>
    <n v="-1.533750950115601E-11"/>
  </r>
  <r>
    <n v="67.252600000000001"/>
    <n v="85.138999999999996"/>
    <n v="1.40303"/>
    <n v="0.02"/>
    <n v="0.04"/>
    <n v="3.1339000000000001"/>
    <n v="3.4363000000000001"/>
    <n v="0"/>
    <n v="0.58726199999999995"/>
    <n v="5.3222399999999999"/>
    <n v="180841000"/>
    <n v="0"/>
    <n v="0"/>
    <n v="0"/>
    <n v="0"/>
    <n v="4685100"/>
    <n v="-55280.4"/>
    <n v="408539"/>
    <n v="96.456699999999998"/>
    <n v="98.274000000000001"/>
    <n v="2.2820299999999998"/>
    <n v="0"/>
    <n v="1"/>
    <n v="2.4313099999999999"/>
    <n v="2.1289099999999999"/>
    <n v="0"/>
    <n v="1.87835"/>
    <n v="2.9635199999999999"/>
    <n v="779859000"/>
    <n v="0"/>
    <n v="0"/>
    <n v="0"/>
    <n v="0"/>
    <n v="6290370"/>
    <n v="961920"/>
    <n v="0"/>
    <n v="41"/>
    <x v="29"/>
    <n v="1.9870526361742096E-10"/>
    <n v="-1.5332003871225217E-11"/>
  </r>
  <r>
    <n v="65.621899999999997"/>
    <n v="85.138999999999996"/>
    <n v="1.41506"/>
    <n v="0.02"/>
    <n v="0.04"/>
    <n v="3.1340599999999998"/>
    <n v="3.4364599999999998"/>
    <n v="0"/>
    <n v="0.58729299999999995"/>
    <n v="5.3222399999999999"/>
    <n v="180785000"/>
    <n v="0"/>
    <n v="0"/>
    <n v="0"/>
    <n v="0"/>
    <n v="4685340"/>
    <n v="-55263.5"/>
    <n v="408539"/>
    <n v="96.083500000000001"/>
    <n v="98.274000000000001"/>
    <n v="2.4562300000000001"/>
    <n v="0"/>
    <n v="1"/>
    <n v="2.4314100000000001"/>
    <n v="2.1290100000000001"/>
    <n v="0"/>
    <n v="1.87843"/>
    <n v="2.9635199999999999"/>
    <n v="780821000"/>
    <n v="0"/>
    <n v="0"/>
    <n v="0"/>
    <n v="0"/>
    <n v="6290630"/>
    <n v="961929"/>
    <n v="0"/>
    <n v="42"/>
    <x v="29"/>
    <n v="1.9869890993461507E-10"/>
    <n v="-1.532653154043544E-11"/>
  </r>
  <r>
    <n v="64.017399999999995"/>
    <n v="85.138999999999996"/>
    <n v="1.4283399999999999"/>
    <n v="0.02"/>
    <n v="0.04"/>
    <n v="3.1342300000000001"/>
    <n v="3.4366300000000001"/>
    <n v="0"/>
    <n v="0.58732300000000004"/>
    <n v="5.3222399999999999"/>
    <n v="180730000"/>
    <n v="0"/>
    <n v="0"/>
    <n v="0"/>
    <n v="0"/>
    <n v="4685590"/>
    <n v="-55246.6"/>
    <n v="408539"/>
    <n v="95.722499999999997"/>
    <n v="98.274000000000001"/>
    <n v="2.91777"/>
    <n v="0"/>
    <n v="1"/>
    <n v="2.4315099999999998"/>
    <n v="2.1291099999999998"/>
    <n v="0"/>
    <n v="1.8785099999999999"/>
    <n v="2.9635199999999999"/>
    <n v="781783000"/>
    <n v="0"/>
    <n v="0"/>
    <n v="0"/>
    <n v="0"/>
    <n v="6290900"/>
    <n v="961937"/>
    <n v="0"/>
    <n v="43"/>
    <x v="29"/>
    <n v="1.9869203438167045E-10"/>
    <n v="-1.5321027071990999E-11"/>
  </r>
  <r>
    <n v="63.030700000000003"/>
    <n v="85.138999999999996"/>
    <n v="1.9475800000000001"/>
    <n v="0.02"/>
    <n v="0.04"/>
    <n v="3.0295299999999998"/>
    <n v="3.3319299999999998"/>
    <n v="0"/>
    <n v="0.58735400000000004"/>
    <n v="5.3222399999999999"/>
    <n v="180664000"/>
    <n v="0"/>
    <n v="0"/>
    <n v="0"/>
    <n v="0"/>
    <n v="4529070"/>
    <n v="-66009.600000000006"/>
    <n v="408539"/>
    <n v="95.576099999999997"/>
    <n v="98.274000000000001"/>
    <n v="3.5527500000000001"/>
    <n v="0"/>
    <n v="1"/>
    <n v="2.32917"/>
    <n v="2.02677"/>
    <n v="0"/>
    <n v="1.8785799999999999"/>
    <n v="2.9635199999999999"/>
    <n v="782737000"/>
    <n v="0"/>
    <n v="0"/>
    <n v="0"/>
    <n v="0"/>
    <n v="6026110"/>
    <n v="953306"/>
    <n v="0"/>
    <n v="44"/>
    <x v="29"/>
    <n v="2.0556154815565668E-10"/>
    <n v="-1.893846067048093E-11"/>
  </r>
  <r>
    <n v="61.357700000000001"/>
    <n v="85.138999999999996"/>
    <n v="1.3076300000000001"/>
    <n v="0.02"/>
    <n v="0.04"/>
    <n v="3.02969"/>
    <n v="3.33209"/>
    <n v="0"/>
    <n v="0.56773399999999996"/>
    <n v="5.3222399999999999"/>
    <n v="180598000"/>
    <n v="0"/>
    <n v="0"/>
    <n v="0"/>
    <n v="0"/>
    <n v="4529310"/>
    <n v="-65993.2"/>
    <n v="408539"/>
    <n v="95.183199999999999"/>
    <n v="98.274000000000001"/>
    <n v="2.6892100000000001"/>
    <n v="0"/>
    <n v="1"/>
    <n v="2.3292600000000001"/>
    <n v="2.0268600000000001"/>
    <n v="0"/>
    <n v="1.7995099999999999"/>
    <n v="2.9635199999999999"/>
    <n v="783690000"/>
    <n v="0"/>
    <n v="0"/>
    <n v="0"/>
    <n v="0"/>
    <n v="6026360"/>
    <n v="953314"/>
    <n v="0"/>
    <n v="45"/>
    <x v="29"/>
    <n v="2.0555474552564856E-10"/>
    <n v="-1.8932752168662671E-11"/>
  </r>
  <r>
    <n v="59.493099999999998"/>
    <n v="85.138999999999996"/>
    <n v="1.03772"/>
    <n v="0.02"/>
    <n v="0.04"/>
    <n v="3.0298500000000002"/>
    <n v="3.3322500000000002"/>
    <n v="0"/>
    <n v="0.56776400000000005"/>
    <n v="5.3222399999999999"/>
    <n v="180532000"/>
    <n v="0"/>
    <n v="0"/>
    <n v="0"/>
    <n v="0"/>
    <n v="4529550"/>
    <n v="-65976.800000000003"/>
    <n v="408539"/>
    <n v="94.742400000000004"/>
    <n v="98.274000000000001"/>
    <n v="1.9856"/>
    <n v="0"/>
    <n v="1"/>
    <n v="2.3293599999999999"/>
    <n v="2.0269599999999999"/>
    <n v="0"/>
    <n v="1.79959"/>
    <n v="2.9635199999999999"/>
    <n v="784643000"/>
    <n v="0"/>
    <n v="0"/>
    <n v="0"/>
    <n v="0"/>
    <n v="6026610"/>
    <n v="953322"/>
    <n v="0"/>
    <n v="46"/>
    <x v="29"/>
    <n v="2.0554794346002322E-10"/>
    <n v="-1.8927044271778875E-11"/>
  </r>
  <r>
    <n v="58.981900000000003"/>
    <n v="85.138999999999996"/>
    <n v="2.4588899999999998"/>
    <n v="0.02"/>
    <n v="0.04"/>
    <n v="3.0300099999999999"/>
    <n v="3.3324099999999999"/>
    <n v="0"/>
    <n v="0.56779400000000002"/>
    <n v="5.3222399999999999"/>
    <n v="180466000"/>
    <n v="0"/>
    <n v="0"/>
    <n v="0"/>
    <n v="0"/>
    <n v="4529790"/>
    <n v="-65960.399999999994"/>
    <n v="408539"/>
    <n v="94.598500000000001"/>
    <n v="98.274000000000001"/>
    <n v="4.1910100000000003"/>
    <n v="0"/>
    <n v="1"/>
    <n v="2.3294600000000001"/>
    <n v="2.0270600000000001"/>
    <n v="0"/>
    <n v="1.79966"/>
    <n v="2.9635199999999999"/>
    <n v="785597000"/>
    <n v="0"/>
    <n v="0"/>
    <n v="0"/>
    <n v="0"/>
    <n v="6026860"/>
    <n v="953331"/>
    <n v="0"/>
    <n v="47"/>
    <x v="29"/>
    <n v="2.0554135756206077E-10"/>
    <n v="-1.8921336979733381E-11"/>
  </r>
  <r>
    <n v="60.107199999999999"/>
    <n v="85.138999999999996"/>
    <n v="4.24763"/>
    <n v="0.04"/>
    <n v="0.04"/>
    <n v="2.94408"/>
    <n v="3.24648"/>
    <n v="0"/>
    <n v="0.567824"/>
    <n v="5.3222399999999999"/>
    <n v="180391000"/>
    <n v="0"/>
    <n v="0"/>
    <n v="0"/>
    <n v="0"/>
    <n v="4401330"/>
    <n v="-74794.100000000006"/>
    <n v="408539"/>
    <n v="95.638199999999998"/>
    <n v="98.274000000000001"/>
    <n v="7.4261499999999998"/>
    <n v="0"/>
    <n v="1"/>
    <n v="2.2362899999999999"/>
    <n v="1.9338900000000001"/>
    <n v="0"/>
    <n v="1.7997399999999999"/>
    <n v="2.9635199999999999"/>
    <n v="786542000"/>
    <n v="0"/>
    <n v="0"/>
    <n v="0"/>
    <n v="0"/>
    <n v="5785800"/>
    <n v="945473"/>
    <n v="0"/>
    <n v="48"/>
    <x v="29"/>
    <n v="2.1234024905195826E-10"/>
    <n v="-2.2081573484522604E-11"/>
  </r>
  <r>
    <n v="61.687800000000003"/>
    <n v="85.138999999999996"/>
    <n v="4.7137099999999998"/>
    <n v="0.02"/>
    <n v="0.04"/>
    <n v="2.9442400000000002"/>
    <n v="3.2466400000000002"/>
    <n v="0"/>
    <n v="0.55172100000000002"/>
    <n v="5.3222399999999999"/>
    <n v="180317000"/>
    <n v="0"/>
    <n v="0"/>
    <n v="0"/>
    <n v="0"/>
    <n v="4401560"/>
    <n v="-74778.100000000006"/>
    <n v="408539"/>
    <n v="96.999799999999993"/>
    <n v="98.274000000000001"/>
    <n v="6.7126400000000004"/>
    <n v="0"/>
    <n v="1"/>
    <n v="2.23638"/>
    <n v="1.93398"/>
    <n v="0"/>
    <n v="1.7277499999999999"/>
    <n v="2.9635199999999999"/>
    <n v="787488000"/>
    <n v="0"/>
    <n v="0"/>
    <n v="0"/>
    <n v="0"/>
    <n v="5786040"/>
    <n v="945481"/>
    <n v="0"/>
    <n v="49"/>
    <x v="29"/>
    <n v="2.1233323797527901E-10"/>
    <n v="-2.2075696172563253E-11"/>
  </r>
  <r>
    <n v="63.748600000000003"/>
    <n v="85.138999999999996"/>
    <n v="5.2460300000000002"/>
    <n v="0.02"/>
    <n v="0.04"/>
    <n v="2.9443899999999998"/>
    <n v="3.2467899999999998"/>
    <n v="0"/>
    <n v="0.55174999999999996"/>
    <n v="5.3222399999999999"/>
    <n v="180242000"/>
    <n v="0"/>
    <n v="0"/>
    <n v="0"/>
    <n v="0"/>
    <n v="4401790"/>
    <n v="-74762.100000000006"/>
    <n v="408539"/>
    <n v="98.377499999999998"/>
    <n v="98.274000000000001"/>
    <n v="7.8319900000000002"/>
    <n v="0"/>
    <n v="1"/>
    <n v="2.2364700000000002"/>
    <n v="1.93407"/>
    <n v="0"/>
    <n v="1.72783"/>
    <n v="2.9635199999999999"/>
    <n v="788433000"/>
    <n v="0"/>
    <n v="0"/>
    <n v="0"/>
    <n v="0"/>
    <n v="5786280"/>
    <n v="945489"/>
    <n v="0"/>
    <n v="50"/>
    <x v="29"/>
    <n v="2.1232622748020257E-10"/>
    <n v="-2.2069819474800285E-11"/>
  </r>
  <r>
    <n v="65.1892"/>
    <n v="85.138999999999996"/>
    <n v="4.6159100000000004"/>
    <n v="0.02"/>
    <n v="0.04"/>
    <n v="2.94455"/>
    <n v="3.24695"/>
    <n v="0"/>
    <n v="0.55177900000000002"/>
    <n v="5.3222399999999999"/>
    <n v="180167000"/>
    <n v="0"/>
    <n v="0"/>
    <n v="0"/>
    <n v="0"/>
    <n v="4402020"/>
    <n v="-74746.100000000006"/>
    <n v="408539"/>
    <n v="98.91"/>
    <n v="98.274000000000001"/>
    <n v="5.6452499999999999"/>
    <n v="0"/>
    <n v="1"/>
    <n v="2.2365599999999999"/>
    <n v="1.9341600000000001"/>
    <n v="0"/>
    <n v="1.7279"/>
    <n v="2.9635199999999999"/>
    <n v="789379000"/>
    <n v="0"/>
    <n v="0"/>
    <n v="0"/>
    <n v="0"/>
    <n v="5786520"/>
    <n v="945496"/>
    <n v="0"/>
    <n v="51"/>
    <x v="29"/>
    <n v="2.1231899300833692E-10"/>
    <n v="-2.206394339113743E-11"/>
  </r>
  <r>
    <n v="67.355500000000006"/>
    <n v="85.138999999999996"/>
    <n v="5.2733699999999999"/>
    <n v="0.02"/>
    <n v="0.04"/>
    <n v="2.7001599999999999"/>
    <n v="3.0025599999999999"/>
    <n v="0"/>
    <n v="0.55180799999999997"/>
    <n v="5.3222399999999999"/>
    <n v="180067000"/>
    <n v="0"/>
    <n v="0"/>
    <n v="0"/>
    <n v="0"/>
    <n v="4036670"/>
    <n v="-99869.8"/>
    <n v="408539"/>
    <n v="99.302199999999999"/>
    <n v="98.274000000000001"/>
    <n v="5.4218700000000002"/>
    <n v="0"/>
    <n v="1"/>
    <n v="2.04237"/>
    <n v="1.73997"/>
    <n v="0"/>
    <n v="1.72797"/>
    <n v="2.9635199999999999"/>
    <n v="790308000"/>
    <n v="0"/>
    <n v="0"/>
    <n v="0"/>
    <n v="0"/>
    <n v="5284090"/>
    <n v="929119"/>
    <n v="0"/>
    <n v="52"/>
    <x v="29"/>
    <n v="2.2847976511960593E-10"/>
    <n v="-3.2148265141940865E-11"/>
  </r>
  <r>
    <n v="72.532700000000006"/>
    <n v="85.138999999999996"/>
    <n v="8.4587299999999992"/>
    <n v="0.02"/>
    <n v="0.04"/>
    <n v="2.7002999999999999"/>
    <n v="3.0026999999999999"/>
    <n v="0"/>
    <n v="0.50600999999999996"/>
    <n v="5.3222399999999999"/>
    <n v="179967000"/>
    <n v="0"/>
    <n v="0"/>
    <n v="0"/>
    <n v="0"/>
    <n v="4036880"/>
    <n v="-99855"/>
    <n v="408539"/>
    <n v="99.302199999999999"/>
    <n v="98.274000000000001"/>
    <n v="3.9208699999999999"/>
    <n v="0"/>
    <n v="1"/>
    <n v="2.0424500000000001"/>
    <n v="1.7400500000000001"/>
    <n v="0"/>
    <n v="1.5779300000000001"/>
    <n v="2.9635199999999999"/>
    <n v="791237000"/>
    <n v="0"/>
    <n v="0"/>
    <n v="0"/>
    <n v="0"/>
    <n v="5284300"/>
    <n v="929126"/>
    <n v="0"/>
    <n v="1"/>
    <x v="30"/>
    <n v="1.1282652850862307E-10"/>
    <n v="-1.5872599352513106E-11"/>
  </r>
  <r>
    <n v="76.276799999999994"/>
    <n v="85.138999999999996"/>
    <n v="7.0316700000000001"/>
    <n v="0.02"/>
    <n v="0.04"/>
    <n v="2.70045"/>
    <n v="3.00285"/>
    <n v="0"/>
    <n v="0.50603699999999996"/>
    <n v="5.3222399999999999"/>
    <n v="179867000"/>
    <n v="0"/>
    <n v="0"/>
    <n v="0"/>
    <n v="0"/>
    <n v="4037100"/>
    <n v="-99840.2"/>
    <n v="408539"/>
    <n v="99.302199999999999"/>
    <n v="98.274000000000001"/>
    <n v="4.5869600000000004"/>
    <n v="0"/>
    <n v="1"/>
    <n v="2.0425300000000002"/>
    <n v="1.74013"/>
    <n v="0"/>
    <n v="1.5780000000000001"/>
    <n v="2.9635199999999999"/>
    <n v="792166000"/>
    <n v="0"/>
    <n v="0"/>
    <n v="0"/>
    <n v="0"/>
    <n v="5284520"/>
    <n v="929133"/>
    <n v="0"/>
    <n v="2"/>
    <x v="30"/>
    <n v="1.1282268141965092E-10"/>
    <n v="-1.5869381954440111E-11"/>
  </r>
  <r>
    <n v="79.2911"/>
    <n v="85.138999999999996"/>
    <n v="6.2369700000000003"/>
    <n v="0.01"/>
    <n v="0.04"/>
    <n v="2.70059"/>
    <n v="3.00299"/>
    <n v="0"/>
    <n v="0.50606300000000004"/>
    <n v="5.3222399999999999"/>
    <n v="179768000"/>
    <n v="0"/>
    <n v="0"/>
    <n v="0"/>
    <n v="0"/>
    <n v="4037310"/>
    <n v="-99825.4"/>
    <n v="408539"/>
    <n v="99.302199999999999"/>
    <n v="98.274000000000001"/>
    <n v="6.6169700000000002"/>
    <n v="0"/>
    <n v="1"/>
    <n v="2.0426199999999999"/>
    <n v="1.7402200000000001"/>
    <n v="0"/>
    <n v="1.57806"/>
    <n v="2.9635199999999999"/>
    <n v="793095000"/>
    <n v="0"/>
    <n v="0"/>
    <n v="0"/>
    <n v="0"/>
    <n v="5284730"/>
    <n v="929140"/>
    <n v="0"/>
    <n v="3"/>
    <x v="30"/>
    <n v="1.1281904813177408E-10"/>
    <n v="-1.5866204205861633E-11"/>
  </r>
  <r>
    <n v="82.117900000000006"/>
    <n v="85.138999999999996"/>
    <n v="6.3729699999999996"/>
    <n v="0"/>
    <n v="0.04"/>
    <n v="3.0031300000000001"/>
    <n v="3.0031300000000001"/>
    <n v="0"/>
    <n v="0.50609000000000004"/>
    <n v="5.3222399999999999"/>
    <n v="180076000"/>
    <n v="0"/>
    <n v="0"/>
    <n v="0"/>
    <n v="0"/>
    <n v="4489610"/>
    <n v="308728"/>
    <n v="0"/>
    <n v="99.302199999999999"/>
    <n v="98.274000000000001"/>
    <n v="7.2279"/>
    <n v="0"/>
    <n v="1"/>
    <n v="1.7403"/>
    <n v="1.7403"/>
    <n v="0"/>
    <n v="1.57812"/>
    <n v="2.9635199999999999"/>
    <n v="793242000"/>
    <n v="0"/>
    <n v="0"/>
    <n v="0"/>
    <n v="0"/>
    <n v="4502570"/>
    <n v="146766"/>
    <n v="0"/>
    <n v="4"/>
    <x v="30"/>
    <n v="2.0916502296532776E-11"/>
    <n v="4.4125687071986936E-11"/>
  </r>
  <r>
    <n v="85.077699999999993"/>
    <n v="85.138999999999996"/>
    <n v="6.5776899999999996"/>
    <n v="0"/>
    <n v="0.04"/>
    <n v="3.0031300000000001"/>
    <n v="3.0031300000000001"/>
    <n v="0"/>
    <n v="0.56278700000000004"/>
    <n v="5.3222399999999999"/>
    <n v="180385000"/>
    <n v="0"/>
    <n v="0"/>
    <n v="0"/>
    <n v="0"/>
    <n v="4489610"/>
    <n v="308728"/>
    <n v="0"/>
    <n v="99.302199999999999"/>
    <n v="98.274000000000001"/>
    <n v="8.9269300000000005"/>
    <n v="0"/>
    <n v="1"/>
    <n v="1.7403"/>
    <n v="1.7403"/>
    <n v="0"/>
    <n v="1.3445499999999999"/>
    <n v="2.9635199999999999"/>
    <n v="793389000"/>
    <n v="0"/>
    <n v="0"/>
    <n v="0"/>
    <n v="0"/>
    <n v="4502570"/>
    <n v="146766"/>
    <n v="0"/>
    <n v="5"/>
    <x v="30"/>
    <n v="2.0916502296532776E-11"/>
    <n v="4.4125687071986936E-11"/>
  </r>
  <r>
    <n v="85.138999999999996"/>
    <n v="85.138999999999996"/>
    <n v="5.2786200000000001"/>
    <n v="0"/>
    <n v="0.04"/>
    <n v="3.0973600000000001"/>
    <n v="3.0973600000000001"/>
    <n v="0"/>
    <n v="0.56278700000000004"/>
    <n v="5.3222399999999999"/>
    <n v="180704000"/>
    <n v="0"/>
    <n v="0"/>
    <n v="0"/>
    <n v="0"/>
    <n v="4630470"/>
    <n v="318414"/>
    <n v="0"/>
    <n v="99.302199999999999"/>
    <n v="98.274000000000001"/>
    <n v="4.8784999999999998"/>
    <n v="0"/>
    <n v="1"/>
    <n v="1.7966500000000001"/>
    <n v="1.7966500000000001"/>
    <n v="0"/>
    <n v="1.3445499999999999"/>
    <n v="2.9635199999999999"/>
    <n v="793540000"/>
    <n v="0"/>
    <n v="0"/>
    <n v="0"/>
    <n v="0"/>
    <n v="4648370"/>
    <n v="151519"/>
    <n v="0"/>
    <n v="6"/>
    <x v="30"/>
    <n v="2.0916570740767844E-11"/>
    <n v="4.4125654241533461E-11"/>
  </r>
  <r>
    <n v="85.138999999999996"/>
    <n v="85.138999999999996"/>
    <n v="4.5841700000000003"/>
    <n v="0"/>
    <n v="0.04"/>
    <n v="3.0974900000000001"/>
    <n v="3.0974900000000001"/>
    <n v="0"/>
    <n v="0.58044399999999996"/>
    <n v="5.3222399999999999"/>
    <n v="181022000"/>
    <n v="0"/>
    <n v="0"/>
    <n v="0"/>
    <n v="0"/>
    <n v="4630660"/>
    <n v="318427"/>
    <n v="0"/>
    <n v="99.302199999999999"/>
    <n v="98.274000000000001"/>
    <n v="4.4133699999999996"/>
    <n v="0"/>
    <n v="1"/>
    <n v="1.7967299999999999"/>
    <n v="1.7967299999999999"/>
    <n v="0"/>
    <n v="1.38809"/>
    <n v="2.9635199999999999"/>
    <n v="793692000"/>
    <n v="0"/>
    <n v="0"/>
    <n v="0"/>
    <n v="0"/>
    <n v="4648560"/>
    <n v="151525"/>
    <n v="0"/>
    <n v="7"/>
    <x v="30"/>
    <n v="2.0916544061748832E-11"/>
    <n v="4.4125645187267119E-11"/>
  </r>
  <r>
    <n v="85.138999999999996"/>
    <n v="85.138999999999996"/>
    <n v="4.1338999999999997"/>
    <n v="0"/>
    <n v="0.04"/>
    <n v="3.09761"/>
    <n v="3.09761"/>
    <n v="0"/>
    <n v="0.58046900000000001"/>
    <n v="5.3222399999999999"/>
    <n v="181340000"/>
    <n v="0"/>
    <n v="0"/>
    <n v="0"/>
    <n v="0"/>
    <n v="4630860"/>
    <n v="318441"/>
    <n v="0"/>
    <n v="99.302199999999999"/>
    <n v="98.274000000000001"/>
    <n v="4.0603699999999998"/>
    <n v="0"/>
    <n v="1"/>
    <n v="1.7968"/>
    <n v="1.7968"/>
    <n v="0"/>
    <n v="1.38815"/>
    <n v="2.9635199999999999"/>
    <n v="793843000"/>
    <n v="0"/>
    <n v="0"/>
    <n v="0"/>
    <n v="0"/>
    <n v="4648760"/>
    <n v="151532"/>
    <n v="0"/>
    <n v="8"/>
    <x v="30"/>
    <n v="2.0916610425433864E-11"/>
    <n v="4.4125679415526258E-11"/>
  </r>
  <r>
    <n v="85.138999999999996"/>
    <n v="85.138999999999996"/>
    <n v="4.2782600000000004"/>
    <n v="0"/>
    <n v="0.04"/>
    <n v="3.0977399999999999"/>
    <n v="3.0977399999999999"/>
    <n v="0"/>
    <n v="0.58049300000000004"/>
    <n v="5.3222399999999999"/>
    <n v="181659000"/>
    <n v="0"/>
    <n v="0"/>
    <n v="0"/>
    <n v="0"/>
    <n v="4631050"/>
    <n v="318454"/>
    <n v="0"/>
    <n v="99.302199999999999"/>
    <n v="98.274000000000001"/>
    <n v="4.1718999999999999"/>
    <n v="0"/>
    <n v="1"/>
    <n v="1.79688"/>
    <n v="1.79688"/>
    <n v="0"/>
    <n v="1.3882099999999999"/>
    <n v="2.9635199999999999"/>
    <n v="793995000"/>
    <n v="0"/>
    <n v="0"/>
    <n v="0"/>
    <n v="0"/>
    <n v="4648950"/>
    <n v="151538"/>
    <n v="0"/>
    <n v="9"/>
    <x v="30"/>
    <n v="2.0916583747031059E-11"/>
    <n v="4.4125670360989596E-11"/>
  </r>
  <r>
    <n v="85.138999999999996"/>
    <n v="85.138999999999996"/>
    <n v="5.5074100000000001"/>
    <n v="0"/>
    <n v="0.04"/>
    <n v="3.4000300000000001"/>
    <n v="3.4000300000000001"/>
    <n v="0"/>
    <n v="0.58051699999999995"/>
    <n v="5.3222399999999999"/>
    <n v="182008000"/>
    <n v="0"/>
    <n v="0"/>
    <n v="0"/>
    <n v="0"/>
    <n v="5082960"/>
    <n v="349530"/>
    <n v="0"/>
    <n v="99.302199999999999"/>
    <n v="98.274000000000001"/>
    <n v="3.89913"/>
    <n v="0"/>
    <n v="1"/>
    <n v="2.0082399999999998"/>
    <n v="2.0082399999999998"/>
    <n v="0"/>
    <n v="1.3882699999999999"/>
    <n v="2.9635199999999999"/>
    <n v="794164000"/>
    <n v="0"/>
    <n v="0"/>
    <n v="0"/>
    <n v="0"/>
    <n v="5195790"/>
    <n v="169363"/>
    <n v="0"/>
    <n v="10"/>
    <x v="30"/>
    <n v="2.0916596865860402E-11"/>
    <n v="4.4125723863355521E-11"/>
  </r>
  <r>
    <n v="84.625399999999999"/>
    <n v="85.138999999999996"/>
    <n v="3.3251200000000001"/>
    <n v="0"/>
    <n v="0.04"/>
    <n v="3.4001800000000002"/>
    <n v="3.4001800000000002"/>
    <n v="0"/>
    <n v="0.63716600000000001"/>
    <n v="5.3222399999999999"/>
    <n v="182358000"/>
    <n v="0"/>
    <n v="0"/>
    <n v="0"/>
    <n v="0"/>
    <n v="5083180"/>
    <n v="349545"/>
    <n v="0"/>
    <n v="99.302199999999999"/>
    <n v="98.274000000000001"/>
    <n v="5.2657999999999996"/>
    <n v="0"/>
    <n v="1"/>
    <n v="2.0083199999999999"/>
    <n v="2.0083199999999999"/>
    <n v="0"/>
    <n v="1.5515600000000001"/>
    <n v="2.9635199999999999"/>
    <n v="794333000"/>
    <n v="0"/>
    <n v="0"/>
    <n v="0"/>
    <n v="0"/>
    <n v="5196000"/>
    <n v="169370"/>
    <n v="0"/>
    <n v="11"/>
    <x v="30"/>
    <n v="2.0916615982934106E-11"/>
    <n v="4.4125707665680109E-11"/>
  </r>
  <r>
    <n v="85.138999999999996"/>
    <n v="85.138999999999996"/>
    <n v="4.9207400000000003"/>
    <n v="0"/>
    <n v="0.04"/>
    <n v="3.4003199999999998"/>
    <n v="3.4003199999999998"/>
    <n v="0"/>
    <n v="0.63719300000000001"/>
    <n v="5.3222399999999999"/>
    <n v="182707000"/>
    <n v="0"/>
    <n v="0"/>
    <n v="0"/>
    <n v="0"/>
    <n v="5083390"/>
    <n v="349559"/>
    <n v="0"/>
    <n v="99.302199999999999"/>
    <n v="98.274000000000001"/>
    <n v="5.2020799999999996"/>
    <n v="0"/>
    <n v="1"/>
    <n v="2.0084"/>
    <n v="2.0084"/>
    <n v="0"/>
    <n v="1.5516300000000001"/>
    <n v="2.9635199999999999"/>
    <n v="794503000"/>
    <n v="0"/>
    <n v="0"/>
    <n v="0"/>
    <n v="0"/>
    <n v="5196220"/>
    <n v="169377"/>
    <n v="0"/>
    <n v="12"/>
    <x v="30"/>
    <n v="2.0916594844903101E-11"/>
    <n v="4.4125652040733725E-11"/>
  </r>
  <r>
    <n v="85.138999999999996"/>
    <n v="85.138999999999996"/>
    <n v="4.1807499999999997"/>
    <n v="0"/>
    <n v="0.04"/>
    <n v="3.4004599999999998"/>
    <n v="3.4004599999999998"/>
    <n v="0"/>
    <n v="0.63722000000000001"/>
    <n v="5.3222399999999999"/>
    <n v="183057000"/>
    <n v="0"/>
    <n v="0"/>
    <n v="0"/>
    <n v="0"/>
    <n v="5083600"/>
    <n v="349574"/>
    <n v="0"/>
    <n v="99.302199999999999"/>
    <n v="98.274000000000001"/>
    <n v="5.6635400000000002"/>
    <n v="0"/>
    <n v="1"/>
    <n v="2.0084900000000001"/>
    <n v="2.0084900000000001"/>
    <n v="0"/>
    <n v="1.55169"/>
    <n v="2.9635199999999999"/>
    <n v="794672000"/>
    <n v="0"/>
    <n v="0"/>
    <n v="0"/>
    <n v="0"/>
    <n v="5196440"/>
    <n v="169384"/>
    <n v="0"/>
    <n v="13"/>
    <x v="30"/>
    <n v="2.0916573708661932E-11"/>
    <n v="4.4125722647512724E-11"/>
  </r>
  <r>
    <n v="85.138999999999996"/>
    <n v="85.138999999999996"/>
    <n v="3.77854"/>
    <n v="0"/>
    <n v="0.04"/>
    <n v="2.9695499999999999"/>
    <n v="2.9695499999999999"/>
    <n v="0"/>
    <n v="0.63724599999999998"/>
    <n v="5.3222399999999999"/>
    <n v="183362000"/>
    <n v="0"/>
    <n v="0"/>
    <n v="0"/>
    <n v="0"/>
    <n v="4439410"/>
    <n v="305276"/>
    <n v="0"/>
    <n v="99.302199999999999"/>
    <n v="98.274000000000001"/>
    <n v="3.8769499999999999"/>
    <n v="0"/>
    <n v="1"/>
    <n v="1.72498"/>
    <n v="1.72498"/>
    <n v="0"/>
    <n v="1.55176"/>
    <n v="2.9635199999999999"/>
    <n v="794818000"/>
    <n v="0"/>
    <n v="0"/>
    <n v="0"/>
    <n v="0"/>
    <n v="4462940"/>
    <n v="145474"/>
    <n v="0"/>
    <n v="14"/>
    <x v="30"/>
    <n v="2.0916470878726277E-11"/>
    <n v="4.4125687454465099E-11"/>
  </r>
  <r>
    <n v="85.138999999999996"/>
    <n v="85.138999999999996"/>
    <n v="5.8789100000000003"/>
    <n v="0"/>
    <n v="0.04"/>
    <n v="2.9696799999999999"/>
    <n v="2.9696799999999999"/>
    <n v="0"/>
    <n v="0.55649499999999996"/>
    <n v="5.3222399999999999"/>
    <n v="183668000"/>
    <n v="0"/>
    <n v="0"/>
    <n v="0"/>
    <n v="0"/>
    <n v="4439600"/>
    <n v="305289"/>
    <n v="0"/>
    <n v="99.302199999999999"/>
    <n v="98.274000000000001"/>
    <n v="5.4751899999999996"/>
    <n v="0"/>
    <n v="1"/>
    <n v="1.72505"/>
    <n v="1.72505"/>
    <n v="0"/>
    <n v="1.3327199999999999"/>
    <n v="2.9635199999999999"/>
    <n v="794963000"/>
    <n v="0"/>
    <n v="0"/>
    <n v="0"/>
    <n v="0"/>
    <n v="4463120"/>
    <n v="145481"/>
    <n v="0"/>
    <n v="15"/>
    <x v="30"/>
    <n v="2.091663373630094E-11"/>
    <n v="4.4125678009123304E-11"/>
  </r>
  <r>
    <n v="85.138999999999996"/>
    <n v="85.138999999999996"/>
    <n v="6.0243000000000002"/>
    <n v="0"/>
    <n v="0.04"/>
    <n v="2.9698000000000002"/>
    <n v="2.9698000000000002"/>
    <n v="0"/>
    <n v="0.55651799999999996"/>
    <n v="5.3222399999999999"/>
    <n v="183973000"/>
    <n v="0"/>
    <n v="0"/>
    <n v="0"/>
    <n v="0"/>
    <n v="4439780"/>
    <n v="305302"/>
    <n v="0"/>
    <n v="99.302199999999999"/>
    <n v="98.274000000000001"/>
    <n v="4.9302700000000002"/>
    <n v="0"/>
    <n v="1"/>
    <n v="1.7251300000000001"/>
    <n v="1.7251300000000001"/>
    <n v="0"/>
    <n v="1.3327800000000001"/>
    <n v="2.9635199999999999"/>
    <n v="795109000"/>
    <n v="0"/>
    <n v="0"/>
    <n v="0"/>
    <n v="0"/>
    <n v="4463310"/>
    <n v="145487"/>
    <n v="0"/>
    <n v="16"/>
    <x v="30"/>
    <n v="2.0916605947285663E-11"/>
    <n v="4.4125767951650919E-11"/>
  </r>
  <r>
    <n v="85.138999999999996"/>
    <n v="85.138999999999996"/>
    <n v="4.5192600000000001"/>
    <n v="0"/>
    <n v="0.04"/>
    <n v="2.9699300000000002"/>
    <n v="2.9699300000000002"/>
    <n v="0"/>
    <n v="0.55654099999999995"/>
    <n v="5.3222399999999999"/>
    <n v="184278000"/>
    <n v="0"/>
    <n v="0"/>
    <n v="0"/>
    <n v="0"/>
    <n v="4439970"/>
    <n v="305314"/>
    <n v="0"/>
    <n v="99.302199999999999"/>
    <n v="98.274000000000001"/>
    <n v="3.8750900000000001"/>
    <n v="0"/>
    <n v="1"/>
    <n v="1.7252000000000001"/>
    <n v="1.7252000000000001"/>
    <n v="0"/>
    <n v="1.33283"/>
    <n v="2.9635199999999999"/>
    <n v="795254000"/>
    <n v="0"/>
    <n v="0"/>
    <n v="0"/>
    <n v="0"/>
    <n v="4463500"/>
    <n v="145493"/>
    <n v="0"/>
    <n v="17"/>
    <x v="30"/>
    <n v="2.09165781606362E-11"/>
    <n v="4.4125613978297367E-11"/>
  </r>
  <r>
    <n v="85.138999999999996"/>
    <n v="85.138999999999996"/>
    <n v="6.9297300000000002"/>
    <n v="0"/>
    <n v="0.04"/>
    <n v="2.9700500000000001"/>
    <n v="2.9700500000000001"/>
    <n v="0"/>
    <n v="0.55656499999999998"/>
    <n v="5.3222399999999999"/>
    <n v="184584000"/>
    <n v="0"/>
    <n v="0"/>
    <n v="0"/>
    <n v="0"/>
    <n v="4440150"/>
    <n v="305327"/>
    <n v="0"/>
    <n v="99.302199999999999"/>
    <n v="98.274000000000001"/>
    <n v="4.8543399999999997"/>
    <n v="0"/>
    <n v="1"/>
    <n v="1.7252700000000001"/>
    <n v="1.7252700000000001"/>
    <n v="0"/>
    <n v="1.3328899999999999"/>
    <n v="2.9635199999999999"/>
    <n v="795400000"/>
    <n v="0"/>
    <n v="0"/>
    <n v="0"/>
    <n v="0"/>
    <n v="4463680"/>
    <n v="145499"/>
    <n v="0"/>
    <n v="18"/>
    <x v="30"/>
    <n v="2.0916597235782984E-11"/>
    <n v="4.4125703915925778E-11"/>
  </r>
  <r>
    <n v="85.138999999999996"/>
    <n v="85.138999999999996"/>
    <n v="6.8826200000000002"/>
    <n v="0"/>
    <n v="0.04"/>
    <n v="3.0787"/>
    <n v="3.0787"/>
    <n v="0"/>
    <n v="0.55658799999999997"/>
    <n v="5.3222399999999999"/>
    <n v="184900000"/>
    <n v="0"/>
    <n v="0"/>
    <n v="0"/>
    <n v="0"/>
    <n v="4602580"/>
    <n v="316496"/>
    <n v="0"/>
    <n v="99.302199999999999"/>
    <n v="98.274000000000001"/>
    <n v="5.4728000000000003"/>
    <n v="0"/>
    <n v="1"/>
    <n v="1.7947299999999999"/>
    <n v="1.7947299999999999"/>
    <n v="0"/>
    <n v="1.33294"/>
    <n v="2.9635199999999999"/>
    <n v="795551000"/>
    <n v="0"/>
    <n v="0"/>
    <n v="0"/>
    <n v="0"/>
    <n v="4643400"/>
    <n v="151357"/>
    <n v="0"/>
    <n v="19"/>
    <x v="30"/>
    <n v="2.0916571141818509E-11"/>
    <n v="4.4125633917896431E-11"/>
  </r>
  <r>
    <n v="85.138999999999996"/>
    <n v="85.138999999999996"/>
    <n v="5.0692899999999996"/>
    <n v="0"/>
    <n v="0.04"/>
    <n v="3.07883"/>
    <n v="3.07883"/>
    <n v="0"/>
    <n v="0.57694800000000002"/>
    <n v="5.3222399999999999"/>
    <n v="185217000"/>
    <n v="0"/>
    <n v="0"/>
    <n v="0"/>
    <n v="0"/>
    <n v="4602770"/>
    <n v="316510"/>
    <n v="0"/>
    <n v="99.302199999999999"/>
    <n v="98.274000000000001"/>
    <n v="3.7926000000000002"/>
    <n v="0"/>
    <n v="1"/>
    <n v="1.79481"/>
    <n v="1.79481"/>
    <n v="0"/>
    <n v="1.3866099999999999"/>
    <n v="2.9635199999999999"/>
    <n v="795702000"/>
    <n v="0"/>
    <n v="0"/>
    <n v="0"/>
    <n v="0"/>
    <n v="4643600"/>
    <n v="151363"/>
    <n v="0"/>
    <n v="20"/>
    <x v="30"/>
    <n v="2.0916499390416957E-11"/>
    <n v="4.4125764223097259E-11"/>
  </r>
  <r>
    <n v="85.138999999999996"/>
    <n v="85.138999999999996"/>
    <n v="4.4767799999999998"/>
    <n v="0"/>
    <n v="0.04"/>
    <n v="3.0789599999999999"/>
    <n v="3.0789599999999999"/>
    <n v="0"/>
    <n v="0.57697299999999996"/>
    <n v="5.3222399999999999"/>
    <n v="185533000"/>
    <n v="0"/>
    <n v="0"/>
    <n v="0"/>
    <n v="0"/>
    <n v="4602960"/>
    <n v="316523"/>
    <n v="0"/>
    <n v="99.150300000000001"/>
    <n v="98.274000000000001"/>
    <n v="3.3138999999999998"/>
    <n v="0"/>
    <n v="1"/>
    <n v="1.79488"/>
    <n v="1.79488"/>
    <n v="0"/>
    <n v="1.3866700000000001"/>
    <n v="2.9635199999999999"/>
    <n v="795854000"/>
    <n v="0"/>
    <n v="0"/>
    <n v="0"/>
    <n v="0"/>
    <n v="4643790"/>
    <n v="151370"/>
    <n v="0"/>
    <n v="21"/>
    <x v="30"/>
    <n v="2.0916610868923224E-11"/>
    <n v="4.4125755109803747E-11"/>
  </r>
  <r>
    <n v="85.138999999999996"/>
    <n v="85.138999999999996"/>
    <n v="3.5586199999999999"/>
    <n v="0"/>
    <n v="0.04"/>
    <n v="3.0790899999999999"/>
    <n v="3.0790899999999999"/>
    <n v="0"/>
    <n v="0.57699699999999998"/>
    <n v="5.3222399999999999"/>
    <n v="185850000"/>
    <n v="0"/>
    <n v="0"/>
    <n v="0"/>
    <n v="0"/>
    <n v="4603160"/>
    <n v="316536"/>
    <n v="0"/>
    <n v="98.9983"/>
    <n v="98.274000000000001"/>
    <n v="2.8332299999999999"/>
    <n v="0"/>
    <n v="1"/>
    <n v="1.7949600000000001"/>
    <n v="1.7949600000000001"/>
    <n v="0"/>
    <n v="1.38673"/>
    <n v="2.9635199999999999"/>
    <n v="796005000"/>
    <n v="0"/>
    <n v="0"/>
    <n v="0"/>
    <n v="0"/>
    <n v="4643990"/>
    <n v="151376"/>
    <n v="0"/>
    <n v="22"/>
    <x v="30"/>
    <n v="2.0916539121836414E-11"/>
    <n v="4.4125650137579222E-11"/>
  </r>
  <r>
    <n v="84.763000000000005"/>
    <n v="85.138999999999996"/>
    <n v="2.9612500000000002"/>
    <n v="0"/>
    <n v="0.04"/>
    <n v="3.0367799999999998"/>
    <n v="3.0367799999999998"/>
    <n v="0"/>
    <n v="0.57702100000000001"/>
    <n v="5.3222399999999999"/>
    <n v="186162000"/>
    <n v="0"/>
    <n v="0"/>
    <n v="0"/>
    <n v="0"/>
    <n v="4539900"/>
    <n v="312187"/>
    <n v="0"/>
    <n v="99.126199999999997"/>
    <n v="98.274000000000001"/>
    <n v="2.4401199999999998"/>
    <n v="0"/>
    <n v="1"/>
    <n v="1.7680800000000001"/>
    <n v="1.7680800000000001"/>
    <n v="0"/>
    <n v="1.38679"/>
    <n v="2.9635199999999999"/>
    <n v="796154000"/>
    <n v="0"/>
    <n v="0"/>
    <n v="0"/>
    <n v="0"/>
    <n v="4574440"/>
    <n v="149109"/>
    <n v="0"/>
    <n v="23"/>
    <x v="30"/>
    <n v="2.0916547442714816E-11"/>
    <n v="4.4125801349359337E-11"/>
  </r>
  <r>
    <n v="85.138999999999996"/>
    <n v="85.138999999999996"/>
    <n v="4.6238099999999998"/>
    <n v="0"/>
    <n v="0.04"/>
    <n v="3.0369000000000002"/>
    <n v="3.0369000000000002"/>
    <n v="0"/>
    <n v="0.56909200000000004"/>
    <n v="5.3222399999999999"/>
    <n v="186474000"/>
    <n v="0"/>
    <n v="0"/>
    <n v="0"/>
    <n v="0"/>
    <n v="4540090"/>
    <n v="312200"/>
    <n v="0"/>
    <n v="99.103999999999999"/>
    <n v="98.274000000000001"/>
    <n v="2.9235500000000001"/>
    <n v="0"/>
    <n v="1"/>
    <n v="1.7681500000000001"/>
    <n v="1.7681500000000001"/>
    <n v="0"/>
    <n v="1.36602"/>
    <n v="2.9635199999999999"/>
    <n v="796303000"/>
    <n v="0"/>
    <n v="0"/>
    <n v="0"/>
    <n v="0"/>
    <n v="4574630"/>
    <n v="149115"/>
    <n v="0"/>
    <n v="24"/>
    <x v="30"/>
    <n v="2.0916520333507292E-11"/>
    <n v="4.4125792108313564E-11"/>
  </r>
  <r>
    <n v="84.729200000000006"/>
    <n v="85.138999999999996"/>
    <n v="2.8725399999999999"/>
    <n v="0"/>
    <n v="0.04"/>
    <n v="3.0370300000000001"/>
    <n v="3.0370300000000001"/>
    <n v="0"/>
    <n v="0.56911599999999996"/>
    <n v="5.3222399999999999"/>
    <n v="186786000"/>
    <n v="0"/>
    <n v="0"/>
    <n v="0"/>
    <n v="0"/>
    <n v="4540280"/>
    <n v="312213"/>
    <n v="0"/>
    <n v="98.888000000000005"/>
    <n v="98.274000000000001"/>
    <n v="2.36774"/>
    <n v="0"/>
    <n v="1"/>
    <n v="1.76823"/>
    <n v="1.76823"/>
    <n v="0"/>
    <n v="1.3660699999999999"/>
    <n v="2.9635199999999999"/>
    <n v="796452000"/>
    <n v="0"/>
    <n v="0"/>
    <n v="0"/>
    <n v="0"/>
    <n v="4574820"/>
    <n v="149122"/>
    <n v="0"/>
    <n v="25"/>
    <x v="30"/>
    <n v="2.0916633491794054E-11"/>
    <n v="4.412578286804123E-11"/>
  </r>
  <r>
    <n v="84.037099999999995"/>
    <n v="85.138999999999996"/>
    <n v="2.5711200000000001"/>
    <n v="0"/>
    <n v="0.04"/>
    <n v="3.0371600000000001"/>
    <n v="3.0371600000000001"/>
    <n v="0"/>
    <n v="0.56913999999999998"/>
    <n v="5.3222399999999999"/>
    <n v="187098000"/>
    <n v="0"/>
    <n v="0"/>
    <n v="0"/>
    <n v="0"/>
    <n v="4540470"/>
    <n v="312226"/>
    <n v="0"/>
    <n v="98.755499999999998"/>
    <n v="98.274000000000001"/>
    <n v="2.1312600000000002"/>
    <n v="0"/>
    <n v="1"/>
    <n v="1.7683"/>
    <n v="1.7683"/>
    <n v="0"/>
    <n v="1.3661300000000001"/>
    <n v="2.9635199999999999"/>
    <n v="796602000"/>
    <n v="0"/>
    <n v="0"/>
    <n v="0"/>
    <n v="0"/>
    <n v="4575020"/>
    <n v="149128"/>
    <n v="0"/>
    <n v="26"/>
    <x v="30"/>
    <n v="2.0916560662106257E-11"/>
    <n v="4.4125773628542232E-11"/>
  </r>
  <r>
    <n v="83.303100000000001"/>
    <n v="85.138999999999996"/>
    <n v="2.63327"/>
    <n v="0"/>
    <n v="0.04"/>
    <n v="3.1813699999999998"/>
    <n v="3.1813699999999998"/>
    <n v="0"/>
    <n v="0.56916299999999997"/>
    <n v="5.3222399999999999"/>
    <n v="187426000"/>
    <n v="0"/>
    <n v="0"/>
    <n v="0"/>
    <n v="0"/>
    <n v="4756060"/>
    <n v="327051"/>
    <n v="0"/>
    <n v="98.537800000000004"/>
    <n v="98.274000000000001"/>
    <n v="2.25726"/>
    <n v="0"/>
    <n v="1"/>
    <n v="1.86398"/>
    <n v="1.86398"/>
    <n v="0"/>
    <n v="1.36619"/>
    <n v="2.9635199999999999"/>
    <n v="796759000"/>
    <n v="0"/>
    <n v="0"/>
    <n v="0"/>
    <n v="0"/>
    <n v="4822570"/>
    <n v="157197"/>
    <n v="0"/>
    <n v="27"/>
    <x v="30"/>
    <n v="2.0916537394410041E-11"/>
    <n v="4.4125763656480607E-11"/>
  </r>
  <r>
    <n v="82.440100000000001"/>
    <n v="85.138999999999996"/>
    <n v="2.4721899999999999"/>
    <n v="0"/>
    <n v="0.04"/>
    <n v="3.1815000000000002"/>
    <n v="3.1815000000000002"/>
    <n v="0"/>
    <n v="0.59618800000000005"/>
    <n v="5.3222399999999999"/>
    <n v="187753000"/>
    <n v="0"/>
    <n v="0"/>
    <n v="0"/>
    <n v="0"/>
    <n v="4756260"/>
    <n v="327064"/>
    <n v="0"/>
    <n v="98.383200000000002"/>
    <n v="98.274000000000001"/>
    <n v="2.2931599999999999"/>
    <n v="0"/>
    <n v="1"/>
    <n v="1.8640600000000001"/>
    <n v="1.8640600000000001"/>
    <n v="0"/>
    <n v="1.44011"/>
    <n v="2.9635199999999999"/>
    <n v="796916000"/>
    <n v="0"/>
    <n v="0"/>
    <n v="0"/>
    <n v="0"/>
    <n v="4822770"/>
    <n v="157204"/>
    <n v="0"/>
    <n v="28"/>
    <x v="30"/>
    <n v="2.0916601363908465E-11"/>
    <n v="4.4125662062864108E-11"/>
  </r>
  <r>
    <n v="81.492000000000004"/>
    <n v="85.138999999999996"/>
    <n v="2.3730500000000001"/>
    <n v="0"/>
    <n v="0.04"/>
    <n v="3.1816300000000002"/>
    <n v="3.1816300000000002"/>
    <n v="0"/>
    <n v="0.59621299999999999"/>
    <n v="5.3222399999999999"/>
    <n v="188080000"/>
    <n v="0"/>
    <n v="0"/>
    <n v="0"/>
    <n v="0"/>
    <n v="4756460"/>
    <n v="327078"/>
    <n v="0"/>
    <n v="98.146799999999999"/>
    <n v="98.274000000000001"/>
    <n v="2.2429100000000002"/>
    <n v="0"/>
    <n v="1"/>
    <n v="1.8641399999999999"/>
    <n v="1.8641399999999999"/>
    <n v="0"/>
    <n v="1.44017"/>
    <n v="2.9635199999999999"/>
    <n v="797073000"/>
    <n v="0"/>
    <n v="0"/>
    <n v="0"/>
    <n v="0"/>
    <n v="4822970"/>
    <n v="157210"/>
    <n v="0"/>
    <n v="29"/>
    <x v="30"/>
    <n v="2.0916532279744003E-11"/>
    <n v="4.4125695386575651E-11"/>
  </r>
  <r>
    <n v="80.409400000000005"/>
    <n v="85.138999999999996"/>
    <n v="2.22357"/>
    <n v="0"/>
    <n v="0.04"/>
    <n v="3.1817600000000001"/>
    <n v="3.1817600000000001"/>
    <n v="0"/>
    <n v="0.59623800000000005"/>
    <n v="5.3222399999999999"/>
    <n v="188407000"/>
    <n v="0"/>
    <n v="0"/>
    <n v="0"/>
    <n v="0"/>
    <n v="4756660"/>
    <n v="327092"/>
    <n v="0"/>
    <n v="97.951599999999999"/>
    <n v="98.274000000000001"/>
    <n v="2.0874999999999999"/>
    <n v="0"/>
    <n v="1"/>
    <n v="1.86422"/>
    <n v="1.86422"/>
    <n v="0"/>
    <n v="1.4402299999999999"/>
    <n v="2.9635199999999999"/>
    <n v="797230000"/>
    <n v="0"/>
    <n v="0"/>
    <n v="0"/>
    <n v="0"/>
    <n v="4823170"/>
    <n v="157217"/>
    <n v="0"/>
    <n v="30"/>
    <x v="30"/>
    <n v="2.0916596244149331E-11"/>
    <n v="4.4125728707484918E-11"/>
  </r>
  <r>
    <n v="79.119100000000003"/>
    <n v="85.138999999999996"/>
    <n v="1.9580500000000001"/>
    <n v="0"/>
    <n v="0.04"/>
    <n v="3.1819000000000002"/>
    <n v="3.1819000000000002"/>
    <n v="0"/>
    <n v="0.59626299999999999"/>
    <n v="5.3222399999999999"/>
    <n v="188734000"/>
    <n v="0"/>
    <n v="0"/>
    <n v="0"/>
    <n v="0"/>
    <n v="4756860"/>
    <n v="327105"/>
    <n v="0"/>
    <n v="97.561800000000005"/>
    <n v="98.274000000000001"/>
    <n v="2.01322"/>
    <n v="0"/>
    <n v="1"/>
    <n v="1.86429"/>
    <n v="1.86429"/>
    <n v="0"/>
    <n v="1.4402900000000001"/>
    <n v="2.9635199999999999"/>
    <n v="797388000"/>
    <n v="0"/>
    <n v="0"/>
    <n v="0"/>
    <n v="0"/>
    <n v="4823370"/>
    <n v="157223"/>
    <n v="0"/>
    <n v="31"/>
    <x v="30"/>
    <n v="2.0916527165926278E-11"/>
    <n v="4.4125627128152213E-11"/>
  </r>
  <r>
    <n v="77.738799999999998"/>
    <n v="85.138999999999996"/>
    <n v="1.8276699999999999"/>
    <n v="0"/>
    <n v="0.04"/>
    <n v="3.1535299999999999"/>
    <n v="3.1535299999999999"/>
    <n v="0"/>
    <n v="0.59628800000000004"/>
    <n v="5.3222399999999999"/>
    <n v="189058000"/>
    <n v="0"/>
    <n v="0"/>
    <n v="0"/>
    <n v="0"/>
    <n v="4714450"/>
    <n v="324189"/>
    <n v="0"/>
    <n v="97.188400000000001"/>
    <n v="98.274000000000001"/>
    <n v="1.90578"/>
    <n v="0"/>
    <n v="1"/>
    <n v="1.91693"/>
    <n v="1.91693"/>
    <n v="0"/>
    <n v="1.44035"/>
    <n v="2.9635199999999999"/>
    <n v="797549000"/>
    <n v="0"/>
    <n v="0"/>
    <n v="0"/>
    <n v="0"/>
    <n v="4959560"/>
    <n v="161662"/>
    <n v="0"/>
    <n v="32"/>
    <x v="30"/>
    <n v="2.0916493341941265E-11"/>
    <n v="4.4125670600525805E-11"/>
  </r>
  <r>
    <n v="76.466899999999995"/>
    <n v="85.138999999999996"/>
    <n v="1.6712400000000001"/>
    <n v="0.01"/>
    <n v="0.04"/>
    <n v="2.8512599999999999"/>
    <n v="3.1536599999999999"/>
    <n v="0"/>
    <n v="0.59097200000000005"/>
    <n v="5.3222399999999999"/>
    <n v="188974000"/>
    <n v="0"/>
    <n v="0"/>
    <n v="0"/>
    <n v="0"/>
    <n v="4262570"/>
    <n v="-84335.8"/>
    <n v="408539"/>
    <n v="96.462599999999995"/>
    <n v="98.274000000000001"/>
    <n v="1.9036599999999999"/>
    <n v="0"/>
    <n v="1"/>
    <n v="2.2194099999999999"/>
    <n v="1.9170100000000001"/>
    <n v="0"/>
    <n v="1.48102"/>
    <n v="2.9635199999999999"/>
    <n v="798493000"/>
    <n v="0"/>
    <n v="0"/>
    <n v="0"/>
    <n v="0"/>
    <n v="5742150"/>
    <n v="944050"/>
    <n v="0"/>
    <n v="33"/>
    <x v="30"/>
    <n v="1.054980764769995E-10"/>
    <n v="-1.269593010587801E-11"/>
  </r>
  <r>
    <n v="75.048599999999993"/>
    <n v="85.138999999999996"/>
    <n v="1.5087600000000001"/>
    <n v="0.01"/>
    <n v="0.04"/>
    <n v="2.8513999999999999"/>
    <n v="3.1537999999999999"/>
    <n v="0"/>
    <n v="0.534327"/>
    <n v="5.3222399999999999"/>
    <n v="188889000"/>
    <n v="0"/>
    <n v="0"/>
    <n v="0"/>
    <n v="0"/>
    <n v="4262760"/>
    <n v="-84322.2"/>
    <n v="408539"/>
    <n v="95.814800000000005"/>
    <n v="98.274000000000001"/>
    <n v="1.7146399999999999"/>
    <n v="0"/>
    <n v="1"/>
    <n v="2.21949"/>
    <n v="1.91709"/>
    <n v="0"/>
    <n v="1.71472"/>
    <n v="2.9635199999999999"/>
    <n v="799437000"/>
    <n v="0"/>
    <n v="0"/>
    <n v="0"/>
    <n v="0"/>
    <n v="5742350"/>
    <n v="944057"/>
    <n v="0"/>
    <n v="34"/>
    <x v="30"/>
    <n v="1.0549518431653582E-10"/>
    <n v="-1.2693316966330152E-11"/>
  </r>
  <r>
    <n v="73.598500000000001"/>
    <n v="85.138999999999996"/>
    <n v="1.43855"/>
    <n v="0.02"/>
    <n v="0.04"/>
    <n v="2.8515299999999999"/>
    <n v="3.1539299999999999"/>
    <n v="0"/>
    <n v="0.53435200000000005"/>
    <n v="5.3222399999999999"/>
    <n v="188805000"/>
    <n v="0"/>
    <n v="0"/>
    <n v="0"/>
    <n v="0"/>
    <n v="4262960"/>
    <n v="-84308.6"/>
    <n v="408539"/>
    <n v="95.2637"/>
    <n v="98.274000000000001"/>
    <n v="1.82379"/>
    <n v="0"/>
    <n v="1"/>
    <n v="2.21957"/>
    <n v="1.91717"/>
    <n v="0"/>
    <n v="1.71478"/>
    <n v="2.9635199999999999"/>
    <n v="800381000"/>
    <n v="0"/>
    <n v="0"/>
    <n v="0"/>
    <n v="0"/>
    <n v="5742560"/>
    <n v="944064"/>
    <n v="0"/>
    <n v="35"/>
    <x v="30"/>
    <n v="1.0549210865497552E-10"/>
    <n v="-1.2690674290017875E-11"/>
  </r>
  <r>
    <n v="72.000699999999995"/>
    <n v="85.138999999999996"/>
    <n v="1.3507400000000001"/>
    <n v="0.02"/>
    <n v="0.04"/>
    <n v="2.9252699999999998"/>
    <n v="3.2276699999999998"/>
    <n v="0"/>
    <n v="0.53437599999999996"/>
    <n v="5.3222399999999999"/>
    <n v="188728000"/>
    <n v="0"/>
    <n v="0"/>
    <n v="0"/>
    <n v="0"/>
    <n v="4373200"/>
    <n v="-76727.899999999994"/>
    <n v="408539"/>
    <n v="94.5959"/>
    <n v="98.274000000000001"/>
    <n v="1.87995"/>
    <n v="0"/>
    <n v="1"/>
    <n v="2.2665000000000002"/>
    <n v="1.9641"/>
    <n v="0"/>
    <n v="1.7148399999999999"/>
    <n v="2.9635199999999999"/>
    <n v="801329000"/>
    <n v="0"/>
    <n v="0"/>
    <n v="0"/>
    <n v="0"/>
    <n v="5863980"/>
    <n v="948021"/>
    <n v="0"/>
    <n v="36"/>
    <x v="30"/>
    <n v="1.0374079103787504E-10"/>
    <n v="-1.1258435666225463E-11"/>
  </r>
  <r>
    <n v="70.334999999999994"/>
    <n v="85.138999999999996"/>
    <n v="1.2525599999999999"/>
    <n v="0.02"/>
    <n v="0.04"/>
    <n v="2.9253999999999998"/>
    <n v="3.2277999999999998"/>
    <n v="0"/>
    <n v="0.54819499999999999"/>
    <n v="5.3222399999999999"/>
    <n v="188652000"/>
    <n v="0"/>
    <n v="0"/>
    <n v="0"/>
    <n v="0"/>
    <n v="4373410"/>
    <n v="-76714"/>
    <n v="408539"/>
    <n v="93.7607"/>
    <n v="98.274000000000001"/>
    <n v="1.79748"/>
    <n v="0"/>
    <n v="1"/>
    <n v="2.2665799999999998"/>
    <n v="1.96418"/>
    <n v="0"/>
    <n v="1.7511000000000001"/>
    <n v="2.9635199999999999"/>
    <n v="802278000"/>
    <n v="0"/>
    <n v="0"/>
    <n v="0"/>
    <n v="0"/>
    <n v="5864190"/>
    <n v="948028"/>
    <n v="0"/>
    <n v="37"/>
    <x v="30"/>
    <n v="1.0373784199487658E-10"/>
    <n v="-1.1255855588441804E-11"/>
  </r>
  <r>
    <n v="68.577399999999997"/>
    <n v="85.138999999999996"/>
    <n v="1.1404700000000001"/>
    <n v="0.02"/>
    <n v="0.04"/>
    <n v="2.9255399999999998"/>
    <n v="3.2279399999999998"/>
    <n v="0"/>
    <n v="0.54822099999999996"/>
    <n v="5.3222399999999999"/>
    <n v="188575000"/>
    <n v="0"/>
    <n v="0"/>
    <n v="0"/>
    <n v="0"/>
    <n v="4373610"/>
    <n v="-76700.100000000006"/>
    <n v="408539"/>
    <n v="93.297600000000003"/>
    <n v="98.274000000000001"/>
    <n v="1.59091"/>
    <n v="0"/>
    <n v="1"/>
    <n v="2.26667"/>
    <n v="1.96427"/>
    <n v="0"/>
    <n v="1.75116"/>
    <n v="2.9635199999999999"/>
    <n v="803226000"/>
    <n v="0"/>
    <n v="0"/>
    <n v="0"/>
    <n v="0"/>
    <n v="5864400"/>
    <n v="948035"/>
    <n v="0"/>
    <n v="38"/>
    <x v="30"/>
    <n v="1.037348931630844E-10"/>
    <n v="-1.1253301488371703E-11"/>
  </r>
  <r>
    <n v="67.032399999999996"/>
    <n v="85.138999999999996"/>
    <n v="1.3303499999999999"/>
    <n v="0.02"/>
    <n v="0.04"/>
    <n v="2.9256799999999998"/>
    <n v="3.2280799999999998"/>
    <n v="0"/>
    <n v="0.54824600000000001"/>
    <n v="5.3222399999999999"/>
    <n v="188498000"/>
    <n v="0"/>
    <n v="0"/>
    <n v="0"/>
    <n v="0"/>
    <n v="4373810"/>
    <n v="-76686.2"/>
    <n v="408539"/>
    <n v="92.531000000000006"/>
    <n v="98.274000000000001"/>
    <n v="2.23014"/>
    <n v="0"/>
    <n v="1"/>
    <n v="2.26675"/>
    <n v="1.96435"/>
    <n v="0"/>
    <n v="1.7512300000000001"/>
    <n v="2.9635199999999999"/>
    <n v="804174000"/>
    <n v="0"/>
    <n v="0"/>
    <n v="0"/>
    <n v="0"/>
    <n v="5864620"/>
    <n v="948042"/>
    <n v="0"/>
    <n v="39"/>
    <x v="30"/>
    <n v="1.0373176766495509E-10"/>
    <n v="-1.1250747621882852E-11"/>
  </r>
  <r>
    <n v="65.476900000000001"/>
    <n v="85.138999999999996"/>
    <n v="1.5064200000000001"/>
    <n v="0.02"/>
    <n v="0.04"/>
    <n v="3.14141"/>
    <n v="3.44381"/>
    <n v="0"/>
    <n v="0.54827099999999995"/>
    <n v="5.3222399999999999"/>
    <n v="188444000"/>
    <n v="0"/>
    <n v="0"/>
    <n v="0"/>
    <n v="0"/>
    <n v="4696330"/>
    <n v="-54508.3"/>
    <n v="408539"/>
    <n v="92.027699999999996"/>
    <n v="98.274000000000001"/>
    <n v="1.76664"/>
    <n v="0"/>
    <n v="1"/>
    <n v="2.4359600000000001"/>
    <n v="2.1335600000000001"/>
    <n v="0"/>
    <n v="1.75129"/>
    <n v="2.9635199999999999"/>
    <n v="805136000"/>
    <n v="0"/>
    <n v="0"/>
    <n v="0"/>
    <n v="0"/>
    <n v="6302410"/>
    <n v="962312"/>
    <n v="0"/>
    <n v="40"/>
    <x v="30"/>
    <n v="9.7979073151499624E-11"/>
    <n v="-7.4478017753634983E-12"/>
  </r>
  <r>
    <n v="63.835999999999999"/>
    <n v="85.138999999999996"/>
    <n v="1.4067499999999999"/>
    <n v="0.02"/>
    <n v="0.04"/>
    <n v="3.1435200000000001"/>
    <n v="3.4439500000000001"/>
    <n v="0"/>
    <n v="0.5887"/>
    <n v="5.3222399999999999"/>
    <n v="188392000"/>
    <n v="0"/>
    <n v="0"/>
    <n v="0"/>
    <n v="0"/>
    <n v="4699480"/>
    <n v="-51835.5"/>
    <n v="405881"/>
    <n v="91.635900000000007"/>
    <n v="98.274000000000001"/>
    <n v="2.0695399999999999"/>
    <n v="0"/>
    <n v="1"/>
    <n v="2.4340799999999998"/>
    <n v="2.1336499999999998"/>
    <n v="0"/>
    <n v="1.88202"/>
    <n v="2.9635199999999999"/>
    <n v="806093000"/>
    <n v="0"/>
    <n v="0"/>
    <n v="0"/>
    <n v="0"/>
    <n v="6297550"/>
    <n v="957230"/>
    <n v="0"/>
    <n v="41"/>
    <x v="30"/>
    <n v="9.7536856523871991E-11"/>
    <n v="-7.077853420523417E-12"/>
  </r>
  <r>
    <n v="62.131100000000004"/>
    <n v="85.138999999999996"/>
    <n v="1.3271599999999999"/>
    <n v="0.02"/>
    <n v="0.04"/>
    <n v="3.1437499999999998"/>
    <n v="3.4441000000000002"/>
    <n v="0"/>
    <n v="0.58909599999999995"/>
    <n v="5.3222399999999999"/>
    <n v="188340000"/>
    <n v="0"/>
    <n v="0"/>
    <n v="0"/>
    <n v="0"/>
    <n v="4699830"/>
    <n v="-51700.2"/>
    <n v="405760"/>
    <n v="91.231200000000001"/>
    <n v="98.274000000000001"/>
    <n v="2.2835100000000002"/>
    <n v="0"/>
    <n v="1"/>
    <n v="2.4340799999999998"/>
    <n v="2.13374"/>
    <n v="0"/>
    <n v="1.8805700000000001"/>
    <n v="2.9635199999999999"/>
    <n v="807050000"/>
    <n v="0"/>
    <n v="0"/>
    <n v="0"/>
    <n v="0"/>
    <n v="6297550"/>
    <n v="957006"/>
    <n v="0"/>
    <n v="42"/>
    <x v="30"/>
    <n v="9.7514032065945109E-11"/>
    <n v="-7.0588532296397778E-12"/>
  </r>
  <r>
    <n v="60.404499999999999"/>
    <n v="85.138999999999996"/>
    <n v="1.2818700000000001"/>
    <n v="0.02"/>
    <n v="0.04"/>
    <n v="3.1439900000000001"/>
    <n v="3.4442400000000002"/>
    <n v="0"/>
    <n v="0.58913899999999997"/>
    <n v="5.3222399999999999"/>
    <n v="188289000"/>
    <n v="0"/>
    <n v="0"/>
    <n v="0"/>
    <n v="0"/>
    <n v="4700180"/>
    <n v="-51564.6"/>
    <n v="405639"/>
    <n v="90.822400000000002"/>
    <n v="98.274000000000001"/>
    <n v="2.2555000000000001"/>
    <n v="0"/>
    <n v="1"/>
    <n v="2.4340799999999998"/>
    <n v="2.1338300000000001"/>
    <n v="0"/>
    <n v="1.8805700000000001"/>
    <n v="2.9635199999999999"/>
    <n v="808007000"/>
    <n v="0"/>
    <n v="0"/>
    <n v="0"/>
    <n v="0"/>
    <n v="6297550"/>
    <n v="956783"/>
    <n v="0"/>
    <n v="43"/>
    <x v="30"/>
    <n v="9.749130950291969E-11"/>
    <n v="-7.0398149112083882E-12"/>
  </r>
  <r>
    <n v="59.682899999999997"/>
    <n v="85.138999999999996"/>
    <n v="2.36971"/>
    <n v="0.02"/>
    <n v="0.04"/>
    <n v="3.1442199999999998"/>
    <n v="3.4443899999999998"/>
    <n v="0"/>
    <n v="0.58918300000000001"/>
    <n v="5.3222399999999999"/>
    <n v="188237000"/>
    <n v="0"/>
    <n v="0"/>
    <n v="0"/>
    <n v="0"/>
    <n v="4700530"/>
    <n v="-51429"/>
    <n v="405518"/>
    <n v="90.82"/>
    <n v="98.274000000000001"/>
    <n v="3.4756900000000002"/>
    <n v="0"/>
    <n v="1"/>
    <n v="2.4340799999999998"/>
    <n v="2.1339199999999998"/>
    <n v="0"/>
    <n v="1.8805700000000001"/>
    <n v="2.9635199999999999"/>
    <n v="808963000"/>
    <n v="0"/>
    <n v="0"/>
    <n v="0"/>
    <n v="0"/>
    <n v="6297550"/>
    <n v="956559"/>
    <n v="0"/>
    <n v="44"/>
    <x v="30"/>
    <n v="9.7468485044992808E-11"/>
    <n v="-7.0207794279515222E-12"/>
  </r>
  <r>
    <n v="58.827500000000001"/>
    <n v="85.138999999999996"/>
    <n v="2.1441400000000002"/>
    <n v="0.02"/>
    <n v="0.04"/>
    <n v="3.0393599999999998"/>
    <n v="3.3394300000000001"/>
    <n v="0"/>
    <n v="0.58922699999999995"/>
    <n v="5.3222399999999999"/>
    <n v="188175000"/>
    <n v="0"/>
    <n v="0"/>
    <n v="0"/>
    <n v="0"/>
    <n v="4543760"/>
    <n v="-62097.5"/>
    <n v="405398"/>
    <n v="90.692599999999999"/>
    <n v="98.274000000000001"/>
    <n v="3.03545"/>
    <n v="0"/>
    <n v="1"/>
    <n v="2.3313999999999999"/>
    <n v="2.0313300000000001"/>
    <n v="0"/>
    <n v="1.8805700000000001"/>
    <n v="2.9635199999999999"/>
    <n v="809911000"/>
    <n v="0"/>
    <n v="0"/>
    <n v="0"/>
    <n v="0"/>
    <n v="6031900"/>
    <n v="947676"/>
    <n v="0"/>
    <n v="45"/>
    <x v="30"/>
    <n v="1.0081608471437229E-10"/>
    <n v="-8.7696610907138756E-12"/>
  </r>
  <r>
    <n v="58.034999999999997"/>
    <n v="85.138999999999996"/>
    <n v="2.2055400000000001"/>
    <n v="0.04"/>
    <n v="0.04"/>
    <n v="3.0371700000000001"/>
    <n v="3.3395700000000001"/>
    <n v="0"/>
    <n v="0.56957599999999997"/>
    <n v="5.3222399999999999"/>
    <n v="188110000"/>
    <n v="0"/>
    <n v="0"/>
    <n v="0"/>
    <n v="0"/>
    <n v="4540500"/>
    <n v="-65224"/>
    <n v="408539"/>
    <n v="90.529799999999994"/>
    <n v="98.274000000000001"/>
    <n v="3.04454"/>
    <n v="0"/>
    <n v="1"/>
    <n v="2.3338100000000002"/>
    <n v="2.0314100000000002"/>
    <n v="0"/>
    <n v="1.80124"/>
    <n v="2.9635199999999999"/>
    <n v="810865000"/>
    <n v="0"/>
    <n v="0"/>
    <n v="0"/>
    <n v="0"/>
    <n v="6038130"/>
    <n v="953698"/>
    <n v="0"/>
    <n v="46"/>
    <x v="30"/>
    <n v="1.0135203911640505E-10"/>
    <n v="-9.2178115955373848E-12"/>
  </r>
  <r>
    <n v="57.615000000000002"/>
    <n v="85.138999999999996"/>
    <n v="2.5687199999999999"/>
    <n v="0.04"/>
    <n v="0.04"/>
    <n v="3.0373100000000002"/>
    <n v="3.3397100000000002"/>
    <n v="0"/>
    <n v="0.56916599999999995"/>
    <n v="5.3222399999999999"/>
    <n v="188045000"/>
    <n v="0"/>
    <n v="0"/>
    <n v="0"/>
    <n v="0"/>
    <n v="4540710"/>
    <n v="-65209.599999999999"/>
    <n v="408539"/>
    <n v="90.653800000000004"/>
    <n v="98.274000000000001"/>
    <n v="3.8746800000000001"/>
    <n v="0"/>
    <n v="1"/>
    <n v="2.3338999999999999"/>
    <n v="2.0314999999999999"/>
    <n v="0"/>
    <n v="1.80311"/>
    <n v="2.9635199999999999"/>
    <n v="811819000"/>
    <n v="0"/>
    <n v="0"/>
    <n v="0"/>
    <n v="0"/>
    <n v="6038350"/>
    <n v="953705"/>
    <n v="0"/>
    <n v="47"/>
    <x v="30"/>
    <n v="1.013490903587231E-10"/>
    <n v="-9.2153502952025634E-12"/>
  </r>
  <r>
    <n v="59.018900000000002"/>
    <n v="85.138999999999996"/>
    <n v="4.5325899999999999"/>
    <n v="0.04"/>
    <n v="0.04"/>
    <n v="3.0374500000000002"/>
    <n v="3.3398500000000002"/>
    <n v="0"/>
    <n v="0.56919200000000003"/>
    <n v="5.3222399999999999"/>
    <n v="187979000"/>
    <n v="0"/>
    <n v="0"/>
    <n v="0"/>
    <n v="0"/>
    <n v="4540910"/>
    <n v="-65195.199999999997"/>
    <n v="408539"/>
    <n v="91.037300000000002"/>
    <n v="98.274000000000001"/>
    <n v="5.1897099999999998"/>
    <n v="0"/>
    <n v="1"/>
    <n v="2.3339799999999999"/>
    <n v="2.0315799999999999"/>
    <n v="0"/>
    <n v="1.8031699999999999"/>
    <n v="2.9635199999999999"/>
    <n v="812772000"/>
    <n v="0"/>
    <n v="0"/>
    <n v="0"/>
    <n v="0"/>
    <n v="6038570"/>
    <n v="953712"/>
    <n v="0"/>
    <n v="48"/>
    <x v="30"/>
    <n v="1.0134614181590218E-10"/>
    <n v="-9.2129095111598708E-12"/>
  </r>
  <r>
    <n v="59.965499999999999"/>
    <n v="85.138999999999996"/>
    <n v="4.1243699999999999"/>
    <n v="0.03"/>
    <n v="0.04"/>
    <n v="2.9513099999999999"/>
    <n v="3.2537099999999999"/>
    <n v="0"/>
    <n v="0.56921900000000003"/>
    <n v="5.3222399999999999"/>
    <n v="187905000"/>
    <n v="0"/>
    <n v="0"/>
    <n v="0"/>
    <n v="0"/>
    <n v="4412140"/>
    <n v="-74050.600000000006"/>
    <n v="408539"/>
    <n v="92.037400000000005"/>
    <n v="98.274000000000001"/>
    <n v="5.6959400000000002"/>
    <n v="0"/>
    <n v="1"/>
    <n v="2.2405900000000001"/>
    <n v="1.9381900000000001"/>
    <n v="0"/>
    <n v="1.80324"/>
    <n v="2.9635199999999999"/>
    <n v="813718000"/>
    <n v="0"/>
    <n v="0"/>
    <n v="0"/>
    <n v="0"/>
    <n v="5796950"/>
    <n v="945836"/>
    <n v="0"/>
    <n v="49"/>
    <x v="30"/>
    <n v="1.0469847679091969E-10"/>
    <n v="-1.0769694284283964E-11"/>
  </r>
  <r>
    <n v="62.344799999999999"/>
    <n v="85.138999999999996"/>
    <n v="5.5650700000000004"/>
    <n v="0.02"/>
    <n v="0.04"/>
    <n v="2.9514499999999999"/>
    <n v="3.2538499999999999"/>
    <n v="0"/>
    <n v="0.55307600000000001"/>
    <n v="5.3222399999999999"/>
    <n v="187831000"/>
    <n v="0"/>
    <n v="0"/>
    <n v="0"/>
    <n v="0"/>
    <n v="4412340"/>
    <n v="-74036.600000000006"/>
    <n v="408539"/>
    <n v="93.007099999999994"/>
    <n v="98.274000000000001"/>
    <n v="6.7126799999999998"/>
    <n v="0"/>
    <n v="1"/>
    <n v="2.2406700000000002"/>
    <n v="1.9382699999999999"/>
    <n v="0"/>
    <n v="1.73108"/>
    <n v="2.9635199999999999"/>
    <n v="814664000"/>
    <n v="0"/>
    <n v="0"/>
    <n v="0"/>
    <n v="0"/>
    <n v="5797160"/>
    <n v="945843"/>
    <n v="0"/>
    <n v="50"/>
    <x v="30"/>
    <n v="1.0469545895762387E-10"/>
    <n v="-1.0767170096626066E-11"/>
  </r>
  <r>
    <n v="63.4236"/>
    <n v="85.138999999999996"/>
    <n v="4.3078000000000003"/>
    <n v="0.02"/>
    <n v="0.04"/>
    <n v="2.9515799999999999"/>
    <n v="3.2539799999999999"/>
    <n v="0"/>
    <n v="0.55310099999999995"/>
    <n v="5.3222399999999999"/>
    <n v="187757000"/>
    <n v="0"/>
    <n v="0"/>
    <n v="0"/>
    <n v="0"/>
    <n v="4412540"/>
    <n v="-74022.600000000006"/>
    <n v="408539"/>
    <n v="93.198599999999999"/>
    <n v="98.274000000000001"/>
    <n v="4.3105599999999997"/>
    <n v="0"/>
    <n v="1"/>
    <n v="2.2407599999999999"/>
    <n v="1.9383600000000001"/>
    <n v="0"/>
    <n v="1.7311399999999999"/>
    <n v="2.9635199999999999"/>
    <n v="815610000"/>
    <n v="0"/>
    <n v="0"/>
    <n v="0"/>
    <n v="0"/>
    <n v="5797370"/>
    <n v="945850"/>
    <n v="0"/>
    <n v="51"/>
    <x v="30"/>
    <n v="1.0469244134295992E-10"/>
    <n v="-1.0764646137787642E-11"/>
  </r>
  <r>
    <n v="65.0916"/>
    <n v="85.138999999999996"/>
    <n v="4.9354899999999997"/>
    <n v="0.02"/>
    <n v="0.04"/>
    <n v="2.9517199999999999"/>
    <n v="3.2541199999999999"/>
    <n v="0"/>
    <n v="0.55312700000000004"/>
    <n v="5.3222399999999999"/>
    <n v="187683000"/>
    <n v="0"/>
    <n v="0"/>
    <n v="0"/>
    <n v="0"/>
    <n v="4412750"/>
    <n v="-74008.600000000006"/>
    <n v="408539"/>
    <n v="93.8536"/>
    <n v="98.274000000000001"/>
    <n v="5.5289000000000001"/>
    <n v="0"/>
    <n v="1"/>
    <n v="2.2408399999999999"/>
    <n v="1.9384399999999999"/>
    <n v="0"/>
    <n v="1.7312099999999999"/>
    <n v="2.9635199999999999"/>
    <n v="816556000"/>
    <n v="0"/>
    <n v="0"/>
    <n v="0"/>
    <n v="0"/>
    <n v="5797580"/>
    <n v="945857"/>
    <n v="0"/>
    <n v="52"/>
    <x v="30"/>
    <n v="1.0468942394690412E-10"/>
    <n v="-1.0762098019040255E-11"/>
  </r>
  <r>
    <n v="64.226100000000002"/>
    <n v="85.138999999999996"/>
    <n v="2.1585700000000001"/>
    <n v="0.02"/>
    <n v="0.04"/>
    <n v="2.7067700000000001"/>
    <n v="3.0091700000000001"/>
    <n v="0"/>
    <n v="0.55315199999999998"/>
    <n v="5.3222399999999999"/>
    <n v="187584000"/>
    <n v="0"/>
    <n v="0"/>
    <n v="0"/>
    <n v="0"/>
    <n v="4046560"/>
    <n v="-99189.6"/>
    <n v="408539"/>
    <n v="94.335700000000003"/>
    <n v="98.274000000000001"/>
    <n v="3.8551299999999999"/>
    <n v="0"/>
    <n v="1"/>
    <n v="2.0461999999999998"/>
    <n v="1.7438"/>
    <n v="0"/>
    <n v="1.7312700000000001"/>
    <n v="2.9635199999999999"/>
    <n v="817485000"/>
    <n v="0"/>
    <n v="0"/>
    <n v="0"/>
    <n v="0"/>
    <n v="5294010"/>
    <n v="929442"/>
    <n v="0"/>
    <n v="1"/>
    <x v="31"/>
    <n v="5.5633845962354826E-11"/>
    <n v="-7.7675078713225354E-12"/>
  </r>
  <r>
    <n v="63.152299999999997"/>
    <n v="85.138999999999996"/>
    <n v="1.7991699999999999"/>
    <n v="0.02"/>
    <n v="0.04"/>
    <n v="2.7069000000000001"/>
    <n v="3.0093000000000001"/>
    <n v="0"/>
    <n v="0.50724999999999998"/>
    <n v="5.3222399999999999"/>
    <n v="187485000"/>
    <n v="0"/>
    <n v="0"/>
    <n v="0"/>
    <n v="0"/>
    <n v="4046750"/>
    <n v="-99176.6"/>
    <n v="408539"/>
    <n v="94.627300000000005"/>
    <n v="98.274000000000001"/>
    <n v="3.3832100000000001"/>
    <n v="0"/>
    <n v="1"/>
    <n v="2.0462699999999998"/>
    <n v="1.74387"/>
    <n v="0"/>
    <n v="1.5808899999999999"/>
    <n v="2.9635199999999999"/>
    <n v="818415000"/>
    <n v="0"/>
    <n v="0"/>
    <n v="0"/>
    <n v="0"/>
    <n v="5294200"/>
    <n v="929449"/>
    <n v="0"/>
    <n v="2"/>
    <x v="31"/>
    <n v="5.5632268342238376E-11"/>
    <n v="-7.7661251987535699E-12"/>
  </r>
  <r>
    <n v="64.8797"/>
    <n v="85.138999999999996"/>
    <n v="4.7020900000000001"/>
    <n v="0.02"/>
    <n v="0.04"/>
    <n v="2.70703"/>
    <n v="3.00943"/>
    <n v="0"/>
    <n v="0.50727299999999997"/>
    <n v="5.3222399999999999"/>
    <n v="187386000"/>
    <n v="0"/>
    <n v="0"/>
    <n v="0"/>
    <n v="0"/>
    <n v="4046940"/>
    <n v="-99163.7"/>
    <n v="408539"/>
    <n v="96.461100000000002"/>
    <n v="98.274000000000001"/>
    <n v="6.9912599999999996"/>
    <n v="0"/>
    <n v="1"/>
    <n v="2.0463499999999999"/>
    <n v="1.7439499999999999"/>
    <n v="0"/>
    <n v="1.5809500000000001"/>
    <n v="2.9635199999999999"/>
    <n v="819344000"/>
    <n v="0"/>
    <n v="0"/>
    <n v="0"/>
    <n v="0"/>
    <n v="5294380"/>
    <n v="929455"/>
    <n v="0"/>
    <n v="3"/>
    <x v="31"/>
    <n v="5.5630736057269964E-11"/>
    <n v="-7.7647504862496813E-12"/>
  </r>
  <r>
    <n v="68.529799999999994"/>
    <n v="85.138999999999996"/>
    <n v="7.07484"/>
    <n v="0.04"/>
    <n v="0.04"/>
    <n v="2.7071499999999999"/>
    <n v="3.0095499999999999"/>
    <n v="0"/>
    <n v="0.507297"/>
    <n v="5.3222399999999999"/>
    <n v="187287000"/>
    <n v="0"/>
    <n v="0"/>
    <n v="0"/>
    <n v="0"/>
    <n v="4047120"/>
    <n v="-99150.7"/>
    <n v="408539"/>
    <n v="99.302199999999999"/>
    <n v="98.274000000000001"/>
    <n v="10.735099999999999"/>
    <n v="0"/>
    <n v="1"/>
    <n v="2.0464199999999999"/>
    <n v="1.7440199999999999"/>
    <n v="0"/>
    <n v="1.58101"/>
    <n v="2.9635199999999999"/>
    <n v="820273000"/>
    <n v="0"/>
    <n v="0"/>
    <n v="0"/>
    <n v="0"/>
    <n v="5294570"/>
    <n v="929461"/>
    <n v="0"/>
    <n v="4"/>
    <x v="31"/>
    <n v="5.5629098808080646E-11"/>
    <n v="-7.763387255406407E-12"/>
  </r>
  <r>
    <n v="71.576700000000002"/>
    <n v="85.138999999999996"/>
    <n v="6.3322200000000004"/>
    <n v="0.04"/>
    <n v="0.04"/>
    <n v="2.7072799999999999"/>
    <n v="3.0096799999999999"/>
    <n v="0"/>
    <n v="0.50731999999999999"/>
    <n v="5.3222399999999999"/>
    <n v="187188000"/>
    <n v="0"/>
    <n v="0"/>
    <n v="0"/>
    <n v="0"/>
    <n v="4047310"/>
    <n v="-99137.8"/>
    <n v="408539"/>
    <n v="99.302199999999999"/>
    <n v="98.274000000000001"/>
    <n v="6.8938899999999999"/>
    <n v="0"/>
    <n v="1"/>
    <n v="2.0464899999999999"/>
    <n v="1.7440899999999999"/>
    <n v="0"/>
    <n v="1.5810599999999999"/>
    <n v="2.9635199999999999"/>
    <n v="821203000"/>
    <n v="0"/>
    <n v="0"/>
    <n v="0"/>
    <n v="0"/>
    <n v="5294760"/>
    <n v="929467"/>
    <n v="0"/>
    <n v="5"/>
    <x v="31"/>
    <n v="5.5627461676395171E-11"/>
    <n v="-7.7620127971091067E-12"/>
  </r>
  <r>
    <n v="76.174099999999996"/>
    <n v="85.138999999999996"/>
    <n v="8.0365400000000005"/>
    <n v="0.03"/>
    <n v="0.04"/>
    <n v="2.8016899999999998"/>
    <n v="3.1040899999999998"/>
    <n v="0"/>
    <n v="0.50734400000000002"/>
    <n v="5.3222399999999999"/>
    <n v="187098000"/>
    <n v="0"/>
    <n v="0"/>
    <n v="0"/>
    <n v="0"/>
    <n v="4188450"/>
    <n v="-89432.3"/>
    <n v="408539"/>
    <n v="99.302199999999999"/>
    <n v="98.274000000000001"/>
    <n v="9.0860800000000008"/>
    <n v="0"/>
    <n v="1"/>
    <n v="2.1029599999999999"/>
    <n v="1.8005599999999999"/>
    <n v="0"/>
    <n v="1.5811200000000001"/>
    <n v="2.9635199999999999"/>
    <n v="822137000"/>
    <n v="0"/>
    <n v="0"/>
    <n v="0"/>
    <n v="0"/>
    <n v="5440850"/>
    <n v="934229"/>
    <n v="0"/>
    <n v="6"/>
    <x v="31"/>
    <n v="5.441117929880426E-11"/>
    <n v="-6.7661654310830525E-12"/>
  </r>
  <r>
    <n v="77.218199999999996"/>
    <n v="85.138999999999996"/>
    <n v="4.3632799999999996"/>
    <n v="0.02"/>
    <n v="0.04"/>
    <n v="2.8018000000000001"/>
    <n v="3.1042000000000001"/>
    <n v="0"/>
    <n v="0.52503599999999995"/>
    <n v="5.3222399999999999"/>
    <n v="187009000"/>
    <n v="0"/>
    <n v="0"/>
    <n v="0"/>
    <n v="0"/>
    <n v="4188620"/>
    <n v="-89420.800000000003"/>
    <n v="408539"/>
    <n v="99.302199999999999"/>
    <n v="98.274000000000001"/>
    <n v="6.1079999999999997"/>
    <n v="0"/>
    <n v="1"/>
    <n v="2.1030199999999999"/>
    <n v="1.8006200000000001"/>
    <n v="0"/>
    <n v="1.6247499999999999"/>
    <n v="2.9635199999999999"/>
    <n v="823071000"/>
    <n v="0"/>
    <n v="0"/>
    <n v="0"/>
    <n v="0"/>
    <n v="5441020"/>
    <n v="934234"/>
    <n v="0"/>
    <n v="7"/>
    <x v="31"/>
    <n v="5.4409770468112222E-11"/>
    <n v="-6.7650208000366603E-12"/>
  </r>
  <r>
    <n v="80.364099999999993"/>
    <n v="85.138999999999996"/>
    <n v="6.59579"/>
    <n v="0.02"/>
    <n v="0.04"/>
    <n v="2.8019099999999999"/>
    <n v="3.1043099999999999"/>
    <n v="0"/>
    <n v="0.525057"/>
    <n v="5.3222399999999999"/>
    <n v="186919000"/>
    <n v="0"/>
    <n v="0"/>
    <n v="0"/>
    <n v="0"/>
    <n v="4188790"/>
    <n v="-89409.3"/>
    <n v="408539"/>
    <n v="99.302199999999999"/>
    <n v="98.274000000000001"/>
    <n v="9.3666400000000003"/>
    <n v="0"/>
    <n v="1"/>
    <n v="2.1030899999999999"/>
    <n v="1.8006899999999999"/>
    <n v="0"/>
    <n v="1.6248"/>
    <n v="2.9635199999999999"/>
    <n v="824006000"/>
    <n v="0"/>
    <n v="0"/>
    <n v="0"/>
    <n v="0"/>
    <n v="5441190"/>
    <n v="934240"/>
    <n v="0"/>
    <n v="8"/>
    <x v="31"/>
    <n v="5.4408419963614311E-11"/>
    <n v="-6.7638762618988529E-12"/>
  </r>
  <r>
    <n v="81.525099999999995"/>
    <n v="85.138999999999996"/>
    <n v="5.0702100000000003"/>
    <n v="0"/>
    <n v="0.04"/>
    <n v="3.1044200000000002"/>
    <n v="3.1044200000000002"/>
    <n v="0"/>
    <n v="0.52507800000000004"/>
    <n v="5.3222399999999999"/>
    <n v="187238000"/>
    <n v="0"/>
    <n v="0"/>
    <n v="0"/>
    <n v="0"/>
    <n v="4641030"/>
    <n v="319141"/>
    <n v="0"/>
    <n v="99.302199999999999"/>
    <n v="98.274000000000001"/>
    <n v="6.1497700000000002"/>
    <n v="0"/>
    <n v="1"/>
    <n v="1.8007500000000001"/>
    <n v="1.8007500000000001"/>
    <n v="0"/>
    <n v="1.6248499999999999"/>
    <n v="2.9635199999999999"/>
    <n v="824158000"/>
    <n v="0"/>
    <n v="0"/>
    <n v="0"/>
    <n v="0"/>
    <n v="4658970"/>
    <n v="151865"/>
    <n v="0"/>
    <n v="9"/>
    <x v="31"/>
    <n v="1.0329262821189095E-11"/>
    <n v="2.1790629328644665E-11"/>
  </r>
  <r>
    <n v="85.138999999999996"/>
    <n v="85.138999999999996"/>
    <n v="15.668100000000001"/>
    <n v="0"/>
    <n v="0.04"/>
    <n v="3.40734"/>
    <n v="3.40734"/>
    <n v="0"/>
    <n v="0.58176899999999998"/>
    <n v="5.3222399999999999"/>
    <n v="187589000"/>
    <n v="0"/>
    <n v="0"/>
    <n v="0"/>
    <n v="0"/>
    <n v="5093890"/>
    <n v="350282"/>
    <n v="0"/>
    <n v="99.302199999999999"/>
    <n v="98.274000000000001"/>
    <n v="13.3132"/>
    <n v="0"/>
    <n v="1"/>
    <n v="2.0125500000000001"/>
    <n v="2.0125500000000001"/>
    <n v="0"/>
    <n v="1.3912599999999999"/>
    <n v="2.9635199999999999"/>
    <n v="824327000"/>
    <n v="0"/>
    <n v="0"/>
    <n v="0"/>
    <n v="0"/>
    <n v="5206960"/>
    <n v="169727"/>
    <n v="0"/>
    <n v="10"/>
    <x v="31"/>
    <n v="1.032923696769367E-11"/>
    <n v="2.1790630963542553E-11"/>
  </r>
  <r>
    <n v="85.138999999999996"/>
    <n v="85.138999999999996"/>
    <n v="8.3381799999999995"/>
    <n v="0"/>
    <n v="0.04"/>
    <n v="3.40747"/>
    <n v="3.40747"/>
    <n v="0"/>
    <n v="0.63853599999999999"/>
    <n v="5.3222399999999999"/>
    <n v="187939000"/>
    <n v="0"/>
    <n v="0"/>
    <n v="0"/>
    <n v="0"/>
    <n v="5094080"/>
    <n v="350294"/>
    <n v="0"/>
    <n v="99.302199999999999"/>
    <n v="98.274000000000001"/>
    <n v="7.9381300000000001"/>
    <n v="0"/>
    <n v="1"/>
    <n v="2.0126300000000001"/>
    <n v="2.0126300000000001"/>
    <n v="0"/>
    <n v="1.5548999999999999"/>
    <n v="2.9635199999999999"/>
    <n v="824497000"/>
    <n v="0"/>
    <n v="0"/>
    <n v="0"/>
    <n v="0"/>
    <n v="5207150"/>
    <n v="169733"/>
    <n v="0"/>
    <n v="11"/>
    <x v="31"/>
    <n v="1.032922520586363E-11"/>
    <n v="2.1790564690326991E-11"/>
  </r>
  <r>
    <n v="85.138999999999996"/>
    <n v="85.138999999999996"/>
    <n v="5.53613"/>
    <n v="0"/>
    <n v="0.04"/>
    <n v="3.4075899999999999"/>
    <n v="3.4075899999999999"/>
    <n v="0"/>
    <n v="0.63855899999999999"/>
    <n v="5.3222399999999999"/>
    <n v="188289000"/>
    <n v="0"/>
    <n v="0"/>
    <n v="0"/>
    <n v="0"/>
    <n v="5094260"/>
    <n v="350307"/>
    <n v="0"/>
    <n v="99.302199999999999"/>
    <n v="98.274000000000001"/>
    <n v="6.1239299999999997"/>
    <n v="0"/>
    <n v="1"/>
    <n v="2.0127000000000002"/>
    <n v="2.0127000000000002"/>
    <n v="0"/>
    <n v="1.5549599999999999"/>
    <n v="2.9635199999999999"/>
    <n v="824667000"/>
    <n v="0"/>
    <n v="0"/>
    <n v="0"/>
    <n v="0"/>
    <n v="5207330"/>
    <n v="169739"/>
    <n v="0"/>
    <n v="12"/>
    <x v="31"/>
    <n v="1.03292332808029E-11"/>
    <n v="2.1790603400969681E-11"/>
  </r>
  <r>
    <n v="85.138999999999996"/>
    <n v="85.138999999999996"/>
    <n v="6.3531899999999997"/>
    <n v="0"/>
    <n v="0.04"/>
    <n v="3.4077099999999998"/>
    <n v="3.4077099999999998"/>
    <n v="0"/>
    <n v="0.63858199999999998"/>
    <n v="5.3222399999999999"/>
    <n v="188640000"/>
    <n v="0"/>
    <n v="0"/>
    <n v="0"/>
    <n v="0"/>
    <n v="5094440"/>
    <n v="350319"/>
    <n v="0"/>
    <n v="99.302199999999999"/>
    <n v="98.274000000000001"/>
    <n v="10.258800000000001"/>
    <n v="0"/>
    <n v="1"/>
    <n v="2.0127700000000002"/>
    <n v="2.0127700000000002"/>
    <n v="0"/>
    <n v="1.55501"/>
    <n v="2.9635199999999999"/>
    <n v="824836000"/>
    <n v="0"/>
    <n v="0"/>
    <n v="0"/>
    <n v="0"/>
    <n v="5207520"/>
    <n v="169745"/>
    <n v="0"/>
    <n v="13"/>
    <x v="31"/>
    <n v="1.032922151994307E-11"/>
    <n v="2.1790579906769923E-11"/>
  </r>
  <r>
    <n v="85.138999999999996"/>
    <n v="85.138999999999996"/>
    <n v="8.1256299999999992"/>
    <n v="0"/>
    <n v="0.04"/>
    <n v="2.97587"/>
    <n v="2.97587"/>
    <n v="0"/>
    <n v="0.63860499999999998"/>
    <n v="5.3222399999999999"/>
    <n v="188946000"/>
    <n v="0"/>
    <n v="0"/>
    <n v="0"/>
    <n v="0"/>
    <n v="4448850"/>
    <n v="305925"/>
    <n v="0"/>
    <n v="99.302199999999999"/>
    <n v="98.274000000000001"/>
    <n v="13.006600000000001"/>
    <n v="0"/>
    <n v="1"/>
    <n v="1.72865"/>
    <n v="1.72865"/>
    <n v="0"/>
    <n v="1.55507"/>
    <n v="2.9635199999999999"/>
    <n v="824982000"/>
    <n v="0"/>
    <n v="0"/>
    <n v="0"/>
    <n v="0"/>
    <n v="4472430"/>
    <n v="145784"/>
    <n v="0"/>
    <n v="14"/>
    <x v="31"/>
    <n v="1.0329227851173225E-11"/>
    <n v="2.1790578142989214E-11"/>
  </r>
  <r>
    <n v="85.138999999999996"/>
    <n v="85.138999999999996"/>
    <n v="7.7413299999999996"/>
    <n v="0"/>
    <n v="0.04"/>
    <n v="2.9759799999999998"/>
    <n v="2.9759799999999998"/>
    <n v="0"/>
    <n v="0.55767800000000001"/>
    <n v="5.3222399999999999"/>
    <n v="189251000"/>
    <n v="0"/>
    <n v="0"/>
    <n v="0"/>
    <n v="0"/>
    <n v="4449010"/>
    <n v="305936"/>
    <n v="0"/>
    <n v="99.302199999999999"/>
    <n v="98.274000000000001"/>
    <n v="10.9649"/>
    <n v="0"/>
    <n v="1"/>
    <n v="1.72871"/>
    <n v="1.72871"/>
    <n v="0"/>
    <n v="1.33555"/>
    <n v="2.9635199999999999"/>
    <n v="825128000"/>
    <n v="0"/>
    <n v="0"/>
    <n v="0"/>
    <n v="0"/>
    <n v="4472590"/>
    <n v="145789"/>
    <n v="0"/>
    <n v="15"/>
    <x v="31"/>
    <n v="1.0329212591123148E-11"/>
    <n v="2.1790577972483078E-11"/>
  </r>
  <r>
    <n v="85.138999999999996"/>
    <n v="85.138999999999996"/>
    <n v="5.67354"/>
    <n v="0"/>
    <n v="0.04"/>
    <n v="2.9760800000000001"/>
    <n v="2.9760800000000001"/>
    <n v="0"/>
    <n v="0.55769800000000003"/>
    <n v="5.3222399999999999"/>
    <n v="189557000"/>
    <n v="0"/>
    <n v="0"/>
    <n v="0"/>
    <n v="0"/>
    <n v="4449170"/>
    <n v="305947"/>
    <n v="0"/>
    <n v="99.302199999999999"/>
    <n v="98.274000000000001"/>
    <n v="7.27339"/>
    <n v="0"/>
    <n v="1"/>
    <n v="1.7287699999999999"/>
    <n v="1.7287699999999999"/>
    <n v="0"/>
    <n v="1.3355999999999999"/>
    <n v="2.9635199999999999"/>
    <n v="825274000"/>
    <n v="0"/>
    <n v="0"/>
    <n v="0"/>
    <n v="0"/>
    <n v="4472750"/>
    <n v="145794"/>
    <n v="0"/>
    <n v="16"/>
    <x v="31"/>
    <n v="1.0329197332164839E-11"/>
    <n v="2.1790577801989208E-11"/>
  </r>
  <r>
    <n v="85.138999999999996"/>
    <n v="85.138999999999996"/>
    <n v="5.0941400000000003"/>
    <n v="0"/>
    <n v="0.04"/>
    <n v="2.9761899999999999"/>
    <n v="2.9761899999999999"/>
    <n v="0"/>
    <n v="0.55771800000000005"/>
    <n v="5.3222399999999999"/>
    <n v="189863000"/>
    <n v="0"/>
    <n v="0"/>
    <n v="0"/>
    <n v="0"/>
    <n v="4449330"/>
    <n v="305958"/>
    <n v="0"/>
    <n v="99.302199999999999"/>
    <n v="98.274000000000001"/>
    <n v="6.1976300000000002"/>
    <n v="0"/>
    <n v="1"/>
    <n v="1.7288399999999999"/>
    <n v="1.7288399999999999"/>
    <n v="0"/>
    <n v="1.33565"/>
    <n v="2.9635199999999999"/>
    <n v="825420000"/>
    <n v="0"/>
    <n v="0"/>
    <n v="0"/>
    <n v="0"/>
    <n v="4472910"/>
    <n v="145800"/>
    <n v="0"/>
    <n v="17"/>
    <x v="31"/>
    <n v="1.0329252919654286E-11"/>
    <n v="2.1790577631507598E-11"/>
  </r>
  <r>
    <n v="85.138999999999996"/>
    <n v="85.138999999999996"/>
    <n v="5.5034700000000001"/>
    <n v="0"/>
    <n v="0.04"/>
    <n v="2.9763000000000002"/>
    <n v="2.9763000000000002"/>
    <n v="0"/>
    <n v="0.55773799999999996"/>
    <n v="5.3222399999999999"/>
    <n v="190169000"/>
    <n v="0"/>
    <n v="0"/>
    <n v="0"/>
    <n v="0"/>
    <n v="4449490"/>
    <n v="305969"/>
    <n v="0"/>
    <n v="99.302199999999999"/>
    <n v="98.274000000000001"/>
    <n v="6.5076799999999997"/>
    <n v="0"/>
    <n v="1"/>
    <n v="1.7289000000000001"/>
    <n v="1.7289000000000001"/>
    <n v="0"/>
    <n v="1.3357000000000001"/>
    <n v="2.9635199999999999"/>
    <n v="825565000"/>
    <n v="0"/>
    <n v="0"/>
    <n v="0"/>
    <n v="0"/>
    <n v="4473070"/>
    <n v="145805"/>
    <n v="0"/>
    <n v="18"/>
    <x v="31"/>
    <n v="1.0329237660345058E-11"/>
    <n v="2.1790577461038249E-11"/>
  </r>
  <r>
    <n v="85.138999999999996"/>
    <n v="85.138999999999996"/>
    <n v="6.3521799999999997"/>
    <n v="0"/>
    <n v="0.04"/>
    <n v="3.0851600000000001"/>
    <n v="3.0851600000000001"/>
    <n v="0"/>
    <n v="0.55775799999999998"/>
    <n v="5.3222399999999999"/>
    <n v="190487000"/>
    <n v="0"/>
    <n v="0"/>
    <n v="0"/>
    <n v="0"/>
    <n v="4612230"/>
    <n v="317160"/>
    <n v="0"/>
    <n v="99.302199999999999"/>
    <n v="98.274000000000001"/>
    <n v="7.4836900000000002"/>
    <n v="0"/>
    <n v="1"/>
    <n v="1.7985"/>
    <n v="1.7985"/>
    <n v="0"/>
    <n v="1.33575"/>
    <n v="2.9635199999999999"/>
    <n v="825717000"/>
    <n v="0"/>
    <n v="0"/>
    <n v="0"/>
    <n v="0"/>
    <n v="4653140"/>
    <n v="151674"/>
    <n v="0"/>
    <n v="19"/>
    <x v="31"/>
    <n v="1.0329197185083379E-11"/>
    <n v="2.179059054789763E-11"/>
  </r>
  <r>
    <n v="85.138999999999996"/>
    <n v="85.138999999999996"/>
    <n v="7.9846500000000002"/>
    <n v="0"/>
    <n v="0.04"/>
    <n v="3.08527"/>
    <n v="3.08527"/>
    <n v="0"/>
    <n v="0.57815799999999995"/>
    <n v="5.3222399999999999"/>
    <n v="190804000"/>
    <n v="0"/>
    <n v="0"/>
    <n v="0"/>
    <n v="0"/>
    <n v="4612400"/>
    <n v="317172"/>
    <n v="0"/>
    <n v="99.302199999999999"/>
    <n v="98.274000000000001"/>
    <n v="10.2913"/>
    <n v="0"/>
    <n v="1"/>
    <n v="1.7985599999999999"/>
    <n v="1.7985599999999999"/>
    <n v="0"/>
    <n v="1.3895200000000001"/>
    <n v="2.9635199999999999"/>
    <n v="825869000"/>
    <n v="0"/>
    <n v="0"/>
    <n v="0"/>
    <n v="0"/>
    <n v="4653310"/>
    <n v="151680"/>
    <n v="0"/>
    <n v="20"/>
    <x v="31"/>
    <n v="1.0329228420029925E-11"/>
    <n v="2.1790611842327424E-11"/>
  </r>
  <r>
    <n v="85.138999999999996"/>
    <n v="85.138999999999996"/>
    <n v="7.9597800000000003"/>
    <n v="0"/>
    <n v="0.04"/>
    <n v="3.0853799999999998"/>
    <n v="3.0853799999999998"/>
    <n v="0"/>
    <n v="0.578179"/>
    <n v="5.3222399999999999"/>
    <n v="191121000"/>
    <n v="0"/>
    <n v="0"/>
    <n v="0"/>
    <n v="0"/>
    <n v="4612560"/>
    <n v="317183"/>
    <n v="0"/>
    <n v="99.302199999999999"/>
    <n v="98.274000000000001"/>
    <n v="11.6866"/>
    <n v="0"/>
    <n v="1"/>
    <n v="1.79863"/>
    <n v="1.79863"/>
    <n v="0"/>
    <n v="1.38957"/>
    <n v="2.9635199999999999"/>
    <n v="826020000"/>
    <n v="0"/>
    <n v="0"/>
    <n v="0"/>
    <n v="0"/>
    <n v="4653480"/>
    <n v="151685"/>
    <n v="0"/>
    <n v="21"/>
    <x v="31"/>
    <n v="1.0329191556366043E-11"/>
    <n v="2.1790611676698061E-11"/>
  </r>
  <r>
    <n v="85.138999999999996"/>
    <n v="85.138999999999996"/>
    <n v="5.4618500000000001"/>
    <n v="0"/>
    <n v="0.04"/>
    <n v="3.0854900000000001"/>
    <n v="3.0854900000000001"/>
    <n v="0"/>
    <n v="0.57820000000000005"/>
    <n v="5.3222399999999999"/>
    <n v="191438000"/>
    <n v="0"/>
    <n v="0"/>
    <n v="0"/>
    <n v="0"/>
    <n v="4612730"/>
    <n v="317194"/>
    <n v="0"/>
    <n v="99.302199999999999"/>
    <n v="98.274000000000001"/>
    <n v="7.3183800000000003"/>
    <n v="0"/>
    <n v="1"/>
    <n v="1.7986899999999999"/>
    <n v="1.7986899999999999"/>
    <n v="0"/>
    <n v="1.3896200000000001"/>
    <n v="2.9635199999999999"/>
    <n v="826172000"/>
    <n v="0"/>
    <n v="0"/>
    <n v="0"/>
    <n v="0"/>
    <n v="4653640"/>
    <n v="151691"/>
    <n v="0"/>
    <n v="22"/>
    <x v="31"/>
    <n v="1.0329244985243557E-11"/>
    <n v="2.1790564270917608E-11"/>
  </r>
  <r>
    <n v="85.138999999999996"/>
    <n v="85.138999999999996"/>
    <n v="3.9028200000000002"/>
    <n v="0"/>
    <n v="0.04"/>
    <n v="3.0430700000000002"/>
    <n v="3.0430700000000002"/>
    <n v="0"/>
    <n v="0.57822099999999998"/>
    <n v="5.3222399999999999"/>
    <n v="191751000"/>
    <n v="0"/>
    <n v="0"/>
    <n v="0"/>
    <n v="0"/>
    <n v="4549320"/>
    <n v="312834"/>
    <n v="0"/>
    <n v="99.302199999999999"/>
    <n v="98.274000000000001"/>
    <n v="4.8793100000000003"/>
    <n v="0"/>
    <n v="1"/>
    <n v="1.7717400000000001"/>
    <n v="1.7717400000000001"/>
    <n v="0"/>
    <n v="1.38967"/>
    <n v="2.9635199999999999"/>
    <n v="826322000"/>
    <n v="0"/>
    <n v="0"/>
    <n v="0"/>
    <n v="0"/>
    <n v="4583930"/>
    <n v="149418"/>
    <n v="0"/>
    <n v="23"/>
    <x v="31"/>
    <n v="1.0329195308703353E-11"/>
    <n v="2.1790590980126464E-11"/>
  </r>
  <r>
    <n v="85.138999999999996"/>
    <n v="85.138999999999996"/>
    <n v="3.53145"/>
    <n v="0"/>
    <n v="0.04"/>
    <n v="3.04318"/>
    <n v="3.04318"/>
    <n v="0"/>
    <n v="0.570272"/>
    <n v="5.3222399999999999"/>
    <n v="192064000"/>
    <n v="0"/>
    <n v="0"/>
    <n v="0"/>
    <n v="0"/>
    <n v="4549480"/>
    <n v="312845"/>
    <n v="0"/>
    <n v="99.302199999999999"/>
    <n v="98.274000000000001"/>
    <n v="4.4818699999999998"/>
    <n v="0"/>
    <n v="1"/>
    <n v="1.7718100000000001"/>
    <n v="1.7718100000000001"/>
    <n v="0"/>
    <n v="1.3688499999999999"/>
    <n v="2.9635199999999999"/>
    <n v="826471000"/>
    <n v="0"/>
    <n v="0"/>
    <n v="0"/>
    <n v="0"/>
    <n v="4584090"/>
    <n v="149424"/>
    <n v="0"/>
    <n v="24"/>
    <x v="31"/>
    <n v="1.0329249548075E-11"/>
    <n v="2.1790590812934289E-11"/>
  </r>
  <r>
    <n v="84.969899999999996"/>
    <n v="85.138999999999996"/>
    <n v="3.2823600000000002"/>
    <n v="0"/>
    <n v="0.04"/>
    <n v="3.0432899999999998"/>
    <n v="3.0432899999999998"/>
    <n v="0"/>
    <n v="0.57029300000000005"/>
    <n v="5.3222399999999999"/>
    <n v="192377000"/>
    <n v="0"/>
    <n v="0"/>
    <n v="0"/>
    <n v="0"/>
    <n v="4549650"/>
    <n v="312856"/>
    <n v="0"/>
    <n v="99.302199999999999"/>
    <n v="98.274000000000001"/>
    <n v="3.8875899999999999"/>
    <n v="0"/>
    <n v="1"/>
    <n v="1.7718700000000001"/>
    <n v="1.7718700000000001"/>
    <n v="0"/>
    <n v="1.3689"/>
    <n v="2.9635199999999999"/>
    <n v="826620000"/>
    <n v="0"/>
    <n v="0"/>
    <n v="0"/>
    <n v="0"/>
    <n v="4584260"/>
    <n v="149429"/>
    <n v="0"/>
    <n v="25"/>
    <x v="31"/>
    <n v="1.0329212127005E-11"/>
    <n v="2.179054275066163E-11"/>
  </r>
  <r>
    <n v="84.837100000000007"/>
    <n v="85.138999999999996"/>
    <n v="3.2708400000000002"/>
    <n v="0"/>
    <n v="0.04"/>
    <n v="3.0434000000000001"/>
    <n v="3.0434000000000001"/>
    <n v="0"/>
    <n v="0.57031299999999996"/>
    <n v="5.3222399999999999"/>
    <n v="192689000"/>
    <n v="0"/>
    <n v="0"/>
    <n v="0"/>
    <n v="0"/>
    <n v="4549810"/>
    <n v="312868"/>
    <n v="0"/>
    <n v="99.302199999999999"/>
    <n v="98.274000000000001"/>
    <n v="4.0426900000000003"/>
    <n v="0"/>
    <n v="1"/>
    <n v="1.7719400000000001"/>
    <n v="1.7719400000000001"/>
    <n v="0"/>
    <n v="1.3689499999999999"/>
    <n v="2.9635199999999999"/>
    <n v="826770000"/>
    <n v="0"/>
    <n v="0"/>
    <n v="0"/>
    <n v="0"/>
    <n v="4584420"/>
    <n v="149434"/>
    <n v="0"/>
    <n v="26"/>
    <x v="31"/>
    <n v="1.0329197239749575E-11"/>
    <n v="2.1790612233119363E-11"/>
  </r>
  <r>
    <n v="84.232699999999994"/>
    <n v="85.138999999999996"/>
    <n v="2.8848199999999999"/>
    <n v="0"/>
    <n v="0.04"/>
    <n v="3.1878899999999999"/>
    <n v="3.1878899999999999"/>
    <n v="0"/>
    <n v="0.57033400000000001"/>
    <n v="5.3222399999999999"/>
    <n v="193017000"/>
    <n v="0"/>
    <n v="0"/>
    <n v="0"/>
    <n v="0"/>
    <n v="4765810"/>
    <n v="327721"/>
    <n v="0"/>
    <n v="99.255600000000001"/>
    <n v="98.274000000000001"/>
    <n v="3.4909300000000001"/>
    <n v="0"/>
    <n v="1"/>
    <n v="1.8677999999999999"/>
    <n v="1.8677999999999999"/>
    <n v="0"/>
    <n v="1.369"/>
    <n v="2.9635199999999999"/>
    <n v="826927000"/>
    <n v="0"/>
    <n v="0"/>
    <n v="0"/>
    <n v="0"/>
    <n v="4832450"/>
    <n v="157519"/>
    <n v="0"/>
    <n v="27"/>
    <x v="31"/>
    <n v="1.0329210408922144E-11"/>
    <n v="2.1790595279760384E-11"/>
  </r>
  <r>
    <n v="83.517399999999995"/>
    <n v="85.138999999999996"/>
    <n v="2.6738"/>
    <n v="0"/>
    <n v="0.04"/>
    <n v="3.1880000000000002"/>
    <n v="3.1880000000000002"/>
    <n v="0"/>
    <n v="0.59741"/>
    <n v="5.3222399999999999"/>
    <n v="193345000"/>
    <n v="0"/>
    <n v="0"/>
    <n v="0"/>
    <n v="0"/>
    <n v="4765980"/>
    <n v="327733"/>
    <n v="0"/>
    <n v="99.142300000000006"/>
    <n v="98.274000000000001"/>
    <n v="3.1638099999999998"/>
    <n v="0"/>
    <n v="1"/>
    <n v="1.8678699999999999"/>
    <n v="1.8678699999999999"/>
    <n v="0"/>
    <n v="1.44306"/>
    <n v="2.9635199999999999"/>
    <n v="827085000"/>
    <n v="0"/>
    <n v="0"/>
    <n v="0"/>
    <n v="0"/>
    <n v="4832630"/>
    <n v="157525"/>
    <n v="0"/>
    <n v="28"/>
    <x v="31"/>
    <n v="1.0329219110506366E-11"/>
    <n v="2.1790615887824955E-11"/>
  </r>
  <r>
    <n v="82.769099999999995"/>
    <n v="85.138999999999996"/>
    <n v="2.6237400000000002"/>
    <n v="0"/>
    <n v="0.04"/>
    <n v="3.1881200000000001"/>
    <n v="3.1881200000000001"/>
    <n v="0"/>
    <n v="0.59743100000000005"/>
    <n v="5.3222399999999999"/>
    <n v="193673000"/>
    <n v="0"/>
    <n v="0"/>
    <n v="0"/>
    <n v="0"/>
    <n v="4766150"/>
    <n v="327745"/>
    <n v="0"/>
    <n v="99.0304"/>
    <n v="98.274000000000001"/>
    <n v="3.1867999999999999"/>
    <n v="0"/>
    <n v="1"/>
    <n v="1.8679399999999999"/>
    <n v="1.8679399999999999"/>
    <n v="0"/>
    <n v="1.44312"/>
    <n v="2.9635199999999999"/>
    <n v="827242000"/>
    <n v="0"/>
    <n v="0"/>
    <n v="0"/>
    <n v="0"/>
    <n v="4832800"/>
    <n v="157531"/>
    <n v="0"/>
    <n v="29"/>
    <x v="31"/>
    <n v="1.0329249184616983E-11"/>
    <n v="2.1790636494419418E-11"/>
  </r>
  <r>
    <n v="82.013999999999996"/>
    <n v="85.138999999999996"/>
    <n v="2.3561800000000002"/>
    <n v="0.01"/>
    <n v="0.04"/>
    <n v="2.8858299999999999"/>
    <n v="3.1882299999999999"/>
    <n v="0"/>
    <n v="0.59745300000000001"/>
    <n v="5.3222399999999999"/>
    <n v="193592000"/>
    <n v="0"/>
    <n v="0"/>
    <n v="0"/>
    <n v="0"/>
    <n v="4314240"/>
    <n v="-80782.2"/>
    <n v="408539"/>
    <n v="98.754400000000004"/>
    <n v="98.274000000000001"/>
    <n v="3.2227199999999998"/>
    <n v="0"/>
    <n v="1"/>
    <n v="2.17041"/>
    <n v="1.8680099999999999"/>
    <n v="0"/>
    <n v="1.4431700000000001"/>
    <n v="2.9635199999999999"/>
    <n v="828182000"/>
    <n v="0"/>
    <n v="0"/>
    <n v="0"/>
    <n v="0"/>
    <n v="5615350"/>
    <n v="939917"/>
    <n v="0"/>
    <n v="30"/>
    <x v="31"/>
    <n v="5.3041307524752598E-11"/>
    <n v="-5.9335269968966093E-12"/>
  </r>
  <r>
    <n v="81.505799999999994"/>
    <n v="85.138999999999996"/>
    <n v="2.5919500000000002"/>
    <n v="0.01"/>
    <n v="0.04"/>
    <n v="2.8859499999999998"/>
    <n v="3.1883499999999998"/>
    <n v="0"/>
    <n v="0.54080499999999998"/>
    <n v="5.3222399999999999"/>
    <n v="193511000"/>
    <n v="0"/>
    <n v="0"/>
    <n v="0"/>
    <n v="0"/>
    <n v="4314420"/>
    <n v="-80770.399999999994"/>
    <n v="408539"/>
    <n v="98.523300000000006"/>
    <n v="98.274000000000001"/>
    <n v="2.8292899999999999"/>
    <n v="0"/>
    <n v="1"/>
    <n v="2.1704699999999999"/>
    <n v="1.8680699999999999"/>
    <n v="0"/>
    <n v="1.67685"/>
    <n v="2.9635199999999999"/>
    <n v="829122000"/>
    <n v="0"/>
    <n v="0"/>
    <n v="0"/>
    <n v="0"/>
    <n v="5615530"/>
    <n v="939923"/>
    <n v="0"/>
    <n v="31"/>
    <x v="31"/>
    <n v="5.3039945921138358E-11"/>
    <n v="-5.9324127621442604E-12"/>
  </r>
  <r>
    <n v="81.069100000000006"/>
    <n v="85.138999999999996"/>
    <n v="2.6273599999999999"/>
    <n v="0.01"/>
    <n v="0.04"/>
    <n v="2.8574999999999999"/>
    <n v="3.1598999999999999"/>
    <n v="0"/>
    <n v="0.54082600000000003"/>
    <n v="5.3222399999999999"/>
    <n v="193427000"/>
    <n v="0"/>
    <n v="0"/>
    <n v="0"/>
    <n v="0"/>
    <n v="4271900"/>
    <n v="-83694.399999999994"/>
    <n v="408539"/>
    <n v="98.279499999999999"/>
    <n v="98.274000000000001"/>
    <n v="2.5928399999999998"/>
    <n v="0"/>
    <n v="1"/>
    <n v="2.2231999999999998"/>
    <n v="1.9208000000000001"/>
    <n v="0"/>
    <n v="1.6769099999999999"/>
    <n v="2.9635199999999999"/>
    <n v="830067000"/>
    <n v="0"/>
    <n v="0"/>
    <n v="0"/>
    <n v="0"/>
    <n v="5751960"/>
    <n v="944370"/>
    <n v="0"/>
    <n v="32"/>
    <x v="31"/>
    <n v="5.2026890777520044E-11"/>
    <n v="-6.2083596811726748E-12"/>
  </r>
  <r>
    <n v="80.426100000000005"/>
    <n v="85.138999999999996"/>
    <n v="2.4156399999999998"/>
    <n v="0.01"/>
    <n v="0.04"/>
    <n v="2.8576199999999998"/>
    <n v="3.1600199999999998"/>
    <n v="0"/>
    <n v="0.53549599999999997"/>
    <n v="5.3222399999999999"/>
    <n v="193344000"/>
    <n v="0"/>
    <n v="0"/>
    <n v="0"/>
    <n v="0"/>
    <n v="4272070"/>
    <n v="-83682.7"/>
    <n v="408539"/>
    <n v="98.019900000000007"/>
    <n v="98.274000000000001"/>
    <n v="2.6007699999999998"/>
    <n v="0"/>
    <n v="1"/>
    <n v="2.2232699999999999"/>
    <n v="1.9208700000000001"/>
    <n v="0"/>
    <n v="1.7176499999999999"/>
    <n v="2.9635199999999999"/>
    <n v="831011000"/>
    <n v="0"/>
    <n v="0"/>
    <n v="0"/>
    <n v="0"/>
    <n v="5752140"/>
    <n v="944376"/>
    <n v="0"/>
    <n v="33"/>
    <x v="31"/>
    <n v="5.2025593255045047E-11"/>
    <n v="-6.2072447709543473E-12"/>
  </r>
  <r>
    <n v="79.595100000000002"/>
    <n v="85.138999999999996"/>
    <n v="2.2126600000000001"/>
    <n v="0.01"/>
    <n v="0.04"/>
    <n v="2.8577300000000001"/>
    <n v="3.1601300000000001"/>
    <n v="0"/>
    <n v="0.53551700000000002"/>
    <n v="5.3222399999999999"/>
    <n v="193260000"/>
    <n v="0"/>
    <n v="0"/>
    <n v="0"/>
    <n v="0"/>
    <n v="4272240"/>
    <n v="-83671"/>
    <n v="408539"/>
    <n v="97.706100000000006"/>
    <n v="98.274000000000001"/>
    <n v="2.3103099999999999"/>
    <n v="0"/>
    <n v="1"/>
    <n v="2.2233399999999999"/>
    <n v="1.9209400000000001"/>
    <n v="0"/>
    <n v="1.7177"/>
    <n v="2.9635199999999999"/>
    <n v="831955000"/>
    <n v="0"/>
    <n v="0"/>
    <n v="0"/>
    <n v="0"/>
    <n v="5752320"/>
    <n v="944382"/>
    <n v="0"/>
    <n v="34"/>
    <x v="31"/>
    <n v="5.2024295813773452E-11"/>
    <n v="-6.2061299494645265E-12"/>
  </r>
  <r>
    <n v="78.559200000000004"/>
    <n v="85.138999999999996"/>
    <n v="1.96156"/>
    <n v="0.01"/>
    <n v="0.04"/>
    <n v="2.8578399999999999"/>
    <n v="3.1602399999999999"/>
    <n v="0"/>
    <n v="0.53553899999999999"/>
    <n v="5.3222399999999999"/>
    <n v="193176000"/>
    <n v="0"/>
    <n v="0"/>
    <n v="0"/>
    <n v="0"/>
    <n v="4272410"/>
    <n v="-83659.3"/>
    <n v="408539"/>
    <n v="97.310900000000004"/>
    <n v="98.274000000000001"/>
    <n v="2.1386500000000002"/>
    <n v="0"/>
    <n v="1"/>
    <n v="2.2234099999999999"/>
    <n v="1.9210100000000001"/>
    <n v="0"/>
    <n v="1.7177500000000001"/>
    <n v="2.9635199999999999"/>
    <n v="832900000"/>
    <n v="0"/>
    <n v="0"/>
    <n v="0"/>
    <n v="0"/>
    <n v="5752500"/>
    <n v="944387"/>
    <n v="0"/>
    <n v="35"/>
    <x v="31"/>
    <n v="5.2022943367230618E-11"/>
    <n v="-6.2050152166926205E-12"/>
  </r>
  <r>
    <n v="77.5304"/>
    <n v="85.138999999999996"/>
    <n v="2.03776"/>
    <n v="0.02"/>
    <n v="0.04"/>
    <n v="2.9317099999999998"/>
    <n v="3.2341099999999998"/>
    <n v="0"/>
    <n v="0.53556000000000004"/>
    <n v="5.3222399999999999"/>
    <n v="193100000"/>
    <n v="0"/>
    <n v="0"/>
    <n v="0"/>
    <n v="0"/>
    <n v="4382840"/>
    <n v="-76065.3"/>
    <n v="408539"/>
    <n v="97.010300000000001"/>
    <n v="98.274000000000001"/>
    <n v="2.3666100000000001"/>
    <n v="0"/>
    <n v="1"/>
    <n v="2.2704200000000001"/>
    <n v="1.9680200000000001"/>
    <n v="0"/>
    <n v="1.7178100000000001"/>
    <n v="2.9635199999999999"/>
    <n v="833848000"/>
    <n v="0"/>
    <n v="0"/>
    <n v="0"/>
    <n v="0"/>
    <n v="5874130"/>
    <n v="948352"/>
    <n v="0"/>
    <n v="36"/>
    <x v="31"/>
    <n v="5.1159649234095802E-11"/>
    <n v="-5.499617854626596E-12"/>
  </r>
  <r>
    <n v="76.341200000000001"/>
    <n v="85.138999999999996"/>
    <n v="1.83657"/>
    <n v="0.02"/>
    <n v="0.04"/>
    <n v="2.9318300000000002"/>
    <n v="3.2342300000000002"/>
    <n v="0"/>
    <n v="0.54940299999999997"/>
    <n v="5.3222399999999999"/>
    <n v="193024000"/>
    <n v="0"/>
    <n v="0"/>
    <n v="0"/>
    <n v="0"/>
    <n v="4383010"/>
    <n v="-76053.3"/>
    <n v="408539"/>
    <n v="96.543300000000002"/>
    <n v="98.274000000000001"/>
    <n v="2.2580499999999999"/>
    <n v="0"/>
    <n v="1"/>
    <n v="2.2704900000000001"/>
    <n v="1.9680899999999999"/>
    <n v="0"/>
    <n v="1.75413"/>
    <n v="2.9635199999999999"/>
    <n v="834796000"/>
    <n v="0"/>
    <n v="0"/>
    <n v="0"/>
    <n v="0"/>
    <n v="5874310"/>
    <n v="948358"/>
    <n v="0"/>
    <n v="37"/>
    <x v="31"/>
    <n v="5.1158405270557683E-11"/>
    <n v="-5.4985369641297845E-12"/>
  </r>
  <r>
    <n v="75.006699999999995"/>
    <n v="85.138999999999996"/>
    <n v="1.67354"/>
    <n v="0.02"/>
    <n v="0.04"/>
    <n v="2.9319500000000001"/>
    <n v="3.2343500000000001"/>
    <n v="0"/>
    <n v="0.54942500000000005"/>
    <n v="5.3222399999999999"/>
    <n v="192948000"/>
    <n v="0"/>
    <n v="0"/>
    <n v="0"/>
    <n v="0"/>
    <n v="4383190"/>
    <n v="-76041.399999999994"/>
    <n v="408539"/>
    <n v="96.088099999999997"/>
    <n v="98.274000000000001"/>
    <n v="1.96736"/>
    <n v="0"/>
    <n v="1"/>
    <n v="2.2705600000000001"/>
    <n v="1.9681599999999999"/>
    <n v="0"/>
    <n v="1.7541800000000001"/>
    <n v="2.9635199999999999"/>
    <n v="835745000"/>
    <n v="0"/>
    <n v="0"/>
    <n v="0"/>
    <n v="0"/>
    <n v="5874490"/>
    <n v="948364"/>
    <n v="0"/>
    <n v="38"/>
    <x v="31"/>
    <n v="5.1157161383252046E-11"/>
    <n v="-5.497450844891397E-12"/>
  </r>
  <r>
    <n v="73.825800000000001"/>
    <n v="85.138999999999996"/>
    <n v="1.81145"/>
    <n v="0.02"/>
    <n v="0.04"/>
    <n v="2.9320599999999999"/>
    <n v="3.2344599999999999"/>
    <n v="0"/>
    <n v="0.54944700000000002"/>
    <n v="5.3222399999999999"/>
    <n v="192872000"/>
    <n v="0"/>
    <n v="0"/>
    <n v="0"/>
    <n v="0"/>
    <n v="4383360"/>
    <n v="-76029.399999999994"/>
    <n v="408539"/>
    <n v="95.728899999999996"/>
    <n v="98.274000000000001"/>
    <n v="2.4754900000000002"/>
    <n v="0"/>
    <n v="1"/>
    <n v="2.2706400000000002"/>
    <n v="1.96824"/>
    <n v="0"/>
    <n v="1.75424"/>
    <n v="2.9635199999999999"/>
    <n v="836693000"/>
    <n v="0"/>
    <n v="0"/>
    <n v="0"/>
    <n v="0"/>
    <n v="5874680"/>
    <n v="948370"/>
    <n v="0"/>
    <n v="39"/>
    <x v="31"/>
    <n v="5.1155830493526609E-11"/>
    <n v="-5.4963701247441189E-12"/>
  </r>
  <r>
    <n v="72.205200000000005"/>
    <n v="85.138999999999996"/>
    <n v="1.5250699999999999"/>
    <n v="0.02"/>
    <n v="0.04"/>
    <n v="3.1482000000000001"/>
    <n v="3.4506000000000001"/>
    <n v="0"/>
    <n v="0.54946899999999999"/>
    <n v="5.3222399999999999"/>
    <n v="192818000"/>
    <n v="0"/>
    <n v="0"/>
    <n v="0"/>
    <n v="0"/>
    <n v="4706490"/>
    <n v="-53809.8"/>
    <n v="408539"/>
    <n v="95.421999999999997"/>
    <n v="98.274000000000001"/>
    <n v="2.6275400000000002"/>
    <n v="0"/>
    <n v="1"/>
    <n v="2.4401700000000002"/>
    <n v="2.1377700000000002"/>
    <n v="0"/>
    <n v="1.7542899999999999"/>
    <n v="2.9635199999999999"/>
    <n v="837656000"/>
    <n v="0"/>
    <n v="0"/>
    <n v="0"/>
    <n v="0"/>
    <n v="6313300"/>
    <n v="962667"/>
    <n v="0"/>
    <n v="40"/>
    <x v="31"/>
    <n v="4.8319363522119558E-11"/>
    <n v="-3.6229787350689958E-12"/>
  </r>
  <r>
    <n v="70.847200000000001"/>
    <n v="85.138999999999996"/>
    <n v="1.8047800000000001"/>
    <n v="0.02"/>
    <n v="0.04"/>
    <n v="3.1545100000000001"/>
    <n v="3.4507300000000001"/>
    <n v="0"/>
    <n v="0.58997299999999997"/>
    <n v="5.3222399999999999"/>
    <n v="192773000"/>
    <n v="0"/>
    <n v="0"/>
    <n v="0"/>
    <n v="0"/>
    <n v="4715910"/>
    <n v="-45451.3"/>
    <n v="400193"/>
    <n v="95.120199999999997"/>
    <n v="98.274000000000001"/>
    <n v="2.7894800000000002"/>
    <n v="0"/>
    <n v="1"/>
    <n v="2.4340700000000002"/>
    <n v="2.1378499999999998"/>
    <n v="0"/>
    <n v="1.88527"/>
    <n v="2.9635199999999999"/>
    <n v="838603000"/>
    <n v="0"/>
    <n v="0"/>
    <n v="0"/>
    <n v="0"/>
    <n v="6297520"/>
    <n v="946691"/>
    <n v="0"/>
    <n v="41"/>
    <x v="31"/>
    <n v="4.7636543358917963E-11"/>
    <n v="-3.054093639496936E-12"/>
  </r>
  <r>
    <n v="69.123800000000003"/>
    <n v="85.138999999999996"/>
    <n v="1.40384"/>
    <n v="0.02"/>
    <n v="0.04"/>
    <n v="3.1547100000000001"/>
    <n v="3.45085"/>
    <n v="0"/>
    <n v="0.59115399999999996"/>
    <n v="5.3222399999999999"/>
    <n v="192728000"/>
    <n v="0"/>
    <n v="0"/>
    <n v="0"/>
    <n v="0"/>
    <n v="4716210"/>
    <n v="-45334.8"/>
    <n v="400089"/>
    <n v="94.6267"/>
    <n v="98.274000000000001"/>
    <n v="2.11273"/>
    <n v="0"/>
    <n v="1"/>
    <n v="2.4340700000000002"/>
    <n v="2.1379199999999998"/>
    <n v="0"/>
    <n v="1.88056"/>
    <n v="2.9635199999999999"/>
    <n v="839549000"/>
    <n v="0"/>
    <n v="0"/>
    <n v="0"/>
    <n v="0"/>
    <n v="6297520"/>
    <n v="946499"/>
    <n v="0"/>
    <n v="42"/>
    <x v="31"/>
    <n v="4.762688211113499E-11"/>
    <n v="-3.0460716644052667E-12"/>
  </r>
  <r>
    <n v="67.026200000000003"/>
    <n v="85.138999999999996"/>
    <n v="1.0463199999999999"/>
    <n v="0.02"/>
    <n v="0.04"/>
    <n v="3.1549100000000001"/>
    <n v="3.4509799999999999"/>
    <n v="0"/>
    <n v="0.59119200000000005"/>
    <n v="5.3222399999999999"/>
    <n v="192682000"/>
    <n v="0"/>
    <n v="0"/>
    <n v="0"/>
    <n v="0"/>
    <n v="4716510"/>
    <n v="-45218"/>
    <n v="399985"/>
    <n v="94.103899999999996"/>
    <n v="98.274000000000001"/>
    <n v="1.9716800000000001"/>
    <n v="0"/>
    <n v="1"/>
    <n v="2.4340700000000002"/>
    <n v="2.1379999999999999"/>
    <n v="0"/>
    <n v="1.88056"/>
    <n v="2.9635199999999999"/>
    <n v="840495000"/>
    <n v="0"/>
    <n v="0"/>
    <n v="0"/>
    <n v="0"/>
    <n v="6297520"/>
    <n v="946306"/>
    <n v="0"/>
    <n v="43"/>
    <x v="31"/>
    <n v="4.7617170544353144E-11"/>
    <n v="-3.0380305539178328E-12"/>
  </r>
  <r>
    <n v="64.942499999999995"/>
    <n v="85.138999999999996"/>
    <n v="1.0451999999999999"/>
    <n v="0.02"/>
    <n v="0.04"/>
    <n v="3.1551100000000001"/>
    <n v="3.4510999999999998"/>
    <n v="0"/>
    <n v="0.59123000000000003"/>
    <n v="5.3222399999999999"/>
    <n v="192637000"/>
    <n v="0"/>
    <n v="0"/>
    <n v="0"/>
    <n v="0"/>
    <n v="4716810"/>
    <n v="-45101.2"/>
    <n v="399881"/>
    <n v="93.835999999999999"/>
    <n v="98.274000000000001"/>
    <n v="3.5602299999999998"/>
    <n v="0"/>
    <n v="1"/>
    <n v="2.4340700000000002"/>
    <n v="2.13808"/>
    <n v="0"/>
    <n v="1.88056"/>
    <n v="2.9635199999999999"/>
    <n v="841442000"/>
    <n v="0"/>
    <n v="0"/>
    <n v="0"/>
    <n v="0"/>
    <n v="6297520"/>
    <n v="946114"/>
    <n v="0"/>
    <n v="44"/>
    <x v="31"/>
    <n v="4.7607509296570171E-11"/>
    <n v="-3.029990466296763E-12"/>
  </r>
  <r>
    <n v="62.950200000000002"/>
    <n v="85.138999999999996"/>
    <n v="1.02217"/>
    <n v="0.02"/>
    <n v="0.04"/>
    <n v="3.0500099999999999"/>
    <n v="3.34592"/>
    <n v="0"/>
    <n v="0.59126699999999999"/>
    <n v="5.3222399999999999"/>
    <n v="192581000"/>
    <n v="0"/>
    <n v="0"/>
    <n v="0"/>
    <n v="0"/>
    <n v="4559690"/>
    <n v="-55809.599999999999"/>
    <n v="399777"/>
    <n v="93.285499999999999"/>
    <n v="98.274000000000001"/>
    <n v="2.3482500000000002"/>
    <n v="0"/>
    <n v="1"/>
    <n v="2.3311899999999999"/>
    <n v="2.0352800000000002"/>
    <n v="0"/>
    <n v="1.88056"/>
    <n v="2.9635199999999999"/>
    <n v="842379000"/>
    <n v="0"/>
    <n v="0"/>
    <n v="0"/>
    <n v="0"/>
    <n v="6031350"/>
    <n v="937245"/>
    <n v="0"/>
    <n v="45"/>
    <x v="31"/>
    <n v="4.9242506197055775E-11"/>
    <n v="-3.8786013113518366E-12"/>
  </r>
  <r>
    <n v="60.8217"/>
    <n v="85.138999999999996"/>
    <n v="0.85287599999999997"/>
    <n v="0.02"/>
    <n v="0.04"/>
    <n v="3.0436399999999999"/>
    <n v="3.3460399999999999"/>
    <n v="0"/>
    <n v="0.57157199999999997"/>
    <n v="5.3222399999999999"/>
    <n v="192517000"/>
    <n v="0"/>
    <n v="0"/>
    <n v="0"/>
    <n v="0"/>
    <n v="4550170"/>
    <n v="-64558.7"/>
    <n v="408539"/>
    <n v="92.688500000000005"/>
    <n v="98.274000000000001"/>
    <n v="2.0949399999999998"/>
    <n v="0"/>
    <n v="1"/>
    <n v="2.3377500000000002"/>
    <n v="2.0353500000000002"/>
    <n v="0"/>
    <n v="1.80108"/>
    <n v="2.9635199999999999"/>
    <n v="843333000"/>
    <n v="0"/>
    <n v="0"/>
    <n v="0"/>
    <n v="0"/>
    <n v="6048320"/>
    <n v="954030"/>
    <n v="0"/>
    <n v="46"/>
    <x v="31"/>
    <n v="4.9983748020554782E-11"/>
    <n v="-4.4960248314592297E-12"/>
  </r>
  <r>
    <n v="59.304099999999998"/>
    <n v="85.138999999999996"/>
    <n v="1.5780799999999999"/>
    <n v="0.02"/>
    <n v="0.04"/>
    <n v="3.0437599999999998"/>
    <n v="3.3461599999999998"/>
    <n v="0"/>
    <n v="0.57037899999999997"/>
    <n v="5.3222399999999999"/>
    <n v="192452000"/>
    <n v="0"/>
    <n v="0"/>
    <n v="0"/>
    <n v="0"/>
    <n v="4550350"/>
    <n v="-64546.3"/>
    <n v="408539"/>
    <n v="92.360900000000001"/>
    <n v="98.274000000000001"/>
    <n v="2.8499500000000002"/>
    <n v="0"/>
    <n v="1"/>
    <n v="2.3378199999999998"/>
    <n v="2.0354199999999998"/>
    <n v="0"/>
    <n v="1.8061499999999999"/>
    <n v="2.9635199999999999"/>
    <n v="844287000"/>
    <n v="0"/>
    <n v="0"/>
    <n v="0"/>
    <n v="0"/>
    <n v="6048510"/>
    <n v="954036"/>
    <n v="0"/>
    <n v="47"/>
    <x v="31"/>
    <n v="4.9982492239756978E-11"/>
    <n v="-4.4949834484334175E-12"/>
  </r>
  <r>
    <n v="59.115400000000001"/>
    <n v="85.138999999999996"/>
    <n v="3.0502699999999998"/>
    <n v="0.04"/>
    <n v="0.04"/>
    <n v="3.0438900000000002"/>
    <n v="3.3462900000000002"/>
    <n v="0"/>
    <n v="0.57040199999999996"/>
    <n v="5.3222399999999999"/>
    <n v="192388000"/>
    <n v="0"/>
    <n v="0"/>
    <n v="0"/>
    <n v="0"/>
    <n v="4550530"/>
    <n v="-64533.9"/>
    <n v="408539"/>
    <n v="92.325400000000002"/>
    <n v="98.274000000000001"/>
    <n v="3.88184"/>
    <n v="0"/>
    <n v="1"/>
    <n v="2.3378999999999999"/>
    <n v="2.0354999999999999"/>
    <n v="0"/>
    <n v="1.8062"/>
    <n v="2.9635199999999999"/>
    <n v="845241000"/>
    <n v="0"/>
    <n v="0"/>
    <n v="0"/>
    <n v="0"/>
    <n v="6048700"/>
    <n v="954042"/>
    <n v="0"/>
    <n v="48"/>
    <x v="31"/>
    <n v="4.9981236537851615E-11"/>
    <n v="-4.4939421477931481E-12"/>
  </r>
  <r>
    <n v="57.169600000000003"/>
    <n v="85.138999999999996"/>
    <n v="1.05491"/>
    <n v="0.03"/>
    <n v="0.04"/>
    <n v="2.95756"/>
    <n v="3.25996"/>
    <n v="0"/>
    <n v="0.57042400000000004"/>
    <n v="5.3222399999999999"/>
    <n v="192314000"/>
    <n v="0"/>
    <n v="0"/>
    <n v="0"/>
    <n v="0"/>
    <n v="4421480"/>
    <n v="-73408.3"/>
    <n v="408539"/>
    <n v="91.587000000000003"/>
    <n v="98.274000000000001"/>
    <n v="2.36639"/>
    <n v="0"/>
    <n v="1"/>
    <n v="2.24431"/>
    <n v="1.94191"/>
    <n v="0"/>
    <n v="1.80626"/>
    <n v="2.9635199999999999"/>
    <n v="846187000"/>
    <n v="0"/>
    <n v="0"/>
    <n v="0"/>
    <n v="0"/>
    <n v="5806580"/>
    <n v="946150"/>
    <n v="0"/>
    <n v="49"/>
    <x v="31"/>
    <n v="5.1634636877783478E-11"/>
    <n v="-5.2611301948648154E-12"/>
  </r>
  <r>
    <n v="55.323099999999997"/>
    <n v="85.138999999999996"/>
    <n v="1.1327799999999999"/>
    <n v="0.03"/>
    <n v="0.04"/>
    <n v="2.9576799999999999"/>
    <n v="3.2600799999999999"/>
    <n v="0"/>
    <n v="0.55424700000000005"/>
    <n v="5.3222399999999999"/>
    <n v="192241000"/>
    <n v="0"/>
    <n v="0"/>
    <n v="0"/>
    <n v="0"/>
    <n v="4421650"/>
    <n v="-73396.3"/>
    <n v="408539"/>
    <n v="91.149199999999993"/>
    <n v="98.274000000000001"/>
    <n v="1.57694"/>
    <n v="0"/>
    <n v="1"/>
    <n v="2.24438"/>
    <n v="1.94198"/>
    <n v="0"/>
    <n v="1.7339599999999999"/>
    <n v="2.9635199999999999"/>
    <n v="847133000"/>
    <n v="0"/>
    <n v="0"/>
    <n v="0"/>
    <n v="0"/>
    <n v="5806760"/>
    <n v="946156"/>
    <n v="0"/>
    <n v="50"/>
    <x v="31"/>
    <n v="5.1633363719390949E-11"/>
    <n v="-5.260067919254066E-12"/>
  </r>
  <r>
    <n v="55.012599999999999"/>
    <n v="85.138999999999996"/>
    <n v="2.7171599999999998"/>
    <n v="0.03"/>
    <n v="0.04"/>
    <n v="2.9577900000000001"/>
    <n v="3.2601900000000001"/>
    <n v="0"/>
    <n v="0.55426900000000001"/>
    <n v="5.3222399999999999"/>
    <n v="192168000"/>
    <n v="0"/>
    <n v="0"/>
    <n v="0"/>
    <n v="0"/>
    <n v="4421830"/>
    <n v="-73384.2"/>
    <n v="408539"/>
    <n v="91.241900000000001"/>
    <n v="98.274000000000001"/>
    <n v="3.9390100000000001"/>
    <n v="0"/>
    <n v="1"/>
    <n v="2.2444500000000001"/>
    <n v="1.9420500000000001"/>
    <n v="0"/>
    <n v="1.7340100000000001"/>
    <n v="2.9635199999999999"/>
    <n v="848079000"/>
    <n v="0"/>
    <n v="0"/>
    <n v="0"/>
    <n v="0"/>
    <n v="5806940"/>
    <n v="946162"/>
    <n v="0"/>
    <n v="51"/>
    <x v="31"/>
    <n v="5.1632090639927587E-11"/>
    <n v="-5.25898666566974E-12"/>
  </r>
  <r>
    <n v="55.697099999999999"/>
    <n v="85.138999999999996"/>
    <n v="3.8041399999999999"/>
    <n v="0.04"/>
    <n v="0.04"/>
    <n v="2.95791"/>
    <n v="3.26031"/>
    <n v="0"/>
    <n v="0.55429099999999998"/>
    <n v="5.3222399999999999"/>
    <n v="192094000"/>
    <n v="0"/>
    <n v="0"/>
    <n v="0"/>
    <n v="0"/>
    <n v="4422000"/>
    <n v="-73372.2"/>
    <n v="408539"/>
    <n v="91.715100000000007"/>
    <n v="98.274000000000001"/>
    <n v="6.4489900000000002"/>
    <n v="0"/>
    <n v="1"/>
    <n v="2.2445200000000001"/>
    <n v="1.9421200000000001"/>
    <n v="0"/>
    <n v="1.73407"/>
    <n v="2.9635199999999999"/>
    <n v="849025000"/>
    <n v="0"/>
    <n v="0"/>
    <n v="0"/>
    <n v="0"/>
    <n v="5807120"/>
    <n v="946168"/>
    <n v="0"/>
    <n v="52"/>
    <x v="31"/>
    <n v="5.1630817639386076E-11"/>
    <n v="-5.2579245565439362E-12"/>
  </r>
  <r>
    <n v="57.9223"/>
    <n v="85.138999999999996"/>
    <n v="5.1979899999999999"/>
    <n v="0.04"/>
    <n v="0.04"/>
    <n v="2.7124799999999998"/>
    <n v="3.0148799999999998"/>
    <n v="0"/>
    <n v="0.55431299999999994"/>
    <n v="5.3222399999999999"/>
    <n v="191996000"/>
    <n v="0"/>
    <n v="0"/>
    <n v="0"/>
    <n v="0"/>
    <n v="4055090"/>
    <n v="-98602.9"/>
    <n v="408539"/>
    <n v="92.670299999999997"/>
    <n v="98.274000000000001"/>
    <n v="6.78064"/>
    <n v="0"/>
    <n v="1"/>
    <n v="2.0495100000000002"/>
    <n v="1.7471099999999999"/>
    <n v="0"/>
    <n v="1.7341200000000001"/>
    <n v="2.9635199999999999"/>
    <n v="849955000"/>
    <n v="0"/>
    <n v="0"/>
    <n v="0"/>
    <n v="0"/>
    <n v="5302560"/>
    <n v="929721"/>
    <n v="0"/>
    <n v="1"/>
    <x v="32"/>
    <n v="2.7437596560561434E-11"/>
    <n v="-3.8051186846607529E-12"/>
  </r>
  <r>
    <n v="58.259599999999999"/>
    <n v="85.138999999999996"/>
    <n v="3.2856100000000001"/>
    <n v="0.04"/>
    <n v="0.04"/>
    <n v="2.7125900000000001"/>
    <n v="3.0149900000000001"/>
    <n v="0"/>
    <n v="0.50831899999999997"/>
    <n v="5.3222399999999999"/>
    <n v="191897000"/>
    <n v="0"/>
    <n v="0"/>
    <n v="0"/>
    <n v="0"/>
    <n v="4055250"/>
    <n v="-98591.7"/>
    <n v="408539"/>
    <n v="93.105199999999996"/>
    <n v="98.274000000000001"/>
    <n v="5.4216499999999996"/>
    <n v="0"/>
    <n v="1"/>
    <n v="2.0495700000000001"/>
    <n v="1.7471699999999999"/>
    <n v="0"/>
    <n v="1.58345"/>
    <n v="2.9635199999999999"/>
    <n v="850885000"/>
    <n v="0"/>
    <n v="0"/>
    <n v="0"/>
    <n v="0"/>
    <n v="5302730"/>
    <n v="929727"/>
    <n v="0"/>
    <n v="2"/>
    <x v="32"/>
    <n v="2.7436894003993458E-11"/>
    <n v="-3.8045363589289274E-12"/>
  </r>
  <r>
    <n v="57.753300000000003"/>
    <n v="85.138999999999996"/>
    <n v="2.33291"/>
    <n v="0.05"/>
    <n v="0.04"/>
    <n v="2.7126999999999999"/>
    <n v="3.0150999999999999"/>
    <n v="0"/>
    <n v="0.50833899999999999"/>
    <n v="5.3222399999999999"/>
    <n v="191799000"/>
    <n v="0"/>
    <n v="0"/>
    <n v="0"/>
    <n v="0"/>
    <n v="4055420"/>
    <n v="-98580.6"/>
    <n v="408539"/>
    <n v="93.011399999999995"/>
    <n v="98.274000000000001"/>
    <n v="3.4452500000000001"/>
    <n v="0"/>
    <n v="1"/>
    <n v="2.0496300000000001"/>
    <n v="1.7472300000000001"/>
    <n v="0"/>
    <n v="1.5834999999999999"/>
    <n v="2.9635199999999999"/>
    <n v="851815000"/>
    <n v="0"/>
    <n v="0"/>
    <n v="0"/>
    <n v="0"/>
    <n v="5302890"/>
    <n v="929732"/>
    <n v="0"/>
    <n v="3"/>
    <x v="32"/>
    <n v="2.7436213720848612E-11"/>
    <n v="-3.803948557939545E-12"/>
  </r>
  <r>
    <n v="58.607100000000003"/>
    <n v="85.138999999999996"/>
    <n v="3.8023699999999998"/>
    <n v="0.05"/>
    <n v="0.04"/>
    <n v="2.7128100000000002"/>
    <n v="3.0152100000000002"/>
    <n v="0"/>
    <n v="0.50836000000000003"/>
    <n v="5.3222399999999999"/>
    <n v="191700000"/>
    <n v="0"/>
    <n v="0"/>
    <n v="0"/>
    <n v="0"/>
    <n v="4055580"/>
    <n v="-98569.4"/>
    <n v="408539"/>
    <n v="93.379599999999996"/>
    <n v="98.274000000000001"/>
    <n v="5.2060700000000004"/>
    <n v="0"/>
    <n v="1"/>
    <n v="2.0497000000000001"/>
    <n v="1.7473000000000001"/>
    <n v="0"/>
    <n v="1.58355"/>
    <n v="2.9635199999999999"/>
    <n v="852744000"/>
    <n v="0"/>
    <n v="0"/>
    <n v="0"/>
    <n v="0"/>
    <n v="5303050"/>
    <n v="929737"/>
    <n v="0"/>
    <n v="4"/>
    <x v="32"/>
    <n v="2.7435533478753841E-11"/>
    <n v="-3.8033663257548246E-12"/>
  </r>
  <r>
    <n v="58.540100000000002"/>
    <n v="85.138999999999996"/>
    <n v="2.8831500000000001"/>
    <n v="0.05"/>
    <n v="0.04"/>
    <n v="2.71292"/>
    <n v="3.01532"/>
    <n v="0"/>
    <n v="0.50838000000000005"/>
    <n v="5.3222399999999999"/>
    <n v="191601000"/>
    <n v="0"/>
    <n v="0"/>
    <n v="0"/>
    <n v="0"/>
    <n v="4055740"/>
    <n v="-98558.3"/>
    <n v="408539"/>
    <n v="93.543300000000002"/>
    <n v="98.274000000000001"/>
    <n v="4.43743"/>
    <n v="0"/>
    <n v="1"/>
    <n v="2.04976"/>
    <n v="1.74736"/>
    <n v="0"/>
    <n v="1.5835999999999999"/>
    <n v="2.9635199999999999"/>
    <n v="853674000"/>
    <n v="0"/>
    <n v="0"/>
    <n v="0"/>
    <n v="0"/>
    <n v="5303210"/>
    <n v="929743"/>
    <n v="0"/>
    <n v="5"/>
    <x v="32"/>
    <n v="2.7434882785733762E-11"/>
    <n v="-3.8027879979232906E-12"/>
  </r>
  <r>
    <n v="59.677599999999998"/>
    <n v="85.138999999999996"/>
    <n v="4.2240900000000003"/>
    <n v="0.05"/>
    <n v="0.04"/>
    <n v="2.80748"/>
    <n v="3.10988"/>
    <n v="0"/>
    <n v="0.50839999999999996"/>
    <n v="5.3222399999999999"/>
    <n v="191513000"/>
    <n v="0"/>
    <n v="0"/>
    <n v="0"/>
    <n v="0"/>
    <n v="4197120"/>
    <n v="-88836.5"/>
    <n v="408539"/>
    <n v="94.153000000000006"/>
    <n v="98.274000000000001"/>
    <n v="5.1771599999999998"/>
    <n v="0"/>
    <n v="1"/>
    <n v="2.1063200000000002"/>
    <n v="1.80392"/>
    <n v="0"/>
    <n v="1.5836399999999999"/>
    <n v="2.9635199999999999"/>
    <n v="854609000"/>
    <n v="0"/>
    <n v="0"/>
    <n v="0"/>
    <n v="0"/>
    <n v="5449550"/>
    <n v="934513"/>
    <n v="0"/>
    <n v="6"/>
    <x v="32"/>
    <n v="2.6835131161376037E-11"/>
    <n v="-3.3122191989151326E-12"/>
  </r>
  <r>
    <n v="60.322499999999998"/>
    <n v="85.138999999999996"/>
    <n v="3.6852499999999999"/>
    <n v="0.04"/>
    <n v="0.04"/>
    <n v="2.8075800000000002"/>
    <n v="3.1099800000000002"/>
    <n v="0"/>
    <n v="0.52612199999999998"/>
    <n v="5.3222399999999999"/>
    <n v="191424000"/>
    <n v="0"/>
    <n v="0"/>
    <n v="0"/>
    <n v="0"/>
    <n v="4197260"/>
    <n v="-88826.8"/>
    <n v="408539"/>
    <n v="95.123500000000007"/>
    <n v="98.274000000000001"/>
    <n v="6.7825199999999999"/>
    <n v="0"/>
    <n v="1"/>
    <n v="2.1063700000000001"/>
    <n v="1.8039700000000001"/>
    <n v="0"/>
    <n v="1.62734"/>
    <n v="2.9635199999999999"/>
    <n v="855543000"/>
    <n v="0"/>
    <n v="0"/>
    <n v="0"/>
    <n v="0"/>
    <n v="5449690"/>
    <n v="934517"/>
    <n v="0"/>
    <n v="7"/>
    <x v="32"/>
    <n v="2.6834556638920841E-11"/>
    <n v="-3.3117470725241327E-12"/>
  </r>
  <r>
    <n v="62.926699999999997"/>
    <n v="85.138999999999996"/>
    <n v="5.8171299999999997"/>
    <n v="0.04"/>
    <n v="0.04"/>
    <n v="2.8076699999999999"/>
    <n v="3.1100699999999999"/>
    <n v="0"/>
    <n v="0.52614000000000005"/>
    <n v="5.3222399999999999"/>
    <n v="191335000"/>
    <n v="0"/>
    <n v="0"/>
    <n v="0"/>
    <n v="0"/>
    <n v="4197400"/>
    <n v="-88817.2"/>
    <n v="408539"/>
    <n v="97.264700000000005"/>
    <n v="98.274000000000001"/>
    <n v="10.1485"/>
    <n v="0"/>
    <n v="1"/>
    <n v="2.10643"/>
    <n v="1.80403"/>
    <n v="0"/>
    <n v="1.62738"/>
    <n v="2.9635199999999999"/>
    <n v="856478000"/>
    <n v="0"/>
    <n v="0"/>
    <n v="0"/>
    <n v="0"/>
    <n v="5449830"/>
    <n v="934522"/>
    <n v="0"/>
    <n v="8"/>
    <x v="32"/>
    <n v="2.6834010860139706E-11"/>
    <n v="-3.3112787058230555E-12"/>
  </r>
  <r>
    <n v="66.286500000000004"/>
    <n v="85.138999999999996"/>
    <n v="6.70038"/>
    <n v="0.05"/>
    <n v="0.04"/>
    <n v="2.80776"/>
    <n v="3.11016"/>
    <n v="0"/>
    <n v="0.52615800000000001"/>
    <n v="5.3222399999999999"/>
    <n v="191246000"/>
    <n v="0"/>
    <n v="0"/>
    <n v="0"/>
    <n v="0"/>
    <n v="4197540"/>
    <n v="-88807.6"/>
    <n v="408539"/>
    <n v="99.302199999999999"/>
    <n v="98.274000000000001"/>
    <n v="10.885199999999999"/>
    <n v="0"/>
    <n v="1"/>
    <n v="2.1064799999999999"/>
    <n v="1.8040799999999999"/>
    <n v="0"/>
    <n v="1.6274299999999999"/>
    <n v="2.9635199999999999"/>
    <n v="857412000"/>
    <n v="0"/>
    <n v="0"/>
    <n v="0"/>
    <n v="0"/>
    <n v="5449970"/>
    <n v="934526"/>
    <n v="0"/>
    <n v="9"/>
    <x v="32"/>
    <n v="2.683343639597996E-11"/>
    <n v="-3.3108103703647249E-12"/>
  </r>
  <r>
    <n v="67.789699999999996"/>
    <n v="85.138999999999996"/>
    <n v="4.9678599999999999"/>
    <n v="0.04"/>
    <n v="0.04"/>
    <n v="3.1112299999999999"/>
    <n v="3.4136299999999999"/>
    <n v="0"/>
    <n v="0.52617499999999995"/>
    <n v="5.3222399999999999"/>
    <n v="191188000"/>
    <n v="0"/>
    <n v="0"/>
    <n v="0"/>
    <n v="0"/>
    <n v="4651200"/>
    <n v="-57611.199999999997"/>
    <n v="408539"/>
    <n v="99.302199999999999"/>
    <n v="98.274000000000001"/>
    <n v="5.19984"/>
    <n v="0"/>
    <n v="1"/>
    <n v="2.31867"/>
    <n v="2.01627"/>
    <n v="0"/>
    <n v="1.62747"/>
    <n v="2.9635199999999999"/>
    <n v="858365000"/>
    <n v="0"/>
    <n v="0"/>
    <n v="0"/>
    <n v="0"/>
    <n v="5998940"/>
    <n v="952420"/>
    <n v="0"/>
    <n v="10"/>
    <x v="32"/>
    <n v="2.4844656986243591E-11"/>
    <n v="-1.9382996781728755E-12"/>
  </r>
  <r>
    <n v="68.657899999999998"/>
    <n v="85.138999999999996"/>
    <n v="4.3269200000000003"/>
    <n v="0.04"/>
    <n v="0.04"/>
    <n v="3.1113300000000002"/>
    <n v="3.4137300000000002"/>
    <n v="0"/>
    <n v="0.58304400000000001"/>
    <n v="5.3222399999999999"/>
    <n v="191131000"/>
    <n v="0"/>
    <n v="0"/>
    <n v="0"/>
    <n v="0"/>
    <n v="4651360"/>
    <n v="-57600.6"/>
    <n v="408539"/>
    <n v="99.302199999999999"/>
    <n v="98.274000000000001"/>
    <n v="5.3600700000000003"/>
    <n v="0"/>
    <n v="1"/>
    <n v="2.31873"/>
    <n v="2.01633"/>
    <n v="0"/>
    <n v="1.7914000000000001"/>
    <n v="2.9635199999999999"/>
    <n v="859317000"/>
    <n v="0"/>
    <n v="0"/>
    <n v="0"/>
    <n v="0"/>
    <n v="5999100"/>
    <n v="952426"/>
    <n v="0"/>
    <n v="11"/>
    <x v="32"/>
    <n v="2.4844150873411297E-11"/>
    <n v="-1.9378763841211604E-12"/>
  </r>
  <r>
    <n v="70.088200000000001"/>
    <n v="85.138999999999996"/>
    <n v="4.8846100000000003"/>
    <n v="0.04"/>
    <n v="0.04"/>
    <n v="3.1114299999999999"/>
    <n v="3.4138299999999999"/>
    <n v="0"/>
    <n v="0.583063"/>
    <n v="5.3222399999999999"/>
    <n v="191073000"/>
    <n v="0"/>
    <n v="0"/>
    <n v="0"/>
    <n v="0"/>
    <n v="4651510"/>
    <n v="-57590"/>
    <n v="408539"/>
    <n v="99.302199999999999"/>
    <n v="98.274000000000001"/>
    <n v="5.7217099999999999"/>
    <n v="0"/>
    <n v="1"/>
    <n v="2.3187899999999999"/>
    <n v="2.0163899999999999"/>
    <n v="0"/>
    <n v="1.79145"/>
    <n v="2.9635199999999999"/>
    <n v="860270000"/>
    <n v="0"/>
    <n v="0"/>
    <n v="0"/>
    <n v="0"/>
    <n v="5999250"/>
    <n v="952431"/>
    <n v="0"/>
    <n v="12"/>
    <x v="32"/>
    <n v="2.4843660114353692E-11"/>
    <n v="-1.9374572844031123E-12"/>
  </r>
  <r>
    <n v="71.421300000000002"/>
    <n v="85.138999999999996"/>
    <n v="4.79216"/>
    <n v="0.03"/>
    <n v="0.04"/>
    <n v="3.1115300000000001"/>
    <n v="3.4139300000000001"/>
    <n v="0"/>
    <n v="0.58308199999999999"/>
    <n v="5.3222399999999999"/>
    <n v="191016000"/>
    <n v="0"/>
    <n v="0"/>
    <n v="0"/>
    <n v="0"/>
    <n v="4651670"/>
    <n v="-57579.4"/>
    <n v="408539"/>
    <n v="99.302199999999999"/>
    <n v="98.274000000000001"/>
    <n v="6.3311400000000004"/>
    <n v="0"/>
    <n v="1"/>
    <n v="2.3188499999999999"/>
    <n v="2.0164499999999999"/>
    <n v="0"/>
    <n v="1.79149"/>
    <n v="2.9635199999999999"/>
    <n v="861222000"/>
    <n v="0"/>
    <n v="0"/>
    <n v="0"/>
    <n v="0"/>
    <n v="5999410"/>
    <n v="952436"/>
    <n v="0"/>
    <n v="13"/>
    <x v="32"/>
    <n v="2.4843127970482271E-11"/>
    <n v="-1.9370340475360553E-12"/>
  </r>
  <r>
    <n v="72.988900000000001"/>
    <n v="85.138999999999996"/>
    <n v="4.7259900000000004"/>
    <n v="0.03"/>
    <n v="0.04"/>
    <n v="2.67889"/>
    <n v="2.98129"/>
    <n v="0"/>
    <n v="0.58310200000000001"/>
    <n v="5.3222399999999999"/>
    <n v="190914000"/>
    <n v="0"/>
    <n v="0"/>
    <n v="0"/>
    <n v="0"/>
    <n v="4004870"/>
    <n v="-102057"/>
    <n v="408539"/>
    <n v="99.302199999999999"/>
    <n v="98.274000000000001"/>
    <n v="8.0382800000000003"/>
    <n v="0"/>
    <n v="1"/>
    <n v="2.0341999999999998"/>
    <n v="1.7318"/>
    <n v="0"/>
    <n v="1.7915399999999999"/>
    <n v="2.9635199999999999"/>
    <n v="862150000"/>
    <n v="0"/>
    <n v="0"/>
    <n v="0"/>
    <n v="0"/>
    <n v="5262950"/>
    <n v="928430"/>
    <n v="0"/>
    <n v="14"/>
    <x v="32"/>
    <n v="2.7605711046351839E-11"/>
    <n v="-3.9878002056264492E-12"/>
  </r>
  <r>
    <n v="76.217500000000001"/>
    <n v="85.138999999999996"/>
    <n v="6.3932399999999996"/>
    <n v="0.03"/>
    <n v="0.04"/>
    <n v="2.6789800000000001"/>
    <n v="2.9813800000000001"/>
    <n v="0"/>
    <n v="0.502023"/>
    <n v="5.3222399999999999"/>
    <n v="190812000"/>
    <n v="0"/>
    <n v="0"/>
    <n v="0"/>
    <n v="0"/>
    <n v="4005000"/>
    <n v="-102047"/>
    <n v="408539"/>
    <n v="99.302199999999999"/>
    <n v="98.274000000000001"/>
    <n v="8.7309599999999996"/>
    <n v="0"/>
    <n v="1"/>
    <n v="2.0342500000000001"/>
    <n v="1.7318499999999999"/>
    <n v="0"/>
    <n v="1.57162"/>
    <n v="2.9635199999999999"/>
    <n v="863079000"/>
    <n v="0"/>
    <n v="0"/>
    <n v="0"/>
    <n v="0"/>
    <n v="5263080"/>
    <n v="928434"/>
    <n v="0"/>
    <n v="15"/>
    <x v="32"/>
    <n v="2.7605148107283409E-11"/>
    <n v="-3.987280034156773E-12"/>
  </r>
  <r>
    <n v="78.255099999999999"/>
    <n v="85.138999999999996"/>
    <n v="5.2313499999999999"/>
    <n v="0.02"/>
    <n v="0.04"/>
    <n v="2.6790699999999998"/>
    <n v="2.9814699999999998"/>
    <n v="0"/>
    <n v="0.50204000000000004"/>
    <n v="5.3222399999999999"/>
    <n v="190710000"/>
    <n v="0"/>
    <n v="0"/>
    <n v="0"/>
    <n v="0"/>
    <n v="4005140"/>
    <n v="-102038"/>
    <n v="408539"/>
    <n v="99.302199999999999"/>
    <n v="98.274000000000001"/>
    <n v="5.7926700000000002"/>
    <n v="0"/>
    <n v="1"/>
    <n v="2.0343"/>
    <n v="1.7319"/>
    <n v="0"/>
    <n v="1.5716600000000001"/>
    <n v="2.9635199999999999"/>
    <n v="864007000"/>
    <n v="0"/>
    <n v="0"/>
    <n v="0"/>
    <n v="0"/>
    <n v="5263220"/>
    <n v="928439"/>
    <n v="0"/>
    <n v="16"/>
    <x v="32"/>
    <n v="2.7604562480161537E-11"/>
    <n v="-3.9867890139569377E-12"/>
  </r>
  <r>
    <n v="78.7714"/>
    <n v="85.138999999999996"/>
    <n v="3.7059799999999998"/>
    <n v="0.02"/>
    <n v="0.04"/>
    <n v="2.67916"/>
    <n v="2.98156"/>
    <n v="0"/>
    <n v="0.50205699999999998"/>
    <n v="5.3222399999999999"/>
    <n v="190608000"/>
    <n v="0"/>
    <n v="0"/>
    <n v="0"/>
    <n v="0"/>
    <n v="4005270"/>
    <n v="-102029"/>
    <n v="408539"/>
    <n v="99.302199999999999"/>
    <n v="98.274000000000001"/>
    <n v="4.8878500000000003"/>
    <n v="0"/>
    <n v="1"/>
    <n v="2.0343499999999999"/>
    <n v="1.7319500000000001"/>
    <n v="0"/>
    <n v="1.5717000000000001"/>
    <n v="2.9635199999999999"/>
    <n v="864936000"/>
    <n v="0"/>
    <n v="0"/>
    <n v="0"/>
    <n v="0"/>
    <n v="5263350"/>
    <n v="928443"/>
    <n v="0"/>
    <n v="17"/>
    <x v="32"/>
    <n v="2.7603999598339372E-11"/>
    <n v="-3.9863079807156826E-12"/>
  </r>
  <r>
    <n v="78.566800000000001"/>
    <n v="85.138999999999996"/>
    <n v="3.1161500000000002"/>
    <n v="0"/>
    <n v="0.04"/>
    <n v="2.9816500000000001"/>
    <n v="2.9816500000000001"/>
    <n v="0"/>
    <n v="0.50207400000000002"/>
    <n v="5.3222399999999999"/>
    <n v="190914000"/>
    <n v="0"/>
    <n v="0"/>
    <n v="0"/>
    <n v="0"/>
    <n v="4457490"/>
    <n v="306519"/>
    <n v="0"/>
    <n v="99.302199999999999"/>
    <n v="98.274000000000001"/>
    <n v="3.6035300000000001"/>
    <n v="0"/>
    <n v="1"/>
    <n v="1.732"/>
    <n v="1.732"/>
    <n v="0"/>
    <n v="1.5717399999999999"/>
    <n v="2.9635199999999999"/>
    <n v="865082000"/>
    <n v="0"/>
    <n v="0"/>
    <n v="0"/>
    <n v="0"/>
    <n v="4481110"/>
    <n v="146067"/>
    <n v="0"/>
    <n v="18"/>
    <x v="32"/>
    <n v="5.1008848707629466E-12"/>
    <n v="1.0760836658928214E-11"/>
  </r>
  <r>
    <n v="79.888800000000003"/>
    <n v="85.138999999999996"/>
    <n v="4.54861"/>
    <n v="0.01"/>
    <n v="0.04"/>
    <n v="2.7882799999999999"/>
    <n v="3.0906799999999999"/>
    <n v="0"/>
    <n v="0.55876000000000003"/>
    <n v="5.3222399999999999"/>
    <n v="190823000"/>
    <n v="0"/>
    <n v="0"/>
    <n v="0"/>
    <n v="0"/>
    <n v="4168410"/>
    <n v="-90810.5"/>
    <n v="408539"/>
    <n v="99.302199999999999"/>
    <n v="98.274000000000001"/>
    <n v="4.7335700000000003"/>
    <n v="0"/>
    <n v="1"/>
    <n v="2.10412"/>
    <n v="1.80172"/>
    <n v="0"/>
    <n v="1.33815"/>
    <n v="2.9635199999999999"/>
    <n v="866016000"/>
    <n v="0"/>
    <n v="0"/>
    <n v="0"/>
    <n v="0"/>
    <n v="5443850"/>
    <n v="934327"/>
    <n v="0"/>
    <n v="19"/>
    <x v="32"/>
    <n v="2.6857882268630368E-11"/>
    <n v="-3.4091385724941768E-12"/>
  </r>
  <r>
    <n v="80.126400000000004"/>
    <n v="85.138999999999996"/>
    <n v="3.4565399999999999"/>
    <n v="0.01"/>
    <n v="0.04"/>
    <n v="2.7883800000000001"/>
    <n v="3.0907800000000001"/>
    <n v="0"/>
    <n v="0.52252399999999999"/>
    <n v="5.3222399999999999"/>
    <n v="190732000"/>
    <n v="0"/>
    <n v="0"/>
    <n v="0"/>
    <n v="0"/>
    <n v="4168550"/>
    <n v="-90800.9"/>
    <n v="408539"/>
    <n v="99.285799999999995"/>
    <n v="98.274000000000001"/>
    <n v="3.1047600000000002"/>
    <n v="0"/>
    <n v="1"/>
    <n v="2.1041699999999999"/>
    <n v="1.8017700000000001"/>
    <n v="0"/>
    <n v="1.62564"/>
    <n v="2.9635199999999999"/>
    <n v="866950000"/>
    <n v="0"/>
    <n v="0"/>
    <n v="0"/>
    <n v="0"/>
    <n v="5444000"/>
    <n v="934331"/>
    <n v="0"/>
    <n v="20"/>
    <x v="32"/>
    <n v="2.6857257225783829E-11"/>
    <n v="-3.4086636934112587E-12"/>
  </r>
  <r>
    <n v="80.648899999999998"/>
    <n v="85.138999999999996"/>
    <n v="4.0705400000000003"/>
    <n v="0"/>
    <n v="0.04"/>
    <n v="3.0908699999999998"/>
    <n v="3.0908699999999998"/>
    <n v="0"/>
    <n v="0.52254100000000003"/>
    <n v="5.3222399999999999"/>
    <n v="191050000"/>
    <n v="0"/>
    <n v="0"/>
    <n v="0"/>
    <n v="0"/>
    <n v="4620770"/>
    <n v="317747"/>
    <n v="0"/>
    <n v="99.302199999999999"/>
    <n v="98.274000000000001"/>
    <n v="6.4310099999999997"/>
    <n v="0"/>
    <n v="1"/>
    <n v="1.80183"/>
    <n v="1.80183"/>
    <n v="0"/>
    <n v="1.62568"/>
    <n v="2.9635199999999999"/>
    <n v="867102000"/>
    <n v="0"/>
    <n v="0"/>
    <n v="0"/>
    <n v="0"/>
    <n v="4661750"/>
    <n v="151955"/>
    <n v="0"/>
    <n v="21"/>
    <x v="32"/>
    <n v="5.1008791236064073E-12"/>
    <n v="1.0760838751296956E-11"/>
  </r>
  <r>
    <n v="80.548100000000005"/>
    <n v="85.138999999999996"/>
    <n v="3.36774"/>
    <n v="0"/>
    <n v="0.04"/>
    <n v="3.0909599999999999"/>
    <n v="3.0909599999999999"/>
    <n v="0"/>
    <n v="0.57922899999999999"/>
    <n v="5.3222399999999999"/>
    <n v="191368000"/>
    <n v="0"/>
    <n v="0"/>
    <n v="0"/>
    <n v="0"/>
    <n v="4620910"/>
    <n v="317757"/>
    <n v="0"/>
    <n v="99.302199999999999"/>
    <n v="98.274000000000001"/>
    <n v="4.2876799999999999"/>
    <n v="0"/>
    <n v="1"/>
    <n v="1.8018799999999999"/>
    <n v="1.8018799999999999"/>
    <n v="0"/>
    <n v="1.39209"/>
    <n v="2.9635199999999999"/>
    <n v="867254000"/>
    <n v="0"/>
    <n v="0"/>
    <n v="0"/>
    <n v="0"/>
    <n v="4661900"/>
    <n v="151960"/>
    <n v="0"/>
    <n v="22"/>
    <x v="32"/>
    <n v="5.1008828355020115E-12"/>
    <n v="1.07608513798234E-11"/>
  </r>
  <r>
    <n v="79.721699999999998"/>
    <n v="85.138999999999996"/>
    <n v="2.51376"/>
    <n v="0"/>
    <n v="0.04"/>
    <n v="3.0484499999999999"/>
    <n v="3.0484499999999999"/>
    <n v="0"/>
    <n v="0.57924600000000004"/>
    <n v="5.3222399999999999"/>
    <n v="191681000"/>
    <n v="0"/>
    <n v="0"/>
    <n v="0"/>
    <n v="0"/>
    <n v="4557360"/>
    <n v="313387"/>
    <n v="0"/>
    <n v="99.302199999999999"/>
    <n v="98.274000000000001"/>
    <n v="2.8066900000000001"/>
    <n v="0"/>
    <n v="1"/>
    <n v="1.77488"/>
    <n v="1.77488"/>
    <n v="0"/>
    <n v="1.3921300000000001"/>
    <n v="2.9635199999999999"/>
    <n v="867404000"/>
    <n v="0"/>
    <n v="0"/>
    <n v="0"/>
    <n v="0"/>
    <n v="4592030"/>
    <n v="149682"/>
    <n v="0"/>
    <n v="23"/>
    <x v="32"/>
    <n v="5.1008655622118606E-12"/>
    <n v="1.0760851979121006E-11"/>
  </r>
  <r>
    <n v="78.466999999999999"/>
    <n v="85.138999999999996"/>
    <n v="2.0473300000000001"/>
    <n v="0"/>
    <n v="0.04"/>
    <n v="3.04854"/>
    <n v="3.04854"/>
    <n v="0"/>
    <n v="0.57128000000000001"/>
    <n v="5.3222399999999999"/>
    <n v="191995000"/>
    <n v="0"/>
    <n v="0"/>
    <n v="0"/>
    <n v="0"/>
    <n v="4557500"/>
    <n v="313396"/>
    <n v="0"/>
    <n v="99.302199999999999"/>
    <n v="98.274000000000001"/>
    <n v="2.6820400000000002"/>
    <n v="0"/>
    <n v="1"/>
    <n v="1.7749299999999999"/>
    <n v="1.7749299999999999"/>
    <n v="0"/>
    <n v="1.37127"/>
    <n v="2.9635199999999999"/>
    <n v="867554000"/>
    <n v="0"/>
    <n v="0"/>
    <n v="0"/>
    <n v="0"/>
    <n v="4592170"/>
    <n v="149687"/>
    <n v="0"/>
    <n v="24"/>
    <x v="32"/>
    <n v="5.1008804386593682E-12"/>
    <n v="1.0760830446737312E-11"/>
  </r>
  <r>
    <n v="77.534099999999995"/>
    <n v="85.138999999999996"/>
    <n v="2.1009899999999999"/>
    <n v="0.01"/>
    <n v="0.04"/>
    <n v="2.7462399999999998"/>
    <n v="3.0486399999999998"/>
    <n v="0"/>
    <n v="0.57129700000000005"/>
    <n v="5.3222399999999999"/>
    <n v="191900000"/>
    <n v="0"/>
    <n v="0"/>
    <n v="0"/>
    <n v="0"/>
    <n v="4105550"/>
    <n v="-95132.9"/>
    <n v="408539"/>
    <n v="99.162000000000006"/>
    <n v="98.274000000000001"/>
    <n v="2.6528"/>
    <n v="0"/>
    <n v="1"/>
    <n v="2.0773799999999998"/>
    <n v="1.77498"/>
    <n v="0"/>
    <n v="1.37131"/>
    <n v="2.9635199999999999"/>
    <n v="868486000"/>
    <n v="0"/>
    <n v="0"/>
    <n v="0"/>
    <n v="0"/>
    <n v="5374680"/>
    <n v="932072"/>
    <n v="0"/>
    <n v="25"/>
    <x v="32"/>
    <n v="2.7137876783758617E-11"/>
    <n v="-3.6260885622747087E-12"/>
  </r>
  <r>
    <n v="77.358900000000006"/>
    <n v="85.138999999999996"/>
    <n v="2.8777200000000001"/>
    <n v="0.01"/>
    <n v="0.04"/>
    <n v="2.7463299999999999"/>
    <n v="3.0487299999999999"/>
    <n v="0"/>
    <n v="0.51464500000000002"/>
    <n v="5.3222399999999999"/>
    <n v="191804000"/>
    <n v="0"/>
    <n v="0"/>
    <n v="0"/>
    <n v="0"/>
    <n v="4105690"/>
    <n v="-95123.4"/>
    <n v="408539"/>
    <n v="99.087800000000001"/>
    <n v="98.274000000000001"/>
    <n v="2.9204699999999999"/>
    <n v="0"/>
    <n v="1"/>
    <n v="2.0774400000000002"/>
    <n v="1.77504"/>
    <n v="0"/>
    <n v="1.6049899999999999"/>
    <n v="2.9635199999999999"/>
    <n v="869418000"/>
    <n v="0"/>
    <n v="0"/>
    <n v="0"/>
    <n v="0"/>
    <n v="5374820"/>
    <n v="932077"/>
    <n v="0"/>
    <n v="26"/>
    <x v="32"/>
    <n v="2.7137315487492868E-11"/>
    <n v="-3.6256028262662486E-12"/>
  </r>
  <r>
    <n v="76.464299999999994"/>
    <n v="85.138999999999996"/>
    <n v="2.1940599999999999"/>
    <n v="0.01"/>
    <n v="0.04"/>
    <n v="2.8910499999999999"/>
    <n v="3.1934499999999999"/>
    <n v="0"/>
    <n v="0.51466199999999995"/>
    <n v="5.3222399999999999"/>
    <n v="191724000"/>
    <n v="0"/>
    <n v="0"/>
    <n v="0"/>
    <n v="0"/>
    <n v="4322040"/>
    <n v="-80246.100000000006"/>
    <n v="408539"/>
    <n v="98.928100000000001"/>
    <n v="98.274000000000001"/>
    <n v="2.6244200000000002"/>
    <n v="0"/>
    <n v="1"/>
    <n v="2.1734599999999999"/>
    <n v="1.8710599999999999"/>
    <n v="0"/>
    <n v="1.60503"/>
    <n v="2.9635199999999999"/>
    <n v="870358000"/>
    <n v="0"/>
    <n v="0"/>
    <n v="0"/>
    <n v="0"/>
    <n v="5623260"/>
    <n v="940175"/>
    <n v="0"/>
    <n v="27"/>
    <x v="32"/>
    <n v="2.6163723524875923E-11"/>
    <n v="-2.905455107295727E-12"/>
  </r>
  <r>
    <n v="75.491799999999998"/>
    <n v="85.138999999999996"/>
    <n v="2.07843"/>
    <n v="0.01"/>
    <n v="0.04"/>
    <n v="2.89114"/>
    <n v="3.19354"/>
    <n v="0"/>
    <n v="0.54178199999999999"/>
    <n v="5.3222399999999999"/>
    <n v="191644000"/>
    <n v="0"/>
    <n v="0"/>
    <n v="0"/>
    <n v="0"/>
    <n v="4322180"/>
    <n v="-80236.2"/>
    <n v="408539"/>
    <n v="98.798100000000005"/>
    <n v="98.274000000000001"/>
    <n v="2.7228599999999998"/>
    <n v="0"/>
    <n v="1"/>
    <n v="2.1735199999999999"/>
    <n v="1.8711199999999999"/>
    <n v="0"/>
    <n v="1.6792199999999999"/>
    <n v="2.9635199999999999"/>
    <n v="871298000"/>
    <n v="0"/>
    <n v="0"/>
    <n v="0"/>
    <n v="0"/>
    <n v="5623410"/>
    <n v="940180"/>
    <n v="0"/>
    <n v="28"/>
    <x v="32"/>
    <n v="2.6163164767436204E-11"/>
    <n v="-2.9050025607342118E-12"/>
  </r>
  <r>
    <n v="74.466099999999997"/>
    <n v="85.138999999999996"/>
    <n v="2.0110800000000002"/>
    <n v="0.01"/>
    <n v="0.04"/>
    <n v="2.8912399999999998"/>
    <n v="3.1936399999999998"/>
    <n v="0"/>
    <n v="0.54179999999999995"/>
    <n v="5.3222399999999999"/>
    <n v="191564000"/>
    <n v="0"/>
    <n v="0"/>
    <n v="0"/>
    <n v="0"/>
    <n v="4322330"/>
    <n v="-80226.3"/>
    <n v="408539"/>
    <n v="98.703100000000006"/>
    <n v="98.274000000000001"/>
    <n v="2.70838"/>
    <n v="0"/>
    <n v="1"/>
    <n v="2.1735699999999998"/>
    <n v="1.87117"/>
    <n v="0"/>
    <n v="1.67926"/>
    <n v="2.9635199999999999"/>
    <n v="872238000"/>
    <n v="0"/>
    <n v="0"/>
    <n v="0"/>
    <n v="0"/>
    <n v="5623550"/>
    <n v="940184"/>
    <n v="0"/>
    <n v="29"/>
    <x v="32"/>
    <n v="2.616262473596432E-11"/>
    <n v="-2.9045433236175788E-12"/>
  </r>
  <r>
    <n v="73.328500000000005"/>
    <n v="85.138999999999996"/>
    <n v="1.88347"/>
    <n v="0.01"/>
    <n v="0.04"/>
    <n v="2.89133"/>
    <n v="3.19373"/>
    <n v="0"/>
    <n v="0.54181800000000002"/>
    <n v="5.3222399999999999"/>
    <n v="191484000"/>
    <n v="0"/>
    <n v="0"/>
    <n v="0"/>
    <n v="0"/>
    <n v="4322470"/>
    <n v="-80216.399999999994"/>
    <n v="408539"/>
    <n v="98.549199999999999"/>
    <n v="98.274000000000001"/>
    <n v="2.47174"/>
    <n v="0"/>
    <n v="1"/>
    <n v="2.1736300000000002"/>
    <n v="1.8712299999999999"/>
    <n v="0"/>
    <n v="1.6793"/>
    <n v="2.9635199999999999"/>
    <n v="873179000"/>
    <n v="0"/>
    <n v="0"/>
    <n v="0"/>
    <n v="0"/>
    <n v="5623700"/>
    <n v="940189"/>
    <n v="0"/>
    <n v="30"/>
    <x v="32"/>
    <n v="2.6162066036646127E-11"/>
    <n v="-2.9040908369496471E-12"/>
  </r>
  <r>
    <n v="72.169899999999998"/>
    <n v="85.138999999999996"/>
    <n v="1.8380799999999999"/>
    <n v="0.02"/>
    <n v="0.04"/>
    <n v="2.8914300000000002"/>
    <n v="3.1938300000000002"/>
    <n v="0"/>
    <n v="0.54183599999999998"/>
    <n v="5.3222399999999999"/>
    <n v="191403000"/>
    <n v="0"/>
    <n v="0"/>
    <n v="0"/>
    <n v="0"/>
    <n v="4322620"/>
    <n v="-80206.5"/>
    <n v="408539"/>
    <n v="98.536900000000003"/>
    <n v="98.274000000000001"/>
    <n v="2.86151"/>
    <n v="0"/>
    <n v="1"/>
    <n v="2.1736900000000001"/>
    <n v="1.8712899999999999"/>
    <n v="0"/>
    <n v="1.6793499999999999"/>
    <n v="2.9635199999999999"/>
    <n v="874119000"/>
    <n v="0"/>
    <n v="0"/>
    <n v="0"/>
    <n v="0"/>
    <n v="5623840"/>
    <n v="940194"/>
    <n v="0"/>
    <n v="31"/>
    <x v="32"/>
    <n v="2.6161553886070988E-11"/>
    <n v="-2.9036316622806343E-12"/>
  </r>
  <r>
    <n v="70.998800000000003"/>
    <n v="85.138999999999996"/>
    <n v="1.77698"/>
    <n v="0.02"/>
    <n v="0.04"/>
    <n v="2.8629199999999999"/>
    <n v="3.1653199999999999"/>
    <n v="0"/>
    <n v="0.54185399999999995"/>
    <n v="5.3222399999999999"/>
    <n v="191320000"/>
    <n v="0"/>
    <n v="0"/>
    <n v="0"/>
    <n v="0"/>
    <n v="4279990"/>
    <n v="-83137.399999999994"/>
    <n v="408539"/>
    <n v="98.559100000000001"/>
    <n v="98.274000000000001"/>
    <n v="2.9950800000000002"/>
    <n v="0"/>
    <n v="1"/>
    <n v="2.2265000000000001"/>
    <n v="1.9240999999999999"/>
    <n v="0"/>
    <n v="1.6793899999999999"/>
    <n v="2.9635199999999999"/>
    <n v="875063000"/>
    <n v="0"/>
    <n v="0"/>
    <n v="0"/>
    <n v="0"/>
    <n v="5760480"/>
    <n v="944648"/>
    <n v="0"/>
    <n v="32"/>
    <x v="32"/>
    <n v="2.5661991277006881E-11"/>
    <n v="-3.0397138400748872E-12"/>
  </r>
  <r>
    <n v="69.760599999999997"/>
    <n v="85.138999999999996"/>
    <n v="1.68388"/>
    <n v="0.02"/>
    <n v="0.04"/>
    <n v="2.8630200000000001"/>
    <n v="3.1654200000000001"/>
    <n v="0"/>
    <n v="0.53651099999999996"/>
    <n v="5.3222399999999999"/>
    <n v="191237000"/>
    <n v="0"/>
    <n v="0"/>
    <n v="0"/>
    <n v="0"/>
    <n v="4280140"/>
    <n v="-83127.600000000006"/>
    <n v="408539"/>
    <n v="98.542599999999993"/>
    <n v="98.274000000000001"/>
    <n v="2.9054600000000002"/>
    <n v="0"/>
    <n v="1"/>
    <n v="2.2265600000000001"/>
    <n v="1.9241600000000001"/>
    <n v="0"/>
    <n v="1.7201900000000001"/>
    <n v="2.9635199999999999"/>
    <n v="876008000"/>
    <n v="0"/>
    <n v="0"/>
    <n v="0"/>
    <n v="0"/>
    <n v="5760630"/>
    <n v="944653"/>
    <n v="0"/>
    <n v="33"/>
    <x v="32"/>
    <n v="2.5661458893858356E-11"/>
    <n v="-3.0392490112769636E-12"/>
  </r>
  <r>
    <n v="68.429100000000005"/>
    <n v="85.138999999999996"/>
    <n v="1.5711900000000001"/>
    <n v="0.02"/>
    <n v="0.04"/>
    <n v="2.8631099999999998"/>
    <n v="3.1655099999999998"/>
    <n v="0"/>
    <n v="0.53652900000000003"/>
    <n v="5.3222399999999999"/>
    <n v="191154000"/>
    <n v="0"/>
    <n v="0"/>
    <n v="0"/>
    <n v="0"/>
    <n v="4280280"/>
    <n v="-83117.8"/>
    <n v="408539"/>
    <n v="98.409800000000004"/>
    <n v="98.274000000000001"/>
    <n v="2.7083699999999999"/>
    <n v="0"/>
    <n v="1"/>
    <n v="2.22661"/>
    <n v="1.92421"/>
    <n v="0"/>
    <n v="1.72024"/>
    <n v="2.9635199999999999"/>
    <n v="876953000"/>
    <n v="0"/>
    <n v="0"/>
    <n v="0"/>
    <n v="0"/>
    <n v="5760780"/>
    <n v="944657"/>
    <n v="0"/>
    <n v="34"/>
    <x v="32"/>
    <n v="2.5660899374183878E-11"/>
    <n v="-3.0387913145569564E-12"/>
  </r>
  <r>
    <n v="67.053299999999993"/>
    <n v="85.138999999999996"/>
    <n v="1.51027"/>
    <n v="0.02"/>
    <n v="0.04"/>
    <n v="2.86321"/>
    <n v="3.16561"/>
    <n v="0"/>
    <n v="0.536547"/>
    <n v="5.3222399999999999"/>
    <n v="191071000"/>
    <n v="0"/>
    <n v="0"/>
    <n v="0"/>
    <n v="0"/>
    <n v="4280420"/>
    <n v="-83108"/>
    <n v="408539"/>
    <n v="98.25"/>
    <n v="98.274000000000001"/>
    <n v="2.6054900000000001"/>
    <n v="0"/>
    <n v="1"/>
    <n v="2.2266699999999999"/>
    <n v="1.9242699999999999"/>
    <n v="0"/>
    <n v="1.72028"/>
    <n v="2.9635199999999999"/>
    <n v="877897000"/>
    <n v="0"/>
    <n v="0"/>
    <n v="0"/>
    <n v="0"/>
    <n v="5760930"/>
    <n v="944662"/>
    <n v="0"/>
    <n v="35"/>
    <x v="32"/>
    <n v="2.5660367047189543E-11"/>
    <n v="-3.038333647776787E-12"/>
  </r>
  <r>
    <n v="65.734300000000005"/>
    <n v="85.138999999999996"/>
    <n v="1.59771"/>
    <n v="0.02"/>
    <n v="0.04"/>
    <n v="2.9371800000000001"/>
    <n v="3.2395800000000001"/>
    <n v="0"/>
    <n v="0.53656499999999996"/>
    <n v="5.3222399999999999"/>
    <n v="190995000"/>
    <n v="0"/>
    <n v="0"/>
    <n v="0"/>
    <n v="0"/>
    <n v="4391020"/>
    <n v="-75503"/>
    <n v="408539"/>
    <n v="98.230800000000002"/>
    <n v="98.274000000000001"/>
    <n v="2.9872800000000002"/>
    <n v="0"/>
    <n v="1"/>
    <n v="2.2737500000000002"/>
    <n v="1.9713499999999999"/>
    <n v="0"/>
    <n v="1.7203299999999999"/>
    <n v="2.9635199999999999"/>
    <n v="878846000"/>
    <n v="0"/>
    <n v="0"/>
    <n v="0"/>
    <n v="0"/>
    <n v="5882740"/>
    <n v="948633"/>
    <n v="0"/>
    <n v="36"/>
    <x v="32"/>
    <n v="2.5234667737489101E-11"/>
    <n v="-2.6907776364441175E-12"/>
  </r>
  <r>
    <n v="64.314700000000002"/>
    <n v="85.138999999999996"/>
    <n v="1.48065"/>
    <n v="0.02"/>
    <n v="0.04"/>
    <n v="2.9372799999999999"/>
    <n v="3.2396799999999999"/>
    <n v="0"/>
    <n v="0.55042800000000003"/>
    <n v="5.3222399999999999"/>
    <n v="190920000"/>
    <n v="0"/>
    <n v="0"/>
    <n v="0"/>
    <n v="0"/>
    <n v="4391160"/>
    <n v="-75493"/>
    <n v="408539"/>
    <n v="98.140500000000003"/>
    <n v="98.274000000000001"/>
    <n v="2.6692100000000001"/>
    <n v="0"/>
    <n v="1"/>
    <n v="2.2738100000000001"/>
    <n v="1.9714100000000001"/>
    <n v="0"/>
    <n v="1.7566999999999999"/>
    <n v="2.9635199999999999"/>
    <n v="879795000"/>
    <n v="0"/>
    <n v="0"/>
    <n v="0"/>
    <n v="0"/>
    <n v="5882890"/>
    <n v="948638"/>
    <n v="0"/>
    <n v="37"/>
    <x v="32"/>
    <n v="2.5234157314243732E-11"/>
    <n v="-2.6903354795702115E-12"/>
  </r>
  <r>
    <n v="62.943600000000004"/>
    <n v="85.138999999999996"/>
    <n v="1.50665"/>
    <n v="0.02"/>
    <n v="0.04"/>
    <n v="2.9373800000000001"/>
    <n v="3.2397800000000001"/>
    <n v="0"/>
    <n v="0.55044700000000002"/>
    <n v="5.3222399999999999"/>
    <n v="190844000"/>
    <n v="0"/>
    <n v="0"/>
    <n v="0"/>
    <n v="0"/>
    <n v="4391310"/>
    <n v="-75483"/>
    <n v="408539"/>
    <n v="98.148300000000006"/>
    <n v="98.274000000000001"/>
    <n v="3.0332699999999999"/>
    <n v="0"/>
    <n v="1"/>
    <n v="2.2738700000000001"/>
    <n v="1.9714700000000001"/>
    <n v="0"/>
    <n v="1.75675"/>
    <n v="2.9635199999999999"/>
    <n v="880743000"/>
    <n v="0"/>
    <n v="0"/>
    <n v="0"/>
    <n v="0"/>
    <n v="5883040"/>
    <n v="948643"/>
    <n v="0"/>
    <n v="38"/>
    <x v="32"/>
    <n v="2.52336469170269E-11"/>
    <n v="-2.6898872253974805E-12"/>
  </r>
  <r>
    <n v="61.654200000000003"/>
    <n v="85.138999999999996"/>
    <n v="1.56609"/>
    <n v="0.02"/>
    <n v="0.04"/>
    <n v="2.9374799999999999"/>
    <n v="3.2398799999999999"/>
    <n v="0"/>
    <n v="0.55046499999999998"/>
    <n v="5.3222399999999999"/>
    <n v="190769000"/>
    <n v="0"/>
    <n v="0"/>
    <n v="0"/>
    <n v="0"/>
    <n v="4391450"/>
    <n v="-75472.899999999994"/>
    <n v="408539"/>
    <n v="98.210099999999997"/>
    <n v="98.274000000000001"/>
    <n v="3.1978200000000001"/>
    <n v="0"/>
    <n v="1"/>
    <n v="2.27393"/>
    <n v="1.97153"/>
    <n v="0"/>
    <n v="1.7567900000000001"/>
    <n v="2.9635199999999999"/>
    <n v="881692000"/>
    <n v="0"/>
    <n v="0"/>
    <n v="0"/>
    <n v="0"/>
    <n v="5883200"/>
    <n v="948648"/>
    <n v="0"/>
    <n v="39"/>
    <x v="32"/>
    <n v="2.5233093655680683E-11"/>
    <n v="-2.6894415626555681E-12"/>
  </r>
  <r>
    <n v="60.019500000000001"/>
    <n v="85.138999999999996"/>
    <n v="1.3771899999999999"/>
    <n v="0.02"/>
    <n v="0.04"/>
    <n v="3.1539600000000001"/>
    <n v="3.4563600000000001"/>
    <n v="0"/>
    <n v="0.55048299999999994"/>
    <n v="5.3222399999999999"/>
    <n v="190716000"/>
    <n v="0"/>
    <n v="0"/>
    <n v="0"/>
    <n v="0"/>
    <n v="4715090"/>
    <n v="-53218.2"/>
    <n v="408539"/>
    <n v="98.196600000000004"/>
    <n v="98.274000000000001"/>
    <n v="2.7268699999999999"/>
    <n v="0"/>
    <n v="1"/>
    <n v="2.44373"/>
    <n v="2.14133"/>
    <n v="0"/>
    <n v="1.75684"/>
    <n v="2.9635199999999999"/>
    <n v="882655000"/>
    <n v="0"/>
    <n v="0"/>
    <n v="0"/>
    <n v="0"/>
    <n v="6322520"/>
    <n v="962968"/>
    <n v="0"/>
    <n v="40"/>
    <x v="32"/>
    <n v="2.3834204449309274E-11"/>
    <n v="-1.7662379470833856E-12"/>
  </r>
  <r>
    <n v="58.4833"/>
    <n v="85.138999999999996"/>
    <n v="1.47767"/>
    <n v="0.02"/>
    <n v="0.04"/>
    <n v="3.1638099999999998"/>
    <n v="3.4564599999999999"/>
    <n v="0"/>
    <n v="0.59105200000000002"/>
    <n v="5.3222399999999999"/>
    <n v="190676000"/>
    <n v="0"/>
    <n v="0"/>
    <n v="0"/>
    <n v="0"/>
    <n v="4729810"/>
    <n v="-40045.4"/>
    <n v="395377"/>
    <n v="98.382400000000004"/>
    <n v="98.274000000000001"/>
    <n v="3.1263899999999998"/>
    <n v="0"/>
    <n v="1"/>
    <n v="2.4340600000000001"/>
    <n v="2.1414"/>
    <n v="0"/>
    <n v="1.8880300000000001"/>
    <n v="2.9635199999999999"/>
    <n v="883593000"/>
    <n v="0"/>
    <n v="0"/>
    <n v="0"/>
    <n v="0"/>
    <n v="6297480"/>
    <n v="937767"/>
    <n v="0"/>
    <n v="41"/>
    <x v="32"/>
    <n v="2.3302749449000157E-11"/>
    <n v="-1.3249148188574895E-12"/>
  </r>
  <r>
    <n v="56.677700000000002"/>
    <n v="85.138999999999996"/>
    <n v="1.19737"/>
    <n v="0.04"/>
    <n v="0.04"/>
    <n v="3.1639699999999999"/>
    <n v="3.4565700000000001"/>
    <n v="0"/>
    <n v="0.59289700000000001"/>
    <n v="5.3222399999999999"/>
    <n v="190636000"/>
    <n v="0"/>
    <n v="0"/>
    <n v="0"/>
    <n v="0"/>
    <n v="4730060"/>
    <n v="-39947.800000000003"/>
    <n v="395290"/>
    <n v="98.275800000000004"/>
    <n v="98.274000000000001"/>
    <n v="2.36144"/>
    <n v="0"/>
    <n v="1"/>
    <n v="2.4340600000000001"/>
    <n v="2.1414599999999999"/>
    <n v="0"/>
    <n v="1.8805499999999999"/>
    <n v="2.9635199999999999"/>
    <n v="884530000"/>
    <n v="0"/>
    <n v="0"/>
    <n v="0"/>
    <n v="0"/>
    <n v="6297480"/>
    <n v="937606"/>
    <n v="0"/>
    <n v="42"/>
    <x v="32"/>
    <n v="2.3298748729566344E-11"/>
    <n v="-1.321615836107233E-12"/>
  </r>
  <r>
    <n v="55.133600000000001"/>
    <n v="85.138999999999996"/>
    <n v="1.42353"/>
    <n v="0.04"/>
    <n v="0.04"/>
    <n v="3.1641400000000002"/>
    <n v="3.4566699999999999"/>
    <n v="0"/>
    <n v="0.59292900000000004"/>
    <n v="5.3222399999999999"/>
    <n v="190596000"/>
    <n v="0"/>
    <n v="0"/>
    <n v="0"/>
    <n v="0"/>
    <n v="4730310"/>
    <n v="-39849.800000000003"/>
    <n v="395202"/>
    <n v="98.703599999999994"/>
    <n v="98.274000000000001"/>
    <n v="3.8243"/>
    <n v="0"/>
    <n v="1"/>
    <n v="2.4340600000000001"/>
    <n v="2.1415299999999999"/>
    <n v="0"/>
    <n v="1.8805499999999999"/>
    <n v="2.9635199999999999"/>
    <n v="885468000"/>
    <n v="0"/>
    <n v="0"/>
    <n v="0"/>
    <n v="0"/>
    <n v="6297480"/>
    <n v="937444"/>
    <n v="0"/>
    <n v="43"/>
    <x v="32"/>
    <n v="2.3294723160943498E-11"/>
    <n v="-1.3183039693352111E-12"/>
  </r>
  <r>
    <n v="53.630800000000001"/>
    <n v="85.138999999999996"/>
    <n v="1.4826600000000001"/>
    <n v="0.04"/>
    <n v="0.04"/>
    <n v="3.16431"/>
    <n v="3.4567700000000001"/>
    <n v="0"/>
    <n v="0.59296000000000004"/>
    <n v="5.3222399999999999"/>
    <n v="190556000"/>
    <n v="0"/>
    <n v="0"/>
    <n v="0"/>
    <n v="0"/>
    <n v="4730570"/>
    <n v="-39751.800000000003"/>
    <n v="395115"/>
    <n v="98.902699999999996"/>
    <n v="98.274000000000001"/>
    <n v="2.93377"/>
    <n v="0"/>
    <n v="1"/>
    <n v="2.4340600000000001"/>
    <n v="2.1415899999999999"/>
    <n v="0"/>
    <n v="1.8805499999999999"/>
    <n v="2.9635199999999999"/>
    <n v="886405000"/>
    <n v="0"/>
    <n v="0"/>
    <n v="0"/>
    <n v="0"/>
    <n v="6297480"/>
    <n v="937283"/>
    <n v="0"/>
    <n v="44"/>
    <x v="32"/>
    <n v="2.3290722441509685E-11"/>
    <n v="-1.3149896728374607E-12"/>
  </r>
  <r>
    <n v="52.882100000000001"/>
    <n v="85.138999999999996"/>
    <n v="2.1787999999999998"/>
    <n v="0.06"/>
    <n v="0.04"/>
    <n v="3.0590099999999998"/>
    <n v="3.35141"/>
    <n v="0"/>
    <n v="0.59299199999999996"/>
    <n v="5.3222399999999999"/>
    <n v="190506000"/>
    <n v="0"/>
    <n v="0"/>
    <n v="0"/>
    <n v="0"/>
    <n v="4573140"/>
    <n v="-50497"/>
    <n v="395028"/>
    <n v="99.302199999999999"/>
    <n v="98.274000000000001"/>
    <n v="3.1995200000000001"/>
    <n v="0"/>
    <n v="1"/>
    <n v="2.33101"/>
    <n v="2.0386099999999998"/>
    <n v="0"/>
    <n v="1.8805499999999999"/>
    <n v="2.9635199999999999"/>
    <n v="887333000"/>
    <n v="0"/>
    <n v="0"/>
    <n v="0"/>
    <n v="0"/>
    <n v="6030880"/>
    <n v="928431"/>
    <n v="0"/>
    <n v="45"/>
    <x v="32"/>
    <n v="2.4090619186365562E-11"/>
    <n v="-1.7279457266239915E-12"/>
  </r>
  <r>
    <n v="51.804000000000002"/>
    <n v="85.138999999999996"/>
    <n v="1.8218099999999999"/>
    <n v="0.06"/>
    <n v="0.04"/>
    <n v="3.0491100000000002"/>
    <n v="3.3515100000000002"/>
    <n v="0"/>
    <n v="0.57325800000000005"/>
    <n v="5.3222399999999999"/>
    <n v="190442000"/>
    <n v="0"/>
    <n v="0"/>
    <n v="0"/>
    <n v="0"/>
    <n v="4558340"/>
    <n v="-63997.1"/>
    <n v="408539"/>
    <n v="99.302199999999999"/>
    <n v="98.274000000000001"/>
    <n v="4.9033499999999997"/>
    <n v="0"/>
    <n v="1"/>
    <n v="2.3410700000000002"/>
    <n v="2.0386700000000002"/>
    <n v="0"/>
    <n v="1.80094"/>
    <n v="2.9635199999999999"/>
    <n v="888288000"/>
    <n v="0"/>
    <n v="0"/>
    <n v="0"/>
    <n v="0"/>
    <n v="6056920"/>
    <n v="954310"/>
    <n v="0"/>
    <n v="46"/>
    <x v="32"/>
    <n v="2.4655661214465041E-11"/>
    <n v="-2.1970128438340149E-12"/>
  </r>
  <r>
    <n v="50.4816"/>
    <n v="85.138999999999996"/>
    <n v="1.56046"/>
    <n v="0.06"/>
    <n v="0.04"/>
    <n v="3.04921"/>
    <n v="3.35161"/>
    <n v="0"/>
    <n v="0.57140299999999999"/>
    <n v="5.3222399999999999"/>
    <n v="190378000"/>
    <n v="0"/>
    <n v="0"/>
    <n v="0"/>
    <n v="0"/>
    <n v="4558490"/>
    <n v="-63986.8"/>
    <n v="408539"/>
    <n v="99.302199999999999"/>
    <n v="98.274000000000001"/>
    <n v="2.70234"/>
    <n v="0"/>
    <n v="1"/>
    <n v="2.3411400000000002"/>
    <n v="2.0387400000000002"/>
    <n v="0"/>
    <n v="1.80871"/>
    <n v="2.9635199999999999"/>
    <n v="889242000"/>
    <n v="0"/>
    <n v="0"/>
    <n v="0"/>
    <n v="0"/>
    <n v="6057070"/>
    <n v="954315"/>
    <n v="0"/>
    <n v="47"/>
    <x v="32"/>
    <n v="2.4655179807971884E-11"/>
    <n v="-2.19658696359359E-12"/>
  </r>
  <r>
    <n v="49.408499999999997"/>
    <n v="85.138999999999996"/>
    <n v="1.8168299999999999"/>
    <n v="0.06"/>
    <n v="0.04"/>
    <n v="3.0493100000000002"/>
    <n v="3.3517100000000002"/>
    <n v="0"/>
    <n v="0.57142199999999999"/>
    <n v="5.3222399999999999"/>
    <n v="190314000"/>
    <n v="0"/>
    <n v="0"/>
    <n v="0"/>
    <n v="0"/>
    <n v="4558640"/>
    <n v="-63976.4"/>
    <n v="408539"/>
    <n v="99.302199999999999"/>
    <n v="98.274000000000001"/>
    <n v="2.7653300000000001"/>
    <n v="0"/>
    <n v="1"/>
    <n v="2.3412000000000002"/>
    <n v="2.0388000000000002"/>
    <n v="0"/>
    <n v="1.8087599999999999"/>
    <n v="2.9635199999999999"/>
    <n v="890196000"/>
    <n v="0"/>
    <n v="0"/>
    <n v="0"/>
    <n v="0"/>
    <n v="6057230"/>
    <n v="954321"/>
    <n v="0"/>
    <n v="48"/>
    <x v="32"/>
    <n v="2.4654683557186675E-11"/>
    <n v="-2.1961576786177565E-12"/>
  </r>
  <r>
    <n v="48.875700000000002"/>
    <n v="85.138999999999996"/>
    <n v="2.3177599999999998"/>
    <n v="0.06"/>
    <n v="0.04"/>
    <n v="2.9628199999999998"/>
    <n v="3.2652199999999998"/>
    <n v="0"/>
    <n v="0.57143999999999995"/>
    <n v="5.3222399999999999"/>
    <n v="190241000"/>
    <n v="0"/>
    <n v="0"/>
    <n v="0"/>
    <n v="0"/>
    <n v="4429350"/>
    <n v="-72867.199999999997"/>
    <n v="408539"/>
    <n v="99.278800000000004"/>
    <n v="98.274000000000001"/>
    <n v="2.9809600000000001"/>
    <n v="0"/>
    <n v="1"/>
    <n v="2.2474500000000002"/>
    <n v="1.9450499999999999"/>
    <n v="0"/>
    <n v="1.80881"/>
    <n v="2.9635199999999999"/>
    <n v="891143000"/>
    <n v="0"/>
    <n v="0"/>
    <n v="0"/>
    <n v="0"/>
    <n v="5814690"/>
    <n v="946415"/>
    <n v="0"/>
    <n v="49"/>
    <x v="32"/>
    <n v="2.5470300311643345E-11"/>
    <n v="-2.5743707922056921E-12"/>
  </r>
  <r>
    <n v="48.5563"/>
    <n v="85.138999999999996"/>
    <n v="2.5262600000000002"/>
    <n v="0.06"/>
    <n v="0.04"/>
    <n v="2.96292"/>
    <n v="3.26532"/>
    <n v="0"/>
    <n v="0.55523299999999998"/>
    <n v="5.3222399999999999"/>
    <n v="190168000"/>
    <n v="0"/>
    <n v="0"/>
    <n v="0"/>
    <n v="0"/>
    <n v="4429490"/>
    <n v="-72857"/>
    <n v="408539"/>
    <n v="99.302199999999999"/>
    <n v="98.274000000000001"/>
    <n v="4.2167399999999997"/>
    <n v="0"/>
    <n v="1"/>
    <n v="2.2475100000000001"/>
    <n v="1.9451099999999999"/>
    <n v="0"/>
    <n v="1.73638"/>
    <n v="2.9635199999999999"/>
    <n v="892089000"/>
    <n v="0"/>
    <n v="0"/>
    <n v="0"/>
    <n v="0"/>
    <n v="5814840"/>
    <n v="946420"/>
    <n v="0"/>
    <n v="50"/>
    <x v="32"/>
    <n v="2.54697778366153E-11"/>
    <n v="-2.5739290749708831E-12"/>
  </r>
  <r>
    <n v="47.926000000000002"/>
    <n v="85.138999999999996"/>
    <n v="2.22573"/>
    <n v="0.05"/>
    <n v="0.04"/>
    <n v="2.9630200000000002"/>
    <n v="3.2654200000000002"/>
    <n v="0"/>
    <n v="0.55525199999999997"/>
    <n v="5.3222399999999999"/>
    <n v="190095000"/>
    <n v="0"/>
    <n v="0"/>
    <n v="0"/>
    <n v="0"/>
    <n v="4429640"/>
    <n v="-72846.899999999994"/>
    <n v="408539"/>
    <n v="99.302199999999999"/>
    <n v="98.274000000000001"/>
    <n v="4.0441500000000001"/>
    <n v="0"/>
    <n v="1"/>
    <n v="2.2475700000000001"/>
    <n v="1.9451700000000001"/>
    <n v="0"/>
    <n v="1.7364299999999999"/>
    <n v="2.9635199999999999"/>
    <n v="893036000"/>
    <n v="0"/>
    <n v="0"/>
    <n v="0"/>
    <n v="0"/>
    <n v="5814990"/>
    <n v="946425"/>
    <n v="0"/>
    <n v="51"/>
    <x v="32"/>
    <n v="2.5469255388542159E-11"/>
    <n v="-2.5734851086897272E-12"/>
  </r>
  <r>
    <n v="49.19"/>
    <n v="85.138999999999996"/>
    <n v="4.2080399999999996"/>
    <n v="0.05"/>
    <n v="0.04"/>
    <n v="2.96312"/>
    <n v="3.26552"/>
    <n v="0"/>
    <n v="0.55527000000000004"/>
    <n v="5.3222399999999999"/>
    <n v="190022000"/>
    <n v="0"/>
    <n v="0"/>
    <n v="0"/>
    <n v="0"/>
    <n v="4429790"/>
    <n v="-72836.800000000003"/>
    <n v="408539"/>
    <n v="99.302199999999999"/>
    <n v="98.274000000000001"/>
    <n v="5.2390800000000004"/>
    <n v="0"/>
    <n v="1"/>
    <n v="2.24763"/>
    <n v="1.94523"/>
    <n v="0"/>
    <n v="1.73647"/>
    <n v="2.9635199999999999"/>
    <n v="893982000"/>
    <n v="0"/>
    <n v="0"/>
    <n v="0"/>
    <n v="0"/>
    <n v="5815140"/>
    <n v="946430"/>
    <n v="0"/>
    <n v="52"/>
    <x v="32"/>
    <n v="2.546873296742184E-11"/>
    <n v="-2.573041172475433E-12"/>
  </r>
  <r>
    <n v="50.192599999999999"/>
    <n v="85.138999999999996"/>
    <n v="3.72438"/>
    <n v="0.05"/>
    <n v="0.04"/>
    <n v="2.7172800000000001"/>
    <n v="3.0196800000000001"/>
    <n v="0"/>
    <n v="0.55528900000000003"/>
    <n v="5.3222399999999999"/>
    <n v="189924000"/>
    <n v="0"/>
    <n v="0"/>
    <n v="0"/>
    <n v="0"/>
    <n v="4062260"/>
    <n v="-98109.7"/>
    <n v="408539"/>
    <n v="99.302199999999999"/>
    <n v="98.274000000000001"/>
    <n v="5.0712599999999997"/>
    <n v="0"/>
    <n v="1"/>
    <n v="2.0522900000000002"/>
    <n v="1.7498899999999999"/>
    <n v="0"/>
    <n v="1.7365200000000001"/>
    <n v="2.9635199999999999"/>
    <n v="894912000"/>
    <n v="0"/>
    <n v="0"/>
    <n v="0"/>
    <n v="0"/>
    <n v="5309760"/>
    <n v="929956"/>
    <n v="0"/>
    <n v="1"/>
    <x v="33"/>
    <n v="1.3534555438138738E-11"/>
    <n v="-1.8663827734520021E-12"/>
  </r>
  <r>
    <n v="53.154400000000003"/>
    <n v="85.138999999999996"/>
    <n v="5.9346199999999998"/>
    <n v="0.04"/>
    <n v="0.04"/>
    <n v="2.7173699999999998"/>
    <n v="3.0197699999999998"/>
    <n v="0"/>
    <n v="0.50921799999999995"/>
    <n v="5.3222399999999999"/>
    <n v="189826000"/>
    <n v="0"/>
    <n v="0"/>
    <n v="0"/>
    <n v="0"/>
    <n v="4062400"/>
    <n v="-98100.3"/>
    <n v="408539"/>
    <n v="99.302199999999999"/>
    <n v="98.274000000000001"/>
    <n v="8.54467"/>
    <n v="0"/>
    <n v="1"/>
    <n v="2.0523400000000001"/>
    <n v="1.7499400000000001"/>
    <n v="0"/>
    <n v="1.5855999999999999"/>
    <n v="2.9635199999999999"/>
    <n v="895842000"/>
    <n v="0"/>
    <n v="0"/>
    <n v="0"/>
    <n v="0"/>
    <n v="5309890"/>
    <n v="929960"/>
    <n v="0"/>
    <n v="2"/>
    <x v="33"/>
    <n v="1.3534282291280483E-11"/>
    <n v="-1.866139639390271E-12"/>
  </r>
  <r>
    <n v="57.158099999999997"/>
    <n v="85.138999999999996"/>
    <n v="6.9066900000000002"/>
    <n v="0.04"/>
    <n v="0.04"/>
    <n v="2.71746"/>
    <n v="3.01986"/>
    <n v="0"/>
    <n v="0.50923499999999999"/>
    <n v="5.3222399999999999"/>
    <n v="189728000"/>
    <n v="0"/>
    <n v="0"/>
    <n v="0"/>
    <n v="0"/>
    <n v="4062540"/>
    <n v="-98090.9"/>
    <n v="408539"/>
    <n v="99.302199999999999"/>
    <n v="98.274000000000001"/>
    <n v="10.3439"/>
    <n v="0"/>
    <n v="1"/>
    <n v="2.0523899999999999"/>
    <n v="1.7499899999999999"/>
    <n v="0"/>
    <n v="1.5856399999999999"/>
    <n v="2.9635199999999999"/>
    <n v="896772000"/>
    <n v="0"/>
    <n v="0"/>
    <n v="0"/>
    <n v="0"/>
    <n v="5310030"/>
    <n v="929965"/>
    <n v="0"/>
    <n v="3"/>
    <x v="33"/>
    <n v="1.3533998223398372E-11"/>
    <n v="-1.8658965220859218E-12"/>
  </r>
  <r>
    <n v="58.6648"/>
    <n v="85.138999999999996"/>
    <n v="4.5145799999999996"/>
    <n v="0.04"/>
    <n v="0.04"/>
    <n v="2.7175500000000001"/>
    <n v="3.0199500000000001"/>
    <n v="0"/>
    <n v="0.50925200000000004"/>
    <n v="5.3222399999999999"/>
    <n v="189630000"/>
    <n v="0"/>
    <n v="0"/>
    <n v="0"/>
    <n v="0"/>
    <n v="4062670"/>
    <n v="-98081.600000000006"/>
    <n v="408539"/>
    <n v="99.302199999999999"/>
    <n v="98.274000000000001"/>
    <n v="4.7905199999999999"/>
    <n v="0"/>
    <n v="1"/>
    <n v="2.0524499999999999"/>
    <n v="1.7500500000000001"/>
    <n v="0"/>
    <n v="1.58568"/>
    <n v="2.9635199999999999"/>
    <n v="897702000"/>
    <n v="0"/>
    <n v="0"/>
    <n v="0"/>
    <n v="0"/>
    <n v="5310170"/>
    <n v="929969"/>
    <n v="0"/>
    <n v="4"/>
    <x v="33"/>
    <n v="1.3533699617644605E-11"/>
    <n v="-1.8656599158734876E-12"/>
  </r>
  <r>
    <n v="60.287500000000001"/>
    <n v="85.138999999999996"/>
    <n v="4.73651"/>
    <n v="0.04"/>
    <n v="0.04"/>
    <n v="2.7176399999999998"/>
    <n v="3.0200399999999998"/>
    <n v="0"/>
    <n v="0.50926899999999997"/>
    <n v="5.3222399999999999"/>
    <n v="189532000"/>
    <n v="0"/>
    <n v="0"/>
    <n v="0"/>
    <n v="0"/>
    <n v="4062810"/>
    <n v="-98072.2"/>
    <n v="408539"/>
    <n v="99.302199999999999"/>
    <n v="98.274000000000001"/>
    <n v="5.8120700000000003"/>
    <n v="0"/>
    <n v="1"/>
    <n v="2.0525000000000002"/>
    <n v="1.7501"/>
    <n v="0"/>
    <n v="1.58572"/>
    <n v="2.9635199999999999"/>
    <n v="898632000"/>
    <n v="0"/>
    <n v="0"/>
    <n v="0"/>
    <n v="0"/>
    <n v="5310300"/>
    <n v="929974"/>
    <n v="0"/>
    <n v="5"/>
    <x v="33"/>
    <n v="1.3533441065320711E-11"/>
    <n v="-1.8654168312566049E-12"/>
  </r>
  <r>
    <n v="61.396599999999999"/>
    <n v="85.138999999999996"/>
    <n v="4.2944599999999999"/>
    <n v="0.04"/>
    <n v="0.04"/>
    <n v="2.8123399999999998"/>
    <n v="3.1147399999999998"/>
    <n v="0"/>
    <n v="0.50928600000000002"/>
    <n v="5.3222399999999999"/>
    <n v="189443000"/>
    <n v="0"/>
    <n v="0"/>
    <n v="0"/>
    <n v="0"/>
    <n v="4204380"/>
    <n v="-88337.1"/>
    <n v="408539"/>
    <n v="99.302199999999999"/>
    <n v="98.274000000000001"/>
    <n v="8.8299900000000004"/>
    <n v="0"/>
    <n v="1"/>
    <n v="2.10914"/>
    <n v="1.80674"/>
    <n v="0"/>
    <n v="1.5857600000000001"/>
    <n v="2.9635199999999999"/>
    <n v="899567000"/>
    <n v="0"/>
    <n v="0"/>
    <n v="0"/>
    <n v="0"/>
    <n v="5456840"/>
    <n v="934750"/>
    <n v="0"/>
    <n v="6"/>
    <x v="33"/>
    <n v="1.3237645292421955E-11"/>
    <n v="-1.6236696106905384E-12"/>
  </r>
  <r>
    <n v="61.790999999999997"/>
    <n v="85.138999999999996"/>
    <n v="3.47343"/>
    <n v="0.04"/>
    <n v="0.04"/>
    <n v="2.8124199999999999"/>
    <n v="3.1148199999999999"/>
    <n v="0"/>
    <n v="0.52703299999999997"/>
    <n v="5.3222399999999999"/>
    <n v="189355000"/>
    <n v="0"/>
    <n v="0"/>
    <n v="0"/>
    <n v="0"/>
    <n v="4204490"/>
    <n v="-88329.3"/>
    <n v="408539"/>
    <n v="99.302199999999999"/>
    <n v="98.274000000000001"/>
    <n v="7.3453200000000001"/>
    <n v="0"/>
    <n v="1"/>
    <n v="2.1091799999999998"/>
    <n v="1.8067800000000001"/>
    <n v="0"/>
    <n v="1.6295200000000001"/>
    <n v="3.3868800000000001"/>
    <n v="900501000"/>
    <n v="0"/>
    <n v="0"/>
    <n v="0"/>
    <n v="7883220"/>
    <n v="5456950"/>
    <n v="934754"/>
    <n v="0"/>
    <n v="7"/>
    <x v="33"/>
    <n v="1.2487494946025351E-10"/>
    <n v="-1.6234837681966909E-12"/>
  </r>
  <r>
    <n v="62.531300000000002"/>
    <n v="85.138999999999996"/>
    <n v="3.8672"/>
    <n v="0.04"/>
    <n v="0.04"/>
    <n v="2.8124899999999999"/>
    <n v="3.1148899999999999"/>
    <n v="0"/>
    <n v="0.52704700000000004"/>
    <n v="5.3222399999999999"/>
    <n v="189267000"/>
    <n v="0"/>
    <n v="0"/>
    <n v="0"/>
    <n v="0"/>
    <n v="4204600"/>
    <n v="-88321.600000000006"/>
    <n v="408539"/>
    <n v="99.302199999999999"/>
    <n v="98.274000000000001"/>
    <n v="7.7266599999999999"/>
    <n v="0"/>
    <n v="1"/>
    <n v="2.1092200000000001"/>
    <n v="1.8068200000000001"/>
    <n v="0"/>
    <n v="1.6295500000000001"/>
    <n v="3.3868800000000001"/>
    <n v="901436000"/>
    <n v="0"/>
    <n v="0"/>
    <n v="0"/>
    <n v="0"/>
    <n v="5457070"/>
    <n v="934758"/>
    <n v="0"/>
    <n v="8"/>
    <x v="33"/>
    <n v="1.3237200652066291E-11"/>
    <n v="-1.6232997733687912E-12"/>
  </r>
  <r>
    <n v="63.857799999999997"/>
    <n v="85.138999999999996"/>
    <n v="4.5016999999999996"/>
    <n v="0.04"/>
    <n v="0.04"/>
    <n v="2.81257"/>
    <n v="3.11497"/>
    <n v="0"/>
    <n v="0.527061"/>
    <n v="5.3222399999999999"/>
    <n v="189178000"/>
    <n v="0"/>
    <n v="0"/>
    <n v="0"/>
    <n v="0"/>
    <n v="4204720"/>
    <n v="-88313.8"/>
    <n v="408539"/>
    <n v="99.302199999999999"/>
    <n v="98.274000000000001"/>
    <n v="7.1459299999999999"/>
    <n v="0"/>
    <n v="1"/>
    <n v="2.10927"/>
    <n v="1.80687"/>
    <n v="0"/>
    <n v="1.6295900000000001"/>
    <n v="3.3868800000000001"/>
    <n v="902371000"/>
    <n v="0"/>
    <n v="0"/>
    <n v="0"/>
    <n v="0"/>
    <n v="5457180"/>
    <n v="934761"/>
    <n v="0"/>
    <n v="9"/>
    <x v="33"/>
    <n v="1.323697631316875E-11"/>
    <n v="-1.6231100900551375E-12"/>
  </r>
  <r>
    <n v="65.686700000000002"/>
    <n v="85.138999999999996"/>
    <n v="5.3023800000000003"/>
    <n v="0.04"/>
    <n v="0.04"/>
    <n v="3.1164800000000001"/>
    <n v="3.4188800000000001"/>
    <n v="0"/>
    <n v="0.52707499999999996"/>
    <n v="5.3222399999999999"/>
    <n v="189121000"/>
    <n v="0"/>
    <n v="0"/>
    <n v="0"/>
    <n v="0"/>
    <n v="4659050"/>
    <n v="-57071.3"/>
    <n v="408539"/>
    <n v="99.302199999999999"/>
    <n v="98.274000000000001"/>
    <n v="6.8912100000000001"/>
    <n v="0"/>
    <n v="1"/>
    <n v="2.3217699999999999"/>
    <n v="2.0193699999999999"/>
    <n v="0"/>
    <n v="1.6296200000000001"/>
    <n v="3.3868800000000001"/>
    <n v="903324000"/>
    <n v="0"/>
    <n v="0"/>
    <n v="0"/>
    <n v="0"/>
    <n v="6006960"/>
    <n v="952682"/>
    <n v="0"/>
    <n v="10"/>
    <x v="33"/>
    <n v="1.2256026906642267E-11"/>
    <n v="-9.4662262459163749E-13"/>
  </r>
  <r>
    <n v="67.074200000000005"/>
    <n v="85.138999999999996"/>
    <n v="4.87676"/>
    <n v="0.04"/>
    <n v="0.04"/>
    <n v="3.1165600000000002"/>
    <n v="3.4189600000000002"/>
    <n v="0"/>
    <n v="0.58402799999999999"/>
    <n v="5.3222399999999999"/>
    <n v="189064000"/>
    <n v="0"/>
    <n v="0"/>
    <n v="0"/>
    <n v="0"/>
    <n v="4659180"/>
    <n v="-57062.8"/>
    <n v="408539"/>
    <n v="99.302199999999999"/>
    <n v="98.274000000000001"/>
    <n v="6.9004300000000001"/>
    <n v="0"/>
    <n v="1"/>
    <n v="2.3218200000000002"/>
    <n v="2.0194200000000002"/>
    <n v="0"/>
    <n v="1.7938000000000001"/>
    <n v="3.3868800000000001"/>
    <n v="904276000"/>
    <n v="0"/>
    <n v="0"/>
    <n v="0"/>
    <n v="0"/>
    <n v="6007090"/>
    <n v="952686"/>
    <n v="0"/>
    <n v="11"/>
    <x v="33"/>
    <n v="1.2255813130743776E-11"/>
    <n v="-9.4645522928447191E-13"/>
  </r>
  <r>
    <n v="68.709500000000006"/>
    <n v="85.138999999999996"/>
    <n v="5.1243800000000004"/>
    <n v="0.04"/>
    <n v="0.04"/>
    <n v="3.1166399999999999"/>
    <n v="3.4190399999999999"/>
    <n v="0"/>
    <n v="0.58404299999999998"/>
    <n v="5.3222399999999999"/>
    <n v="189007000"/>
    <n v="0"/>
    <n v="0"/>
    <n v="0"/>
    <n v="0"/>
    <n v="4659300"/>
    <n v="-57054.3"/>
    <n v="408539"/>
    <n v="99.302199999999999"/>
    <n v="98.274000000000001"/>
    <n v="7.2570300000000003"/>
    <n v="0"/>
    <n v="1"/>
    <n v="2.32186"/>
    <n v="2.01946"/>
    <n v="0"/>
    <n v="1.79383"/>
    <n v="3.3868800000000001"/>
    <n v="905229000"/>
    <n v="0"/>
    <n v="0"/>
    <n v="0"/>
    <n v="0"/>
    <n v="6007220"/>
    <n v="952690"/>
    <n v="0"/>
    <n v="12"/>
    <x v="33"/>
    <n v="1.2255599364097772E-11"/>
    <n v="-9.4628987428403027E-13"/>
  </r>
  <r>
    <n v="70.645300000000006"/>
    <n v="85.138999999999996"/>
    <n v="5.4375"/>
    <n v="0.04"/>
    <n v="0.04"/>
    <n v="3.11673"/>
    <n v="3.41913"/>
    <n v="0"/>
    <n v="0.58405899999999999"/>
    <n v="5.3222399999999999"/>
    <n v="188950000"/>
    <n v="0"/>
    <n v="0"/>
    <n v="0"/>
    <n v="0"/>
    <n v="4659430"/>
    <n v="-57045.8"/>
    <n v="408539"/>
    <n v="99.302199999999999"/>
    <n v="98.274000000000001"/>
    <n v="8.0230399999999999"/>
    <n v="0"/>
    <n v="1"/>
    <n v="2.3219099999999999"/>
    <n v="2.0195099999999999"/>
    <n v="0"/>
    <n v="1.7938700000000001"/>
    <n v="3.3868800000000001"/>
    <n v="906182000"/>
    <n v="0"/>
    <n v="0"/>
    <n v="0"/>
    <n v="0"/>
    <n v="6007340"/>
    <n v="952694"/>
    <n v="0"/>
    <n v="13"/>
    <x v="33"/>
    <n v="1.2255406007389493E-11"/>
    <n v="-9.4612249724226773E-13"/>
  </r>
  <r>
    <n v="73.827200000000005"/>
    <n v="85.138999999999996"/>
    <n v="6.4798499999999999"/>
    <n v="0.03"/>
    <n v="0.04"/>
    <n v="2.6833999999999998"/>
    <n v="2.9857999999999998"/>
    <n v="0"/>
    <n v="0.58407399999999998"/>
    <n v="5.3222399999999999"/>
    <n v="188849000"/>
    <n v="0"/>
    <n v="0"/>
    <n v="0"/>
    <n v="0"/>
    <n v="4011620"/>
    <n v="-101592"/>
    <n v="408539"/>
    <n v="99.302199999999999"/>
    <n v="98.274000000000001"/>
    <n v="10.4506"/>
    <n v="0"/>
    <n v="1"/>
    <n v="2.0368200000000001"/>
    <n v="1.7344200000000001"/>
    <n v="0"/>
    <n v="1.7939099999999999"/>
    <n v="3.3868800000000001"/>
    <n v="907110000"/>
    <n v="0"/>
    <n v="0"/>
    <n v="0"/>
    <n v="0"/>
    <n v="5269730"/>
    <n v="928651"/>
    <n v="0"/>
    <n v="14"/>
    <x v="33"/>
    <n v="1.3618229615376252E-11"/>
    <n v="-1.9570242555542724E-12"/>
  </r>
  <r>
    <n v="77.613799999999998"/>
    <n v="85.138999999999996"/>
    <n v="7.1547299999999998"/>
    <n v="0.02"/>
    <n v="0.04"/>
    <n v="2.6834699999999998"/>
    <n v="2.9858699999999998"/>
    <n v="0"/>
    <n v="0.50286900000000001"/>
    <n v="5.3222399999999999"/>
    <n v="188747000"/>
    <n v="0"/>
    <n v="0"/>
    <n v="0"/>
    <n v="0"/>
    <n v="4011730"/>
    <n v="-101585"/>
    <n v="408539"/>
    <n v="99.302199999999999"/>
    <n v="98.274000000000001"/>
    <n v="9.7239199999999997"/>
    <n v="0"/>
    <n v="1"/>
    <n v="2.0368599999999999"/>
    <n v="1.7344599999999999"/>
    <n v="0"/>
    <n v="1.57365"/>
    <n v="3.3868800000000001"/>
    <n v="908039000"/>
    <n v="0"/>
    <n v="0"/>
    <n v="0"/>
    <n v="0"/>
    <n v="5269840"/>
    <n v="928655"/>
    <n v="0"/>
    <n v="15"/>
    <x v="33"/>
    <n v="1.3618004012165924E-11"/>
    <n v="-1.9568357534789245E-12"/>
  </r>
  <r>
    <n v="81.920599999999993"/>
    <n v="85.138999999999996"/>
    <n v="7.6268900000000004"/>
    <n v="0.02"/>
    <n v="0.04"/>
    <n v="2.6835499999999999"/>
    <n v="2.9859499999999999"/>
    <n v="0"/>
    <n v="0.50288299999999997"/>
    <n v="5.3222399999999999"/>
    <n v="188645000"/>
    <n v="0"/>
    <n v="0"/>
    <n v="0"/>
    <n v="0"/>
    <n v="4011830"/>
    <n v="-101577"/>
    <n v="408539"/>
    <n v="99.302199999999999"/>
    <n v="98.274000000000001"/>
    <n v="10.523400000000001"/>
    <n v="0"/>
    <n v="1"/>
    <n v="2.0369000000000002"/>
    <n v="1.7344999999999999"/>
    <n v="0"/>
    <n v="1.57368"/>
    <n v="3.3868800000000001"/>
    <n v="908968000"/>
    <n v="0"/>
    <n v="0"/>
    <n v="0"/>
    <n v="0"/>
    <n v="5269950"/>
    <n v="928658"/>
    <n v="0"/>
    <n v="16"/>
    <x v="33"/>
    <n v="1.3617763754456743E-11"/>
    <n v="-1.9566328763762265E-12"/>
  </r>
  <r>
    <n v="84.935400000000001"/>
    <n v="85.138999999999996"/>
    <n v="6.5001300000000004"/>
    <n v="0"/>
    <n v="0.04"/>
    <n v="2.9860199999999999"/>
    <n v="2.9860199999999999"/>
    <n v="0"/>
    <n v="0.50289700000000004"/>
    <n v="5.3222399999999999"/>
    <n v="188952000"/>
    <n v="0"/>
    <n v="0"/>
    <n v="0"/>
    <n v="0"/>
    <n v="4464020"/>
    <n v="306969"/>
    <n v="0"/>
    <n v="99.302199999999999"/>
    <n v="98.274000000000001"/>
    <n v="8.0152800000000006"/>
    <n v="0"/>
    <n v="1"/>
    <n v="1.73454"/>
    <n v="1.73454"/>
    <n v="0"/>
    <n v="1.5737099999999999"/>
    <n v="3.3868800000000001"/>
    <n v="909114000"/>
    <n v="0"/>
    <n v="0"/>
    <n v="0"/>
    <n v="0"/>
    <n v="4487680"/>
    <n v="146281"/>
    <n v="0"/>
    <n v="17"/>
    <x v="33"/>
    <n v="2.5189672736837842E-12"/>
    <n v="5.3140406685272465E-12"/>
  </r>
  <r>
    <n v="85.138999999999996"/>
    <n v="85.138999999999996"/>
    <n v="4.92584"/>
    <n v="0"/>
    <n v="0.04"/>
    <n v="2.9860899999999999"/>
    <n v="2.9860899999999999"/>
    <n v="0"/>
    <n v="0.55957999999999997"/>
    <n v="5.3222399999999999"/>
    <n v="189259000"/>
    <n v="0"/>
    <n v="0"/>
    <n v="0"/>
    <n v="0"/>
    <n v="4464130"/>
    <n v="306976"/>
    <n v="0"/>
    <n v="99.302199999999999"/>
    <n v="98.274000000000001"/>
    <n v="6.9698200000000003"/>
    <n v="0"/>
    <n v="1"/>
    <n v="1.7345900000000001"/>
    <n v="1.7345900000000001"/>
    <n v="0"/>
    <n v="1.3401099999999999"/>
    <n v="3.3868800000000001"/>
    <n v="909260000"/>
    <n v="0"/>
    <n v="0"/>
    <n v="0"/>
    <n v="0"/>
    <n v="4487790"/>
    <n v="146285"/>
    <n v="0"/>
    <n v="18"/>
    <x v="33"/>
    <n v="2.5189744099436535E-12"/>
    <n v="5.3140309022993556E-12"/>
  </r>
  <r>
    <n v="85.138999999999996"/>
    <n v="85.138999999999996"/>
    <n v="5.2816700000000001"/>
    <n v="0"/>
    <n v="0.04"/>
    <n v="3.0952700000000002"/>
    <n v="3.0952700000000002"/>
    <n v="0"/>
    <n v="0.55959300000000001"/>
    <n v="5.3222399999999999"/>
    <n v="189578000"/>
    <n v="0"/>
    <n v="0"/>
    <n v="0"/>
    <n v="0"/>
    <n v="4627350"/>
    <n v="318200"/>
    <n v="0"/>
    <n v="99.302199999999999"/>
    <n v="98.274000000000001"/>
    <n v="5.7820099999999996"/>
    <n v="0"/>
    <n v="1"/>
    <n v="1.8043899999999999"/>
    <n v="1.8043899999999999"/>
    <n v="0"/>
    <n v="1.3401400000000001"/>
    <n v="3.3868800000000001"/>
    <n v="909412000"/>
    <n v="0"/>
    <n v="0"/>
    <n v="0"/>
    <n v="0"/>
    <n v="4668400"/>
    <n v="152172"/>
    <n v="0"/>
    <n v="19"/>
    <x v="33"/>
    <n v="2.5189710381645866E-12"/>
    <n v="5.3140337918450609E-12"/>
  </r>
  <r>
    <n v="85.138999999999996"/>
    <n v="85.138999999999996"/>
    <n v="4.3441299999999998"/>
    <n v="0"/>
    <n v="0.04"/>
    <n v="3.0953499999999998"/>
    <n v="3.0953499999999998"/>
    <n v="0"/>
    <n v="0.58005399999999996"/>
    <n v="5.3222399999999999"/>
    <n v="189896000"/>
    <n v="0"/>
    <n v="0"/>
    <n v="0"/>
    <n v="0"/>
    <n v="4627460"/>
    <n v="318208"/>
    <n v="0"/>
    <n v="99.302199999999999"/>
    <n v="98.274000000000001"/>
    <n v="4.7065900000000003"/>
    <n v="0"/>
    <n v="1"/>
    <n v="1.80444"/>
    <n v="1.80444"/>
    <n v="0"/>
    <n v="1.3940699999999999"/>
    <n v="3.3868800000000001"/>
    <n v="909565000"/>
    <n v="0"/>
    <n v="0"/>
    <n v="0"/>
    <n v="0"/>
    <n v="4668510"/>
    <n v="152175"/>
    <n v="0"/>
    <n v="20"/>
    <x v="33"/>
    <n v="2.5189613450317973E-12"/>
    <n v="5.3140410703854409E-12"/>
  </r>
  <r>
    <n v="85.067899999999995"/>
    <n v="85.138999999999996"/>
    <n v="3.4273099999999999"/>
    <n v="0"/>
    <n v="0.04"/>
    <n v="3.0954199999999998"/>
    <n v="3.0954199999999998"/>
    <n v="0"/>
    <n v="0.58006800000000003"/>
    <n v="5.3222399999999999"/>
    <n v="190214000"/>
    <n v="0"/>
    <n v="0"/>
    <n v="0"/>
    <n v="0"/>
    <n v="4627580"/>
    <n v="318215"/>
    <n v="0"/>
    <n v="99.302199999999999"/>
    <n v="98.274000000000001"/>
    <n v="3.8782299999999998"/>
    <n v="0"/>
    <n v="1"/>
    <n v="1.8044800000000001"/>
    <n v="1.8044800000000001"/>
    <n v="0"/>
    <n v="1.39411"/>
    <n v="3.3868800000000001"/>
    <n v="909717000"/>
    <n v="0"/>
    <n v="0"/>
    <n v="0"/>
    <n v="0"/>
    <n v="4668620"/>
    <n v="152179"/>
    <n v="0"/>
    <n v="21"/>
    <x v="33"/>
    <n v="2.5189682050220792E-12"/>
    <n v="5.3140201656866948E-12"/>
  </r>
  <r>
    <n v="84.705299999999994"/>
    <n v="85.138999999999996"/>
    <n v="3.0382400000000001"/>
    <n v="0"/>
    <n v="0.04"/>
    <n v="3.0954999999999999"/>
    <n v="3.0954999999999999"/>
    <n v="0"/>
    <n v="0.58008199999999999"/>
    <n v="5.3222399999999999"/>
    <n v="190532000"/>
    <n v="0"/>
    <n v="0"/>
    <n v="0"/>
    <n v="0"/>
    <n v="4627690"/>
    <n v="318223"/>
    <n v="0"/>
    <n v="99.302199999999999"/>
    <n v="98.274000000000001"/>
    <n v="3.2776800000000001"/>
    <n v="0"/>
    <n v="1"/>
    <n v="1.8045199999999999"/>
    <n v="1.8045199999999999"/>
    <n v="0"/>
    <n v="1.3941399999999999"/>
    <n v="3.3868800000000001"/>
    <n v="909869000"/>
    <n v="0"/>
    <n v="0"/>
    <n v="0"/>
    <n v="0"/>
    <n v="4668730"/>
    <n v="152183"/>
    <n v="0"/>
    <n v="22"/>
    <x v="33"/>
    <n v="2.518975064689105E-12"/>
    <n v="5.3140274441892192E-12"/>
  </r>
  <r>
    <n v="84.840299999999999"/>
    <n v="85.138999999999996"/>
    <n v="3.4672900000000002"/>
    <n v="0"/>
    <n v="0.04"/>
    <n v="3.0529099999999998"/>
    <n v="3.0529099999999998"/>
    <n v="0"/>
    <n v="0.58009599999999995"/>
    <n v="5.3222399999999999"/>
    <n v="190846000"/>
    <n v="0"/>
    <n v="0"/>
    <n v="0"/>
    <n v="0"/>
    <n v="4564020"/>
    <n v="313845"/>
    <n v="0"/>
    <n v="99.302199999999999"/>
    <n v="98.274000000000001"/>
    <n v="3.1339700000000001"/>
    <n v="0"/>
    <n v="1"/>
    <n v="1.7774700000000001"/>
    <n v="1.7774700000000001"/>
    <n v="0"/>
    <n v="1.39418"/>
    <n v="3.3868800000000001"/>
    <n v="910019000"/>
    <n v="0"/>
    <n v="0"/>
    <n v="0"/>
    <n v="0"/>
    <n v="4598740"/>
    <n v="149901"/>
    <n v="0"/>
    <n v="23"/>
    <x v="33"/>
    <n v="2.5189651533138731E-12"/>
    <n v="5.314031950393154E-12"/>
  </r>
  <r>
    <n v="84.906099999999995"/>
    <n v="85.138999999999996"/>
    <n v="3.36592"/>
    <n v="0"/>
    <n v="0.04"/>
    <n v="3.0529799999999998"/>
    <n v="3.0529799999999998"/>
    <n v="0"/>
    <n v="0.57211500000000004"/>
    <n v="5.3222399999999999"/>
    <n v="191160000"/>
    <n v="0"/>
    <n v="0"/>
    <n v="0"/>
    <n v="0"/>
    <n v="4564130"/>
    <n v="313852"/>
    <n v="0"/>
    <n v="99.302199999999999"/>
    <n v="98.274000000000001"/>
    <n v="3.3834399999999998"/>
    <n v="0"/>
    <n v="1"/>
    <n v="1.7775099999999999"/>
    <n v="1.7775099999999999"/>
    <n v="0"/>
    <n v="1.37327"/>
    <n v="3.3868800000000001"/>
    <n v="910169000"/>
    <n v="0"/>
    <n v="0"/>
    <n v="0"/>
    <n v="0"/>
    <n v="4598850"/>
    <n v="149905"/>
    <n v="0"/>
    <n v="24"/>
    <x v="33"/>
    <n v="2.5189721172872405E-12"/>
    <n v="5.3140223983532419E-12"/>
  </r>
  <r>
    <n v="84.745599999999996"/>
    <n v="85.138999999999996"/>
    <n v="3.1281699999999999"/>
    <n v="0"/>
    <n v="0.04"/>
    <n v="3.0530499999999998"/>
    <n v="3.0530499999999998"/>
    <n v="0"/>
    <n v="0.57212799999999997"/>
    <n v="5.3222399999999999"/>
    <n v="191474000"/>
    <n v="0"/>
    <n v="0"/>
    <n v="0"/>
    <n v="0"/>
    <n v="4564240"/>
    <n v="313860"/>
    <n v="0"/>
    <n v="99.302199999999999"/>
    <n v="98.274000000000001"/>
    <n v="3.0916700000000001"/>
    <n v="0"/>
    <n v="1"/>
    <n v="1.77756"/>
    <n v="1.77756"/>
    <n v="0"/>
    <n v="1.37331"/>
    <n v="3.3868800000000001"/>
    <n v="910319000"/>
    <n v="0"/>
    <n v="0"/>
    <n v="0"/>
    <n v="0"/>
    <n v="4598960"/>
    <n v="149908"/>
    <n v="0"/>
    <n v="25"/>
    <x v="33"/>
    <n v="2.5189622775395448E-12"/>
    <n v="5.3140297779844075E-12"/>
  </r>
  <r>
    <n v="84.649799999999999"/>
    <n v="85.138999999999996"/>
    <n v="3.1934499999999999"/>
    <n v="0"/>
    <n v="0.04"/>
    <n v="3.0531299999999999"/>
    <n v="3.0531299999999999"/>
    <n v="0"/>
    <n v="0.57214200000000004"/>
    <n v="5.3222399999999999"/>
    <n v="191788000"/>
    <n v="0"/>
    <n v="0"/>
    <n v="0"/>
    <n v="0"/>
    <n v="4564350"/>
    <n v="313867"/>
    <n v="0"/>
    <n v="99.302199999999999"/>
    <n v="98.274000000000001"/>
    <n v="2.9963799999999998"/>
    <n v="0"/>
    <n v="1"/>
    <n v="1.7776000000000001"/>
    <n v="1.7776000000000001"/>
    <n v="0"/>
    <n v="1.37334"/>
    <n v="3.3868800000000001"/>
    <n v="910469000"/>
    <n v="0"/>
    <n v="0"/>
    <n v="0"/>
    <n v="0"/>
    <n v="4599070"/>
    <n v="149912"/>
    <n v="0"/>
    <n v="26"/>
    <x v="33"/>
    <n v="2.5189692412485673E-12"/>
    <n v="5.3140202264572561E-12"/>
  </r>
  <r>
    <n v="84.054199999999994"/>
    <n v="85.138999999999996"/>
    <n v="2.76776"/>
    <n v="0"/>
    <n v="0.04"/>
    <n v="3.1980400000000002"/>
    <n v="3.1980400000000002"/>
    <n v="0"/>
    <n v="0.572156"/>
    <n v="5.3222399999999999"/>
    <n v="192116000"/>
    <n v="0"/>
    <n v="0"/>
    <n v="0"/>
    <n v="0"/>
    <n v="4780980"/>
    <n v="328764"/>
    <n v="0"/>
    <n v="99.221100000000007"/>
    <n v="98.274000000000001"/>
    <n v="2.5349400000000002"/>
    <n v="0"/>
    <n v="1"/>
    <n v="1.87375"/>
    <n v="1.87375"/>
    <n v="0"/>
    <n v="1.37337"/>
    <n v="3.3868800000000001"/>
    <n v="910627000"/>
    <n v="0"/>
    <n v="0"/>
    <n v="0"/>
    <n v="0"/>
    <n v="4847840"/>
    <n v="158021"/>
    <n v="0"/>
    <n v="27"/>
    <x v="33"/>
    <n v="2.5189701091195517E-12"/>
    <n v="5.3140277118085299E-12"/>
  </r>
  <r>
    <n v="83.189599999999999"/>
    <n v="85.138999999999996"/>
    <n v="2.4460099999999998"/>
    <n v="0"/>
    <n v="0.04"/>
    <n v="3.1981099999999998"/>
    <n v="3.1981099999999998"/>
    <n v="0"/>
    <n v="0.59931199999999996"/>
    <n v="5.3222399999999999"/>
    <n v="192445000"/>
    <n v="0"/>
    <n v="0"/>
    <n v="0"/>
    <n v="0"/>
    <n v="4781100"/>
    <n v="328772"/>
    <n v="0"/>
    <n v="99.0946"/>
    <n v="98.274000000000001"/>
    <n v="2.38422"/>
    <n v="0"/>
    <n v="1"/>
    <n v="1.8737999999999999"/>
    <n v="1.8737999999999999"/>
    <n v="0"/>
    <n v="1.4476599999999999"/>
    <n v="3.3868800000000001"/>
    <n v="910785000"/>
    <n v="0"/>
    <n v="0"/>
    <n v="0"/>
    <n v="0"/>
    <n v="4847960"/>
    <n v="158025"/>
    <n v="0"/>
    <n v="28"/>
    <x v="33"/>
    <n v="2.5189715192018728E-12"/>
    <n v="5.3140236419388665E-12"/>
  </r>
  <r>
    <n v="82.302499999999995"/>
    <n v="85.138999999999996"/>
    <n v="2.41459"/>
    <n v="0"/>
    <n v="0.04"/>
    <n v="3.1981899999999999"/>
    <n v="3.1981899999999999"/>
    <n v="0"/>
    <n v="0.59932600000000003"/>
    <n v="5.3222399999999999"/>
    <n v="192774000"/>
    <n v="0"/>
    <n v="0"/>
    <n v="0"/>
    <n v="0"/>
    <n v="4781210"/>
    <n v="328780"/>
    <n v="0"/>
    <n v="99.088200000000001"/>
    <n v="98.274000000000001"/>
    <n v="2.4379"/>
    <n v="0"/>
    <n v="1"/>
    <n v="1.87384"/>
    <n v="1.87384"/>
    <n v="0"/>
    <n v="1.4476899999999999"/>
    <n v="3.3868800000000001"/>
    <n v="910943000"/>
    <n v="0"/>
    <n v="0"/>
    <n v="0"/>
    <n v="0"/>
    <n v="4848070"/>
    <n v="158028"/>
    <n v="0"/>
    <n v="29"/>
    <x v="33"/>
    <n v="2.5189621850667897E-12"/>
    <n v="5.3140306866557803E-12"/>
  </r>
  <r>
    <n v="81.275400000000005"/>
    <n v="85.138999999999996"/>
    <n v="2.2618999999999998"/>
    <n v="0"/>
    <n v="0.04"/>
    <n v="3.1982699999999999"/>
    <n v="3.1982699999999999"/>
    <n v="0"/>
    <n v="0.59934100000000001"/>
    <n v="5.3222399999999999"/>
    <n v="193103000"/>
    <n v="0"/>
    <n v="0"/>
    <n v="0"/>
    <n v="0"/>
    <n v="4781330"/>
    <n v="328788"/>
    <n v="0"/>
    <n v="98.956299999999999"/>
    <n v="98.274000000000001"/>
    <n v="2.3126099999999998"/>
    <n v="0"/>
    <n v="1"/>
    <n v="1.8738900000000001"/>
    <n v="1.8738900000000001"/>
    <n v="0"/>
    <n v="1.44773"/>
    <n v="3.3868800000000001"/>
    <n v="911101000"/>
    <n v="0"/>
    <n v="0"/>
    <n v="0"/>
    <n v="0"/>
    <n v="4848190"/>
    <n v="158032"/>
    <n v="0"/>
    <n v="30"/>
    <x v="33"/>
    <n v="2.5189635952783481E-12"/>
    <n v="5.3140266169072326E-12"/>
  </r>
  <r>
    <n v="79.723399999999998"/>
    <n v="85.138999999999996"/>
    <n v="1.70916"/>
    <n v="0"/>
    <n v="0.04"/>
    <n v="3.19835"/>
    <n v="3.19835"/>
    <n v="0"/>
    <n v="0.59935499999999997"/>
    <n v="5.3222399999999999"/>
    <n v="193432000"/>
    <n v="0"/>
    <n v="0"/>
    <n v="0"/>
    <n v="0"/>
    <n v="4781450"/>
    <n v="328796"/>
    <n v="0"/>
    <n v="98.794700000000006"/>
    <n v="98.274000000000001"/>
    <n v="2.1444200000000002"/>
    <n v="0"/>
    <n v="1"/>
    <n v="1.8739300000000001"/>
    <n v="1.8739300000000001"/>
    <n v="0"/>
    <n v="1.4477599999999999"/>
    <n v="3.3868800000000001"/>
    <n v="911259000"/>
    <n v="0"/>
    <n v="0"/>
    <n v="0"/>
    <n v="0"/>
    <n v="4848310"/>
    <n v="158036"/>
    <n v="0"/>
    <n v="31"/>
    <x v="33"/>
    <n v="2.518965005420099E-12"/>
    <n v="5.3140225473629598E-12"/>
  </r>
  <r>
    <n v="77.582300000000004"/>
    <n v="85.138999999999996"/>
    <n v="1.0643800000000001"/>
    <n v="0"/>
    <n v="0.04"/>
    <n v="3.1697799999999998"/>
    <n v="3.1697799999999998"/>
    <n v="0"/>
    <n v="0.59936999999999996"/>
    <n v="5.3222399999999999"/>
    <n v="193757000"/>
    <n v="0"/>
    <n v="0"/>
    <n v="0"/>
    <n v="0"/>
    <n v="4738740"/>
    <n v="325859"/>
    <n v="0"/>
    <n v="98.534599999999998"/>
    <n v="98.274000000000001"/>
    <n v="2.0478700000000001"/>
    <n v="0"/>
    <n v="1"/>
    <n v="1.9268099999999999"/>
    <n v="1.9268099999999999"/>
    <n v="0"/>
    <n v="1.4478"/>
    <n v="3.3868800000000001"/>
    <n v="911421000"/>
    <n v="0"/>
    <n v="0"/>
    <n v="0"/>
    <n v="0"/>
    <n v="4985110"/>
    <n v="162495"/>
    <n v="0"/>
    <n v="32"/>
    <x v="33"/>
    <n v="2.5189627336647767E-12"/>
    <n v="5.3140217237310999E-12"/>
  </r>
  <r>
    <n v="75.62"/>
    <n v="85.138999999999996"/>
    <n v="0.97333099999999995"/>
    <n v="0.01"/>
    <n v="0.04"/>
    <n v="2.8674499999999998"/>
    <n v="3.1698499999999998"/>
    <n v="0"/>
    <n v="0.59401599999999999"/>
    <n v="5.3222399999999999"/>
    <n v="193675000"/>
    <n v="0"/>
    <n v="0"/>
    <n v="0"/>
    <n v="0"/>
    <n v="4286770"/>
    <n v="-82671.399999999994"/>
    <n v="408539"/>
    <n v="98.016400000000004"/>
    <n v="98.274000000000001"/>
    <n v="2.0511499999999998"/>
    <n v="0"/>
    <n v="1"/>
    <n v="2.22925"/>
    <n v="1.92685"/>
    <n v="0"/>
    <n v="1.48865"/>
    <n v="3.3868800000000001"/>
    <n v="912366000"/>
    <n v="0"/>
    <n v="0"/>
    <n v="0"/>
    <n v="0"/>
    <n v="5767610"/>
    <n v="944880"/>
    <n v="0"/>
    <n v="33"/>
    <x v="33"/>
    <n v="1.2660103505806609E-11"/>
    <n v="-1.4903270891459912E-12"/>
  </r>
  <r>
    <n v="73.581500000000005"/>
    <n v="85.138999999999996"/>
    <n v="0.87870899999999996"/>
    <n v="0.01"/>
    <n v="0.04"/>
    <n v="2.8675299999999999"/>
    <n v="3.1699299999999999"/>
    <n v="0"/>
    <n v="0.53736099999999998"/>
    <n v="5.3222399999999999"/>
    <n v="193592000"/>
    <n v="0"/>
    <n v="0"/>
    <n v="0"/>
    <n v="0"/>
    <n v="4286890"/>
    <n v="-82663.5"/>
    <n v="408539"/>
    <n v="97.447699999999998"/>
    <n v="98.274000000000001"/>
    <n v="1.8384499999999999"/>
    <n v="0"/>
    <n v="1"/>
    <n v="2.2292999999999998"/>
    <n v="1.9269000000000001"/>
    <n v="0"/>
    <n v="1.7223200000000001"/>
    <n v="3.3868800000000001"/>
    <n v="913311000"/>
    <n v="0"/>
    <n v="0"/>
    <n v="0"/>
    <n v="0"/>
    <n v="5767730"/>
    <n v="944884"/>
    <n v="0"/>
    <n v="34"/>
    <x v="33"/>
    <n v="1.2659893700565223E-11"/>
    <n v="-1.4901429611857748E-12"/>
  </r>
  <r>
    <n v="71.5441"/>
    <n v="85.138999999999996"/>
    <n v="0.83731500000000003"/>
    <n v="0.02"/>
    <n v="0.04"/>
    <n v="2.86761"/>
    <n v="3.17001"/>
    <n v="0"/>
    <n v="0.53737500000000005"/>
    <n v="5.3222399999999999"/>
    <n v="193509000"/>
    <n v="0"/>
    <n v="0"/>
    <n v="0"/>
    <n v="0"/>
    <n v="4287000"/>
    <n v="-82655.600000000006"/>
    <n v="408539"/>
    <n v="96.7577"/>
    <n v="98.274000000000001"/>
    <n v="1.78664"/>
    <n v="0"/>
    <n v="1"/>
    <n v="2.2293500000000002"/>
    <n v="1.9269499999999999"/>
    <n v="0"/>
    <n v="1.7223599999999999"/>
    <n v="3.3868800000000001"/>
    <n v="914256000"/>
    <n v="0"/>
    <n v="0"/>
    <n v="0"/>
    <n v="0"/>
    <n v="5767850"/>
    <n v="944888"/>
    <n v="0"/>
    <n v="35"/>
    <x v="33"/>
    <n v="1.265968390405382E-11"/>
    <n v="-1.4899623190615841E-12"/>
  </r>
  <r>
    <n v="69.482200000000006"/>
    <n v="85.138999999999996"/>
    <n v="0.85058400000000001"/>
    <n v="0.02"/>
    <n v="0.04"/>
    <n v="2.9416699999999998"/>
    <n v="3.2440699999999998"/>
    <n v="0"/>
    <n v="0.53739000000000003"/>
    <n v="5.3222399999999999"/>
    <n v="193434000"/>
    <n v="0"/>
    <n v="0"/>
    <n v="0"/>
    <n v="0"/>
    <n v="4397720"/>
    <n v="-75042.100000000006"/>
    <n v="408539"/>
    <n v="96.331599999999995"/>
    <n v="98.274000000000001"/>
    <n v="1.95004"/>
    <n v="0"/>
    <n v="1"/>
    <n v="2.2764799999999998"/>
    <n v="1.9740800000000001"/>
    <n v="0"/>
    <n v="1.7223900000000001"/>
    <n v="3.3868800000000001"/>
    <n v="915205000"/>
    <n v="0"/>
    <n v="0"/>
    <n v="0"/>
    <n v="0"/>
    <n v="5889800"/>
    <n v="948863"/>
    <n v="0"/>
    <n v="36"/>
    <x v="33"/>
    <n v="1.2449716168470601E-11"/>
    <n v="-1.3186632116994253E-12"/>
  </r>
  <r>
    <n v="67.417900000000003"/>
    <n v="85.138999999999996"/>
    <n v="0.83092999999999995"/>
    <n v="0.01"/>
    <n v="0.04"/>
    <n v="2.9417499999999999"/>
    <n v="3.2441499999999999"/>
    <n v="0"/>
    <n v="0.55126799999999998"/>
    <n v="5.3222399999999999"/>
    <n v="193359000"/>
    <n v="0"/>
    <n v="0"/>
    <n v="0"/>
    <n v="0"/>
    <n v="4397840"/>
    <n v="-75034.100000000006"/>
    <n v="408539"/>
    <n v="95.802000000000007"/>
    <n v="98.274000000000001"/>
    <n v="2.0053700000000001"/>
    <n v="0"/>
    <n v="1"/>
    <n v="2.2765300000000002"/>
    <n v="1.9741299999999999"/>
    <n v="0"/>
    <n v="1.75881"/>
    <n v="3.3868800000000001"/>
    <n v="916154000"/>
    <n v="0"/>
    <n v="0"/>
    <n v="0"/>
    <n v="0"/>
    <n v="5889920"/>
    <n v="948867"/>
    <n v="0"/>
    <n v="37"/>
    <x v="33"/>
    <n v="1.2449515002155196E-11"/>
    <n v="-1.3184866558317781E-12"/>
  </r>
  <r>
    <n v="65.322000000000003"/>
    <n v="85.138999999999996"/>
    <n v="0.775814"/>
    <n v="0.01"/>
    <n v="0.04"/>
    <n v="2.9418199999999999"/>
    <n v="3.2442199999999999"/>
    <n v="0"/>
    <n v="0.55128299999999997"/>
    <n v="5.3222399999999999"/>
    <n v="193284000"/>
    <n v="0"/>
    <n v="0"/>
    <n v="0"/>
    <n v="0"/>
    <n v="4397950"/>
    <n v="-75026"/>
    <n v="408539"/>
    <n v="95.1678"/>
    <n v="98.274000000000001"/>
    <n v="1.88676"/>
    <n v="0"/>
    <n v="1"/>
    <n v="2.27658"/>
    <n v="1.97418"/>
    <n v="0"/>
    <n v="1.75885"/>
    <n v="3.3868800000000001"/>
    <n v="917102000"/>
    <n v="0"/>
    <n v="0"/>
    <n v="0"/>
    <n v="0"/>
    <n v="5890040"/>
    <n v="948871"/>
    <n v="0"/>
    <n v="38"/>
    <x v="33"/>
    <n v="1.2449313844036664E-11"/>
    <n v="-1.3183113500155214E-12"/>
  </r>
  <r>
    <n v="63.186"/>
    <n v="85.138999999999996"/>
    <n v="0.71204100000000004"/>
    <n v="0.01"/>
    <n v="0.04"/>
    <n v="2.9419"/>
    <n v="3.2443"/>
    <n v="0"/>
    <n v="0.55129799999999995"/>
    <n v="5.3222399999999999"/>
    <n v="193209000"/>
    <n v="0"/>
    <n v="0"/>
    <n v="0"/>
    <n v="0"/>
    <n v="4398070"/>
    <n v="-75017.899999999994"/>
    <n v="408539"/>
    <n v="94.701999999999998"/>
    <n v="98.274000000000001"/>
    <n v="1.7840199999999999"/>
    <n v="0"/>
    <n v="1"/>
    <n v="2.2766199999999999"/>
    <n v="1.9742200000000001"/>
    <n v="0"/>
    <n v="1.75888"/>
    <n v="3.3868800000000001"/>
    <n v="918051000"/>
    <n v="0"/>
    <n v="0"/>
    <n v="0"/>
    <n v="0"/>
    <n v="5890170"/>
    <n v="948875"/>
    <n v="0"/>
    <n v="39"/>
    <x v="33"/>
    <n v="1.2449091558709765E-11"/>
    <n v="-1.3181330558900374E-12"/>
  </r>
  <r>
    <n v="60.880200000000002"/>
    <n v="85.138999999999996"/>
    <n v="0.68801999999999996"/>
    <n v="0.01"/>
    <n v="0.04"/>
    <n v="3.1586599999999998"/>
    <n v="3.4610599999999998"/>
    <n v="0"/>
    <n v="0.55131300000000005"/>
    <n v="5.3222399999999999"/>
    <n v="193157000"/>
    <n v="0"/>
    <n v="0"/>
    <n v="0"/>
    <n v="0"/>
    <n v="4722120"/>
    <n v="-52734.9"/>
    <n v="408539"/>
    <n v="94.271000000000001"/>
    <n v="98.274000000000001"/>
    <n v="2.07247"/>
    <n v="0"/>
    <n v="1"/>
    <n v="2.44665"/>
    <n v="2.14425"/>
    <n v="0"/>
    <n v="1.75892"/>
    <n v="3.3868800000000001"/>
    <n v="919015000"/>
    <n v="0"/>
    <n v="0"/>
    <n v="0"/>
    <n v="0"/>
    <n v="6330060"/>
    <n v="963214"/>
    <n v="0"/>
    <n v="40"/>
    <x v="33"/>
    <n v="1.175902857643461E-11"/>
    <n v="-8.6301350822706413E-13"/>
  </r>
  <r>
    <n v="58.517200000000003"/>
    <n v="85.138999999999996"/>
    <n v="0.61762099999999998"/>
    <n v="0.01"/>
    <n v="0.04"/>
    <n v="3.1587399999999999"/>
    <n v="3.4611399999999999"/>
    <n v="0"/>
    <n v="0.59193300000000004"/>
    <n v="5.3222399999999999"/>
    <n v="193104000"/>
    <n v="0"/>
    <n v="0"/>
    <n v="0"/>
    <n v="0"/>
    <n v="4722240"/>
    <n v="-52726.2"/>
    <n v="408539"/>
    <n v="93.580399999999997"/>
    <n v="98.274000000000001"/>
    <n v="2.0733899999999998"/>
    <n v="0"/>
    <n v="1"/>
    <n v="2.4466999999999999"/>
    <n v="2.1442999999999999"/>
    <n v="0"/>
    <n v="1.89028"/>
    <n v="3.3868800000000001"/>
    <n v="919978000"/>
    <n v="0"/>
    <n v="0"/>
    <n v="0"/>
    <n v="0"/>
    <n v="6330190"/>
    <n v="963218"/>
    <n v="0"/>
    <n v="41"/>
    <x v="33"/>
    <n v="1.1758835918508203E-11"/>
    <n v="-8.6284920459810411E-13"/>
  </r>
  <r>
    <n v="56.063200000000002"/>
    <n v="85.138999999999996"/>
    <n v="0.50108699999999995"/>
    <n v="0.03"/>
    <n v="0.04"/>
    <n v="3.15883"/>
    <n v="3.46123"/>
    <n v="0"/>
    <n v="0.59194899999999995"/>
    <n v="5.3222399999999999"/>
    <n v="193051000"/>
    <n v="0"/>
    <n v="0"/>
    <n v="0"/>
    <n v="0"/>
    <n v="4722370"/>
    <n v="-52717.599999999999"/>
    <n v="408539"/>
    <n v="93.084000000000003"/>
    <n v="98.274000000000001"/>
    <n v="1.5681"/>
    <n v="0"/>
    <n v="1"/>
    <n v="2.4467500000000002"/>
    <n v="2.1443500000000002"/>
    <n v="0"/>
    <n v="1.89032"/>
    <n v="3.3868800000000001"/>
    <n v="920941000"/>
    <n v="0"/>
    <n v="0"/>
    <n v="0"/>
    <n v="0"/>
    <n v="6330330"/>
    <n v="963222"/>
    <n v="0"/>
    <n v="42"/>
    <x v="33"/>
    <n v="1.1758624693407331E-11"/>
    <n v="-8.6268471894078894E-13"/>
  </r>
  <r>
    <n v="53.507899999999999"/>
    <n v="85.138999999999996"/>
    <n v="0.59496700000000002"/>
    <n v="0"/>
    <n v="0.04"/>
    <n v="3.4613100000000001"/>
    <n v="3.4613100000000001"/>
    <n v="0"/>
    <n v="0.59196400000000005"/>
    <n v="5.3222399999999999"/>
    <n v="193407000"/>
    <n v="0"/>
    <n v="0"/>
    <n v="0"/>
    <n v="0"/>
    <n v="5174570"/>
    <n v="355830"/>
    <n v="0"/>
    <n v="92.688999999999993"/>
    <n v="98.274000000000001"/>
    <n v="2.53721"/>
    <n v="0"/>
    <n v="1"/>
    <n v="2.1444000000000001"/>
    <n v="2.1444000000000001"/>
    <n v="0"/>
    <n v="1.89036"/>
    <n v="3.3868800000000001"/>
    <n v="921122000"/>
    <n v="0"/>
    <n v="0"/>
    <n v="0"/>
    <n v="0"/>
    <n v="5548080"/>
    <n v="180846"/>
    <n v="0"/>
    <n v="43"/>
    <x v="33"/>
    <n v="2.5189681638498548E-12"/>
    <n v="5.314039525282552E-12"/>
  </r>
  <r>
    <n v="50.682299999999998"/>
    <n v="85.138999999999996"/>
    <n v="0.53627899999999995"/>
    <n v="0"/>
    <n v="0.04"/>
    <n v="3.4613999999999998"/>
    <n v="3.4613999999999998"/>
    <n v="0"/>
    <n v="0.64864999999999995"/>
    <n v="5.3222399999999999"/>
    <n v="193763000"/>
    <n v="0"/>
    <n v="0"/>
    <n v="0"/>
    <n v="0"/>
    <n v="5174700"/>
    <n v="355838"/>
    <n v="0"/>
    <n v="92.400800000000004"/>
    <n v="98.274000000000001"/>
    <n v="1.8471900000000001"/>
    <n v="0"/>
    <n v="1"/>
    <n v="2.14445"/>
    <n v="2.14445"/>
    <n v="0"/>
    <n v="1.6567700000000001"/>
    <n v="3.3868800000000001"/>
    <n v="921303000"/>
    <n v="0"/>
    <n v="0"/>
    <n v="0"/>
    <n v="0"/>
    <n v="5548220"/>
    <n v="180850"/>
    <n v="0"/>
    <n v="44"/>
    <x v="33"/>
    <n v="2.5189603157279069E-12"/>
    <n v="5.3140254954321806E-12"/>
  </r>
  <r>
    <n v="47.831499999999998"/>
    <n v="85.138999999999996"/>
    <n v="0.64535900000000002"/>
    <n v="0"/>
    <n v="0.04"/>
    <n v="3.3558699999999999"/>
    <n v="3.3558699999999999"/>
    <n v="0"/>
    <n v="0.64866500000000005"/>
    <n v="5.3222399999999999"/>
    <n v="194108000"/>
    <n v="0"/>
    <n v="0"/>
    <n v="0"/>
    <n v="0"/>
    <n v="5016930"/>
    <n v="344989"/>
    <n v="0"/>
    <n v="92.132300000000001"/>
    <n v="98.274000000000001"/>
    <n v="2.8213400000000002"/>
    <n v="0"/>
    <n v="1"/>
    <n v="2.0413299999999999"/>
    <n v="2.0413299999999999"/>
    <n v="0"/>
    <n v="1.6568099999999999"/>
    <n v="3.3868800000000001"/>
    <n v="921475000"/>
    <n v="0"/>
    <n v="0"/>
    <n v="0"/>
    <n v="0"/>
    <n v="5281390"/>
    <n v="172153"/>
    <n v="0"/>
    <n v="45"/>
    <x v="33"/>
    <n v="2.5189691140821679E-12"/>
    <n v="5.3140262126948402E-12"/>
  </r>
  <r>
    <n v="44.878399999999999"/>
    <n v="85.138999999999996"/>
    <n v="0.55135800000000001"/>
    <n v="0"/>
    <n v="0.04"/>
    <n v="3.35595"/>
    <n v="3.35595"/>
    <n v="0"/>
    <n v="0.62888900000000003"/>
    <n v="5.3222399999999999"/>
    <n v="194453000"/>
    <n v="0"/>
    <n v="0"/>
    <n v="0"/>
    <n v="0"/>
    <n v="5017050"/>
    <n v="344998"/>
    <n v="0"/>
    <n v="91.5869"/>
    <n v="98.274000000000001"/>
    <n v="1.55165"/>
    <n v="0"/>
    <n v="1"/>
    <n v="2.0413700000000001"/>
    <n v="2.0413700000000001"/>
    <n v="0"/>
    <n v="1.5771299999999999"/>
    <n v="3.3868800000000001"/>
    <n v="921647000"/>
    <n v="0"/>
    <n v="0"/>
    <n v="0"/>
    <n v="0"/>
    <n v="5281520"/>
    <n v="172157"/>
    <n v="0"/>
    <n v="46"/>
    <x v="33"/>
    <n v="2.5189656390316053E-12"/>
    <n v="5.3140377373627209E-12"/>
  </r>
  <r>
    <n v="42.466900000000003"/>
    <n v="85.138999999999996"/>
    <n v="0.64351100000000006"/>
    <n v="0"/>
    <n v="0.04"/>
    <n v="3.3560300000000001"/>
    <n v="3.3560300000000001"/>
    <n v="0"/>
    <n v="0.62890400000000002"/>
    <n v="5.3222399999999999"/>
    <n v="194798000"/>
    <n v="0"/>
    <n v="0"/>
    <n v="0"/>
    <n v="0"/>
    <n v="5017180"/>
    <n v="345006"/>
    <n v="0"/>
    <n v="91.425399999999996"/>
    <n v="98.274000000000001"/>
    <n v="1.5892500000000001"/>
    <n v="0"/>
    <n v="1"/>
    <n v="2.04142"/>
    <n v="2.04142"/>
    <n v="0"/>
    <n v="1.57717"/>
    <n v="3.3868800000000001"/>
    <n v="921819000"/>
    <n v="0"/>
    <n v="0"/>
    <n v="0"/>
    <n v="0"/>
    <n v="5281650"/>
    <n v="172161"/>
    <n v="0"/>
    <n v="47"/>
    <x v="33"/>
    <n v="2.5189621641521095E-12"/>
    <n v="5.3140232670757696E-12"/>
  </r>
  <r>
    <n v="42.5015"/>
    <n v="85.138999999999996"/>
    <n v="1.8234699999999999"/>
    <n v="0"/>
    <n v="0.04"/>
    <n v="3.3561100000000001"/>
    <n v="3.3561100000000001"/>
    <n v="0"/>
    <n v="0.62892000000000003"/>
    <n v="5.3222399999999999"/>
    <n v="195143000"/>
    <n v="0"/>
    <n v="0"/>
    <n v="0"/>
    <n v="0"/>
    <n v="5017300"/>
    <n v="345015"/>
    <n v="0"/>
    <n v="91.868899999999996"/>
    <n v="98.274000000000001"/>
    <n v="3.19177"/>
    <n v="0"/>
    <n v="1"/>
    <n v="2.0414699999999999"/>
    <n v="2.0414699999999999"/>
    <n v="0"/>
    <n v="1.5771999999999999"/>
    <n v="3.3868800000000001"/>
    <n v="921991000"/>
    <n v="0"/>
    <n v="0"/>
    <n v="0"/>
    <n v="0"/>
    <n v="5281780"/>
    <n v="172166"/>
    <n v="0"/>
    <n v="48"/>
    <x v="33"/>
    <n v="2.5189733205167049E-12"/>
    <n v="5.3140347912398553E-12"/>
  </r>
  <r>
    <n v="41.308399999999999"/>
    <n v="85.138999999999996"/>
    <n v="1.71485"/>
    <n v="0"/>
    <n v="0.04"/>
    <n v="3.2694899999999998"/>
    <n v="3.2694899999999998"/>
    <n v="0"/>
    <n v="0.62893500000000002"/>
    <n v="5.3222399999999999"/>
    <n v="195479000"/>
    <n v="0"/>
    <n v="0"/>
    <n v="0"/>
    <n v="0"/>
    <n v="4887810"/>
    <n v="336110"/>
    <n v="0"/>
    <n v="91.854500000000002"/>
    <n v="98.274000000000001"/>
    <n v="2.1394600000000001"/>
    <n v="0"/>
    <n v="1"/>
    <n v="1.9475899999999999"/>
    <n v="1.9475899999999999"/>
    <n v="0"/>
    <n v="1.57724"/>
    <n v="3.3868800000000001"/>
    <n v="922156000"/>
    <n v="0"/>
    <n v="0"/>
    <n v="0"/>
    <n v="0"/>
    <n v="5038890"/>
    <n v="164248"/>
    <n v="0"/>
    <n v="49"/>
    <x v="33"/>
    <n v="2.5189624774905538E-12"/>
    <n v="5.31402513557635E-12"/>
  </r>
  <r>
    <n v="41.701000000000001"/>
    <n v="85.138999999999996"/>
    <n v="3.3075100000000002"/>
    <n v="0"/>
    <n v="0.04"/>
    <n v="3.2695699999999999"/>
    <n v="3.2695699999999999"/>
    <n v="0"/>
    <n v="0.612703"/>
    <n v="5.3222399999999999"/>
    <n v="195815000"/>
    <n v="0"/>
    <n v="0"/>
    <n v="0"/>
    <n v="0"/>
    <n v="4887930"/>
    <n v="336118"/>
    <n v="0"/>
    <n v="92.386899999999997"/>
    <n v="98.274000000000001"/>
    <n v="4.0178700000000003"/>
    <n v="0"/>
    <n v="1"/>
    <n v="1.94764"/>
    <n v="1.94764"/>
    <n v="0"/>
    <n v="1.50471"/>
    <n v="3.3868800000000001"/>
    <n v="922320000"/>
    <n v="0"/>
    <n v="0"/>
    <n v="0"/>
    <n v="0"/>
    <n v="5039010"/>
    <n v="164252"/>
    <n v="0"/>
    <n v="50"/>
    <x v="33"/>
    <n v="2.5189638342924822E-12"/>
    <n v="5.3140211547205076E-12"/>
  </r>
  <r>
    <n v="41.0105"/>
    <n v="85.138999999999996"/>
    <n v="2.19109"/>
    <n v="0"/>
    <n v="0.04"/>
    <n v="3.2696499999999999"/>
    <n v="3.2696499999999999"/>
    <n v="0"/>
    <n v="0.61271799999999998"/>
    <n v="5.3222399999999999"/>
    <n v="196151000"/>
    <n v="0"/>
    <n v="0"/>
    <n v="0"/>
    <n v="0"/>
    <n v="4888040"/>
    <n v="336126"/>
    <n v="0"/>
    <n v="92.873699999999999"/>
    <n v="98.274000000000001"/>
    <n v="3.89486"/>
    <n v="0"/>
    <n v="1"/>
    <n v="1.9476899999999999"/>
    <n v="1.9476899999999999"/>
    <n v="0"/>
    <n v="1.50475"/>
    <n v="3.3868800000000001"/>
    <n v="922484000"/>
    <n v="0"/>
    <n v="0"/>
    <n v="0"/>
    <n v="0"/>
    <n v="5039130"/>
    <n v="164256"/>
    <n v="0"/>
    <n v="51"/>
    <x v="33"/>
    <n v="2.5189651910297903E-12"/>
    <n v="5.3140280455283878E-12"/>
  </r>
  <r>
    <n v="41.2896"/>
    <n v="85.138999999999996"/>
    <n v="3.24268"/>
    <n v="0"/>
    <n v="0.04"/>
    <n v="3.26973"/>
    <n v="3.26973"/>
    <n v="0"/>
    <n v="0.61273200000000005"/>
    <n v="5.3222399999999999"/>
    <n v="196487000"/>
    <n v="0"/>
    <n v="0"/>
    <n v="0"/>
    <n v="0"/>
    <n v="4888160"/>
    <n v="336134"/>
    <n v="0"/>
    <n v="93.088899999999995"/>
    <n v="98.274000000000001"/>
    <n v="3.4771200000000002"/>
    <n v="0"/>
    <n v="1"/>
    <n v="1.94773"/>
    <n v="1.94773"/>
    <n v="0"/>
    <n v="1.50478"/>
    <n v="3.3868800000000001"/>
    <n v="922648000"/>
    <n v="0"/>
    <n v="0"/>
    <n v="0"/>
    <n v="0"/>
    <n v="5039250"/>
    <n v="164260"/>
    <n v="0"/>
    <n v="52"/>
    <x v="33"/>
    <n v="2.5189665477024818E-12"/>
    <n v="5.3140240647884177E-12"/>
  </r>
  <r>
    <n v="44.141199999999998"/>
    <n v="85.138999999999996"/>
    <n v="5.7449899999999996"/>
    <n v="0"/>
    <n v="0.04"/>
    <n v="3.0235500000000002"/>
    <n v="3.0235500000000002"/>
    <n v="0"/>
    <n v="0.61274700000000004"/>
    <n v="5.3222399999999999"/>
    <n v="196798000"/>
    <n v="0"/>
    <n v="0"/>
    <n v="0"/>
    <n v="0"/>
    <n v="4520140"/>
    <n v="310827"/>
    <n v="0"/>
    <n v="93.905600000000007"/>
    <n v="98.274000000000001"/>
    <n v="4.72112"/>
    <n v="0"/>
    <n v="1"/>
    <n v="1.75213"/>
    <n v="1.75213"/>
    <n v="0"/>
    <n v="1.50482"/>
    <n v="3.3868800000000001"/>
    <n v="922796000"/>
    <n v="0"/>
    <n v="0"/>
    <n v="0"/>
    <n v="0"/>
    <n v="4533190"/>
    <n v="147764"/>
    <n v="0"/>
    <n v="1"/>
    <x v="34"/>
    <n v="1.2439378205931541E-12"/>
    <n v="2.6242234129550231E-12"/>
  </r>
  <r>
    <n v="45.742800000000003"/>
    <n v="85.138999999999996"/>
    <n v="4.5107299999999997"/>
    <n v="0"/>
    <n v="0.04"/>
    <n v="3.0236299999999998"/>
    <n v="3.0236299999999998"/>
    <n v="0"/>
    <n v="0.56661399999999995"/>
    <n v="5.3222399999999999"/>
    <n v="197109000"/>
    <n v="0"/>
    <n v="0"/>
    <n v="0"/>
    <n v="0"/>
    <n v="4520250"/>
    <n v="310835"/>
    <n v="0"/>
    <n v="94.677999999999997"/>
    <n v="98.274000000000001"/>
    <n v="4.4203900000000003"/>
    <n v="0"/>
    <n v="1"/>
    <n v="1.7521800000000001"/>
    <n v="1.7521800000000001"/>
    <n v="0"/>
    <n v="1.3536999999999999"/>
    <n v="3.3868800000000001"/>
    <n v="922944000"/>
    <n v="0"/>
    <n v="0"/>
    <n v="0"/>
    <n v="0"/>
    <n v="4533300"/>
    <n v="147768"/>
    <n v="0"/>
    <n v="2"/>
    <x v="34"/>
    <n v="1.2439413094056698E-12"/>
    <n v="2.62422709271005E-12"/>
  </r>
  <r>
    <n v="47.565899999999999"/>
    <n v="85.138999999999996"/>
    <n v="4.8594799999999996"/>
    <n v="0"/>
    <n v="0.04"/>
    <n v="3.0236999999999998"/>
    <n v="3.0236999999999998"/>
    <n v="0"/>
    <n v="0.56662800000000002"/>
    <n v="5.3222399999999999"/>
    <n v="197420000"/>
    <n v="0"/>
    <n v="0"/>
    <n v="0"/>
    <n v="0"/>
    <n v="4520360"/>
    <n v="310842"/>
    <n v="0"/>
    <n v="95.781800000000004"/>
    <n v="98.274000000000001"/>
    <n v="4.9450900000000004"/>
    <n v="0"/>
    <n v="1"/>
    <n v="1.7522200000000001"/>
    <n v="1.7522200000000001"/>
    <n v="0"/>
    <n v="1.3537300000000001"/>
    <n v="3.3868800000000001"/>
    <n v="923092000"/>
    <n v="0"/>
    <n v="0"/>
    <n v="0"/>
    <n v="0"/>
    <n v="4533400"/>
    <n v="147771"/>
    <n v="0"/>
    <n v="3"/>
    <x v="34"/>
    <n v="1.2439391239851447E-12"/>
    <n v="2.6242223299830495E-12"/>
  </r>
  <r>
    <n v="51.080599999999997"/>
    <n v="85.138999999999996"/>
    <n v="6.68215"/>
    <n v="0"/>
    <n v="0.04"/>
    <n v="3.0237699999999998"/>
    <n v="3.0237699999999998"/>
    <n v="0"/>
    <n v="0.56664099999999995"/>
    <n v="5.3222399999999999"/>
    <n v="197731000"/>
    <n v="0"/>
    <n v="0"/>
    <n v="0"/>
    <n v="0"/>
    <n v="4520470"/>
    <n v="310850"/>
    <n v="0"/>
    <n v="97.642700000000005"/>
    <n v="98.274000000000001"/>
    <n v="6.8462899999999998"/>
    <n v="0"/>
    <n v="1"/>
    <n v="1.7522599999999999"/>
    <n v="1.7522599999999999"/>
    <n v="0"/>
    <n v="1.3537600000000001"/>
    <n v="3.3868800000000001"/>
    <n v="923239000"/>
    <n v="0"/>
    <n v="0"/>
    <n v="0"/>
    <n v="0"/>
    <n v="4533510"/>
    <n v="147775"/>
    <n v="0"/>
    <n v="4"/>
    <x v="34"/>
    <n v="1.2439426126044275E-12"/>
    <n v="2.6242260095853448E-12"/>
  </r>
  <r>
    <n v="54.368299999999998"/>
    <n v="85.138999999999996"/>
    <n v="6.5682999999999998"/>
    <n v="0"/>
    <n v="0.04"/>
    <n v="3.0238499999999999"/>
    <n v="3.0238499999999999"/>
    <n v="0"/>
    <n v="0.56665500000000002"/>
    <n v="5.3222399999999999"/>
    <n v="198042000"/>
    <n v="0"/>
    <n v="0"/>
    <n v="0"/>
    <n v="0"/>
    <n v="4520570"/>
    <n v="310857"/>
    <n v="0"/>
    <n v="99.302199999999999"/>
    <n v="98.274000000000001"/>
    <n v="8.1931999999999992"/>
    <n v="0"/>
    <n v="1"/>
    <n v="1.7523"/>
    <n v="1.7523"/>
    <n v="0"/>
    <n v="1.3537999999999999"/>
    <n v="3.3868800000000001"/>
    <n v="923387000"/>
    <n v="0"/>
    <n v="0"/>
    <n v="0"/>
    <n v="0"/>
    <n v="4533620"/>
    <n v="147779"/>
    <n v="0"/>
    <n v="5"/>
    <x v="34"/>
    <n v="1.2439461010544201E-12"/>
    <n v="2.6242270521836493E-12"/>
  </r>
  <r>
    <n v="56.806399999999996"/>
    <n v="85.138999999999996"/>
    <n v="5.6172700000000004"/>
    <n v="0"/>
    <n v="0.04"/>
    <n v="3.1186500000000001"/>
    <n v="3.1186500000000001"/>
    <n v="0"/>
    <n v="0.56666899999999998"/>
    <n v="5.3222399999999999"/>
    <n v="198362000"/>
    <n v="0"/>
    <n v="0"/>
    <n v="0"/>
    <n v="0"/>
    <n v="4662300"/>
    <n v="320603"/>
    <n v="0"/>
    <n v="99.302199999999999"/>
    <n v="98.274000000000001"/>
    <n v="5.6920400000000004"/>
    <n v="0"/>
    <n v="1"/>
    <n v="1.8089999999999999"/>
    <n v="1.8089999999999999"/>
    <n v="0"/>
    <n v="1.3538300000000001"/>
    <n v="3.3868800000000001"/>
    <n v="923540000"/>
    <n v="0"/>
    <n v="0"/>
    <n v="0"/>
    <n v="0"/>
    <n v="4680320"/>
    <n v="152560"/>
    <n v="0"/>
    <n v="6"/>
    <x v="34"/>
    <n v="1.2439390111770101E-12"/>
    <n v="2.6242265318137178E-12"/>
  </r>
  <r>
    <n v="63.070799999999998"/>
    <n v="85.138999999999996"/>
    <n v="9.7300599999999999"/>
    <n v="0"/>
    <n v="0.04"/>
    <n v="3.1187"/>
    <n v="3.1187"/>
    <n v="0"/>
    <n v="0.58443400000000001"/>
    <n v="5.3222399999999999"/>
    <n v="198683000"/>
    <n v="0"/>
    <n v="0"/>
    <n v="0"/>
    <n v="0"/>
    <n v="4662380"/>
    <n v="320609"/>
    <n v="0"/>
    <n v="99.302199999999999"/>
    <n v="98.274000000000001"/>
    <n v="12.504"/>
    <n v="0"/>
    <n v="0"/>
    <n v="1.80904"/>
    <n v="1.80904"/>
    <n v="0"/>
    <n v="1.3976299999999999"/>
    <n v="3.3868800000000001"/>
    <n v="923692000"/>
    <n v="0"/>
    <n v="0"/>
    <n v="0"/>
    <n v="7883220"/>
    <n v="4680400"/>
    <n v="152563"/>
    <n v="0"/>
    <n v="7"/>
    <x v="34"/>
    <n v="6.5520799039406225E-11"/>
    <n v="2.6242306145715619E-12"/>
  </r>
  <r>
    <n v="70.619100000000003"/>
    <n v="85.138999999999996"/>
    <n v="11.2174"/>
    <n v="0"/>
    <n v="0.04"/>
    <n v="3.11876"/>
    <n v="3.11876"/>
    <n v="0"/>
    <n v="0.58444499999999999"/>
    <n v="5.3222399999999999"/>
    <n v="199003000"/>
    <n v="0"/>
    <n v="0"/>
    <n v="0"/>
    <n v="0"/>
    <n v="4662470"/>
    <n v="320615"/>
    <n v="0"/>
    <n v="99.302199999999999"/>
    <n v="98.274000000000001"/>
    <n v="13.6843"/>
    <n v="0"/>
    <n v="0"/>
    <n v="1.80907"/>
    <n v="1.80907"/>
    <n v="0"/>
    <n v="1.3976599999999999"/>
    <n v="3.3868800000000001"/>
    <n v="923845000"/>
    <n v="0"/>
    <n v="0"/>
    <n v="0"/>
    <n v="0"/>
    <n v="4680490"/>
    <n v="152566"/>
    <n v="0"/>
    <n v="8"/>
    <x v="34"/>
    <n v="1.2439427509263024E-12"/>
    <n v="2.6242290687676754E-12"/>
  </r>
  <r>
    <n v="78.324399999999997"/>
    <n v="85.138999999999996"/>
    <n v="11.7951"/>
    <n v="0"/>
    <n v="0.04"/>
    <n v="3.1188199999999999"/>
    <n v="3.1188199999999999"/>
    <n v="0"/>
    <n v="0.58445599999999998"/>
    <n v="5.3222399999999999"/>
    <n v="199324000"/>
    <n v="0"/>
    <n v="0"/>
    <n v="0"/>
    <n v="0"/>
    <n v="4662550"/>
    <n v="320620"/>
    <n v="0"/>
    <n v="99.302199999999999"/>
    <n v="98.274000000000001"/>
    <n v="15.3028"/>
    <n v="0"/>
    <n v="0"/>
    <n v="1.8090999999999999"/>
    <n v="1.8090999999999999"/>
    <n v="0"/>
    <n v="1.3976900000000001"/>
    <n v="3.3868800000000001"/>
    <n v="923997000"/>
    <n v="0"/>
    <n v="0"/>
    <n v="0"/>
    <n v="0"/>
    <n v="4680580"/>
    <n v="152569"/>
    <n v="0"/>
    <n v="9"/>
    <x v="34"/>
    <n v="1.2439432918630982E-12"/>
    <n v="2.6242249664882472E-12"/>
  </r>
  <r>
    <n v="85.138999999999996"/>
    <n v="85.138999999999996"/>
    <n v="15.6578"/>
    <n v="0"/>
    <n v="0.04"/>
    <n v="3.4230800000000001"/>
    <n v="3.4230800000000001"/>
    <n v="0"/>
    <n v="0.58446600000000004"/>
    <n v="5.3222399999999999"/>
    <n v="199676000"/>
    <n v="0"/>
    <n v="0"/>
    <n v="0"/>
    <n v="0"/>
    <n v="5117420"/>
    <n v="351899"/>
    <n v="0"/>
    <n v="99.302199999999999"/>
    <n v="98.274000000000001"/>
    <n v="17.4895"/>
    <n v="0"/>
    <n v="0"/>
    <n v="2.0218500000000001"/>
    <n v="2.0218500000000001"/>
    <n v="0"/>
    <n v="1.39771"/>
    <n v="3.3868800000000001"/>
    <n v="924168000"/>
    <n v="0"/>
    <n v="0"/>
    <n v="0"/>
    <n v="0"/>
    <n v="5231010"/>
    <n v="170511"/>
    <n v="0"/>
    <n v="10"/>
    <x v="34"/>
    <n v="1.2439439335439068E-12"/>
    <n v="2.6242241380746311E-12"/>
  </r>
  <r>
    <n v="85.138999999999996"/>
    <n v="85.138999999999996"/>
    <n v="12.832599999999999"/>
    <n v="0"/>
    <n v="0.04"/>
    <n v="3.4231400000000001"/>
    <n v="3.4231400000000001"/>
    <n v="0"/>
    <n v="0.64148499999999997"/>
    <n v="5.3222399999999999"/>
    <n v="200028000"/>
    <n v="0"/>
    <n v="0"/>
    <n v="0"/>
    <n v="0"/>
    <n v="5117510"/>
    <n v="351906"/>
    <n v="0"/>
    <n v="99.302199999999999"/>
    <n v="98.274000000000001"/>
    <n v="20.198399999999999"/>
    <n v="0"/>
    <n v="0"/>
    <n v="2.02189"/>
    <n v="2.02189"/>
    <n v="0"/>
    <n v="1.5620799999999999"/>
    <n v="3.3868800000000001"/>
    <n v="924338000"/>
    <n v="0"/>
    <n v="0"/>
    <n v="0"/>
    <n v="0"/>
    <n v="5231100"/>
    <n v="170514"/>
    <n v="0"/>
    <n v="11"/>
    <x v="34"/>
    <n v="1.2439444175322675E-12"/>
    <n v="2.6242301870256149E-12"/>
  </r>
  <r>
    <n v="85.138999999999996"/>
    <n v="85.138999999999996"/>
    <n v="15.4512"/>
    <n v="0"/>
    <n v="0.04"/>
    <n v="3.4232100000000001"/>
    <n v="3.4232100000000001"/>
    <n v="0"/>
    <n v="0.64149699999999998"/>
    <n v="5.3222399999999999"/>
    <n v="200380000"/>
    <n v="0"/>
    <n v="0"/>
    <n v="0"/>
    <n v="0"/>
    <n v="5117610"/>
    <n v="351912"/>
    <n v="0"/>
    <n v="99.302199999999999"/>
    <n v="98.274000000000001"/>
    <n v="21.857600000000001"/>
    <n v="0"/>
    <n v="0"/>
    <n v="2.0219200000000002"/>
    <n v="2.0219200000000002"/>
    <n v="0"/>
    <n v="1.5621100000000001"/>
    <n v="3.3868800000000001"/>
    <n v="924509000"/>
    <n v="0"/>
    <n v="0"/>
    <n v="0"/>
    <n v="0"/>
    <n v="5231200"/>
    <n v="170517"/>
    <n v="0"/>
    <n v="12"/>
    <x v="34"/>
    <n v="1.2439425235698456E-12"/>
    <n v="2.624223650863688E-12"/>
  </r>
  <r>
    <n v="85.138999999999996"/>
    <n v="85.138999999999996"/>
    <n v="12.7843"/>
    <n v="0"/>
    <n v="0.04"/>
    <n v="3.42327"/>
    <n v="3.42327"/>
    <n v="0"/>
    <n v="0.641509"/>
    <n v="5.3222399999999999"/>
    <n v="200732000"/>
    <n v="0"/>
    <n v="0"/>
    <n v="0"/>
    <n v="0"/>
    <n v="5117700"/>
    <n v="351919"/>
    <n v="0"/>
    <n v="99.302199999999999"/>
    <n v="98.274000000000001"/>
    <n v="20.840699999999998"/>
    <n v="0"/>
    <n v="0"/>
    <n v="2.02196"/>
    <n v="2.02196"/>
    <n v="0"/>
    <n v="1.5621400000000001"/>
    <n v="3.3868800000000001"/>
    <n v="924680000"/>
    <n v="0"/>
    <n v="0"/>
    <n v="0"/>
    <n v="0"/>
    <n v="5231290"/>
    <n v="170520"/>
    <n v="0"/>
    <n v="13"/>
    <x v="34"/>
    <n v="1.2439430075648851E-12"/>
    <n v="2.6242296995986658E-12"/>
  </r>
  <r>
    <n v="85.138999999999996"/>
    <n v="85.138999999999996"/>
    <n v="10.497"/>
    <n v="0"/>
    <n v="0.04"/>
    <n v="2.9893999999999998"/>
    <n v="2.9893999999999998"/>
    <n v="0"/>
    <n v="0.64152100000000001"/>
    <n v="5.3222399999999999"/>
    <n v="201039000"/>
    <n v="0"/>
    <n v="0"/>
    <n v="0"/>
    <n v="0"/>
    <n v="4469080"/>
    <n v="307316"/>
    <n v="0"/>
    <n v="99.302199999999999"/>
    <n v="98.274000000000001"/>
    <n v="15.302899999999999"/>
    <n v="0"/>
    <n v="0"/>
    <n v="1.73651"/>
    <n v="1.73651"/>
    <n v="0"/>
    <n v="1.5621700000000001"/>
    <n v="3.3868800000000001"/>
    <n v="924826000"/>
    <n v="0"/>
    <n v="0"/>
    <n v="0"/>
    <n v="0"/>
    <n v="4492770"/>
    <n v="146447"/>
    <n v="0"/>
    <n v="14"/>
    <x v="34"/>
    <n v="1.2439423357185193E-12"/>
    <n v="2.6242245749267098E-12"/>
  </r>
  <r>
    <n v="85.138999999999996"/>
    <n v="85.138999999999996"/>
    <n v="10.7112"/>
    <n v="0"/>
    <n v="0.04"/>
    <n v="2.9894599999999998"/>
    <n v="2.9894599999999998"/>
    <n v="0"/>
    <n v="0.56021399999999999"/>
    <n v="5.3222399999999999"/>
    <n v="201346000"/>
    <n v="0"/>
    <n v="0"/>
    <n v="0"/>
    <n v="0"/>
    <n v="4469160"/>
    <n v="307322"/>
    <n v="0"/>
    <n v="99.302199999999999"/>
    <n v="98.274000000000001"/>
    <n v="11.838200000000001"/>
    <n v="0"/>
    <n v="0"/>
    <n v="1.73654"/>
    <n v="1.73654"/>
    <n v="0"/>
    <n v="1.3416300000000001"/>
    <n v="3.3868800000000001"/>
    <n v="924972000"/>
    <n v="0"/>
    <n v="0"/>
    <n v="0"/>
    <n v="0"/>
    <n v="4492850"/>
    <n v="146449"/>
    <n v="0"/>
    <n v="15"/>
    <x v="34"/>
    <n v="1.243937173986025E-12"/>
    <n v="2.6242288342338436E-12"/>
  </r>
  <r>
    <n v="85.138999999999996"/>
    <n v="85.138999999999996"/>
    <n v="15.6983"/>
    <n v="0"/>
    <n v="0.04"/>
    <n v="2.9895100000000001"/>
    <n v="2.9895100000000001"/>
    <n v="0"/>
    <n v="0.56022400000000006"/>
    <n v="5.3222399999999999"/>
    <n v="201654000"/>
    <n v="0"/>
    <n v="0"/>
    <n v="0"/>
    <n v="0"/>
    <n v="4469240"/>
    <n v="307328"/>
    <n v="0"/>
    <n v="99.302199999999999"/>
    <n v="98.274000000000001"/>
    <n v="24.535"/>
    <n v="0"/>
    <n v="0"/>
    <n v="1.7365699999999999"/>
    <n v="1.7365699999999999"/>
    <n v="0"/>
    <n v="1.34165"/>
    <n v="3.3868800000000001"/>
    <n v="925119000"/>
    <n v="0"/>
    <n v="0"/>
    <n v="0"/>
    <n v="0"/>
    <n v="4492930"/>
    <n v="146452"/>
    <n v="0"/>
    <n v="16"/>
    <x v="34"/>
    <n v="1.2439405062817905E-12"/>
    <n v="2.624233093388493E-12"/>
  </r>
  <r>
    <n v="85.138999999999996"/>
    <n v="85.138999999999996"/>
    <n v="18.153400000000001"/>
    <n v="0"/>
    <n v="0.04"/>
    <n v="2.9895700000000001"/>
    <n v="2.9895700000000001"/>
    <n v="0"/>
    <n v="0.56023500000000004"/>
    <n v="5.3222399999999999"/>
    <n v="201961000"/>
    <n v="0"/>
    <n v="0"/>
    <n v="0"/>
    <n v="0"/>
    <n v="4469330"/>
    <n v="307333"/>
    <n v="0"/>
    <n v="99.302199999999999"/>
    <n v="98.274000000000001"/>
    <n v="20.092099999999999"/>
    <n v="0"/>
    <n v="0"/>
    <n v="1.73661"/>
    <n v="1.73661"/>
    <n v="0"/>
    <n v="1.34168"/>
    <n v="3.3868800000000001"/>
    <n v="925265000"/>
    <n v="0"/>
    <n v="0"/>
    <n v="0"/>
    <n v="0"/>
    <n v="4493010"/>
    <n v="146455"/>
    <n v="0"/>
    <n v="17"/>
    <x v="34"/>
    <n v="1.24394383845889E-12"/>
    <n v="2.6242229420378765E-12"/>
  </r>
  <r>
    <n v="85.138999999999996"/>
    <n v="85.138999999999996"/>
    <n v="11.514699999999999"/>
    <n v="0"/>
    <n v="0.04"/>
    <n v="2.9896199999999999"/>
    <n v="2.9896199999999999"/>
    <n v="0"/>
    <n v="0.56024499999999999"/>
    <n v="5.3222399999999999"/>
    <n v="202268000"/>
    <n v="0"/>
    <n v="0"/>
    <n v="0"/>
    <n v="0"/>
    <n v="4469410"/>
    <n v="307339"/>
    <n v="0"/>
    <n v="99.302199999999999"/>
    <n v="98.274000000000001"/>
    <n v="13.729799999999999"/>
    <n v="0"/>
    <n v="0"/>
    <n v="1.73664"/>
    <n v="1.73664"/>
    <n v="0"/>
    <n v="1.3416999999999999"/>
    <n v="3.3868800000000001"/>
    <n v="925412000"/>
    <n v="0"/>
    <n v="0"/>
    <n v="0"/>
    <n v="0"/>
    <n v="4493090"/>
    <n v="146458"/>
    <n v="0"/>
    <n v="18"/>
    <x v="34"/>
    <n v="1.2439471705173297E-12"/>
    <n v="2.6242272011359904E-12"/>
  </r>
  <r>
    <n v="85.138999999999996"/>
    <n v="85.138999999999996"/>
    <n v="9.5198599999999995"/>
    <n v="0"/>
    <n v="0.04"/>
    <n v="3.0989100000000001"/>
    <n v="3.0989100000000001"/>
    <n v="0"/>
    <n v="0.56025499999999995"/>
    <n v="5.3222399999999999"/>
    <n v="202587000"/>
    <n v="0"/>
    <n v="0"/>
    <n v="0"/>
    <n v="0"/>
    <n v="4632800"/>
    <n v="318574"/>
    <n v="0"/>
    <n v="99.302199999999999"/>
    <n v="98.274000000000001"/>
    <n v="12.219200000000001"/>
    <n v="0"/>
    <n v="0"/>
    <n v="1.8065199999999999"/>
    <n v="1.8065199999999999"/>
    <n v="0"/>
    <n v="1.3417300000000001"/>
    <n v="3.3868800000000001"/>
    <n v="925564000"/>
    <n v="0"/>
    <n v="0"/>
    <n v="0"/>
    <n v="0"/>
    <n v="4673890"/>
    <n v="152351"/>
    <n v="0"/>
    <n v="19"/>
    <x v="34"/>
    <n v="1.2439438503801435E-12"/>
    <n v="2.6242229660349874E-12"/>
  </r>
  <r>
    <n v="85.138999999999996"/>
    <n v="85.138999999999996"/>
    <n v="8.9162099999999995"/>
    <n v="0"/>
    <n v="0.04"/>
    <n v="3.09897"/>
    <n v="3.09897"/>
    <n v="0"/>
    <n v="0.58073600000000003"/>
    <n v="5.3222399999999999"/>
    <n v="202905000"/>
    <n v="0"/>
    <n v="0"/>
    <n v="0"/>
    <n v="0"/>
    <n v="4632880"/>
    <n v="318580"/>
    <n v="0"/>
    <n v="99.302199999999999"/>
    <n v="98.274000000000001"/>
    <n v="12.928599999999999"/>
    <n v="0"/>
    <n v="0"/>
    <n v="1.8065500000000001"/>
    <n v="1.8065500000000001"/>
    <n v="0"/>
    <n v="1.39571"/>
    <n v="3.3868800000000001"/>
    <n v="925716000"/>
    <n v="0"/>
    <n v="0"/>
    <n v="0"/>
    <n v="0"/>
    <n v="4673970"/>
    <n v="152353"/>
    <n v="0"/>
    <n v="20"/>
    <x v="34"/>
    <n v="1.2439388886429031E-12"/>
    <n v="2.6242270748514863E-12"/>
  </r>
  <r>
    <n v="85.138999999999996"/>
    <n v="85.138999999999996"/>
    <n v="8.30002"/>
    <n v="0"/>
    <n v="0.04"/>
    <n v="3.09903"/>
    <n v="3.09903"/>
    <n v="0"/>
    <n v="0.58074700000000001"/>
    <n v="5.3222399999999999"/>
    <n v="203224000"/>
    <n v="0"/>
    <n v="0"/>
    <n v="0"/>
    <n v="0"/>
    <n v="4632960"/>
    <n v="318586"/>
    <n v="0"/>
    <n v="99.302199999999999"/>
    <n v="98.274000000000001"/>
    <n v="13.348100000000001"/>
    <n v="0"/>
    <n v="0"/>
    <n v="1.8065800000000001"/>
    <n v="1.8065800000000001"/>
    <n v="0"/>
    <n v="1.39574"/>
    <n v="3.3868800000000001"/>
    <n v="925869000"/>
    <n v="0"/>
    <n v="0"/>
    <n v="0"/>
    <n v="0"/>
    <n v="4674060"/>
    <n v="152356"/>
    <n v="0"/>
    <n v="21"/>
    <x v="34"/>
    <n v="1.2439394304086387E-12"/>
    <n v="2.6242311835260865E-12"/>
  </r>
  <r>
    <n v="85.138999999999996"/>
    <n v="85.138999999999996"/>
    <n v="6.78782"/>
    <n v="0"/>
    <n v="0.04"/>
    <n v="3.0990799999999998"/>
    <n v="3.0990799999999998"/>
    <n v="0"/>
    <n v="0.58075699999999997"/>
    <n v="5.3222399999999999"/>
    <n v="203543000"/>
    <n v="0"/>
    <n v="0"/>
    <n v="0"/>
    <n v="0"/>
    <n v="4633050"/>
    <n v="318592"/>
    <n v="0"/>
    <n v="99.302199999999999"/>
    <n v="98.274000000000001"/>
    <n v="9.7401400000000002"/>
    <n v="0"/>
    <n v="0"/>
    <n v="1.8066199999999999"/>
    <n v="1.8066199999999999"/>
    <n v="0"/>
    <n v="1.39577"/>
    <n v="3.3868800000000001"/>
    <n v="926021000"/>
    <n v="0"/>
    <n v="0"/>
    <n v="0"/>
    <n v="0"/>
    <n v="4674140"/>
    <n v="152359"/>
    <n v="0"/>
    <n v="22"/>
    <x v="34"/>
    <n v="1.2439426334772457E-12"/>
    <n v="2.6242296278952491E-12"/>
  </r>
  <r>
    <n v="85.138999999999996"/>
    <n v="85.138999999999996"/>
    <n v="5.7372500000000004"/>
    <n v="0"/>
    <n v="0.04"/>
    <n v="3.0564200000000001"/>
    <n v="3.0564200000000001"/>
    <n v="0"/>
    <n v="0.58076799999999995"/>
    <n v="5.3222399999999999"/>
    <n v="203857000"/>
    <n v="0"/>
    <n v="0"/>
    <n v="0"/>
    <n v="0"/>
    <n v="4569280"/>
    <n v="314206"/>
    <n v="0"/>
    <n v="99.302199999999999"/>
    <n v="98.274000000000001"/>
    <n v="7.1905900000000003"/>
    <n v="0"/>
    <n v="0"/>
    <n v="1.77952"/>
    <n v="1.77952"/>
    <n v="0"/>
    <n v="1.3957900000000001"/>
    <n v="3.3868800000000001"/>
    <n v="926171000"/>
    <n v="0"/>
    <n v="0"/>
    <n v="0"/>
    <n v="0"/>
    <n v="4604040"/>
    <n v="150074"/>
    <n v="0"/>
    <n v="23"/>
    <x v="34"/>
    <n v="1.2439425554500809E-12"/>
    <n v="2.6242225154843135E-12"/>
  </r>
  <r>
    <n v="85.138999999999996"/>
    <n v="85.138999999999996"/>
    <n v="5.3752000000000004"/>
    <n v="0"/>
    <n v="0.04"/>
    <n v="3.0564800000000001"/>
    <n v="3.0564800000000001"/>
    <n v="0"/>
    <n v="0.57277400000000001"/>
    <n v="5.3222399999999999"/>
    <n v="204171000"/>
    <n v="0"/>
    <n v="0"/>
    <n v="0"/>
    <n v="0"/>
    <n v="4569360"/>
    <n v="314212"/>
    <n v="0"/>
    <n v="99.302199999999999"/>
    <n v="98.274000000000001"/>
    <n v="6.8169399999999998"/>
    <n v="0"/>
    <n v="0"/>
    <n v="1.77955"/>
    <n v="1.77955"/>
    <n v="0"/>
    <n v="1.37486"/>
    <n v="3.3868800000000001"/>
    <n v="926321000"/>
    <n v="0"/>
    <n v="0"/>
    <n v="0"/>
    <n v="0"/>
    <n v="4604120"/>
    <n v="150077"/>
    <n v="0"/>
    <n v="24"/>
    <x v="34"/>
    <n v="1.2439458071770334E-12"/>
    <n v="2.6242266814265517E-12"/>
  </r>
  <r>
    <n v="85.138999999999996"/>
    <n v="85.138999999999996"/>
    <n v="4.9412000000000003"/>
    <n v="0"/>
    <n v="0.04"/>
    <n v="3.05654"/>
    <n v="3.05654"/>
    <n v="0"/>
    <n v="0.57278499999999999"/>
    <n v="5.3222399999999999"/>
    <n v="204485000"/>
    <n v="0"/>
    <n v="0"/>
    <n v="0"/>
    <n v="0"/>
    <n v="4569440"/>
    <n v="314218"/>
    <n v="0"/>
    <n v="99.302199999999999"/>
    <n v="98.274000000000001"/>
    <n v="6.8364099999999999"/>
    <n v="0"/>
    <n v="0"/>
    <n v="1.7795799999999999"/>
    <n v="1.7795799999999999"/>
    <n v="0"/>
    <n v="1.3748800000000001"/>
    <n v="3.3868800000000001"/>
    <n v="926471000"/>
    <n v="0"/>
    <n v="0"/>
    <n v="0"/>
    <n v="0"/>
    <n v="4604210"/>
    <n v="150079"/>
    <n v="0"/>
    <n v="25"/>
    <x v="34"/>
    <n v="1.2439380684714521E-12"/>
    <n v="2.6242308472229185E-12"/>
  </r>
  <r>
    <n v="85.138999999999996"/>
    <n v="85.138999999999996"/>
    <n v="4.7729400000000002"/>
    <n v="0"/>
    <n v="0.04"/>
    <n v="3.0565899999999999"/>
    <n v="3.0565899999999999"/>
    <n v="0"/>
    <n v="0.57279500000000005"/>
    <n v="5.3222399999999999"/>
    <n v="204799000"/>
    <n v="0"/>
    <n v="0"/>
    <n v="0"/>
    <n v="0"/>
    <n v="4569530"/>
    <n v="314224"/>
    <n v="0"/>
    <n v="99.302199999999999"/>
    <n v="98.274000000000001"/>
    <n v="8.3946799999999993"/>
    <n v="0"/>
    <n v="0"/>
    <n v="1.77962"/>
    <n v="1.77962"/>
    <n v="0"/>
    <n v="1.3749100000000001"/>
    <n v="3.3868800000000001"/>
    <n v="926621000"/>
    <n v="0"/>
    <n v="0"/>
    <n v="0"/>
    <n v="0"/>
    <n v="4604290"/>
    <n v="150082"/>
    <n v="0"/>
    <n v="26"/>
    <x v="34"/>
    <n v="1.2439413201563056E-12"/>
    <n v="2.6242292699742332E-12"/>
  </r>
  <r>
    <n v="85.138999999999996"/>
    <n v="85.138999999999996"/>
    <n v="4.6022999999999996"/>
    <n v="0"/>
    <n v="0.04"/>
    <n v="3.2016499999999999"/>
    <n v="3.2016499999999999"/>
    <n v="0"/>
    <n v="0.57280500000000001"/>
    <n v="5.3222399999999999"/>
    <n v="205129000"/>
    <n v="0"/>
    <n v="0"/>
    <n v="0"/>
    <n v="0"/>
    <n v="4786380"/>
    <n v="329135"/>
    <n v="0"/>
    <n v="99.302199999999999"/>
    <n v="98.274000000000001"/>
    <n v="6.4514100000000001"/>
    <n v="0"/>
    <n v="0"/>
    <n v="1.8758699999999999"/>
    <n v="1.8758699999999999"/>
    <n v="0"/>
    <n v="1.37493"/>
    <n v="3.3868800000000001"/>
    <n v="926780000"/>
    <n v="0"/>
    <n v="0"/>
    <n v="0"/>
    <n v="0"/>
    <n v="4853310"/>
    <n v="158199"/>
    <n v="0"/>
    <n v="27"/>
    <x v="34"/>
    <n v="1.2439406409530417E-12"/>
    <n v="2.62422366455826E-12"/>
  </r>
  <r>
    <n v="85.138999999999996"/>
    <n v="85.138999999999996"/>
    <n v="4.2118399999999996"/>
    <n v="0"/>
    <n v="0.04"/>
    <n v="3.2017099999999998"/>
    <n v="3.2017099999999998"/>
    <n v="0"/>
    <n v="0.59998899999999999"/>
    <n v="5.3222399999999999"/>
    <n v="205458000"/>
    <n v="0"/>
    <n v="0"/>
    <n v="0"/>
    <n v="0"/>
    <n v="4786470"/>
    <n v="329142"/>
    <n v="0"/>
    <n v="99.302199999999999"/>
    <n v="98.274000000000001"/>
    <n v="5.7992100000000004"/>
    <n v="0"/>
    <n v="0"/>
    <n v="1.8758999999999999"/>
    <n v="1.8758999999999999"/>
    <n v="0"/>
    <n v="1.44929"/>
    <n v="3.3868800000000001"/>
    <n v="926938000"/>
    <n v="0"/>
    <n v="0"/>
    <n v="0"/>
    <n v="0"/>
    <n v="4853400"/>
    <n v="158202"/>
    <n v="0"/>
    <n v="28"/>
    <x v="34"/>
    <n v="1.2439411626672721E-12"/>
    <n v="2.6242301318733722E-12"/>
  </r>
  <r>
    <n v="85.138999999999996"/>
    <n v="85.138999999999996"/>
    <n v="3.8926099999999999"/>
    <n v="0"/>
    <n v="0.04"/>
    <n v="3.2017600000000002"/>
    <n v="3.2017600000000002"/>
    <n v="0"/>
    <n v="0.6"/>
    <n v="5.3222399999999999"/>
    <n v="205787000"/>
    <n v="0"/>
    <n v="0"/>
    <n v="0"/>
    <n v="0"/>
    <n v="4786560"/>
    <n v="329148"/>
    <n v="0"/>
    <n v="99.302199999999999"/>
    <n v="98.274000000000001"/>
    <n v="5.8169700000000004"/>
    <n v="0"/>
    <n v="0"/>
    <n v="1.8759300000000001"/>
    <n v="1.8759300000000001"/>
    <n v="0"/>
    <n v="1.4493199999999999"/>
    <n v="3.3868800000000001"/>
    <n v="927096000"/>
    <n v="0"/>
    <n v="0"/>
    <n v="0"/>
    <n v="0"/>
    <n v="4853490"/>
    <n v="158205"/>
    <n v="0"/>
    <n v="29"/>
    <x v="34"/>
    <n v="1.243941684362154E-12"/>
    <n v="2.6242286261530207E-12"/>
  </r>
  <r>
    <n v="85.138999999999996"/>
    <n v="85.138999999999996"/>
    <n v="3.76755"/>
    <n v="0"/>
    <n v="0.04"/>
    <n v="3.2018200000000001"/>
    <n v="3.2018200000000001"/>
    <n v="0"/>
    <n v="0.60001000000000004"/>
    <n v="5.3222399999999999"/>
    <n v="206116000"/>
    <n v="0"/>
    <n v="0"/>
    <n v="0"/>
    <n v="0"/>
    <n v="4786640"/>
    <n v="329154"/>
    <n v="0"/>
    <n v="99.302199999999999"/>
    <n v="98.274000000000001"/>
    <n v="5.7554400000000001"/>
    <n v="0"/>
    <n v="0"/>
    <n v="1.8759699999999999"/>
    <n v="1.8759699999999999"/>
    <n v="0"/>
    <n v="1.4493499999999999"/>
    <n v="3.3868800000000001"/>
    <n v="927254000"/>
    <n v="0"/>
    <n v="0"/>
    <n v="0"/>
    <n v="0"/>
    <n v="4853580"/>
    <n v="158208"/>
    <n v="0"/>
    <n v="30"/>
    <x v="34"/>
    <n v="1.2439422060376883E-12"/>
    <n v="2.6242326028884702E-12"/>
  </r>
  <r>
    <n v="85.138999999999996"/>
    <n v="85.138999999999996"/>
    <n v="3.5348299999999999"/>
    <n v="0"/>
    <n v="0.04"/>
    <n v="3.2018800000000001"/>
    <n v="3.2018800000000001"/>
    <n v="0"/>
    <n v="0.60002100000000003"/>
    <n v="5.3222399999999999"/>
    <n v="206445000"/>
    <n v="0"/>
    <n v="0"/>
    <n v="0"/>
    <n v="0"/>
    <n v="4786730"/>
    <n v="329160"/>
    <n v="0"/>
    <n v="99.302199999999999"/>
    <n v="98.274000000000001"/>
    <n v="5.18825"/>
    <n v="0"/>
    <n v="0"/>
    <n v="1.8759999999999999"/>
    <n v="1.8759999999999999"/>
    <n v="0"/>
    <n v="1.44937"/>
    <n v="3.3868800000000001"/>
    <n v="927413000"/>
    <n v="0"/>
    <n v="0"/>
    <n v="0"/>
    <n v="0"/>
    <n v="4853670"/>
    <n v="158211"/>
    <n v="0"/>
    <n v="31"/>
    <x v="34"/>
    <n v="1.2439427276938758E-12"/>
    <n v="2.6242310971751348E-12"/>
  </r>
  <r>
    <n v="85.138999999999996"/>
    <n v="85.138999999999996"/>
    <n v="3.3514599999999999"/>
    <n v="0"/>
    <n v="0.04"/>
    <n v="3.17326"/>
    <n v="3.17326"/>
    <n v="0"/>
    <n v="0.60003200000000001"/>
    <n v="5.3222399999999999"/>
    <n v="206771000"/>
    <n v="0"/>
    <n v="0"/>
    <n v="0"/>
    <n v="0"/>
    <n v="4743950"/>
    <n v="326217"/>
    <n v="0"/>
    <n v="99.302199999999999"/>
    <n v="98.274000000000001"/>
    <n v="4.69977"/>
    <n v="0"/>
    <n v="0"/>
    <n v="1.92892"/>
    <n v="1.92892"/>
    <n v="0"/>
    <n v="1.4494"/>
    <n v="3.3868800000000001"/>
    <n v="927575000"/>
    <n v="0"/>
    <n v="0"/>
    <n v="0"/>
    <n v="0"/>
    <n v="4990590"/>
    <n v="162674"/>
    <n v="0"/>
    <n v="32"/>
    <x v="34"/>
    <n v="1.2439422221078425E-12"/>
    <n v="2.6242212127897953E-12"/>
  </r>
  <r>
    <n v="84.8613"/>
    <n v="85.138999999999996"/>
    <n v="3.0602499999999999"/>
    <n v="0"/>
    <n v="0.04"/>
    <n v="3.1733199999999999"/>
    <n v="3.1733199999999999"/>
    <n v="0"/>
    <n v="0.594669"/>
    <n v="5.3222399999999999"/>
    <n v="207098000"/>
    <n v="0"/>
    <n v="0"/>
    <n v="0"/>
    <n v="0"/>
    <n v="4744030"/>
    <n v="326223"/>
    <n v="0"/>
    <n v="99.302199999999999"/>
    <n v="98.274000000000001"/>
    <n v="4.60839"/>
    <n v="0"/>
    <n v="0"/>
    <n v="1.92896"/>
    <n v="1.92896"/>
    <n v="0"/>
    <n v="1.4902899999999999"/>
    <n v="3.3868800000000001"/>
    <n v="927738000"/>
    <n v="0"/>
    <n v="0"/>
    <n v="0"/>
    <n v="0"/>
    <n v="4990680"/>
    <n v="162677"/>
    <n v="0"/>
    <n v="33"/>
    <x v="34"/>
    <n v="1.2439427294426229E-12"/>
    <n v="2.6242252253685612E-12"/>
  </r>
  <r>
    <n v="84.318399999999997"/>
    <n v="85.138999999999996"/>
    <n v="2.7748200000000001"/>
    <n v="0"/>
    <n v="0.04"/>
    <n v="3.1733799999999999"/>
    <n v="3.1733799999999999"/>
    <n v="0"/>
    <n v="0.59467999999999999"/>
    <n v="5.3222399999999999"/>
    <n v="207424000"/>
    <n v="0"/>
    <n v="0"/>
    <n v="0"/>
    <n v="0"/>
    <n v="4744120"/>
    <n v="326229"/>
    <n v="0"/>
    <n v="99.302199999999999"/>
    <n v="98.274000000000001"/>
    <n v="4.1897099999999998"/>
    <n v="0"/>
    <n v="0"/>
    <n v="1.92899"/>
    <n v="1.92899"/>
    <n v="0"/>
    <n v="1.49031"/>
    <n v="3.3868800000000001"/>
    <n v="927901000"/>
    <n v="0"/>
    <n v="0"/>
    <n v="0"/>
    <n v="0"/>
    <n v="4990770"/>
    <n v="162680"/>
    <n v="0"/>
    <n v="34"/>
    <x v="34"/>
    <n v="1.2439432367591056E-12"/>
    <n v="2.6242237062714007E-12"/>
  </r>
  <r>
    <n v="83.677599999999998"/>
    <n v="85.138999999999996"/>
    <n v="2.62514"/>
    <n v="0"/>
    <n v="0.04"/>
    <n v="3.1734399999999998"/>
    <n v="3.1734399999999998"/>
    <n v="0"/>
    <n v="0.59469099999999997"/>
    <n v="5.3222399999999999"/>
    <n v="207750000"/>
    <n v="0"/>
    <n v="0"/>
    <n v="0"/>
    <n v="0"/>
    <n v="4744210"/>
    <n v="326235"/>
    <n v="0"/>
    <n v="99.302199999999999"/>
    <n v="98.274000000000001"/>
    <n v="4.1080699999999997"/>
    <n v="0"/>
    <n v="0"/>
    <n v="1.92903"/>
    <n v="1.92903"/>
    <n v="0"/>
    <n v="1.49034"/>
    <n v="3.3868800000000001"/>
    <n v="928063000"/>
    <n v="0"/>
    <n v="0"/>
    <n v="0"/>
    <n v="0"/>
    <n v="4990860"/>
    <n v="162683"/>
    <n v="0"/>
    <n v="35"/>
    <x v="34"/>
    <n v="1.2439437440572913E-12"/>
    <n v="2.6242221872318767E-12"/>
  </r>
  <r>
    <n v="82.943600000000004"/>
    <n v="85.138999999999996"/>
    <n v="2.5836999999999999"/>
    <n v="0"/>
    <n v="0.04"/>
    <n v="3.24756"/>
    <n v="3.24756"/>
    <n v="0"/>
    <n v="0.59470199999999995"/>
    <n v="5.3222399999999999"/>
    <n v="208084000"/>
    <n v="0"/>
    <n v="0"/>
    <n v="0"/>
    <n v="0"/>
    <n v="4855010"/>
    <n v="333855"/>
    <n v="0"/>
    <n v="99.2667"/>
    <n v="98.274000000000001"/>
    <n v="3.90062"/>
    <n v="0"/>
    <n v="0"/>
    <n v="1.9762"/>
    <n v="1.9762"/>
    <n v="0"/>
    <n v="1.49037"/>
    <n v="3.3868800000000001"/>
    <n v="928230000"/>
    <n v="0"/>
    <n v="0"/>
    <n v="0"/>
    <n v="0"/>
    <n v="5112910"/>
    <n v="166661"/>
    <n v="0"/>
    <n v="36"/>
    <x v="34"/>
    <n v="1.2439410236130358E-12"/>
    <n v="2.6242288845005173E-12"/>
  </r>
  <r>
    <n v="82.358000000000004"/>
    <n v="85.138999999999996"/>
    <n v="2.4639600000000002"/>
    <n v="0.01"/>
    <n v="0.04"/>
    <n v="2.9452199999999999"/>
    <n v="3.24762"/>
    <n v="0"/>
    <n v="0.60859200000000002"/>
    <n v="5.3222399999999999"/>
    <n v="208009000"/>
    <n v="0"/>
    <n v="0"/>
    <n v="0"/>
    <n v="0"/>
    <n v="4403020"/>
    <n v="-74677.3"/>
    <n v="408539"/>
    <n v="99.119100000000003"/>
    <n v="98.274000000000001"/>
    <n v="3.9077700000000002"/>
    <n v="0"/>
    <n v="0"/>
    <n v="2.2786400000000002"/>
    <n v="1.97624"/>
    <n v="0"/>
    <n v="1.52681"/>
    <n v="3.3868800000000001"/>
    <n v="929179000"/>
    <n v="0"/>
    <n v="0"/>
    <n v="0"/>
    <n v="0"/>
    <n v="5895380"/>
    <n v="949045"/>
    <n v="0"/>
    <n v="37"/>
    <x v="34"/>
    <n v="6.1434023146658472E-12"/>
    <n v="-6.4724976963718035E-13"/>
  </r>
  <r>
    <n v="81.505099999999999"/>
    <n v="85.138999999999996"/>
    <n v="2.1861799999999998"/>
    <n v="0.01"/>
    <n v="0.04"/>
    <n v="2.9452799999999999"/>
    <n v="3.2476799999999999"/>
    <n v="0"/>
    <n v="0.55193300000000001"/>
    <n v="5.3222399999999999"/>
    <n v="207935000"/>
    <n v="0"/>
    <n v="0"/>
    <n v="0"/>
    <n v="0"/>
    <n v="4403110"/>
    <n v="-74671.199999999997"/>
    <n v="408539"/>
    <n v="98.922700000000006"/>
    <n v="98.274000000000001"/>
    <n v="3.5618500000000002"/>
    <n v="0"/>
    <n v="0"/>
    <n v="2.27868"/>
    <n v="1.97628"/>
    <n v="0"/>
    <n v="1.76048"/>
    <n v="3.3868800000000001"/>
    <n v="930128000"/>
    <n v="0"/>
    <n v="0"/>
    <n v="0"/>
    <n v="0"/>
    <n v="5895480"/>
    <n v="949048"/>
    <n v="0"/>
    <n v="38"/>
    <x v="34"/>
    <n v="6.1433175287814189E-12"/>
    <n v="-6.4718367040386955E-13"/>
  </r>
  <r>
    <n v="80.467699999999994"/>
    <n v="85.138999999999996"/>
    <n v="1.98081"/>
    <n v="0.01"/>
    <n v="0.04"/>
    <n v="2.9453299999999998"/>
    <n v="3.2477299999999998"/>
    <n v="0"/>
    <n v="0.55194500000000002"/>
    <n v="5.3222399999999999"/>
    <n v="207860000"/>
    <n v="0"/>
    <n v="0"/>
    <n v="0"/>
    <n v="0"/>
    <n v="4403200"/>
    <n v="-74665.100000000006"/>
    <n v="408539"/>
    <n v="98.713800000000006"/>
    <n v="98.274000000000001"/>
    <n v="3.48447"/>
    <n v="0"/>
    <n v="0"/>
    <n v="2.2787099999999998"/>
    <n v="1.97631"/>
    <n v="0"/>
    <n v="1.7605"/>
    <n v="3.3868800000000001"/>
    <n v="931077000"/>
    <n v="0"/>
    <n v="0"/>
    <n v="0"/>
    <n v="0"/>
    <n v="5895570"/>
    <n v="949051"/>
    <n v="0"/>
    <n v="39"/>
    <x v="34"/>
    <n v="6.1432431658560254E-12"/>
    <n v="-6.4711757387265338E-13"/>
  </r>
  <r>
    <n v="78.796199999999999"/>
    <n v="85.138999999999996"/>
    <n v="1.5182199999999999"/>
    <n v="0.01"/>
    <n v="0.04"/>
    <n v="3.1623000000000001"/>
    <n v="3.4647000000000001"/>
    <n v="0"/>
    <n v="0.551956"/>
    <n v="5.3222399999999999"/>
    <n v="207808000"/>
    <n v="0"/>
    <n v="0"/>
    <n v="0"/>
    <n v="0"/>
    <n v="4727560"/>
    <n v="-52360.6"/>
    <n v="408539"/>
    <n v="98.459100000000007"/>
    <n v="98.274000000000001"/>
    <n v="3.3953500000000001"/>
    <n v="0"/>
    <n v="0"/>
    <n v="2.4489000000000001"/>
    <n v="2.1465000000000001"/>
    <n v="0"/>
    <n v="1.7605299999999999"/>
    <n v="3.3868800000000001"/>
    <n v="932040000"/>
    <n v="0"/>
    <n v="0"/>
    <n v="0"/>
    <n v="0"/>
    <n v="6335890"/>
    <n v="963404"/>
    <n v="0"/>
    <n v="40"/>
    <x v="34"/>
    <n v="5.8027621792991745E-12"/>
    <n v="-4.2267009395316368E-13"/>
  </r>
  <r>
    <n v="76.881399999999999"/>
    <n v="85.138999999999996"/>
    <n v="1.2632699999999999"/>
    <n v="0.01"/>
    <n v="0.04"/>
    <n v="3.1623600000000001"/>
    <n v="3.4647600000000001"/>
    <n v="0"/>
    <n v="0.592615"/>
    <n v="5.3222399999999999"/>
    <n v="207755000"/>
    <n v="0"/>
    <n v="0"/>
    <n v="0"/>
    <n v="0"/>
    <n v="4727650"/>
    <n v="-52354.1"/>
    <n v="408539"/>
    <n v="98.104900000000001"/>
    <n v="98.274000000000001"/>
    <n v="3.2553399999999999"/>
    <n v="0"/>
    <n v="0"/>
    <n v="2.4489399999999999"/>
    <n v="2.1465399999999999"/>
    <n v="0"/>
    <n v="1.89202"/>
    <n v="3.3868800000000001"/>
    <n v="933004000"/>
    <n v="0"/>
    <n v="0"/>
    <n v="0"/>
    <n v="0"/>
    <n v="6336000"/>
    <n v="963407"/>
    <n v="0"/>
    <n v="41"/>
    <x v="34"/>
    <n v="5.8026795061466824E-12"/>
    <n v="-4.2260957870271676E-13"/>
  </r>
  <r>
    <n v="74.955799999999996"/>
    <n v="85.138999999999996"/>
    <n v="1.2299599999999999"/>
    <n v="0.02"/>
    <n v="0.04"/>
    <n v="3.1624300000000001"/>
    <n v="3.4648300000000001"/>
    <n v="0"/>
    <n v="0.59262700000000001"/>
    <n v="5.3222399999999999"/>
    <n v="207703000"/>
    <n v="0"/>
    <n v="0"/>
    <n v="0"/>
    <n v="0"/>
    <n v="4727750"/>
    <n v="-52347.6"/>
    <n v="408539"/>
    <n v="97.708500000000001"/>
    <n v="98.274000000000001"/>
    <n v="3.0874799999999998"/>
    <n v="0"/>
    <n v="0"/>
    <n v="2.4489800000000002"/>
    <n v="2.1465800000000002"/>
    <n v="0"/>
    <n v="1.89205"/>
    <n v="3.3868800000000001"/>
    <n v="933967000"/>
    <n v="0"/>
    <n v="0"/>
    <n v="0"/>
    <n v="0"/>
    <n v="6336100"/>
    <n v="963411"/>
    <n v="0"/>
    <n v="42"/>
    <x v="34"/>
    <n v="5.8026120168462335E-12"/>
    <n v="-4.2254817199271941E-13"/>
  </r>
  <r>
    <n v="73.561000000000007"/>
    <n v="85.138999999999996"/>
    <n v="1.75867"/>
    <n v="0.02"/>
    <n v="0.04"/>
    <n v="3.16249"/>
    <n v="3.46489"/>
    <n v="0"/>
    <n v="0.59263900000000003"/>
    <n v="5.3222399999999999"/>
    <n v="207651000"/>
    <n v="0"/>
    <n v="0"/>
    <n v="0"/>
    <n v="0"/>
    <n v="4727840"/>
    <n v="-52341.1"/>
    <n v="408539"/>
    <n v="97.405100000000004"/>
    <n v="98.274000000000001"/>
    <n v="3.5943399999999999"/>
    <n v="0"/>
    <n v="0"/>
    <n v="2.44902"/>
    <n v="2.14662"/>
    <n v="0"/>
    <n v="1.89208"/>
    <n v="3.3868800000000001"/>
    <n v="934931000"/>
    <n v="0"/>
    <n v="0"/>
    <n v="0"/>
    <n v="0"/>
    <n v="6336200"/>
    <n v="963414"/>
    <n v="0"/>
    <n v="43"/>
    <x v="34"/>
    <n v="5.8025385067840277E-12"/>
    <n v="-4.2248766149515631E-13"/>
  </r>
  <r>
    <n v="72.571100000000001"/>
    <n v="85.138999999999996"/>
    <n v="2.2342499999999998"/>
    <n v="0.02"/>
    <n v="0.04"/>
    <n v="3.16255"/>
    <n v="3.46495"/>
    <n v="0"/>
    <n v="0.59265100000000004"/>
    <n v="5.3222399999999999"/>
    <n v="207598000"/>
    <n v="0"/>
    <n v="0"/>
    <n v="0"/>
    <n v="0"/>
    <n v="4727940"/>
    <n v="-52334.6"/>
    <n v="408539"/>
    <n v="97.2654"/>
    <n v="98.274000000000001"/>
    <n v="3.83317"/>
    <n v="0"/>
    <n v="0"/>
    <n v="2.4490599999999998"/>
    <n v="2.1466599999999998"/>
    <n v="0"/>
    <n v="1.89211"/>
    <n v="3.3868800000000001"/>
    <n v="935894000"/>
    <n v="0"/>
    <n v="0"/>
    <n v="0"/>
    <n v="0"/>
    <n v="6336300"/>
    <n v="963417"/>
    <n v="0"/>
    <n v="44"/>
    <x v="34"/>
    <n v="5.8024649990421046E-12"/>
    <n v="-4.2242625983154191E-13"/>
  </r>
  <r>
    <n v="70.407499999999999"/>
    <n v="85.138999999999996"/>
    <n v="0.863062"/>
    <n v="0.02"/>
    <n v="0.04"/>
    <n v="3.0569000000000002"/>
    <n v="3.3593000000000002"/>
    <n v="0"/>
    <n v="0.59266300000000005"/>
    <n v="5.3222399999999999"/>
    <n v="207535000"/>
    <n v="0"/>
    <n v="0"/>
    <n v="0"/>
    <n v="0"/>
    <n v="4569980"/>
    <n v="-63196.5"/>
    <n v="408539"/>
    <n v="96.690600000000003"/>
    <n v="98.274000000000001"/>
    <n v="2.2704499999999999"/>
    <n v="0"/>
    <n v="0"/>
    <n v="2.3458100000000002"/>
    <n v="2.0434100000000002"/>
    <n v="0"/>
    <n v="1.8921399999999999"/>
    <n v="3.3868800000000001"/>
    <n v="936849000"/>
    <n v="0"/>
    <n v="0"/>
    <n v="0"/>
    <n v="0"/>
    <n v="6069170"/>
    <n v="954710"/>
    <n v="0"/>
    <n v="45"/>
    <x v="34"/>
    <n v="6.0031075543522173E-12"/>
    <n v="-5.2773109247880378E-13"/>
  </r>
  <r>
    <n v="68.306600000000003"/>
    <n v="85.138999999999996"/>
    <n v="0.95758399999999999"/>
    <n v="0.02"/>
    <n v="0.04"/>
    <n v="3.0569600000000001"/>
    <n v="3.3593600000000001"/>
    <n v="0"/>
    <n v="0.57286199999999998"/>
    <n v="5.3222399999999999"/>
    <n v="207472000"/>
    <n v="0"/>
    <n v="0"/>
    <n v="0"/>
    <n v="0"/>
    <n v="4570070"/>
    <n v="-63190.2"/>
    <n v="408539"/>
    <n v="96.149000000000001"/>
    <n v="98.274000000000001"/>
    <n v="2.0794999999999999"/>
    <n v="0"/>
    <n v="0"/>
    <n v="2.34585"/>
    <n v="2.04345"/>
    <n v="0"/>
    <n v="1.81237"/>
    <n v="3.3868800000000001"/>
    <n v="937804000"/>
    <n v="0"/>
    <n v="0"/>
    <n v="0"/>
    <n v="0"/>
    <n v="6069270"/>
    <n v="954713"/>
    <n v="0"/>
    <n v="46"/>
    <x v="34"/>
    <n v="6.0030275078211008E-12"/>
    <n v="-5.2766809170114816E-13"/>
  </r>
  <r>
    <n v="66.514200000000002"/>
    <n v="85.138999999999996"/>
    <n v="1.27521"/>
    <n v="0.02"/>
    <n v="0.04"/>
    <n v="3.0570200000000001"/>
    <n v="3.3594200000000001"/>
    <n v="0"/>
    <n v="0.57287399999999999"/>
    <n v="5.3222399999999999"/>
    <n v="207409000"/>
    <n v="0"/>
    <n v="0"/>
    <n v="0"/>
    <n v="0"/>
    <n v="4570160"/>
    <n v="-63183.8"/>
    <n v="408539"/>
    <n v="95.736999999999995"/>
    <n v="98.274000000000001"/>
    <n v="2.8545699999999998"/>
    <n v="0"/>
    <n v="0"/>
    <n v="2.3458899999999998"/>
    <n v="2.0434899999999998"/>
    <n v="0"/>
    <n v="1.8124"/>
    <n v="3.3868800000000001"/>
    <n v="938758000"/>
    <n v="0"/>
    <n v="0"/>
    <n v="0"/>
    <n v="0"/>
    <n v="6069370"/>
    <n v="954716"/>
    <n v="0"/>
    <n v="47"/>
    <x v="34"/>
    <n v="6.0029474639277074E-12"/>
    <n v="-5.2760425837392953E-13"/>
  </r>
  <r>
    <n v="65.096199999999996"/>
    <n v="85.138999999999996"/>
    <n v="1.7201299999999999"/>
    <n v="0.02"/>
    <n v="0.04"/>
    <n v="3.05708"/>
    <n v="3.35948"/>
    <n v="0"/>
    <n v="0.57288499999999998"/>
    <n v="5.3222399999999999"/>
    <n v="207345000"/>
    <n v="0"/>
    <n v="0"/>
    <n v="0"/>
    <n v="0"/>
    <n v="4570260"/>
    <n v="-63177.5"/>
    <n v="408539"/>
    <n v="95.556600000000003"/>
    <n v="98.274000000000001"/>
    <n v="3.93452"/>
    <n v="0"/>
    <n v="0"/>
    <n v="2.34592"/>
    <n v="2.04352"/>
    <n v="0"/>
    <n v="1.81243"/>
    <n v="3.3868800000000001"/>
    <n v="939713000"/>
    <n v="0"/>
    <n v="0"/>
    <n v="0"/>
    <n v="0"/>
    <n v="6069460"/>
    <n v="954719"/>
    <n v="0"/>
    <n v="48"/>
    <x v="34"/>
    <n v="6.0028773129544372E-12"/>
    <n v="-5.2754010828368195E-13"/>
  </r>
  <r>
    <n v="64.266199999999998"/>
    <n v="85.138999999999996"/>
    <n v="2.26301"/>
    <n v="0.02"/>
    <n v="0.04"/>
    <n v="2.9703599999999999"/>
    <n v="3.2727599999999999"/>
    <n v="0"/>
    <n v="0.57289699999999999"/>
    <n v="5.3222399999999999"/>
    <n v="207273000"/>
    <n v="0"/>
    <n v="0"/>
    <n v="0"/>
    <n v="0"/>
    <n v="4440610"/>
    <n v="-72092.899999999994"/>
    <n v="408539"/>
    <n v="95.302999999999997"/>
    <n v="98.274000000000001"/>
    <n v="3.28877"/>
    <n v="0"/>
    <n v="0"/>
    <n v="2.2519399999999998"/>
    <n v="1.9495400000000001"/>
    <n v="0"/>
    <n v="1.81246"/>
    <n v="3.3868800000000001"/>
    <n v="940660000"/>
    <n v="0"/>
    <n v="0"/>
    <n v="0"/>
    <n v="0"/>
    <n v="5826300"/>
    <n v="946793"/>
    <n v="0"/>
    <n v="49"/>
    <x v="34"/>
    <n v="6.2014914704338355E-12"/>
    <n v="-6.1956063821341006E-13"/>
  </r>
  <r>
    <n v="64.095399999999998"/>
    <n v="85.138999999999996"/>
    <n v="2.9414099999999999"/>
    <n v="0.02"/>
    <n v="0.04"/>
    <n v="2.9704199999999998"/>
    <n v="3.2728199999999998"/>
    <n v="0"/>
    <n v="0.55664499999999995"/>
    <n v="5.3222399999999999"/>
    <n v="207201000"/>
    <n v="0"/>
    <n v="0"/>
    <n v="0"/>
    <n v="0"/>
    <n v="4440700"/>
    <n v="-72086.7"/>
    <n v="408539"/>
    <n v="95.147499999999994"/>
    <n v="98.274000000000001"/>
    <n v="3.7050200000000002"/>
    <n v="0"/>
    <n v="0"/>
    <n v="2.25197"/>
    <n v="1.94957"/>
    <n v="0"/>
    <n v="1.7398499999999999"/>
    <n v="3.3868800000000001"/>
    <n v="941607000"/>
    <n v="0"/>
    <n v="0"/>
    <n v="0"/>
    <n v="0"/>
    <n v="5826390"/>
    <n v="946796"/>
    <n v="0"/>
    <n v="50"/>
    <x v="34"/>
    <n v="6.2014153259452564E-12"/>
    <n v="-6.1949480030537643E-13"/>
  </r>
  <r>
    <n v="64.184399999999997"/>
    <n v="85.138999999999996"/>
    <n v="3.2054900000000002"/>
    <n v="0.02"/>
    <n v="0.04"/>
    <n v="2.9704799999999998"/>
    <n v="3.2728799999999998"/>
    <n v="0"/>
    <n v="0.55665600000000004"/>
    <n v="5.3222399999999999"/>
    <n v="207129000"/>
    <n v="0"/>
    <n v="0"/>
    <n v="0"/>
    <n v="0"/>
    <n v="4440790"/>
    <n v="-72080.600000000006"/>
    <n v="408539"/>
    <n v="95.563599999999994"/>
    <n v="98.274000000000001"/>
    <n v="5.0757700000000003"/>
    <n v="0"/>
    <n v="0"/>
    <n v="2.2520099999999998"/>
    <n v="1.9496100000000001"/>
    <n v="0"/>
    <n v="1.73987"/>
    <n v="3.3868800000000001"/>
    <n v="942553000"/>
    <n v="0"/>
    <n v="0"/>
    <n v="0"/>
    <n v="0"/>
    <n v="5826480"/>
    <n v="946799"/>
    <n v="0"/>
    <n v="51"/>
    <x v="34"/>
    <n v="6.201339183809044E-12"/>
    <n v="-6.1942982442317018E-13"/>
  </r>
  <r>
    <n v="63.872900000000001"/>
    <n v="85.138999999999996"/>
    <n v="2.8255300000000001"/>
    <n v="0.02"/>
    <n v="0.04"/>
    <n v="2.9705400000000002"/>
    <n v="3.2729400000000002"/>
    <n v="0"/>
    <n v="0.55666700000000002"/>
    <n v="5.3222399999999999"/>
    <n v="207057000"/>
    <n v="0"/>
    <n v="0"/>
    <n v="0"/>
    <n v="0"/>
    <n v="4440880"/>
    <n v="-72074.399999999994"/>
    <n v="408539"/>
    <n v="95.9499"/>
    <n v="98.274000000000001"/>
    <n v="4.8276199999999996"/>
    <n v="0"/>
    <n v="0"/>
    <n v="2.25204"/>
    <n v="1.94964"/>
    <n v="0"/>
    <n v="1.7399"/>
    <n v="3.3868800000000001"/>
    <n v="943500000"/>
    <n v="0"/>
    <n v="0"/>
    <n v="0"/>
    <n v="0"/>
    <n v="5826570"/>
    <n v="946802"/>
    <n v="0"/>
    <n v="52"/>
    <x v="34"/>
    <n v="6.2012630440250869E-12"/>
    <n v="-6.1936399183481716E-13"/>
  </r>
  <r>
    <n v="63.959899999999998"/>
    <n v="85.138999999999996"/>
    <n v="3.1848200000000002"/>
    <n v="0.02"/>
    <n v="0.04"/>
    <n v="2.7241"/>
    <n v="3.0265"/>
    <n v="0"/>
    <n v="0.55667800000000001"/>
    <n v="5.3222399999999999"/>
    <n v="206960000"/>
    <n v="0"/>
    <n v="0"/>
    <n v="0"/>
    <n v="0"/>
    <n v="4072460"/>
    <n v="-97408.3"/>
    <n v="408539"/>
    <n v="96.309700000000007"/>
    <n v="98.274000000000001"/>
    <n v="5.0569699999999997"/>
    <n v="0"/>
    <n v="0"/>
    <n v="2.0562399999999998"/>
    <n v="1.7538400000000001"/>
    <n v="0"/>
    <n v="1.73993"/>
    <n v="3.3868800000000001"/>
    <n v="944430000"/>
    <n v="0"/>
    <n v="0"/>
    <n v="0"/>
    <n v="0"/>
    <n v="5319980"/>
    <n v="930289"/>
    <n v="0"/>
    <n v="1"/>
    <x v="35"/>
    <n v="3.2954847841010336E-12"/>
    <n v="-4.507653878600638E-13"/>
  </r>
  <r>
    <n v="63.401499999999999"/>
    <n v="85.138999999999996"/>
    <n v="2.5727500000000001"/>
    <n v="0.02"/>
    <n v="0.04"/>
    <n v="2.7241599999999999"/>
    <n v="3.0265599999999999"/>
    <n v="0"/>
    <n v="0.51049699999999998"/>
    <n v="5.3222399999999999"/>
    <n v="206862000"/>
    <n v="0"/>
    <n v="0"/>
    <n v="0"/>
    <n v="0"/>
    <n v="4072550"/>
    <n v="-97402.7"/>
    <n v="408539"/>
    <n v="96.747299999999996"/>
    <n v="98.274000000000001"/>
    <n v="5.8293299999999997"/>
    <n v="0"/>
    <n v="0"/>
    <n v="2.05627"/>
    <n v="1.75387"/>
    <n v="0"/>
    <n v="1.5886499999999999"/>
    <n v="3.3868800000000001"/>
    <n v="945361000"/>
    <n v="0"/>
    <n v="0"/>
    <n v="0"/>
    <n v="0"/>
    <n v="5320070"/>
    <n v="930292"/>
    <n v="0"/>
    <n v="2"/>
    <x v="35"/>
    <n v="3.2954396612659828E-12"/>
    <n v="-4.5072951240153265E-13"/>
  </r>
  <r>
    <n v="64.142700000000005"/>
    <n v="85.138999999999996"/>
    <n v="3.87121"/>
    <n v="0.03"/>
    <n v="0.04"/>
    <n v="2.7242099999999998"/>
    <n v="3.0266099999999998"/>
    <n v="0"/>
    <n v="0.51050700000000004"/>
    <n v="5.3222399999999999"/>
    <n v="206765000"/>
    <n v="0"/>
    <n v="0"/>
    <n v="0"/>
    <n v="0"/>
    <n v="4072630"/>
    <n v="-97397"/>
    <n v="408539"/>
    <n v="97.150599999999997"/>
    <n v="98.274000000000001"/>
    <n v="6.33575"/>
    <n v="0"/>
    <n v="0"/>
    <n v="2.0562999999999998"/>
    <n v="1.7539"/>
    <n v="0"/>
    <n v="1.5886800000000001"/>
    <n v="3.3868800000000001"/>
    <n v="946291000"/>
    <n v="0"/>
    <n v="0"/>
    <n v="0"/>
    <n v="0"/>
    <n v="5320150"/>
    <n v="930295"/>
    <n v="0"/>
    <n v="3"/>
    <x v="35"/>
    <n v="3.2954007341335897E-12"/>
    <n v="-4.5069428242948934E-13"/>
  </r>
  <r>
    <n v="65.180999999999997"/>
    <n v="85.138999999999996"/>
    <n v="4.1788699999999999"/>
    <n v="0.04"/>
    <n v="0.04"/>
    <n v="2.7242700000000002"/>
    <n v="3.0266700000000002"/>
    <n v="0"/>
    <n v="0.510517"/>
    <n v="5.3222399999999999"/>
    <n v="206668000"/>
    <n v="0"/>
    <n v="0"/>
    <n v="0"/>
    <n v="0"/>
    <n v="4072710"/>
    <n v="-97391.3"/>
    <n v="408539"/>
    <n v="97.835499999999996"/>
    <n v="98.274000000000001"/>
    <n v="6.6235099999999996"/>
    <n v="0"/>
    <n v="0"/>
    <n v="2.0563400000000001"/>
    <n v="1.7539400000000001"/>
    <n v="0"/>
    <n v="1.5887"/>
    <n v="3.3868800000000001"/>
    <n v="947221000"/>
    <n v="0"/>
    <n v="0"/>
    <n v="0"/>
    <n v="0"/>
    <n v="5320230"/>
    <n v="930297"/>
    <n v="0"/>
    <n v="4"/>
    <x v="35"/>
    <n v="3.2953582659071412E-12"/>
    <n v="-4.5065905384148662E-13"/>
  </r>
  <r>
    <n v="68.436300000000003"/>
    <n v="85.138999999999996"/>
    <n v="6.5577500000000004"/>
    <n v="0.04"/>
    <n v="0.04"/>
    <n v="2.7243200000000001"/>
    <n v="3.0267200000000001"/>
    <n v="0"/>
    <n v="0.51052799999999998"/>
    <n v="5.3222399999999999"/>
    <n v="206570000"/>
    <n v="0"/>
    <n v="0"/>
    <n v="0"/>
    <n v="0"/>
    <n v="4072790"/>
    <n v="-97385.600000000006"/>
    <n v="408539"/>
    <n v="99.302199999999999"/>
    <n v="98.274000000000001"/>
    <n v="8.2763500000000008"/>
    <n v="0"/>
    <n v="0"/>
    <n v="2.0563699999999998"/>
    <n v="1.75397"/>
    <n v="0"/>
    <n v="1.58873"/>
    <n v="3.3868800000000001"/>
    <n v="948152000"/>
    <n v="0"/>
    <n v="0"/>
    <n v="0"/>
    <n v="0"/>
    <n v="5320320"/>
    <n v="930300"/>
    <n v="0"/>
    <n v="5"/>
    <x v="35"/>
    <n v="3.2953131473326134E-12"/>
    <n v="-4.5062382663744279E-13"/>
  </r>
  <r>
    <n v="67.512200000000007"/>
    <n v="85.138999999999996"/>
    <n v="2.1953200000000002"/>
    <n v="0.04"/>
    <n v="0.04"/>
    <n v="2.8191899999999999"/>
    <n v="3.1215899999999999"/>
    <n v="0"/>
    <n v="0.51053800000000005"/>
    <n v="5.3222399999999999"/>
    <n v="206483000"/>
    <n v="0"/>
    <n v="0"/>
    <n v="0"/>
    <n v="0"/>
    <n v="4214620"/>
    <n v="-87632.7"/>
    <n v="408539"/>
    <n v="99.124799999999993"/>
    <n v="98.274000000000001"/>
    <n v="2.5291100000000002"/>
    <n v="0"/>
    <n v="0"/>
    <n v="2.1131099999999998"/>
    <n v="1.81071"/>
    <n v="0"/>
    <n v="1.5887500000000001"/>
    <n v="3.3868800000000001"/>
    <n v="949087000"/>
    <n v="0"/>
    <n v="0"/>
    <n v="0"/>
    <n v="0"/>
    <n v="5467120"/>
    <n v="935085"/>
    <n v="0"/>
    <n v="6"/>
    <x v="35"/>
    <n v="3.2233236040674968E-12"/>
    <n v="-3.9184940672986614E-13"/>
  </r>
  <r>
    <n v="67.475999999999999"/>
    <n v="85.138999999999996"/>
    <n v="3.1458699999999999"/>
    <n v="0.04"/>
    <n v="0.04"/>
    <n v="2.8192300000000001"/>
    <n v="3.1216300000000001"/>
    <n v="0"/>
    <n v="0.52831700000000004"/>
    <n v="5.3222399999999999"/>
    <n v="206395000"/>
    <n v="0"/>
    <n v="0"/>
    <n v="0"/>
    <n v="0"/>
    <n v="4214680"/>
    <n v="-87628.7"/>
    <n v="408539"/>
    <n v="99.141099999999994"/>
    <n v="98.274000000000001"/>
    <n v="3.0287099999999998"/>
    <n v="0"/>
    <n v="0"/>
    <n v="2.11313"/>
    <n v="1.81073"/>
    <n v="0"/>
    <n v="1.63259"/>
    <n v="3.3868800000000001"/>
    <n v="950022000"/>
    <n v="0"/>
    <n v="0"/>
    <n v="0"/>
    <n v="7883220"/>
    <n v="5467180"/>
    <n v="935087"/>
    <n v="0"/>
    <n v="7"/>
    <x v="35"/>
    <n v="3.0397177964305295E-11"/>
    <n v="-3.9182594264313337E-13"/>
  </r>
  <r>
    <n v="68.476600000000005"/>
    <n v="85.138999999999996"/>
    <n v="4.2303899999999999"/>
    <n v="0.04"/>
    <n v="0.04"/>
    <n v="2.8192699999999999"/>
    <n v="3.1216699999999999"/>
    <n v="0"/>
    <n v="0.52832400000000002"/>
    <n v="5.3222399999999999"/>
    <n v="206307000"/>
    <n v="0"/>
    <n v="0"/>
    <n v="0"/>
    <n v="0"/>
    <n v="4214740"/>
    <n v="-87624.7"/>
    <n v="408539"/>
    <n v="99.302199999999999"/>
    <n v="98.274000000000001"/>
    <n v="3.7899099999999999"/>
    <n v="0"/>
    <n v="0"/>
    <n v="2.1131600000000001"/>
    <n v="1.8107599999999999"/>
    <n v="0"/>
    <n v="1.6326099999999999"/>
    <n v="3.3868800000000001"/>
    <n v="950957000"/>
    <n v="0"/>
    <n v="0"/>
    <n v="0"/>
    <n v="0"/>
    <n v="5467240"/>
    <n v="935089"/>
    <n v="0"/>
    <n v="8"/>
    <x v="35"/>
    <n v="3.2232666436670349E-12"/>
    <n v="-3.9180247922445857E-13"/>
  </r>
  <r>
    <n v="74.183000000000007"/>
    <n v="85.138999999999996"/>
    <n v="8.9743600000000008"/>
    <n v="0.04"/>
    <n v="0.04"/>
    <n v="2.8193100000000002"/>
    <n v="3.1217100000000002"/>
    <n v="0"/>
    <n v="0.528331"/>
    <n v="5.3222399999999999"/>
    <n v="206220000"/>
    <n v="0"/>
    <n v="0"/>
    <n v="0"/>
    <n v="0"/>
    <n v="4214800"/>
    <n v="-87620.800000000003"/>
    <n v="408539"/>
    <n v="99.302199999999999"/>
    <n v="98.274000000000001"/>
    <n v="5.1289100000000003"/>
    <n v="0"/>
    <n v="0"/>
    <n v="2.1131799999999998"/>
    <n v="1.8107800000000001"/>
    <n v="0"/>
    <n v="1.63262"/>
    <n v="3.3868800000000001"/>
    <n v="951892000"/>
    <n v="0"/>
    <n v="0"/>
    <n v="0"/>
    <n v="0"/>
    <n v="5467300"/>
    <n v="935091"/>
    <n v="0"/>
    <n v="9"/>
    <x v="35"/>
    <n v="3.2232381644044586E-12"/>
    <n v="-3.9177946360447576E-13"/>
  </r>
  <r>
    <n v="78.247799999999998"/>
    <n v="85.138999999999996"/>
    <n v="7.9397799999999998"/>
    <n v="0.03"/>
    <n v="0.04"/>
    <n v="3.12384"/>
    <n v="3.42624"/>
    <n v="0"/>
    <n v="0.528339"/>
    <n v="5.3222399999999999"/>
    <n v="206163000"/>
    <n v="0"/>
    <n v="0"/>
    <n v="0"/>
    <n v="0"/>
    <n v="4670060"/>
    <n v="-56314.8"/>
    <n v="408539"/>
    <n v="99.302199999999999"/>
    <n v="98.274000000000001"/>
    <n v="4.8477699999999997"/>
    <n v="0"/>
    <n v="0"/>
    <n v="2.3261099999999999"/>
    <n v="2.0237099999999999"/>
    <n v="0"/>
    <n v="1.6326400000000001"/>
    <n v="3.3868800000000001"/>
    <n v="952845000"/>
    <n v="0"/>
    <n v="0"/>
    <n v="0"/>
    <n v="0"/>
    <n v="6018210"/>
    <n v="953049"/>
    <n v="0"/>
    <n v="10"/>
    <x v="35"/>
    <n v="2.9844157042371037E-12"/>
    <n v="-2.2725398648030963E-13"/>
  </r>
  <r>
    <n v="83.280100000000004"/>
    <n v="85.138999999999996"/>
    <n v="8.90442"/>
    <n v="0.03"/>
    <n v="0.04"/>
    <n v="3.1238800000000002"/>
    <n v="3.4262800000000002"/>
    <n v="0"/>
    <n v="0.58540700000000001"/>
    <n v="5.3222399999999999"/>
    <n v="206107000"/>
    <n v="0"/>
    <n v="0"/>
    <n v="0"/>
    <n v="0"/>
    <n v="4670120"/>
    <n v="-56310.400000000001"/>
    <n v="408539"/>
    <n v="99.302199999999999"/>
    <n v="98.274000000000001"/>
    <n v="6.0419799999999997"/>
    <n v="0"/>
    <n v="0"/>
    <n v="2.3261400000000001"/>
    <n v="2.0237400000000001"/>
    <n v="0"/>
    <n v="1.7971600000000001"/>
    <n v="3.3868800000000001"/>
    <n v="953798000"/>
    <n v="0"/>
    <n v="0"/>
    <n v="0"/>
    <n v="0"/>
    <n v="6018270"/>
    <n v="953051"/>
    <n v="0"/>
    <n v="11"/>
    <x v="35"/>
    <n v="2.9843922134970867E-12"/>
    <n v="-2.2723331117493789E-13"/>
  </r>
  <r>
    <n v="85.138999999999996"/>
    <n v="85.138999999999996"/>
    <n v="16.094899999999999"/>
    <n v="0.01"/>
    <n v="0.04"/>
    <n v="3.12392"/>
    <n v="3.42632"/>
    <n v="0"/>
    <n v="0.58541500000000002"/>
    <n v="5.3222399999999999"/>
    <n v="206051000"/>
    <n v="0"/>
    <n v="0"/>
    <n v="0"/>
    <n v="0"/>
    <n v="4670180"/>
    <n v="-56306.1"/>
    <n v="408539"/>
    <n v="99.302199999999999"/>
    <n v="98.274000000000001"/>
    <n v="8.8694900000000008"/>
    <n v="0"/>
    <n v="0"/>
    <n v="2.3261599999999998"/>
    <n v="2.0237599999999998"/>
    <n v="0"/>
    <n v="1.7971699999999999"/>
    <n v="3.3868800000000001"/>
    <n v="954751000"/>
    <n v="0"/>
    <n v="0"/>
    <n v="0"/>
    <n v="0"/>
    <n v="6018340"/>
    <n v="953053"/>
    <n v="0"/>
    <n v="12"/>
    <x v="35"/>
    <n v="2.9843637644349521E-12"/>
    <n v="-2.2721303993265441E-13"/>
  </r>
  <r>
    <n v="85.138999999999996"/>
    <n v="85.138999999999996"/>
    <n v="6.6616799999999996"/>
    <n v="0"/>
    <n v="0.04"/>
    <n v="3.4263599999999999"/>
    <n v="3.4263599999999999"/>
    <n v="0"/>
    <n v="0.58542300000000003"/>
    <n v="5.3222399999999999"/>
    <n v="206403000"/>
    <n v="0"/>
    <n v="0"/>
    <n v="0"/>
    <n v="0"/>
    <n v="5122330"/>
    <n v="352237"/>
    <n v="0"/>
    <n v="99.302199999999999"/>
    <n v="98.274000000000001"/>
    <n v="4.3354100000000004"/>
    <n v="0"/>
    <n v="0"/>
    <n v="2.02379"/>
    <n v="2.02379"/>
    <n v="0"/>
    <n v="1.7971900000000001"/>
    <n v="3.3868800000000001"/>
    <n v="954922000"/>
    <n v="0"/>
    <n v="0"/>
    <n v="0"/>
    <n v="0"/>
    <n v="5236020"/>
    <n v="170674"/>
    <n v="0"/>
    <n v="13"/>
    <x v="35"/>
    <n v="6.1429572754112749E-13"/>
    <n v="1.2959219450645317E-12"/>
  </r>
  <r>
    <n v="85.138999999999996"/>
    <n v="85.138999999999996"/>
    <n v="9.5829799999999992"/>
    <n v="0"/>
    <n v="0.04"/>
    <n v="2.9920900000000001"/>
    <n v="2.9920900000000001"/>
    <n v="0"/>
    <n v="0.64210100000000003"/>
    <n v="5.3222399999999999"/>
    <n v="206711000"/>
    <n v="0"/>
    <n v="0"/>
    <n v="0"/>
    <n v="0"/>
    <n v="4473100"/>
    <n v="307592"/>
    <n v="0"/>
    <n v="99.302199999999999"/>
    <n v="98.274000000000001"/>
    <n v="11.4095"/>
    <n v="0"/>
    <n v="0"/>
    <n v="1.73807"/>
    <n v="1.73807"/>
    <n v="0"/>
    <n v="1.56358"/>
    <n v="3.3868800000000001"/>
    <n v="955068000"/>
    <n v="0"/>
    <n v="0"/>
    <n v="0"/>
    <n v="0"/>
    <n v="4496800"/>
    <n v="146578"/>
    <n v="0"/>
    <n v="14"/>
    <x v="35"/>
    <n v="6.1429452402912481E-13"/>
    <n v="1.2959189879017618E-12"/>
  </r>
  <r>
    <n v="85.138999999999996"/>
    <n v="85.138999999999996"/>
    <n v="9.5918200000000002"/>
    <n v="0"/>
    <n v="0.04"/>
    <n v="2.9921199999999999"/>
    <n v="2.9921199999999999"/>
    <n v="0"/>
    <n v="0.56071700000000002"/>
    <n v="5.3222399999999999"/>
    <n v="207018000"/>
    <n v="0"/>
    <n v="0"/>
    <n v="0"/>
    <n v="0"/>
    <n v="4473150"/>
    <n v="307596"/>
    <n v="0"/>
    <n v="99.302199999999999"/>
    <n v="98.274000000000001"/>
    <n v="11.2159"/>
    <n v="0"/>
    <n v="0"/>
    <n v="1.7380899999999999"/>
    <n v="1.7380899999999999"/>
    <n v="0"/>
    <n v="1.34283"/>
    <n v="3.3868800000000001"/>
    <n v="955215000"/>
    <n v="0"/>
    <n v="0"/>
    <n v="0"/>
    <n v="0"/>
    <n v="4496860"/>
    <n v="146580"/>
    <n v="0"/>
    <n v="15"/>
    <x v="35"/>
    <n v="6.1429470941512562E-13"/>
    <n v="1.2959213546239311E-12"/>
  </r>
  <r>
    <n v="85.138999999999996"/>
    <n v="85.138999999999996"/>
    <n v="9.1297999999999995"/>
    <n v="0"/>
    <n v="0.04"/>
    <n v="2.9921600000000002"/>
    <n v="2.9921600000000002"/>
    <n v="0"/>
    <n v="0.560724"/>
    <n v="5.3222399999999999"/>
    <n v="207326000"/>
    <n v="0"/>
    <n v="0"/>
    <n v="0"/>
    <n v="0"/>
    <n v="4473210"/>
    <n v="307600"/>
    <n v="0"/>
    <n v="99.302199999999999"/>
    <n v="98.274000000000001"/>
    <n v="9.4419799999999992"/>
    <n v="0"/>
    <n v="0"/>
    <n v="1.73811"/>
    <n v="1.73811"/>
    <n v="0"/>
    <n v="1.3428500000000001"/>
    <n v="3.3868800000000001"/>
    <n v="955362000"/>
    <n v="0"/>
    <n v="0"/>
    <n v="0"/>
    <n v="0"/>
    <n v="4496910"/>
    <n v="146582"/>
    <n v="0"/>
    <n v="16"/>
    <x v="35"/>
    <n v="6.1429626083395826E-13"/>
    <n v="1.2959208242154302E-12"/>
  </r>
  <r>
    <n v="85.138999999999996"/>
    <n v="85.138999999999996"/>
    <n v="6.6947599999999996"/>
    <n v="0"/>
    <n v="0.04"/>
    <n v="2.9922"/>
    <n v="2.9922"/>
    <n v="0"/>
    <n v="0.56073099999999998"/>
    <n v="5.3222399999999999"/>
    <n v="207633000"/>
    <n v="0"/>
    <n v="0"/>
    <n v="0"/>
    <n v="0"/>
    <n v="4473260"/>
    <n v="307604"/>
    <n v="0"/>
    <n v="99.302199999999999"/>
    <n v="98.274000000000001"/>
    <n v="6.2808099999999998"/>
    <n v="0"/>
    <n v="0"/>
    <n v="1.73813"/>
    <n v="1.73813"/>
    <n v="0"/>
    <n v="1.34287"/>
    <n v="3.3868800000000001"/>
    <n v="955508000"/>
    <n v="0"/>
    <n v="0"/>
    <n v="0"/>
    <n v="0"/>
    <n v="4496970"/>
    <n v="146584"/>
    <n v="0"/>
    <n v="17"/>
    <x v="35"/>
    <n v="6.1429644619225135E-13"/>
    <n v="1.2959231908588751E-12"/>
  </r>
  <r>
    <n v="85.138999999999996"/>
    <n v="85.138999999999996"/>
    <n v="5.9333999999999998"/>
    <n v="0"/>
    <n v="0.04"/>
    <n v="2.9922399999999998"/>
    <n v="2.9922399999999998"/>
    <n v="0"/>
    <n v="0.56073799999999996"/>
    <n v="5.3222399999999999"/>
    <n v="207941000"/>
    <n v="0"/>
    <n v="0"/>
    <n v="0"/>
    <n v="0"/>
    <n v="4473320"/>
    <n v="307608"/>
    <n v="0"/>
    <n v="99.302199999999999"/>
    <n v="98.274000000000001"/>
    <n v="5.8494599999999997"/>
    <n v="0"/>
    <n v="0"/>
    <n v="1.7381599999999999"/>
    <n v="1.7381599999999999"/>
    <n v="0"/>
    <n v="1.3428800000000001"/>
    <n v="3.3868800000000001"/>
    <n v="955655000"/>
    <n v="0"/>
    <n v="0"/>
    <n v="0"/>
    <n v="0"/>
    <n v="4497020"/>
    <n v="146586"/>
    <n v="0"/>
    <n v="18"/>
    <x v="35"/>
    <n v="6.1429799755382495E-13"/>
    <n v="1.2959226604387878E-12"/>
  </r>
  <r>
    <n v="85.138999999999996"/>
    <n v="85.138999999999996"/>
    <n v="7.67828"/>
    <n v="0"/>
    <n v="0.04"/>
    <n v="3.1015999999999999"/>
    <n v="3.1015999999999999"/>
    <n v="0"/>
    <n v="0.56074500000000005"/>
    <n v="5.3222399999999999"/>
    <n v="208260000"/>
    <n v="0"/>
    <n v="0"/>
    <n v="0"/>
    <n v="0"/>
    <n v="4636820"/>
    <n v="318851"/>
    <n v="0"/>
    <n v="99.302199999999999"/>
    <n v="98.274000000000001"/>
    <n v="11.8866"/>
    <n v="0"/>
    <n v="0"/>
    <n v="1.80809"/>
    <n v="1.80809"/>
    <n v="0"/>
    <n v="1.3429"/>
    <n v="3.3868800000000001"/>
    <n v="955807000"/>
    <n v="0"/>
    <n v="0"/>
    <n v="0"/>
    <n v="0"/>
    <n v="4677950"/>
    <n v="152483"/>
    <n v="0"/>
    <n v="19"/>
    <x v="35"/>
    <n v="6.1429541928702914E-13"/>
    <n v="1.2959223231390647E-12"/>
  </r>
  <r>
    <n v="85.138999999999996"/>
    <n v="85.138999999999996"/>
    <n v="7.1726999999999999"/>
    <n v="0"/>
    <n v="0.04"/>
    <n v="3.1016400000000002"/>
    <n v="3.1016400000000002"/>
    <n v="0"/>
    <n v="0.58124100000000001"/>
    <n v="5.3222399999999999"/>
    <n v="208579000"/>
    <n v="0"/>
    <n v="0"/>
    <n v="0"/>
    <n v="0"/>
    <n v="4636880"/>
    <n v="318855"/>
    <n v="0"/>
    <n v="99.302199999999999"/>
    <n v="98.274000000000001"/>
    <n v="7.6674800000000003"/>
    <n v="0"/>
    <n v="0"/>
    <n v="1.8081100000000001"/>
    <n v="1.8081100000000001"/>
    <n v="0"/>
    <n v="1.39693"/>
    <n v="3.3868800000000001"/>
    <n v="955960000"/>
    <n v="0"/>
    <n v="0"/>
    <n v="0"/>
    <n v="0"/>
    <n v="4678010"/>
    <n v="152485"/>
    <n v="0"/>
    <n v="20"/>
    <x v="35"/>
    <n v="6.1429559748270987E-13"/>
    <n v="1.2959218114400943E-12"/>
  </r>
  <r>
    <n v="85.138999999999996"/>
    <n v="85.138999999999996"/>
    <n v="4.3720299999999996"/>
    <n v="0"/>
    <n v="0.04"/>
    <n v="3.10168"/>
    <n v="3.10168"/>
    <n v="0"/>
    <n v="0.58124799999999999"/>
    <n v="5.3222399999999999"/>
    <n v="208898000"/>
    <n v="0"/>
    <n v="0"/>
    <n v="0"/>
    <n v="0"/>
    <n v="4636940"/>
    <n v="318859"/>
    <n v="0"/>
    <n v="99.302199999999999"/>
    <n v="98.274000000000001"/>
    <n v="5.5449299999999999"/>
    <n v="0"/>
    <n v="0"/>
    <n v="1.80813"/>
    <n v="1.80813"/>
    <n v="0"/>
    <n v="1.3969400000000001"/>
    <n v="3.3868800000000001"/>
    <n v="956112000"/>
    <n v="0"/>
    <n v="0"/>
    <n v="0"/>
    <n v="0"/>
    <n v="4678060"/>
    <n v="152487"/>
    <n v="0"/>
    <n v="21"/>
    <x v="35"/>
    <n v="6.1429708881596747E-13"/>
    <n v="1.2959212997543663E-12"/>
  </r>
  <r>
    <n v="85.138999999999996"/>
    <n v="85.138999999999996"/>
    <n v="3.6822900000000001"/>
    <n v="0"/>
    <n v="0.04"/>
    <n v="3.1017199999999998"/>
    <n v="3.1017199999999998"/>
    <n v="0"/>
    <n v="0.58125499999999997"/>
    <n v="5.3222399999999999"/>
    <n v="209216000"/>
    <n v="0"/>
    <n v="0"/>
    <n v="0"/>
    <n v="0"/>
    <n v="4636990"/>
    <n v="318863"/>
    <n v="0"/>
    <n v="99.302199999999999"/>
    <n v="98.274000000000001"/>
    <n v="5.1718200000000003"/>
    <n v="0"/>
    <n v="0"/>
    <n v="1.8081499999999999"/>
    <n v="1.8081499999999999"/>
    <n v="0"/>
    <n v="1.39696"/>
    <n v="3.3868800000000001"/>
    <n v="956265000"/>
    <n v="0"/>
    <n v="0"/>
    <n v="0"/>
    <n v="0"/>
    <n v="4678120"/>
    <n v="152489"/>
    <n v="0"/>
    <n v="22"/>
    <x v="35"/>
    <n v="6.1429726698604528E-13"/>
    <n v="1.2959235828275839E-12"/>
  </r>
  <r>
    <n v="85.138999999999996"/>
    <n v="85.138999999999996"/>
    <n v="4.2527200000000001"/>
    <n v="0"/>
    <n v="0.04"/>
    <n v="3.0590099999999998"/>
    <n v="3.0590099999999998"/>
    <n v="0"/>
    <n v="0.58126199999999995"/>
    <n v="5.3222399999999999"/>
    <n v="209531000"/>
    <n v="0"/>
    <n v="0"/>
    <n v="0"/>
    <n v="0"/>
    <n v="4573140"/>
    <n v="314472"/>
    <n v="0"/>
    <n v="99.302199999999999"/>
    <n v="98.274000000000001"/>
    <n v="4.2832999999999997"/>
    <n v="0"/>
    <n v="0"/>
    <n v="1.78102"/>
    <n v="1.78102"/>
    <n v="0"/>
    <n v="1.3969800000000001"/>
    <n v="3.3868800000000001"/>
    <n v="956415000"/>
    <n v="0"/>
    <n v="0"/>
    <n v="0"/>
    <n v="0"/>
    <n v="4607930"/>
    <n v="150201"/>
    <n v="0"/>
    <n v="23"/>
    <x v="35"/>
    <n v="6.142969735450107E-13"/>
    <n v="1.2959221426351544E-12"/>
  </r>
  <r>
    <n v="85.138999999999996"/>
    <n v="85.138999999999996"/>
    <n v="3.73414"/>
    <n v="0"/>
    <n v="0.04"/>
    <n v="3.05905"/>
    <n v="3.05905"/>
    <n v="0"/>
    <n v="0.57325800000000005"/>
    <n v="5.3222399999999999"/>
    <n v="209845000"/>
    <n v="0"/>
    <n v="0"/>
    <n v="0"/>
    <n v="0"/>
    <n v="4573200"/>
    <n v="314476"/>
    <n v="0"/>
    <n v="99.302199999999999"/>
    <n v="98.274000000000001"/>
    <n v="3.7061600000000001"/>
    <n v="0"/>
    <n v="0"/>
    <n v="1.78104"/>
    <n v="1.78104"/>
    <n v="0"/>
    <n v="1.37602"/>
    <n v="3.3868800000000001"/>
    <n v="956565000"/>
    <n v="0"/>
    <n v="0"/>
    <n v="0"/>
    <n v="0"/>
    <n v="4607990"/>
    <n v="150203"/>
    <n v="0"/>
    <n v="24"/>
    <x v="35"/>
    <n v="6.1429715442819861E-13"/>
    <n v="1.2959216238133467E-12"/>
  </r>
  <r>
    <n v="85.074399999999997"/>
    <n v="85.138999999999996"/>
    <n v="3.30566"/>
    <n v="0"/>
    <n v="0.04"/>
    <n v="3.0590799999999998"/>
    <n v="3.0590799999999998"/>
    <n v="0"/>
    <n v="0.57326500000000002"/>
    <n v="5.3222399999999999"/>
    <n v="210160000"/>
    <n v="0"/>
    <n v="0"/>
    <n v="0"/>
    <n v="0"/>
    <n v="4573250"/>
    <n v="314480"/>
    <n v="0"/>
    <n v="99.302199999999999"/>
    <n v="98.274000000000001"/>
    <n v="3.2649400000000002"/>
    <n v="0"/>
    <n v="0"/>
    <n v="1.7810699999999999"/>
    <n v="1.7810699999999999"/>
    <n v="0"/>
    <n v="1.3760300000000001"/>
    <n v="3.3868800000000001"/>
    <n v="956715000"/>
    <n v="0"/>
    <n v="0"/>
    <n v="0"/>
    <n v="0"/>
    <n v="4608040"/>
    <n v="150204"/>
    <n v="0"/>
    <n v="25"/>
    <x v="35"/>
    <n v="6.1429457867048928E-13"/>
    <n v="1.2959239387035182E-12"/>
  </r>
  <r>
    <n v="84.724900000000005"/>
    <n v="85.138999999999996"/>
    <n v="2.9897100000000001"/>
    <n v="0"/>
    <n v="0.04"/>
    <n v="3.0591200000000001"/>
    <n v="3.0591200000000001"/>
    <n v="0"/>
    <n v="0.573272"/>
    <n v="5.3222399999999999"/>
    <n v="210474000"/>
    <n v="0"/>
    <n v="0"/>
    <n v="0"/>
    <n v="0"/>
    <n v="4573310"/>
    <n v="314484"/>
    <n v="0"/>
    <n v="99.302199999999999"/>
    <n v="98.274000000000001"/>
    <n v="2.9599199999999999"/>
    <n v="0"/>
    <n v="0"/>
    <n v="1.7810900000000001"/>
    <n v="1.7810900000000001"/>
    <n v="0"/>
    <n v="1.37605"/>
    <n v="3.3868800000000001"/>
    <n v="956865000"/>
    <n v="0"/>
    <n v="0"/>
    <n v="0"/>
    <n v="0"/>
    <n v="4608100"/>
    <n v="150206"/>
    <n v="0"/>
    <n v="26"/>
    <x v="35"/>
    <n v="6.1429475958054188E-13"/>
    <n v="1.2959234198706257E-12"/>
  </r>
  <r>
    <n v="84.3262"/>
    <n v="85.138999999999996"/>
    <n v="3.0343100000000001"/>
    <n v="0"/>
    <n v="0.04"/>
    <n v="3.2042799999999998"/>
    <n v="3.2042799999999998"/>
    <n v="0"/>
    <n v="0.57328000000000001"/>
    <n v="5.3222399999999999"/>
    <n v="210804000"/>
    <n v="0"/>
    <n v="0"/>
    <n v="0"/>
    <n v="0"/>
    <n v="4790310"/>
    <n v="329406"/>
    <n v="0"/>
    <n v="99.302199999999999"/>
    <n v="98.274000000000001"/>
    <n v="2.89"/>
    <n v="0"/>
    <n v="0"/>
    <n v="1.87741"/>
    <n v="1.87741"/>
    <n v="0"/>
    <n v="1.3760699999999999"/>
    <n v="3.3868800000000001"/>
    <n v="957024000"/>
    <n v="0"/>
    <n v="0"/>
    <n v="0"/>
    <n v="0"/>
    <n v="4857300"/>
    <n v="158329"/>
    <n v="0"/>
    <n v="27"/>
    <x v="35"/>
    <n v="6.142949794178886E-13"/>
    <n v="1.2959233371332128E-12"/>
  </r>
  <r>
    <n v="83.878299999999996"/>
    <n v="85.138999999999996"/>
    <n v="2.9335200000000001"/>
    <n v="0"/>
    <n v="0.04"/>
    <n v="3.2043200000000001"/>
    <n v="3.2043200000000001"/>
    <n v="0"/>
    <n v="0.60048199999999996"/>
    <n v="5.3222399999999999"/>
    <n v="211133000"/>
    <n v="0"/>
    <n v="0"/>
    <n v="0"/>
    <n v="0"/>
    <n v="4790370"/>
    <n v="329410"/>
    <n v="0"/>
    <n v="99.222499999999997"/>
    <n v="98.274000000000001"/>
    <n v="2.6690999999999998"/>
    <n v="0"/>
    <n v="0"/>
    <n v="1.8774299999999999"/>
    <n v="1.8774299999999999"/>
    <n v="0"/>
    <n v="1.45048"/>
    <n v="3.3868800000000001"/>
    <n v="957182000"/>
    <n v="0"/>
    <n v="0"/>
    <n v="0"/>
    <n v="0"/>
    <n v="4857360"/>
    <n v="158331"/>
    <n v="0"/>
    <n v="28"/>
    <x v="35"/>
    <n v="6.1429515103942135E-13"/>
    <n v="1.2959228418170762E-12"/>
  </r>
  <r>
    <n v="83.226500000000001"/>
    <n v="85.138999999999996"/>
    <n v="2.67597"/>
    <n v="0"/>
    <n v="0.04"/>
    <n v="3.2043599999999999"/>
    <n v="3.2043599999999999"/>
    <n v="0"/>
    <n v="0.60048900000000005"/>
    <n v="5.3222399999999999"/>
    <n v="211463000"/>
    <n v="0"/>
    <n v="0"/>
    <n v="0"/>
    <n v="0"/>
    <n v="4790430"/>
    <n v="329414"/>
    <n v="0"/>
    <n v="99.134"/>
    <n v="98.274000000000001"/>
    <n v="2.6488900000000002"/>
    <n v="0"/>
    <n v="0"/>
    <n v="1.8774500000000001"/>
    <n v="1.8774500000000001"/>
    <n v="0"/>
    <n v="1.4504999999999999"/>
    <n v="3.3868800000000001"/>
    <n v="957340000"/>
    <n v="0"/>
    <n v="0"/>
    <n v="0"/>
    <n v="0"/>
    <n v="4857420"/>
    <n v="158333"/>
    <n v="0"/>
    <n v="29"/>
    <x v="35"/>
    <n v="6.142953226567143E-13"/>
    <n v="1.2959223465133472E-12"/>
  </r>
  <r>
    <n v="82.784999999999997"/>
    <n v="85.138999999999996"/>
    <n v="2.6190899999999999"/>
    <n v="0.01"/>
    <n v="0.04"/>
    <n v="2.9020000000000001"/>
    <n v="3.2044000000000001"/>
    <n v="0"/>
    <n v="0.60049699999999995"/>
    <n v="5.3222399999999999"/>
    <n v="211383000"/>
    <n v="0"/>
    <n v="0"/>
    <n v="0"/>
    <n v="0"/>
    <n v="4338410"/>
    <n v="-79120.3"/>
    <n v="408539"/>
    <n v="98.962400000000002"/>
    <n v="98.274000000000001"/>
    <n v="2.6929099999999999"/>
    <n v="0"/>
    <n v="0"/>
    <n v="2.1798799999999998"/>
    <n v="1.87748"/>
    <n v="0"/>
    <n v="1.45052"/>
    <n v="3.3868800000000001"/>
    <n v="958281000"/>
    <n v="0"/>
    <n v="0"/>
    <n v="0"/>
    <n v="0"/>
    <n v="5639860"/>
    <n v="940716"/>
    <n v="0"/>
    <n v="30"/>
    <x v="35"/>
    <n v="3.1434143527607774E-12"/>
    <n v="-3.4369147301690831E-13"/>
  </r>
  <r>
    <n v="82.172399999999996"/>
    <n v="85.138999999999996"/>
    <n v="2.4350700000000001"/>
    <n v="0.01"/>
    <n v="0.04"/>
    <n v="2.90204"/>
    <n v="3.20444"/>
    <n v="0"/>
    <n v="0.54383400000000004"/>
    <n v="5.3222399999999999"/>
    <n v="211304000"/>
    <n v="0"/>
    <n v="0"/>
    <n v="0"/>
    <n v="0"/>
    <n v="4338470"/>
    <n v="-79116.2"/>
    <n v="408539"/>
    <n v="98.726600000000005"/>
    <n v="98.274000000000001"/>
    <n v="2.4647600000000001"/>
    <n v="0"/>
    <n v="0"/>
    <n v="2.1798999999999999"/>
    <n v="1.8774999999999999"/>
    <n v="0"/>
    <n v="1.6841699999999999"/>
    <n v="3.3868800000000001"/>
    <n v="959222000"/>
    <n v="0"/>
    <n v="0"/>
    <n v="0"/>
    <n v="0"/>
    <n v="5639920"/>
    <n v="940718"/>
    <n v="0"/>
    <n v="31"/>
    <x v="35"/>
    <n v="3.1433875946622877E-12"/>
    <n v="-3.4366891006098957E-13"/>
  </r>
  <r>
    <n v="81.389899999999997"/>
    <n v="85.138999999999996"/>
    <n v="2.2271999999999998"/>
    <n v="0.01"/>
    <n v="0.04"/>
    <n v="2.87338"/>
    <n v="3.17578"/>
    <n v="0"/>
    <n v="0.54384200000000005"/>
    <n v="5.3222399999999999"/>
    <n v="211222000"/>
    <n v="0"/>
    <n v="0"/>
    <n v="0"/>
    <n v="0"/>
    <n v="4295620"/>
    <n v="-82062.600000000006"/>
    <n v="408539"/>
    <n v="98.436300000000003"/>
    <n v="98.274000000000001"/>
    <n v="2.2132700000000001"/>
    <n v="0"/>
    <n v="0"/>
    <n v="2.23285"/>
    <n v="1.93045"/>
    <n v="0"/>
    <n v="1.6841900000000001"/>
    <n v="3.3868800000000001"/>
    <n v="960167000"/>
    <n v="0"/>
    <n v="0"/>
    <n v="0"/>
    <n v="0"/>
    <n v="5776920"/>
    <n v="945184"/>
    <n v="0"/>
    <n v="32"/>
    <x v="35"/>
    <n v="3.0834111074050504E-12"/>
    <n v="-3.6002349327612301E-13"/>
  </r>
  <r>
    <n v="80.424800000000005"/>
    <n v="85.138999999999996"/>
    <n v="2.0388099999999998"/>
    <n v="0.01"/>
    <n v="0.04"/>
    <n v="2.8734199999999999"/>
    <n v="3.1758199999999999"/>
    <n v="0"/>
    <n v="0.53847100000000003"/>
    <n v="5.3222399999999999"/>
    <n v="211140000"/>
    <n v="0"/>
    <n v="0"/>
    <n v="0"/>
    <n v="0"/>
    <n v="4295680"/>
    <n v="-82058.5"/>
    <n v="408539"/>
    <n v="98.073700000000002"/>
    <n v="98.274000000000001"/>
    <n v="2.2011599999999998"/>
    <n v="0"/>
    <n v="0"/>
    <n v="2.2328800000000002"/>
    <n v="1.93048"/>
    <n v="0"/>
    <n v="1.7251000000000001"/>
    <n v="3.3868800000000001"/>
    <n v="961112000"/>
    <n v="0"/>
    <n v="0"/>
    <n v="0"/>
    <n v="0"/>
    <n v="5776980"/>
    <n v="945186"/>
    <n v="0"/>
    <n v="33"/>
    <x v="35"/>
    <n v="3.0833856073444463E-12"/>
    <n v="-3.6000047744892445E-13"/>
  </r>
  <r>
    <n v="79.284099999999995"/>
    <n v="85.138999999999996"/>
    <n v="1.8437699999999999"/>
    <n v="0.01"/>
    <n v="0.04"/>
    <n v="2.8734500000000001"/>
    <n v="3.1758500000000001"/>
    <n v="0"/>
    <n v="0.53847800000000001"/>
    <n v="5.3222399999999999"/>
    <n v="211058000"/>
    <n v="0"/>
    <n v="0"/>
    <n v="0"/>
    <n v="0"/>
    <n v="4295740"/>
    <n v="-82054.5"/>
    <n v="408539"/>
    <n v="97.674199999999999"/>
    <n v="98.274000000000001"/>
    <n v="1.97637"/>
    <n v="0"/>
    <n v="0"/>
    <n v="2.2328999999999999"/>
    <n v="1.9305000000000001"/>
    <n v="0"/>
    <n v="1.72512"/>
    <n v="3.3868800000000001"/>
    <n v="962057000"/>
    <n v="0"/>
    <n v="0"/>
    <n v="0"/>
    <n v="0"/>
    <n v="5777050"/>
    <n v="945188"/>
    <n v="0"/>
    <n v="34"/>
    <x v="35"/>
    <n v="3.0833547705564347E-12"/>
    <n v="-3.599779009705263E-13"/>
  </r>
  <r>
    <n v="78.096500000000006"/>
    <n v="85.138999999999996"/>
    <n v="1.75108"/>
    <n v="0.01"/>
    <n v="0.04"/>
    <n v="2.8734899999999999"/>
    <n v="3.1758899999999999"/>
    <n v="0"/>
    <n v="0.53848499999999999"/>
    <n v="5.3222399999999999"/>
    <n v="210976000"/>
    <n v="0"/>
    <n v="0"/>
    <n v="0"/>
    <n v="0"/>
    <n v="4295800"/>
    <n v="-82050.399999999994"/>
    <n v="408539"/>
    <n v="96.963099999999997"/>
    <n v="98.274000000000001"/>
    <n v="1.94207"/>
    <n v="0"/>
    <n v="0"/>
    <n v="2.23292"/>
    <n v="1.93052"/>
    <n v="0"/>
    <n v="1.7251399999999999"/>
    <n v="3.3868800000000001"/>
    <n v="963003000"/>
    <n v="0"/>
    <n v="0"/>
    <n v="0"/>
    <n v="0"/>
    <n v="5777110"/>
    <n v="945190"/>
    <n v="0"/>
    <n v="35"/>
    <x v="35"/>
    <n v="3.0833292716547519E-12"/>
    <n v="-3.5995488642305158E-13"/>
  </r>
  <r>
    <n v="76.692099999999996"/>
    <n v="85.138999999999996"/>
    <n v="1.58656"/>
    <n v="0.02"/>
    <n v="0.04"/>
    <n v="2.9476499999999999"/>
    <n v="3.2500499999999999"/>
    <n v="0"/>
    <n v="0.538493"/>
    <n v="5.3222399999999999"/>
    <n v="210902000"/>
    <n v="0"/>
    <n v="0"/>
    <n v="0"/>
    <n v="0"/>
    <n v="4406670"/>
    <n v="-74426.7"/>
    <n v="408539"/>
    <n v="96.129000000000005"/>
    <n v="98.274000000000001"/>
    <n v="1.6557299999999999"/>
    <n v="0"/>
    <n v="0"/>
    <n v="2.2801200000000001"/>
    <n v="1.9777199999999999"/>
    <n v="0"/>
    <n v="1.72516"/>
    <n v="3.3868800000000001"/>
    <n v="963952000"/>
    <n v="0"/>
    <n v="0"/>
    <n v="0"/>
    <n v="0"/>
    <n v="5899220"/>
    <n v="949170"/>
    <n v="0"/>
    <n v="36"/>
    <x v="35"/>
    <n v="3.0322208881806415E-12"/>
    <n v="-3.1829488453001522E-13"/>
  </r>
  <r>
    <n v="75.228899999999996"/>
    <n v="85.138999999999996"/>
    <n v="1.5089900000000001"/>
    <n v="0.02"/>
    <n v="0.04"/>
    <n v="2.9476900000000001"/>
    <n v="3.2500900000000001"/>
    <n v="0"/>
    <n v="0.55239000000000005"/>
    <n v="5.3222399999999999"/>
    <n v="210827000"/>
    <n v="0"/>
    <n v="0"/>
    <n v="0"/>
    <n v="0"/>
    <n v="4406730"/>
    <n v="-74422.600000000006"/>
    <n v="408539"/>
    <n v="95.115099999999998"/>
    <n v="98.274000000000001"/>
    <n v="1.5766"/>
    <n v="0"/>
    <n v="0"/>
    <n v="2.2801499999999999"/>
    <n v="1.9777499999999999"/>
    <n v="0"/>
    <n v="1.76162"/>
    <n v="3.3868800000000001"/>
    <n v="964901000"/>
    <n v="0"/>
    <n v="0"/>
    <n v="0"/>
    <n v="0"/>
    <n v="5899280"/>
    <n v="949172"/>
    <n v="0"/>
    <n v="37"/>
    <x v="35"/>
    <n v="3.0321964374125886E-12"/>
    <n v="-3.1827301686123242E-13"/>
  </r>
  <r>
    <n v="73.648099999999999"/>
    <n v="85.138999999999996"/>
    <n v="1.37351"/>
    <n v="0.02"/>
    <n v="0.04"/>
    <n v="2.94773"/>
    <n v="3.25013"/>
    <n v="0"/>
    <n v="0.55239799999999994"/>
    <n v="5.3222399999999999"/>
    <n v="210753000"/>
    <n v="0"/>
    <n v="0"/>
    <n v="0"/>
    <n v="0"/>
    <n v="4406790"/>
    <n v="-74418.399999999994"/>
    <n v="408539"/>
    <n v="94.468900000000005"/>
    <n v="98.274000000000001"/>
    <n v="1.3827499999999999"/>
    <n v="0"/>
    <n v="0"/>
    <n v="2.28017"/>
    <n v="1.97777"/>
    <n v="0"/>
    <n v="1.7616400000000001"/>
    <n v="3.3868800000000001"/>
    <n v="965850000"/>
    <n v="0"/>
    <n v="0"/>
    <n v="0"/>
    <n v="0"/>
    <n v="5899350"/>
    <n v="949174"/>
    <n v="0"/>
    <n v="38"/>
    <x v="35"/>
    <n v="3.0321668473010872E-12"/>
    <n v="-3.1825072213733767E-13"/>
  </r>
  <r>
    <n v="72.257000000000005"/>
    <n v="85.138999999999996"/>
    <n v="1.5450299999999999"/>
    <n v="0.02"/>
    <n v="0.04"/>
    <n v="2.9477699999999998"/>
    <n v="3.2501699999999998"/>
    <n v="0"/>
    <n v="0.55240500000000003"/>
    <n v="5.3222399999999999"/>
    <n v="210678000"/>
    <n v="0"/>
    <n v="0"/>
    <n v="0"/>
    <n v="0"/>
    <n v="4406850"/>
    <n v="-74414.3"/>
    <n v="408539"/>
    <n v="93.747500000000002"/>
    <n v="98.274000000000001"/>
    <n v="1.8323400000000001"/>
    <n v="0"/>
    <n v="0"/>
    <n v="2.2801999999999998"/>
    <n v="1.9778"/>
    <n v="0"/>
    <n v="1.76166"/>
    <n v="3.3868800000000001"/>
    <n v="966799000"/>
    <n v="0"/>
    <n v="0"/>
    <n v="0"/>
    <n v="0"/>
    <n v="5899410"/>
    <n v="949176"/>
    <n v="0"/>
    <n v="39"/>
    <x v="35"/>
    <n v="3.0321423976214577E-12"/>
    <n v="-3.1822885566529715E-13"/>
  </r>
  <r>
    <n v="70.629300000000001"/>
    <n v="85.138999999999996"/>
    <n v="1.47834"/>
    <n v="0.02"/>
    <n v="0.04"/>
    <n v="3.1648800000000001"/>
    <n v="3.4672800000000001"/>
    <n v="0"/>
    <n v="0.55241300000000004"/>
    <n v="5.3222399999999999"/>
    <n v="210626000"/>
    <n v="0"/>
    <n v="0"/>
    <n v="0"/>
    <n v="0"/>
    <n v="4731420"/>
    <n v="-52095.1"/>
    <n v="408539"/>
    <n v="92.927899999999994"/>
    <n v="98.274000000000001"/>
    <n v="1.67333"/>
    <n v="0"/>
    <n v="0"/>
    <n v="2.4504999999999999"/>
    <n v="2.1480999999999999"/>
    <n v="0"/>
    <n v="1.7616799999999999"/>
    <n v="3.3868800000000001"/>
    <n v="967763000"/>
    <n v="0"/>
    <n v="0"/>
    <n v="0"/>
    <n v="0"/>
    <n v="6340030"/>
    <n v="963539"/>
    <n v="0"/>
    <n v="40"/>
    <x v="35"/>
    <n v="2.8641081259892879E-12"/>
    <n v="-2.074993780382103E-13"/>
  </r>
  <r>
    <n v="68.973399999999998"/>
    <n v="85.138999999999996"/>
    <n v="1.4550099999999999"/>
    <n v="0.02"/>
    <n v="0.04"/>
    <n v="3.16493"/>
    <n v="3.46733"/>
    <n v="0"/>
    <n v="0.59309900000000004"/>
    <n v="5.3222399999999999"/>
    <n v="210574000"/>
    <n v="0"/>
    <n v="0"/>
    <n v="0"/>
    <n v="0"/>
    <n v="4731480"/>
    <n v="-52090.7"/>
    <n v="408539"/>
    <n v="92.292900000000003"/>
    <n v="98.274000000000001"/>
    <n v="1.5390200000000001"/>
    <n v="0"/>
    <n v="0"/>
    <n v="2.4505300000000001"/>
    <n v="2.1481300000000001"/>
    <n v="0"/>
    <n v="1.8932599999999999"/>
    <n v="3.3868800000000001"/>
    <n v="968726000"/>
    <n v="0"/>
    <n v="0"/>
    <n v="0"/>
    <n v="0"/>
    <n v="6340100"/>
    <n v="963541"/>
    <n v="0"/>
    <n v="41"/>
    <x v="35"/>
    <n v="2.8640824487535211E-12"/>
    <n v="-2.0747922136828545E-13"/>
  </r>
  <r>
    <n v="67.421300000000002"/>
    <n v="85.138999999999996"/>
    <n v="1.56732"/>
    <n v="0.02"/>
    <n v="0.04"/>
    <n v="3.1649699999999998"/>
    <n v="3.4673699999999998"/>
    <n v="0"/>
    <n v="0.59310700000000005"/>
    <n v="5.3222399999999999"/>
    <n v="210522000"/>
    <n v="0"/>
    <n v="0"/>
    <n v="0"/>
    <n v="0"/>
    <n v="4731550"/>
    <n v="-52086.2"/>
    <n v="408539"/>
    <n v="91.408000000000001"/>
    <n v="98.274000000000001"/>
    <n v="1.8765700000000001"/>
    <n v="0"/>
    <n v="0"/>
    <n v="2.4505599999999998"/>
    <n v="2.1481599999999998"/>
    <n v="0"/>
    <n v="1.8932800000000001"/>
    <n v="3.3868800000000001"/>
    <n v="969690000"/>
    <n v="0"/>
    <n v="0"/>
    <n v="0"/>
    <n v="0"/>
    <n v="6340170"/>
    <n v="963543"/>
    <n v="0"/>
    <n v="42"/>
    <x v="35"/>
    <n v="2.8640567720847441E-12"/>
    <n v="-2.0745822845269837E-13"/>
  </r>
  <r>
    <n v="65.625500000000002"/>
    <n v="85.138999999999996"/>
    <n v="1.2997399999999999"/>
    <n v="0.02"/>
    <n v="0.04"/>
    <n v="3.1650100000000001"/>
    <n v="3.4674100000000001"/>
    <n v="0"/>
    <n v="0.59311499999999995"/>
    <n v="5.3222399999999999"/>
    <n v="210470000"/>
    <n v="0"/>
    <n v="0"/>
    <n v="0"/>
    <n v="0"/>
    <n v="4731610"/>
    <n v="-52081.8"/>
    <n v="408539"/>
    <n v="90.814400000000006"/>
    <n v="98.274000000000001"/>
    <n v="1.3309599999999999"/>
    <n v="0"/>
    <n v="0"/>
    <n v="2.45058"/>
    <n v="2.14818"/>
    <n v="0"/>
    <n v="1.8933"/>
    <n v="3.3868800000000001"/>
    <n v="970653000"/>
    <n v="0"/>
    <n v="0"/>
    <n v="0"/>
    <n v="0"/>
    <n v="6340240"/>
    <n v="963546"/>
    <n v="0"/>
    <n v="43"/>
    <x v="35"/>
    <n v="2.8640340683724962E-12"/>
    <n v="-2.0743807285837832E-13"/>
  </r>
  <r>
    <n v="64.142499999999998"/>
    <n v="85.138999999999996"/>
    <n v="1.59232"/>
    <n v="0.02"/>
    <n v="0.04"/>
    <n v="3.16506"/>
    <n v="3.46746"/>
    <n v="0"/>
    <n v="0.59312299999999996"/>
    <n v="5.3222399999999999"/>
    <n v="210418000"/>
    <n v="0"/>
    <n v="0"/>
    <n v="0"/>
    <n v="0"/>
    <n v="4731680"/>
    <n v="-52077.4"/>
    <n v="408539"/>
    <n v="90.291399999999996"/>
    <n v="98.274000000000001"/>
    <n v="2.47485"/>
    <n v="0"/>
    <n v="0"/>
    <n v="2.4506100000000002"/>
    <n v="2.1482100000000002"/>
    <n v="0"/>
    <n v="1.8933199999999999"/>
    <n v="3.3868800000000001"/>
    <n v="971617000"/>
    <n v="0"/>
    <n v="0"/>
    <n v="0"/>
    <n v="0"/>
    <n v="6340310"/>
    <n v="963548"/>
    <n v="0"/>
    <n v="44"/>
    <x v="35"/>
    <n v="2.8640083928048263E-12"/>
    <n v="-2.0741747941523893E-13"/>
  </r>
  <r>
    <n v="62.318600000000004"/>
    <n v="85.138999999999996"/>
    <n v="1.20966"/>
    <n v="0.02"/>
    <n v="0.04"/>
    <n v="3.0592999999999999"/>
    <n v="3.3616999999999999"/>
    <n v="0"/>
    <n v="0.59313099999999996"/>
    <n v="5.3222399999999999"/>
    <n v="210355000"/>
    <n v="0"/>
    <n v="0"/>
    <n v="0"/>
    <n v="0"/>
    <n v="4573580"/>
    <n v="-62949.2"/>
    <n v="408539"/>
    <n v="89.715800000000002"/>
    <n v="98.274000000000001"/>
    <n v="1.5601"/>
    <n v="0"/>
    <n v="0"/>
    <n v="2.34728"/>
    <n v="2.04488"/>
    <n v="0"/>
    <n v="1.89334"/>
    <n v="3.3868800000000001"/>
    <n v="972572000"/>
    <n v="0"/>
    <n v="0"/>
    <n v="0"/>
    <n v="0"/>
    <n v="6072960"/>
    <n v="954833"/>
    <n v="0"/>
    <n v="45"/>
    <x v="35"/>
    <n v="2.9630462078601277E-12"/>
    <n v="-2.5938529987791693E-13"/>
  </r>
  <r>
    <n v="60.363599999999998"/>
    <n v="85.138999999999996"/>
    <n v="1.0445899999999999"/>
    <n v="0.02"/>
    <n v="0.04"/>
    <n v="3.0593400000000002"/>
    <n v="3.3617400000000002"/>
    <n v="0"/>
    <n v="0.57331299999999996"/>
    <n v="5.3222399999999999"/>
    <n v="210292000"/>
    <n v="0"/>
    <n v="0"/>
    <n v="0"/>
    <n v="0"/>
    <n v="4573640"/>
    <n v="-62944.9"/>
    <n v="408539"/>
    <n v="89.088800000000006"/>
    <n v="98.274000000000001"/>
    <n v="2.4875099999999999"/>
    <n v="0"/>
    <n v="0"/>
    <n v="2.3473000000000002"/>
    <n v="2.0449000000000002"/>
    <n v="0"/>
    <n v="1.8134999999999999"/>
    <n v="3.3868800000000001"/>
    <n v="973527000"/>
    <n v="0"/>
    <n v="0"/>
    <n v="0"/>
    <n v="0"/>
    <n v="6073030"/>
    <n v="954835"/>
    <n v="0"/>
    <n v="46"/>
    <x v="35"/>
    <n v="2.9630182610348663E-12"/>
    <n v="-2.5936417896118328E-13"/>
  </r>
  <r>
    <n v="58.304900000000004"/>
    <n v="85.138999999999996"/>
    <n v="0.92044800000000004"/>
    <n v="0.02"/>
    <n v="0.04"/>
    <n v="3.05938"/>
    <n v="3.36178"/>
    <n v="0"/>
    <n v="0.57332099999999997"/>
    <n v="5.3222399999999999"/>
    <n v="210229000"/>
    <n v="0"/>
    <n v="0"/>
    <n v="0"/>
    <n v="0"/>
    <n v="4573700"/>
    <n v="-62940.6"/>
    <n v="408539"/>
    <n v="88.139099999999999"/>
    <n v="98.274000000000001"/>
    <n v="1.4647600000000001"/>
    <n v="0"/>
    <n v="0"/>
    <n v="2.3473299999999999"/>
    <n v="2.0449299999999999"/>
    <n v="0"/>
    <n v="1.81352"/>
    <n v="3.3868800000000001"/>
    <n v="974482000"/>
    <n v="0"/>
    <n v="0"/>
    <n v="0"/>
    <n v="0"/>
    <n v="6073090"/>
    <n v="954838"/>
    <n v="0"/>
    <n v="47"/>
    <x v="35"/>
    <n v="2.9629982968805133E-12"/>
    <n v="-2.5934305859859833E-13"/>
  </r>
  <r>
    <n v="56.249299999999998"/>
    <n v="85.138999999999996"/>
    <n v="0.89001699999999995"/>
    <n v="0.04"/>
    <n v="0.04"/>
    <n v="3.0594299999999999"/>
    <n v="3.3618299999999999"/>
    <n v="0"/>
    <n v="0.57332899999999998"/>
    <n v="5.3222399999999999"/>
    <n v="210166000"/>
    <n v="0"/>
    <n v="0"/>
    <n v="0"/>
    <n v="0"/>
    <n v="4573760"/>
    <n v="-62936.3"/>
    <n v="408539"/>
    <n v="87.506600000000006"/>
    <n v="98.274000000000001"/>
    <n v="1.3524"/>
    <n v="0"/>
    <n v="0"/>
    <n v="2.34735"/>
    <n v="2.04495"/>
    <n v="0"/>
    <n v="1.8135399999999999"/>
    <n v="3.3868800000000001"/>
    <n v="975436000"/>
    <n v="0"/>
    <n v="0"/>
    <n v="0"/>
    <n v="0"/>
    <n v="6073160"/>
    <n v="954840"/>
    <n v="0"/>
    <n v="48"/>
    <x v="35"/>
    <n v="2.9629703512057002E-12"/>
    <n v="-2.5932193879014039E-13"/>
  </r>
  <r>
    <n v="54.952399999999997"/>
    <n v="85.138999999999996"/>
    <n v="1.6869099999999999"/>
    <n v="0.03"/>
    <n v="0.04"/>
    <n v="2.97262"/>
    <n v="3.27502"/>
    <n v="0"/>
    <n v="0.57333599999999996"/>
    <n v="5.3222399999999999"/>
    <n v="210094000"/>
    <n v="0"/>
    <n v="0"/>
    <n v="0"/>
    <n v="0"/>
    <n v="4444000"/>
    <n v="-71859.8"/>
    <n v="408539"/>
    <n v="86.895200000000003"/>
    <n v="98.274000000000001"/>
    <n v="2.0570400000000002"/>
    <n v="0"/>
    <n v="0"/>
    <n v="2.2532899999999998"/>
    <n v="1.95089"/>
    <n v="0"/>
    <n v="1.8135600000000001"/>
    <n v="3.3868800000000001"/>
    <n v="976383000"/>
    <n v="0"/>
    <n v="0"/>
    <n v="0"/>
    <n v="0"/>
    <n v="5829790"/>
    <n v="946907"/>
    <n v="0"/>
    <n v="49"/>
    <x v="35"/>
    <n v="3.0610176991326746E-12"/>
    <n v="-3.0473573042960882E-13"/>
  </r>
  <r>
    <n v="53.712800000000001"/>
    <n v="85.138999999999996"/>
    <n v="1.69004"/>
    <n v="0.03"/>
    <n v="0.04"/>
    <n v="2.9726599999999999"/>
    <n v="3.2750599999999999"/>
    <n v="0"/>
    <n v="0.55706900000000004"/>
    <n v="5.3222399999999999"/>
    <n v="210022000"/>
    <n v="0"/>
    <n v="0"/>
    <n v="0"/>
    <n v="0"/>
    <n v="4444060"/>
    <n v="-71855.7"/>
    <n v="408539"/>
    <n v="86.366699999999994"/>
    <n v="98.274000000000001"/>
    <n v="1.46821"/>
    <n v="0"/>
    <n v="0"/>
    <n v="2.2533099999999999"/>
    <n v="1.9509099999999999"/>
    <n v="0"/>
    <n v="1.74089"/>
    <n v="3.3868800000000001"/>
    <n v="977330000"/>
    <n v="0"/>
    <n v="0"/>
    <n v="0"/>
    <n v="0"/>
    <n v="5829850"/>
    <n v="946909"/>
    <n v="0"/>
    <n v="50"/>
    <x v="35"/>
    <n v="3.0609926607979638E-12"/>
    <n v="-3.0471422951314744E-13"/>
  </r>
  <r>
    <n v="53.261699999999998"/>
    <n v="85.138999999999996"/>
    <n v="2.5274399999999999"/>
    <n v="0.05"/>
    <n v="0.04"/>
    <n v="2.9727000000000001"/>
    <n v="3.2751000000000001"/>
    <n v="0"/>
    <n v="0.55707700000000004"/>
    <n v="5.3222399999999999"/>
    <n v="209951000"/>
    <n v="0"/>
    <n v="0"/>
    <n v="0"/>
    <n v="0"/>
    <n v="4444120"/>
    <n v="-71851.5"/>
    <n v="408539"/>
    <n v="86.066599999999994"/>
    <n v="98.274000000000001"/>
    <n v="2.6107"/>
    <n v="0"/>
    <n v="0"/>
    <n v="2.2533400000000001"/>
    <n v="1.9509399999999999"/>
    <n v="0"/>
    <n v="1.74091"/>
    <n v="3.3868800000000001"/>
    <n v="978277000"/>
    <n v="0"/>
    <n v="0"/>
    <n v="0"/>
    <n v="0"/>
    <n v="5829920"/>
    <n v="946911"/>
    <n v="0"/>
    <n v="51"/>
    <x v="35"/>
    <n v="3.060962372533301E-12"/>
    <n v="-3.0469230511887565E-13"/>
  </r>
  <r>
    <n v="52.950200000000002"/>
    <n v="85.138999999999996"/>
    <n v="2.6989299999999998"/>
    <n v="0.04"/>
    <n v="0.04"/>
    <n v="2.9727399999999999"/>
    <n v="3.2751399999999999"/>
    <n v="0"/>
    <n v="0.55708500000000005"/>
    <n v="5.3222399999999999"/>
    <n v="209879000"/>
    <n v="0"/>
    <n v="0"/>
    <n v="0"/>
    <n v="0"/>
    <n v="4444180"/>
    <n v="-71847.3"/>
    <n v="408539"/>
    <n v="85.7226"/>
    <n v="98.274000000000001"/>
    <n v="3.0929600000000002"/>
    <n v="0"/>
    <n v="0"/>
    <n v="2.2533599999999998"/>
    <n v="1.95096"/>
    <n v="0"/>
    <n v="1.7409300000000001"/>
    <n v="3.3868800000000001"/>
    <n v="979224000"/>
    <n v="0"/>
    <n v="0"/>
    <n v="0"/>
    <n v="0"/>
    <n v="5829980"/>
    <n v="946913"/>
    <n v="0"/>
    <n v="52"/>
    <x v="35"/>
    <n v="3.0609373353263089E-12"/>
    <n v="-3.046703813165978E-13"/>
  </r>
  <r>
    <n v="54.322899999999997"/>
    <n v="85.138999999999996"/>
    <n v="4.27332"/>
    <n v="0.04"/>
    <n v="0.04"/>
    <n v="2.7261299999999999"/>
    <n v="3.0285299999999999"/>
    <n v="0"/>
    <n v="0.55709200000000003"/>
    <n v="5.3222399999999999"/>
    <n v="209782000"/>
    <n v="0"/>
    <n v="0"/>
    <n v="0"/>
    <n v="0"/>
    <n v="4075490"/>
    <n v="-97200.2"/>
    <n v="408539"/>
    <n v="86.158900000000003"/>
    <n v="98.274000000000001"/>
    <n v="4.7131699999999999"/>
    <n v="0"/>
    <n v="0"/>
    <n v="2.05741"/>
    <n v="1.75501"/>
    <n v="0"/>
    <n v="1.74095"/>
    <n v="3.3868800000000001"/>
    <n v="980154000"/>
    <n v="0"/>
    <n v="0"/>
    <n v="0"/>
    <n v="0"/>
    <n v="5323020"/>
    <n v="930388"/>
    <n v="0"/>
    <n v="1"/>
    <x v="36"/>
    <n v="1.6266529166700117E-12"/>
    <n v="-2.2196076888276553E-13"/>
  </r>
  <r>
    <n v="56.772100000000002"/>
    <n v="85.138999999999996"/>
    <n v="5.37453"/>
    <n v="0.04"/>
    <n v="0.04"/>
    <n v="2.7261600000000001"/>
    <n v="3.0285600000000001"/>
    <n v="0"/>
    <n v="0.510876"/>
    <n v="5.3222399999999999"/>
    <n v="209684000"/>
    <n v="0"/>
    <n v="0"/>
    <n v="0"/>
    <n v="0"/>
    <n v="4075550"/>
    <n v="-97196.3"/>
    <n v="408539"/>
    <n v="86.712999999999994"/>
    <n v="98.274000000000001"/>
    <n v="5.1337000000000002"/>
    <n v="0"/>
    <n v="0"/>
    <n v="2.0574400000000002"/>
    <n v="1.7550399999999999"/>
    <n v="0"/>
    <n v="1.5895600000000001"/>
    <n v="3.3868800000000001"/>
    <n v="981085000"/>
    <n v="0"/>
    <n v="0"/>
    <n v="0"/>
    <n v="0"/>
    <n v="5323080"/>
    <n v="930390"/>
    <n v="0"/>
    <n v="2"/>
    <x v="36"/>
    <n v="1.626638078255535E-12"/>
    <n v="-2.2194859550589971E-13"/>
  </r>
  <r>
    <n v="59.534100000000002"/>
    <n v="85.138999999999996"/>
    <n v="6.0605200000000004"/>
    <n v="0.04"/>
    <n v="0.04"/>
    <n v="2.7262"/>
    <n v="3.0286"/>
    <n v="0"/>
    <n v="0.51088299999999998"/>
    <n v="5.3222399999999999"/>
    <n v="209587000"/>
    <n v="0"/>
    <n v="0"/>
    <n v="0"/>
    <n v="0"/>
    <n v="4075600"/>
    <n v="-97192.4"/>
    <n v="408539"/>
    <n v="87.617999999999995"/>
    <n v="98.274000000000001"/>
    <n v="6.4180799999999998"/>
    <n v="0"/>
    <n v="0"/>
    <n v="2.0574599999999998"/>
    <n v="1.7550600000000001"/>
    <n v="0"/>
    <n v="1.58958"/>
    <n v="3.3868800000000001"/>
    <n v="982015000"/>
    <n v="0"/>
    <n v="0"/>
    <n v="0"/>
    <n v="0"/>
    <n v="5323130"/>
    <n v="930392"/>
    <n v="0"/>
    <n v="3"/>
    <x v="36"/>
    <n v="1.6266262959401971E-12"/>
    <n v="-2.2193696703653866E-13"/>
  </r>
  <r>
    <n v="62.599299999999999"/>
    <n v="85.138999999999996"/>
    <n v="6.4023599999999998"/>
    <n v="0.04"/>
    <n v="0.04"/>
    <n v="2.7262400000000002"/>
    <n v="3.0286400000000002"/>
    <n v="0"/>
    <n v="0.51088999999999996"/>
    <n v="5.3222399999999999"/>
    <n v="209490000"/>
    <n v="0"/>
    <n v="0"/>
    <n v="0"/>
    <n v="0"/>
    <n v="4075660"/>
    <n v="-97188.6"/>
    <n v="408539"/>
    <n v="88.470399999999998"/>
    <n v="98.274000000000001"/>
    <n v="5.9162100000000004"/>
    <n v="0"/>
    <n v="0"/>
    <n v="2.05748"/>
    <n v="1.75508"/>
    <n v="0"/>
    <n v="1.5895900000000001"/>
    <n v="3.3868800000000001"/>
    <n v="982946000"/>
    <n v="0"/>
    <n v="0"/>
    <n v="0"/>
    <n v="0"/>
    <n v="5323190"/>
    <n v="930394"/>
    <n v="0"/>
    <n v="4"/>
    <x v="36"/>
    <n v="1.6266114581324E-12"/>
    <n v="-2.2192502268333176E-13"/>
  </r>
  <r>
    <n v="64.659099999999995"/>
    <n v="85.138999999999996"/>
    <n v="5.4312399999999998"/>
    <n v="0.04"/>
    <n v="0.04"/>
    <n v="2.72628"/>
    <n v="3.02868"/>
    <n v="0"/>
    <n v="0.51089700000000005"/>
    <n v="5.3222399999999999"/>
    <n v="209393000"/>
    <n v="0"/>
    <n v="0"/>
    <n v="0"/>
    <n v="0"/>
    <n v="4075710"/>
    <n v="-97184.7"/>
    <n v="408539"/>
    <n v="89.275700000000001"/>
    <n v="98.274000000000001"/>
    <n v="5.6886299999999999"/>
    <n v="0"/>
    <n v="0"/>
    <n v="2.0575000000000001"/>
    <n v="1.7551000000000001"/>
    <n v="0"/>
    <n v="1.58961"/>
    <n v="3.3868800000000001"/>
    <n v="983876000"/>
    <n v="0"/>
    <n v="0"/>
    <n v="0"/>
    <n v="0"/>
    <n v="5323250"/>
    <n v="930396"/>
    <n v="0"/>
    <n v="5"/>
    <x v="36"/>
    <n v="1.6265966206590858E-12"/>
    <n v="-2.2191339481700003E-13"/>
  </r>
  <r>
    <n v="66.771299999999997"/>
    <n v="85.138999999999996"/>
    <n v="5.4601800000000003"/>
    <n v="0.04"/>
    <n v="0.04"/>
    <n v="2.72628"/>
    <n v="3.02868"/>
    <n v="0"/>
    <n v="0.51090400000000002"/>
    <n v="5.3222399999999999"/>
    <n v="209296000"/>
    <n v="0"/>
    <n v="0"/>
    <n v="0"/>
    <n v="0"/>
    <n v="4075710"/>
    <n v="-97184.7"/>
    <n v="408539"/>
    <n v="90.04"/>
    <n v="98.274000000000001"/>
    <n v="5.2918700000000003"/>
    <n v="0"/>
    <n v="0"/>
    <n v="2.0575000000000001"/>
    <n v="1.7551000000000001"/>
    <n v="0"/>
    <n v="1.5896300000000001"/>
    <n v="3.3868800000000001"/>
    <n v="984806000"/>
    <n v="0"/>
    <n v="0"/>
    <n v="0"/>
    <n v="0"/>
    <n v="5323250"/>
    <n v="930396"/>
    <n v="0"/>
    <n v="6"/>
    <x v="36"/>
    <n v="1.6265966206590858E-12"/>
    <n v="-2.2191339481700003E-13"/>
  </r>
  <r>
    <n v="68.259200000000007"/>
    <n v="85.138999999999996"/>
    <n v="4.8249599999999999"/>
    <n v="0.04"/>
    <n v="0.04"/>
    <n v="2.8211900000000001"/>
    <n v="3.1235900000000001"/>
    <n v="0"/>
    <n v="0.51090400000000002"/>
    <n v="5.3222399999999999"/>
    <n v="209208000"/>
    <n v="0"/>
    <n v="0"/>
    <n v="0"/>
    <n v="0"/>
    <n v="4217610"/>
    <n v="-87427.4"/>
    <n v="408539"/>
    <n v="90.716700000000003"/>
    <n v="98.274000000000001"/>
    <n v="4.8087099999999996"/>
    <n v="0"/>
    <n v="0"/>
    <n v="2.1142699999999999"/>
    <n v="1.8118700000000001"/>
    <n v="0"/>
    <n v="1.5896300000000001"/>
    <n v="3.3868800000000001"/>
    <n v="985742000"/>
    <n v="0"/>
    <n v="0"/>
    <n v="0"/>
    <n v="7883220"/>
    <n v="5470120"/>
    <n v="935183"/>
    <n v="0"/>
    <n v="7"/>
    <x v="36"/>
    <n v="1.5003133797662015E-11"/>
    <n v="-1.9291679521465052E-13"/>
  </r>
  <r>
    <n v="69.207400000000007"/>
    <n v="85.138999999999996"/>
    <n v="4.2262300000000002"/>
    <n v="0.04"/>
    <n v="0.04"/>
    <n v="2.8212100000000002"/>
    <n v="3.1236100000000002"/>
    <n v="0"/>
    <n v="0.52869100000000002"/>
    <n v="5.3222399999999999"/>
    <n v="209121000"/>
    <n v="0"/>
    <n v="0"/>
    <n v="0"/>
    <n v="0"/>
    <n v="4217640"/>
    <n v="-87425.2"/>
    <n v="408539"/>
    <n v="90.872600000000006"/>
    <n v="98.274000000000001"/>
    <n v="3.6612"/>
    <n v="0"/>
    <n v="0"/>
    <n v="2.1142799999999999"/>
    <n v="1.8118799999999999"/>
    <n v="0"/>
    <n v="1.6334900000000001"/>
    <n v="3.3868800000000001"/>
    <n v="986677000"/>
    <n v="0"/>
    <n v="0"/>
    <n v="0"/>
    <n v="0"/>
    <n v="5470150"/>
    <n v="935184"/>
    <n v="0"/>
    <n v="8"/>
    <x v="36"/>
    <n v="1.5910606182061906E-12"/>
    <n v="-1.9291056852809328E-13"/>
  </r>
  <r>
    <n v="70.637500000000003"/>
    <n v="85.138999999999996"/>
    <n v="4.8693900000000001"/>
    <n v="0.04"/>
    <n v="0.04"/>
    <n v="2.8212299999999999"/>
    <n v="3.1236299999999999"/>
    <n v="0"/>
    <n v="0.52869500000000003"/>
    <n v="5.3222399999999999"/>
    <n v="209033000"/>
    <n v="0"/>
    <n v="0"/>
    <n v="0"/>
    <n v="0"/>
    <n v="4217670"/>
    <n v="-87423.1"/>
    <n v="408539"/>
    <n v="91.152900000000002"/>
    <n v="98.274000000000001"/>
    <n v="3.9435899999999999"/>
    <n v="0"/>
    <n v="0"/>
    <n v="2.11429"/>
    <n v="1.81189"/>
    <n v="0"/>
    <n v="1.6334900000000001"/>
    <n v="3.3868800000000001"/>
    <n v="987612000"/>
    <n v="0"/>
    <n v="0"/>
    <n v="0"/>
    <n v="0"/>
    <n v="5470180"/>
    <n v="935185"/>
    <n v="0"/>
    <n v="9"/>
    <x v="36"/>
    <n v="1.5910535937088777E-12"/>
    <n v="-1.9290456258639867E-13"/>
  </r>
  <r>
    <n v="70.86"/>
    <n v="85.138999999999996"/>
    <n v="3.44156"/>
    <n v="0.04"/>
    <n v="0.04"/>
    <n v="2.82125"/>
    <n v="3.12365"/>
    <n v="0"/>
    <n v="0.52869900000000003"/>
    <n v="5.3222399999999999"/>
    <n v="208946000"/>
    <n v="0"/>
    <n v="0"/>
    <n v="0"/>
    <n v="0"/>
    <n v="4217700"/>
    <n v="-87421"/>
    <n v="408539"/>
    <n v="91.238500000000002"/>
    <n v="98.274000000000001"/>
    <n v="3.1181800000000002"/>
    <n v="0"/>
    <n v="0"/>
    <n v="2.1143100000000001"/>
    <n v="1.8119099999999999"/>
    <n v="0"/>
    <n v="1.6335"/>
    <n v="3.3868800000000001"/>
    <n v="988547000"/>
    <n v="0"/>
    <n v="0"/>
    <n v="0"/>
    <n v="0"/>
    <n v="5470210"/>
    <n v="935186"/>
    <n v="0"/>
    <n v="10"/>
    <x v="36"/>
    <n v="1.5910465692886125E-12"/>
    <n v="-1.9289855673014312E-13"/>
  </r>
  <r>
    <n v="70.531999999999996"/>
    <n v="85.138999999999996"/>
    <n v="3.0500699999999998"/>
    <n v="0.04"/>
    <n v="0.04"/>
    <n v="3.12595"/>
    <n v="3.42835"/>
    <n v="0"/>
    <n v="0.52870300000000003"/>
    <n v="5.3222399999999999"/>
    <n v="208890000"/>
    <n v="0"/>
    <n v="0"/>
    <n v="0"/>
    <n v="0"/>
    <n v="4673220"/>
    <n v="-56097.599999999999"/>
    <n v="408539"/>
    <n v="91.168199999999999"/>
    <n v="98.274000000000001"/>
    <n v="2.4373499999999999"/>
    <n v="0"/>
    <n v="0"/>
    <n v="2.3273600000000001"/>
    <n v="2.0249600000000001"/>
    <n v="0"/>
    <n v="1.63351"/>
    <n v="3.3868800000000001"/>
    <n v="989500000"/>
    <n v="0"/>
    <n v="0"/>
    <n v="0"/>
    <n v="0"/>
    <n v="6021440"/>
    <n v="953154"/>
    <n v="0"/>
    <n v="11"/>
    <x v="36"/>
    <n v="1.4731657233281884E-12"/>
    <n v="-1.1171640418326269E-13"/>
  </r>
  <r>
    <n v="72.190100000000001"/>
    <n v="85.138999999999996"/>
    <n v="5.1929499999999997"/>
    <n v="0.04"/>
    <n v="0.04"/>
    <n v="3.1259700000000001"/>
    <n v="3.4283700000000001"/>
    <n v="0"/>
    <n v="0.58580299999999996"/>
    <n v="5.3222399999999999"/>
    <n v="208834000"/>
    <n v="0"/>
    <n v="0"/>
    <n v="0"/>
    <n v="0"/>
    <n v="4673250"/>
    <n v="-56095.199999999997"/>
    <n v="408539"/>
    <n v="91.373900000000006"/>
    <n v="98.274000000000001"/>
    <n v="3.3877799999999998"/>
    <n v="0"/>
    <n v="0"/>
    <n v="2.3273799999999998"/>
    <n v="2.0249799999999998"/>
    <n v="0"/>
    <n v="1.7981199999999999"/>
    <n v="3.3868800000000001"/>
    <n v="990453000"/>
    <n v="0"/>
    <n v="0"/>
    <n v="0"/>
    <n v="0"/>
    <n v="6021470"/>
    <n v="953155"/>
    <n v="0"/>
    <n v="12"/>
    <x v="36"/>
    <n v="1.4731599293247534E-12"/>
    <n v="-1.117109075328958E-13"/>
  </r>
  <r>
    <n v="73.839299999999994"/>
    <n v="85.138999999999996"/>
    <n v="5.3219200000000004"/>
    <n v="0.03"/>
    <n v="0.04"/>
    <n v="3.1259999999999999"/>
    <n v="3.4283999999999999"/>
    <n v="0"/>
    <n v="0.58580699999999997"/>
    <n v="5.3222399999999999"/>
    <n v="208778000"/>
    <n v="0"/>
    <n v="0"/>
    <n v="0"/>
    <n v="0"/>
    <n v="4673280"/>
    <n v="-56092.9"/>
    <n v="408539"/>
    <n v="91.717399999999998"/>
    <n v="98.274000000000001"/>
    <n v="3.5500099999999999"/>
    <n v="0"/>
    <n v="0"/>
    <n v="2.3273899999999998"/>
    <n v="2.0249899999999998"/>
    <n v="0"/>
    <n v="1.79813"/>
    <n v="3.3868800000000001"/>
    <n v="991407000"/>
    <n v="0"/>
    <n v="0"/>
    <n v="0"/>
    <n v="0"/>
    <n v="6021510"/>
    <n v="953156"/>
    <n v="0"/>
    <n v="13"/>
    <x v="36"/>
    <n v="1.473151688892812E-12"/>
    <n v="-1.117056100970383E-13"/>
  </r>
  <r>
    <n v="75.0625"/>
    <n v="85.138999999999996"/>
    <n v="4.8351199999999999"/>
    <n v="0.03"/>
    <n v="0.04"/>
    <n v="3.12602"/>
    <n v="3.42842"/>
    <n v="0"/>
    <n v="0.58581099999999997"/>
    <n v="5.3222399999999999"/>
    <n v="208722000"/>
    <n v="0"/>
    <n v="0"/>
    <n v="0"/>
    <n v="0"/>
    <n v="4673320"/>
    <n v="-56090.5"/>
    <n v="408539"/>
    <n v="92.172799999999995"/>
    <n v="98.274000000000001"/>
    <n v="4.0573699999999997"/>
    <n v="0"/>
    <n v="0"/>
    <n v="2.3273999999999999"/>
    <n v="2.0249999999999999"/>
    <n v="0"/>
    <n v="1.7981400000000001"/>
    <n v="3.3868800000000001"/>
    <n v="992360000"/>
    <n v="0"/>
    <n v="0"/>
    <n v="0"/>
    <n v="0"/>
    <n v="6021540"/>
    <n v="953157"/>
    <n v="0"/>
    <n v="14"/>
    <x v="36"/>
    <n v="1.4731458950266526E-12"/>
    <n v="-1.1169987456991723E-13"/>
  </r>
  <r>
    <n v="74.887200000000007"/>
    <n v="85.138999999999996"/>
    <n v="3.0325700000000002"/>
    <n v="0.03"/>
    <n v="0.04"/>
    <n v="2.6914600000000002"/>
    <n v="2.9938600000000002"/>
    <n v="0"/>
    <n v="0.585816"/>
    <n v="5.3222399999999999"/>
    <n v="208621000"/>
    <n v="0"/>
    <n v="0"/>
    <n v="0"/>
    <n v="0"/>
    <n v="4023670"/>
    <n v="-100764"/>
    <n v="408539"/>
    <n v="92.591800000000006"/>
    <n v="98.274000000000001"/>
    <n v="3.7558400000000001"/>
    <n v="0"/>
    <n v="0"/>
    <n v="2.0415000000000001"/>
    <n v="1.7391000000000001"/>
    <n v="0"/>
    <n v="1.7981499999999999"/>
    <n v="3.3868800000000001"/>
    <n v="993289000"/>
    <n v="0"/>
    <n v="0"/>
    <n v="0"/>
    <n v="0"/>
    <n v="5281850"/>
    <n v="929046"/>
    <n v="0"/>
    <n v="15"/>
    <x v="36"/>
    <n v="1.6369674665595577E-12"/>
    <n v="-2.330622517571209E-13"/>
  </r>
  <r>
    <n v="77.266599999999997"/>
    <n v="85.138999999999996"/>
    <n v="5.6615000000000002"/>
    <n v="0.02"/>
    <n v="0.04"/>
    <n v="2.6914799999999999"/>
    <n v="2.9938799999999999"/>
    <n v="0"/>
    <n v="0.50438000000000005"/>
    <n v="5.3222399999999999"/>
    <n v="208520000"/>
    <n v="0"/>
    <n v="0"/>
    <n v="0"/>
    <n v="0"/>
    <n v="4023700"/>
    <n v="-100761"/>
    <n v="408539"/>
    <n v="93.654799999999994"/>
    <n v="98.274000000000001"/>
    <n v="5.9487199999999998"/>
    <n v="0"/>
    <n v="0"/>
    <n v="2.0415100000000002"/>
    <n v="1.7391099999999999"/>
    <n v="0"/>
    <n v="1.5772600000000001"/>
    <n v="3.3868800000000001"/>
    <n v="994218000"/>
    <n v="0"/>
    <n v="0"/>
    <n v="0"/>
    <n v="0"/>
    <n v="5281880"/>
    <n v="929047"/>
    <n v="0"/>
    <n v="16"/>
    <x v="36"/>
    <n v="1.6369599308960888E-12"/>
    <n v="-2.330535752829666E-13"/>
  </r>
  <r>
    <n v="78.197900000000004"/>
    <n v="85.138999999999996"/>
    <n v="4.2880799999999999"/>
    <n v="0.02"/>
    <n v="0.04"/>
    <n v="2.6915"/>
    <n v="2.9939"/>
    <n v="0"/>
    <n v="0.50438400000000005"/>
    <n v="5.3222399999999999"/>
    <n v="208419000"/>
    <n v="0"/>
    <n v="0"/>
    <n v="0"/>
    <n v="0"/>
    <n v="4023730"/>
    <n v="-100759"/>
    <n v="408539"/>
    <n v="94.939300000000003"/>
    <n v="98.274000000000001"/>
    <n v="5.9423899999999996"/>
    <n v="0"/>
    <n v="0"/>
    <n v="2.0415199999999998"/>
    <n v="1.73912"/>
    <n v="0"/>
    <n v="1.5772699999999999"/>
    <n v="3.3868800000000001"/>
    <n v="995147000"/>
    <n v="0"/>
    <n v="0"/>
    <n v="0"/>
    <n v="0"/>
    <n v="5281910"/>
    <n v="929048"/>
    <n v="0"/>
    <n v="17"/>
    <x v="36"/>
    <n v="1.6369523953182215E-12"/>
    <n v="-2.3304721185526977E-13"/>
  </r>
  <r>
    <n v="80.929900000000004"/>
    <n v="85.138999999999996"/>
    <n v="6.2072599999999998"/>
    <n v="0.02"/>
    <n v="0.04"/>
    <n v="2.6915200000000001"/>
    <n v="2.9939200000000001"/>
    <n v="0"/>
    <n v="0.50438799999999995"/>
    <n v="5.3222399999999999"/>
    <n v="208318000"/>
    <n v="0"/>
    <n v="0"/>
    <n v="0"/>
    <n v="0"/>
    <n v="4023760"/>
    <n v="-100757"/>
    <n v="408539"/>
    <n v="96.042500000000004"/>
    <n v="98.274000000000001"/>
    <n v="5.9295200000000001"/>
    <n v="0"/>
    <n v="0"/>
    <n v="2.0415399999999999"/>
    <n v="1.7391399999999999"/>
    <n v="0"/>
    <n v="1.57728"/>
    <n v="3.3868800000000001"/>
    <n v="996076000"/>
    <n v="0"/>
    <n v="0"/>
    <n v="0"/>
    <n v="0"/>
    <n v="5281940"/>
    <n v="929049"/>
    <n v="0"/>
    <n v="18"/>
    <x v="36"/>
    <n v="1.6369448598259544E-12"/>
    <n v="-2.3304084852246077E-13"/>
  </r>
  <r>
    <n v="82.008700000000005"/>
    <n v="85.138999999999996"/>
    <n v="4.4563300000000003"/>
    <n v="0.01"/>
    <n v="0.04"/>
    <n v="2.6915399999999998"/>
    <n v="2.9939399999999998"/>
    <n v="0"/>
    <n v="0.50439100000000003"/>
    <n v="5.3222399999999999"/>
    <n v="208218000"/>
    <n v="0"/>
    <n v="0"/>
    <n v="0"/>
    <n v="0"/>
    <n v="4023790"/>
    <n v="-100755"/>
    <n v="408539"/>
    <n v="96.603800000000007"/>
    <n v="98.274000000000001"/>
    <n v="5.1068499999999997"/>
    <n v="0"/>
    <n v="0"/>
    <n v="2.04155"/>
    <n v="1.73915"/>
    <n v="0"/>
    <n v="1.5772900000000001"/>
    <n v="3.3868800000000001"/>
    <n v="997005000"/>
    <n v="0"/>
    <n v="0"/>
    <n v="0"/>
    <n v="0"/>
    <n v="5281970"/>
    <n v="929050"/>
    <n v="0"/>
    <n v="19"/>
    <x v="36"/>
    <n v="1.6369373244192858E-12"/>
    <n v="-2.3303448528453742E-13"/>
  </r>
  <r>
    <n v="82.319599999999994"/>
    <n v="85.138999999999996"/>
    <n v="3.6537899999999999"/>
    <n v="0.01"/>
    <n v="0.04"/>
    <n v="2.8009599999999999"/>
    <n v="3.1033599999999999"/>
    <n v="0"/>
    <n v="0.50439500000000004"/>
    <n v="5.3222399999999999"/>
    <n v="208128000"/>
    <n v="0"/>
    <n v="0"/>
    <n v="0"/>
    <n v="0"/>
    <n v="4187360"/>
    <n v="-89507.5"/>
    <n v="408539"/>
    <n v="97.1768"/>
    <n v="98.274000000000001"/>
    <n v="5.1814799999999996"/>
    <n v="0"/>
    <n v="0"/>
    <n v="2.11151"/>
    <n v="1.80911"/>
    <n v="0"/>
    <n v="1.5772999999999999"/>
    <n v="3.3868800000000001"/>
    <n v="997940000"/>
    <n v="0"/>
    <n v="0"/>
    <n v="0"/>
    <n v="0"/>
    <n v="5462970"/>
    <n v="934950"/>
    <n v="0"/>
    <n v="20"/>
    <x v="36"/>
    <n v="1.5927531191061714E-12"/>
    <n v="-1.9893354459500318E-13"/>
  </r>
  <r>
    <n v="82.393199999999993"/>
    <n v="85.138999999999996"/>
    <n v="3.38801"/>
    <n v="0.01"/>
    <n v="0.04"/>
    <n v="2.80098"/>
    <n v="3.10338"/>
    <n v="0"/>
    <n v="0.524899"/>
    <n v="5.3222399999999999"/>
    <n v="208039000"/>
    <n v="0"/>
    <n v="0"/>
    <n v="0"/>
    <n v="0"/>
    <n v="4187390"/>
    <n v="-89505.4"/>
    <n v="408539"/>
    <n v="97.947900000000004"/>
    <n v="98.274000000000001"/>
    <n v="5.6460800000000004"/>
    <n v="0"/>
    <n v="0"/>
    <n v="2.1115200000000001"/>
    <n v="1.8091200000000001"/>
    <n v="0"/>
    <n v="1.6313500000000001"/>
    <n v="3.3868800000000001"/>
    <n v="998875000"/>
    <n v="0"/>
    <n v="0"/>
    <n v="0"/>
    <n v="0"/>
    <n v="5463000"/>
    <n v="934951"/>
    <n v="0"/>
    <n v="21"/>
    <x v="36"/>
    <n v="1.5927460760822398E-12"/>
    <n v="-1.9892745207212155E-13"/>
  </r>
  <r>
    <n v="82.190299999999993"/>
    <n v="85.138999999999996"/>
    <n v="3.0781900000000002"/>
    <n v="0.01"/>
    <n v="0.04"/>
    <n v="2.8010000000000002"/>
    <n v="3.1034000000000002"/>
    <n v="0"/>
    <n v="0.52490300000000001"/>
    <n v="5.3222399999999999"/>
    <n v="207949000"/>
    <n v="0"/>
    <n v="0"/>
    <n v="0"/>
    <n v="0"/>
    <n v="4187420"/>
    <n v="-89503.3"/>
    <n v="408539"/>
    <n v="98.997699999999995"/>
    <n v="98.274000000000001"/>
    <n v="6.4101800000000004"/>
    <n v="0"/>
    <n v="0"/>
    <n v="2.1115300000000001"/>
    <n v="1.8091299999999999"/>
    <n v="0"/>
    <n v="1.6313599999999999"/>
    <n v="3.3868800000000001"/>
    <n v="999810000"/>
    <n v="0"/>
    <n v="0"/>
    <n v="0"/>
    <n v="0"/>
    <n v="5463030"/>
    <n v="934952"/>
    <n v="0"/>
    <n v="22"/>
    <x v="36"/>
    <n v="1.5927390331356608E-12"/>
    <n v="-1.9892135963653748E-13"/>
  </r>
  <r>
    <n v="81.432299999999998"/>
    <n v="85.138999999999996"/>
    <n v="2.4564699999999999"/>
    <n v="0.01"/>
    <n v="0.04"/>
    <n v="2.8010199999999998"/>
    <n v="3.1034199999999998"/>
    <n v="0"/>
    <n v="0.52490700000000001"/>
    <n v="5.3222399999999999"/>
    <n v="207860000"/>
    <n v="0"/>
    <n v="0"/>
    <n v="0"/>
    <n v="0"/>
    <n v="4187450"/>
    <n v="-89501.2"/>
    <n v="408539"/>
    <n v="99.112700000000004"/>
    <n v="98.274000000000001"/>
    <n v="3.2599100000000001"/>
    <n v="0"/>
    <n v="0"/>
    <n v="2.1115400000000002"/>
    <n v="1.80914"/>
    <n v="0"/>
    <n v="1.63137"/>
    <n v="3.3868800000000001"/>
    <n v="1000740000"/>
    <n v="0"/>
    <n v="0"/>
    <n v="0"/>
    <n v="0"/>
    <n v="5463060"/>
    <n v="934953"/>
    <n v="0"/>
    <n v="23"/>
    <x v="36"/>
    <n v="1.5927319902664338E-12"/>
    <n v="-1.9891526728824902E-13"/>
  </r>
  <r>
    <n v="80.555800000000005"/>
    <n v="85.138999999999996"/>
    <n v="2.20139"/>
    <n v="0.01"/>
    <n v="0.04"/>
    <n v="2.75827"/>
    <n v="3.06067"/>
    <n v="0"/>
    <n v="0.52491100000000002"/>
    <n v="5.3222399999999999"/>
    <n v="207766000"/>
    <n v="0"/>
    <n v="0"/>
    <n v="0"/>
    <n v="0"/>
    <n v="4123540"/>
    <n v="-93896.2"/>
    <n v="408539"/>
    <n v="99.076599999999999"/>
    <n v="98.274000000000001"/>
    <n v="2.9860799999999998"/>
    <n v="0"/>
    <n v="0"/>
    <n v="2.08439"/>
    <n v="1.78199"/>
    <n v="0"/>
    <n v="1.6313800000000001"/>
    <n v="3.3868800000000001"/>
    <n v="1001680000"/>
    <n v="0"/>
    <n v="0"/>
    <n v="0"/>
    <n v="0"/>
    <n v="5392810"/>
    <n v="932663"/>
    <n v="0"/>
    <n v="24"/>
    <x v="36"/>
    <n v="1.6095279489663309E-12"/>
    <n v="-2.1191743989546326E-13"/>
  </r>
  <r>
    <n v="79.653899999999993"/>
    <n v="85.138999999999996"/>
    <n v="2.13652"/>
    <n v="0.01"/>
    <n v="0.04"/>
    <n v="2.7582900000000001"/>
    <n v="3.0606900000000001"/>
    <n v="0"/>
    <n v="0.516899"/>
    <n v="5.3222399999999999"/>
    <n v="207672000"/>
    <n v="0"/>
    <n v="0"/>
    <n v="0"/>
    <n v="0"/>
    <n v="4123570"/>
    <n v="-93894.1"/>
    <n v="408539"/>
    <n v="99.095799999999997"/>
    <n v="98.274000000000001"/>
    <n v="3.2185999999999999"/>
    <n v="0"/>
    <n v="0"/>
    <n v="2.0844"/>
    <n v="1.782"/>
    <n v="0"/>
    <n v="1.6104000000000001"/>
    <n v="3.3868800000000001"/>
    <n v="1002610000"/>
    <n v="0"/>
    <n v="0"/>
    <n v="0"/>
    <n v="0"/>
    <n v="5392840"/>
    <n v="932664"/>
    <n v="0"/>
    <n v="25"/>
    <x v="36"/>
    <n v="1.6095207209965351E-12"/>
    <n v="-2.1191115861825731E-13"/>
  </r>
  <r>
    <n v="78.6203"/>
    <n v="85.138999999999996"/>
    <n v="1.9844299999999999"/>
    <n v="0.01"/>
    <n v="0.04"/>
    <n v="2.7583099999999998"/>
    <n v="3.0607099999999998"/>
    <n v="0"/>
    <n v="0.516903"/>
    <n v="5.3222399999999999"/>
    <n v="207578000"/>
    <n v="0"/>
    <n v="0"/>
    <n v="0"/>
    <n v="0"/>
    <n v="4123600"/>
    <n v="-93892"/>
    <n v="408539"/>
    <n v="99.046999999999997"/>
    <n v="98.274000000000001"/>
    <n v="2.9382000000000001"/>
    <n v="0"/>
    <n v="0"/>
    <n v="2.0844100000000001"/>
    <n v="1.7820100000000001"/>
    <n v="0"/>
    <n v="1.6104099999999999"/>
    <n v="3.3868800000000001"/>
    <n v="1003540000"/>
    <n v="0"/>
    <n v="0"/>
    <n v="0"/>
    <n v="0"/>
    <n v="5392870"/>
    <n v="932665"/>
    <n v="0"/>
    <n v="26"/>
    <x v="36"/>
    <n v="1.6095134931071557E-12"/>
    <n v="-2.1190487743244639E-13"/>
  </r>
  <r>
    <n v="77.616399999999999"/>
    <n v="85.138999999999996"/>
    <n v="1.9980599999999999"/>
    <n v="0.01"/>
    <n v="0.04"/>
    <n v="2.7583299999999999"/>
    <n v="3.06073"/>
    <n v="0"/>
    <n v="0.51690700000000001"/>
    <n v="5.3222399999999999"/>
    <n v="207484000"/>
    <n v="0"/>
    <n v="0"/>
    <n v="0"/>
    <n v="0"/>
    <n v="4123630"/>
    <n v="-93889.9"/>
    <n v="408539"/>
    <n v="99.022999999999996"/>
    <n v="98.274000000000001"/>
    <n v="2.8466999999999998"/>
    <n v="0"/>
    <n v="0"/>
    <n v="2.0844200000000002"/>
    <n v="1.7820199999999999"/>
    <n v="0"/>
    <n v="1.61042"/>
    <n v="3.3868800000000001"/>
    <n v="1004480000"/>
    <n v="0"/>
    <n v="0"/>
    <n v="0"/>
    <n v="0"/>
    <n v="5392900"/>
    <n v="932666"/>
    <n v="0"/>
    <n v="27"/>
    <x v="36"/>
    <n v="1.6095062652981924E-12"/>
    <n v="-2.118985963380285E-13"/>
  </r>
  <r>
    <n v="76.219099999999997"/>
    <n v="85.138999999999996"/>
    <n v="1.6761999999999999"/>
    <n v="0.02"/>
    <n v="0.04"/>
    <n v="2.90354"/>
    <n v="3.20594"/>
    <n v="0"/>
    <n v="0.51690999999999998"/>
    <n v="5.3222399999999999"/>
    <n v="207405000"/>
    <n v="0"/>
    <n v="0"/>
    <n v="0"/>
    <n v="0"/>
    <n v="4340720"/>
    <n v="-78961.8"/>
    <n v="408539"/>
    <n v="98.789699999999996"/>
    <n v="98.274000000000001"/>
    <n v="2.4771299999999998"/>
    <n v="0"/>
    <n v="0"/>
    <n v="2.1807799999999999"/>
    <n v="1.8783799999999999"/>
    <n v="0"/>
    <n v="1.61042"/>
    <n v="3.3868800000000001"/>
    <n v="1005420000"/>
    <n v="0"/>
    <n v="0"/>
    <n v="0"/>
    <n v="0"/>
    <n v="5642200"/>
    <n v="940792"/>
    <n v="0"/>
    <n v="28"/>
    <x v="36"/>
    <n v="1.5517938737693768E-12"/>
    <n v="-1.6929501154838052E-13"/>
  </r>
  <r>
    <n v="74.737799999999993"/>
    <n v="85.138999999999996"/>
    <n v="1.57423"/>
    <n v="0.02"/>
    <n v="0.04"/>
    <n v="2.9035600000000001"/>
    <n v="3.2059600000000001"/>
    <n v="0"/>
    <n v="0.54412300000000002"/>
    <n v="5.3222399999999999"/>
    <n v="207326000"/>
    <n v="0"/>
    <n v="0"/>
    <n v="0"/>
    <n v="0"/>
    <n v="4340750"/>
    <n v="-78959.600000000006"/>
    <n v="408539"/>
    <n v="98.4773"/>
    <n v="98.274000000000001"/>
    <n v="2.2889599999999999"/>
    <n v="0"/>
    <n v="0"/>
    <n v="2.18079"/>
    <n v="1.87839"/>
    <n v="0"/>
    <n v="1.6848700000000001"/>
    <n v="3.3868800000000001"/>
    <n v="1006360000"/>
    <n v="0"/>
    <n v="0"/>
    <n v="0"/>
    <n v="0"/>
    <n v="5642230"/>
    <n v="940793"/>
    <n v="0"/>
    <n v="29"/>
    <x v="36"/>
    <n v="1.5517872722550145E-12"/>
    <n v="-1.6928912471574073E-13"/>
  </r>
  <r>
    <n v="73.146600000000007"/>
    <n v="85.138999999999996"/>
    <n v="1.43963"/>
    <n v="0.02"/>
    <n v="0.04"/>
    <n v="2.9035799999999998"/>
    <n v="3.2059799999999998"/>
    <n v="0"/>
    <n v="0.54412700000000003"/>
    <n v="5.3222399999999999"/>
    <n v="207247000"/>
    <n v="0"/>
    <n v="0"/>
    <n v="0"/>
    <n v="0"/>
    <n v="4340780"/>
    <n v="-78957.399999999994"/>
    <n v="408539"/>
    <n v="98.064800000000005"/>
    <n v="98.274000000000001"/>
    <n v="2.0845899999999999"/>
    <n v="0"/>
    <n v="0"/>
    <n v="2.1808100000000001"/>
    <n v="1.8784099999999999"/>
    <n v="0"/>
    <n v="1.6848799999999999"/>
    <n v="3.3868800000000001"/>
    <n v="1007300000"/>
    <n v="0"/>
    <n v="0"/>
    <n v="0"/>
    <n v="0"/>
    <n v="5642260"/>
    <n v="940794"/>
    <n v="0"/>
    <n v="30"/>
    <x v="36"/>
    <n v="1.5517806708108533E-12"/>
    <n v="-1.6928323796447106E-13"/>
  </r>
  <r>
    <n v="71.513300000000001"/>
    <n v="85.138999999999996"/>
    <n v="1.3322499999999999"/>
    <n v="0.02"/>
    <n v="0.04"/>
    <n v="2.9036"/>
    <n v="3.206"/>
    <n v="0"/>
    <n v="0.54413100000000003"/>
    <n v="5.3222399999999999"/>
    <n v="207168000"/>
    <n v="0"/>
    <n v="0"/>
    <n v="0"/>
    <n v="0"/>
    <n v="4340810"/>
    <n v="-78955.199999999997"/>
    <n v="408539"/>
    <n v="97.713899999999995"/>
    <n v="98.274000000000001"/>
    <n v="2.0052599999999998"/>
    <n v="0"/>
    <n v="0"/>
    <n v="2.1808200000000002"/>
    <n v="1.87842"/>
    <n v="0"/>
    <n v="1.68489"/>
    <n v="3.3868800000000001"/>
    <n v="1008240000"/>
    <n v="0"/>
    <n v="0"/>
    <n v="0"/>
    <n v="0"/>
    <n v="5642300"/>
    <n v="940795"/>
    <n v="0"/>
    <n v="31"/>
    <x v="36"/>
    <n v="1.5517713191859843E-12"/>
    <n v="-1.6927735129456989E-13"/>
  </r>
  <r>
    <n v="70.6875"/>
    <n v="85.138999999999996"/>
    <n v="2.1431900000000002"/>
    <n v="0.02"/>
    <n v="0.04"/>
    <n v="2.9036200000000001"/>
    <n v="3.2060200000000001"/>
    <n v="0"/>
    <n v="0.54413500000000004"/>
    <n v="5.3222399999999999"/>
    <n v="207089000"/>
    <n v="0"/>
    <n v="0"/>
    <n v="0"/>
    <n v="0"/>
    <n v="4340850"/>
    <n v="-78953"/>
    <n v="408539"/>
    <n v="97.466700000000003"/>
    <n v="98.274000000000001"/>
    <n v="2.7351200000000002"/>
    <n v="0"/>
    <n v="0"/>
    <n v="2.1808299999999998"/>
    <n v="1.87843"/>
    <n v="0"/>
    <n v="1.6849000000000001"/>
    <n v="3.3868800000000001"/>
    <n v="1009180000"/>
    <n v="0"/>
    <n v="0"/>
    <n v="0"/>
    <n v="0"/>
    <n v="5642330"/>
    <n v="940796"/>
    <n v="0"/>
    <n v="32"/>
    <x v="36"/>
    <n v="1.5517647179085434E-12"/>
    <n v="-1.6927107475599188E-13"/>
  </r>
  <r>
    <n v="69.797799999999995"/>
    <n v="85.138999999999996"/>
    <n v="2.0309300000000001"/>
    <n v="0.02"/>
    <n v="0.04"/>
    <n v="2.87493"/>
    <n v="3.17733"/>
    <n v="0"/>
    <n v="0.54413900000000004"/>
    <n v="5.3222399999999999"/>
    <n v="207007000"/>
    <n v="0"/>
    <n v="0"/>
    <n v="0"/>
    <n v="0"/>
    <n v="4297950"/>
    <n v="-81902.7"/>
    <n v="408539"/>
    <n v="97.188500000000005"/>
    <n v="98.274000000000001"/>
    <n v="2.65205"/>
    <n v="0"/>
    <n v="0"/>
    <n v="2.2338"/>
    <n v="1.9314"/>
    <n v="0"/>
    <n v="1.6849099999999999"/>
    <n v="3.3868800000000001"/>
    <n v="1010120000"/>
    <n v="0"/>
    <n v="0"/>
    <n v="0"/>
    <n v="0"/>
    <n v="5779370"/>
    <n v="945263"/>
    <n v="0"/>
    <n v="33"/>
    <x v="36"/>
    <n v="1.522162622703395E-12"/>
    <n v="-1.7734777898734283E-13"/>
  </r>
  <r>
    <n v="68.790300000000002"/>
    <n v="85.138999999999996"/>
    <n v="1.8950400000000001"/>
    <n v="0.02"/>
    <n v="0.04"/>
    <n v="2.8749500000000001"/>
    <n v="3.1773500000000001"/>
    <n v="0"/>
    <n v="0.53876199999999996"/>
    <n v="5.3222399999999999"/>
    <n v="206926000"/>
    <n v="0"/>
    <n v="0"/>
    <n v="0"/>
    <n v="0"/>
    <n v="4297980"/>
    <n v="-81900.600000000006"/>
    <n v="408539"/>
    <n v="96.825299999999999"/>
    <n v="98.274000000000001"/>
    <n v="2.48637"/>
    <n v="0"/>
    <n v="0"/>
    <n v="2.2338100000000001"/>
    <n v="1.9314100000000001"/>
    <n v="0"/>
    <n v="1.72583"/>
    <n v="3.3868800000000001"/>
    <n v="1011070000"/>
    <n v="0"/>
    <n v="0"/>
    <n v="0"/>
    <n v="0"/>
    <n v="5779400"/>
    <n v="945264"/>
    <n v="0"/>
    <n v="34"/>
    <x v="36"/>
    <n v="1.5221563316827271E-12"/>
    <n v="-1.7734199389843575E-13"/>
  </r>
  <r>
    <n v="67.690399999999997"/>
    <n v="85.138999999999996"/>
    <n v="1.7889699999999999"/>
    <n v="0.02"/>
    <n v="0.04"/>
    <n v="2.8749699999999998"/>
    <n v="3.1773699999999998"/>
    <n v="0"/>
    <n v="0.53876599999999997"/>
    <n v="5.3222399999999999"/>
    <n v="206844000"/>
    <n v="0"/>
    <n v="0"/>
    <n v="0"/>
    <n v="0"/>
    <n v="4298010"/>
    <n v="-81898.399999999994"/>
    <n v="408539"/>
    <n v="96.422200000000004"/>
    <n v="98.274000000000001"/>
    <n v="2.3403800000000001"/>
    <n v="0"/>
    <n v="0"/>
    <n v="2.2338200000000001"/>
    <n v="1.9314199999999999"/>
    <n v="0"/>
    <n v="1.72584"/>
    <n v="3.3868800000000001"/>
    <n v="1012020000"/>
    <n v="0"/>
    <n v="0"/>
    <n v="0"/>
    <n v="0"/>
    <n v="5779430"/>
    <n v="945265"/>
    <n v="0"/>
    <n v="35"/>
    <x v="36"/>
    <n v="1.5221500407273707E-12"/>
    <n v="-1.7733599235859478E-13"/>
  </r>
  <r>
    <n v="66.658000000000001"/>
    <n v="85.138999999999996"/>
    <n v="1.83369"/>
    <n v="0.02"/>
    <n v="0.04"/>
    <n v="2.8749899999999999"/>
    <n v="3.1773899999999999"/>
    <n v="0"/>
    <n v="0.53876999999999997"/>
    <n v="5.3222399999999999"/>
    <n v="206762000"/>
    <n v="0"/>
    <n v="0"/>
    <n v="0"/>
    <n v="0"/>
    <n v="4298040"/>
    <n v="-81896.2"/>
    <n v="408539"/>
    <n v="96.102999999999994"/>
    <n v="98.274000000000001"/>
    <n v="2.4764200000000001"/>
    <n v="0"/>
    <n v="0"/>
    <n v="2.2338399999999998"/>
    <n v="1.93144"/>
    <n v="0"/>
    <n v="1.7258500000000001"/>
    <n v="3.3868800000000001"/>
    <n v="1012960000"/>
    <n v="0"/>
    <n v="0"/>
    <n v="0"/>
    <n v="0"/>
    <n v="5779470"/>
    <n v="945267"/>
    <n v="0"/>
    <n v="36"/>
    <x v="36"/>
    <n v="1.5221427264072061E-12"/>
    <n v="-1.7732999090253448E-13"/>
  </r>
  <r>
    <n v="65.616100000000003"/>
    <n v="85.138999999999996"/>
    <n v="1.8633200000000001"/>
    <n v="0.02"/>
    <n v="0.04"/>
    <n v="2.9491700000000001"/>
    <n v="3.2515700000000001"/>
    <n v="0"/>
    <n v="0.53877399999999998"/>
    <n v="5.3222399999999999"/>
    <n v="206687000"/>
    <n v="0"/>
    <n v="0"/>
    <n v="0"/>
    <n v="0"/>
    <n v="4408930"/>
    <n v="-74270.8"/>
    <n v="408539"/>
    <n v="95.819299999999998"/>
    <n v="98.274000000000001"/>
    <n v="2.7132000000000001"/>
    <n v="0"/>
    <n v="0"/>
    <n v="2.28105"/>
    <n v="1.97865"/>
    <n v="0"/>
    <n v="1.7258599999999999"/>
    <n v="3.3868800000000001"/>
    <n v="1013910000"/>
    <n v="0"/>
    <n v="0"/>
    <n v="0"/>
    <n v="0"/>
    <n v="5901610"/>
    <n v="949248"/>
    <n v="0"/>
    <n v="37"/>
    <x v="36"/>
    <n v="1.4969182331265108E-12"/>
    <n v="-1.5677391078857385E-13"/>
  </r>
  <r>
    <n v="64.383099999999999"/>
    <n v="85.138999999999996"/>
    <n v="1.6561999999999999"/>
    <n v="0.02"/>
    <n v="0.04"/>
    <n v="2.9491900000000002"/>
    <n v="3.2515900000000002"/>
    <n v="0"/>
    <n v="0.552674"/>
    <n v="5.3222399999999999"/>
    <n v="206613000"/>
    <n v="0"/>
    <n v="0"/>
    <n v="0"/>
    <n v="0"/>
    <n v="4408970"/>
    <n v="-74268.600000000006"/>
    <n v="408539"/>
    <n v="95.493399999999994"/>
    <n v="98.274000000000001"/>
    <n v="2.57999"/>
    <n v="0"/>
    <n v="0"/>
    <n v="2.2810600000000001"/>
    <n v="1.9786600000000001"/>
    <n v="0"/>
    <n v="1.76234"/>
    <n v="3.3868800000000001"/>
    <n v="1014860000"/>
    <n v="0"/>
    <n v="0"/>
    <n v="0"/>
    <n v="0"/>
    <n v="5901640"/>
    <n v="949249"/>
    <n v="0"/>
    <n v="38"/>
    <x v="36"/>
    <n v="1.4969122007366732E-12"/>
    <n v="-1.5676784466091449E-13"/>
  </r>
  <r>
    <n v="63.029400000000003"/>
    <n v="85.138999999999996"/>
    <n v="1.51701"/>
    <n v="0.02"/>
    <n v="0.04"/>
    <n v="2.9492099999999999"/>
    <n v="3.2516099999999999"/>
    <n v="0"/>
    <n v="0.55267900000000003"/>
    <n v="5.3222399999999999"/>
    <n v="206539000"/>
    <n v="0"/>
    <n v="0"/>
    <n v="0"/>
    <n v="0"/>
    <n v="4409000"/>
    <n v="-74266.399999999994"/>
    <n v="408539"/>
    <n v="95.146000000000001"/>
    <n v="98.274000000000001"/>
    <n v="2.4139900000000001"/>
    <n v="0"/>
    <n v="0"/>
    <n v="2.2810700000000002"/>
    <n v="1.9786699999999999"/>
    <n v="0"/>
    <n v="1.7623500000000001"/>
    <n v="3.3868800000000001"/>
    <n v="1015810000"/>
    <n v="0"/>
    <n v="0"/>
    <n v="0"/>
    <n v="0"/>
    <n v="5901680"/>
    <n v="949250"/>
    <n v="0"/>
    <n v="39"/>
    <x v="36"/>
    <n v="1.496903632001297E-12"/>
    <n v="-1.5676213419283223E-13"/>
  </r>
  <r>
    <n v="61.590299999999999"/>
    <n v="85.138999999999996"/>
    <n v="1.39391"/>
    <n v="0.02"/>
    <n v="0.04"/>
    <n v="2.94923"/>
    <n v="3.25163"/>
    <n v="0"/>
    <n v="0.55268300000000004"/>
    <n v="5.3222399999999999"/>
    <n v="206465000"/>
    <n v="0"/>
    <n v="0"/>
    <n v="0"/>
    <n v="0"/>
    <n v="4409030"/>
    <n v="-74264.2"/>
    <n v="408539"/>
    <n v="94.794899999999998"/>
    <n v="98.274000000000001"/>
    <n v="2.4152"/>
    <n v="0"/>
    <n v="0"/>
    <n v="2.2810800000000002"/>
    <n v="1.97868"/>
    <n v="0"/>
    <n v="1.7623599999999999"/>
    <n v="3.3868800000000001"/>
    <n v="1016760000"/>
    <n v="0"/>
    <n v="0"/>
    <n v="0"/>
    <n v="0"/>
    <n v="5901710"/>
    <n v="949251"/>
    <n v="0"/>
    <n v="40"/>
    <x v="36"/>
    <n v="1.4968975997572312E-12"/>
    <n v="-1.5675642380246051E-13"/>
  </r>
  <r>
    <n v="60.28"/>
    <n v="85.138999999999996"/>
    <n v="1.65523"/>
    <n v="0.02"/>
    <n v="0.04"/>
    <n v="3.16642"/>
    <n v="3.46882"/>
    <n v="0"/>
    <n v="0.55268700000000004"/>
    <n v="5.3222399999999999"/>
    <n v="206413000"/>
    <n v="0"/>
    <n v="0"/>
    <n v="0"/>
    <n v="0"/>
    <n v="4733720"/>
    <n v="-51937.1"/>
    <n v="408539"/>
    <n v="94.445499999999996"/>
    <n v="98.274000000000001"/>
    <n v="2.4340899999999999"/>
    <n v="0"/>
    <n v="0"/>
    <n v="2.45146"/>
    <n v="2.14906"/>
    <n v="0"/>
    <n v="1.76237"/>
    <n v="3.3868800000000001"/>
    <n v="1017720000"/>
    <n v="0"/>
    <n v="0"/>
    <n v="0"/>
    <n v="0"/>
    <n v="6342500"/>
    <n v="963619"/>
    <n v="0"/>
    <n v="41"/>
    <x v="36"/>
    <n v="1.4139490893101983E-12"/>
    <n v="-1.0210900034877771E-13"/>
  </r>
  <r>
    <n v="59.085299999999997"/>
    <n v="85.138999999999996"/>
    <n v="1.7821"/>
    <n v="0.02"/>
    <n v="0.04"/>
    <n v="3.1664400000000001"/>
    <n v="3.4688400000000001"/>
    <n v="0"/>
    <n v="0.593387"/>
    <n v="5.3222399999999999"/>
    <n v="206361000"/>
    <n v="0"/>
    <n v="0"/>
    <n v="0"/>
    <n v="0"/>
    <n v="4733750"/>
    <n v="-51934.7"/>
    <n v="408539"/>
    <n v="94.237099999999998"/>
    <n v="98.274000000000001"/>
    <n v="2.9680599999999999"/>
    <n v="0"/>
    <n v="0"/>
    <n v="2.45147"/>
    <n v="2.14907"/>
    <n v="0"/>
    <n v="1.8939900000000001"/>
    <n v="3.3868800000000001"/>
    <n v="1018680000"/>
    <n v="0"/>
    <n v="0"/>
    <n v="0"/>
    <n v="0"/>
    <n v="6342540"/>
    <n v="963620"/>
    <n v="0"/>
    <n v="42"/>
    <x v="36"/>
    <n v="1.413941639391122E-12"/>
    <n v="-1.02103634835345E-13"/>
  </r>
  <r>
    <n v="57.6096"/>
    <n v="85.138999999999996"/>
    <n v="1.47732"/>
    <n v="0.04"/>
    <n v="0.04"/>
    <n v="3.1664699999999999"/>
    <n v="3.4688699999999999"/>
    <n v="0"/>
    <n v="0.59339200000000003"/>
    <n v="5.3222399999999999"/>
    <n v="206309000"/>
    <n v="0"/>
    <n v="0"/>
    <n v="0"/>
    <n v="0"/>
    <n v="4733790"/>
    <n v="-51932.3"/>
    <n v="408539"/>
    <n v="93.825199999999995"/>
    <n v="98.274000000000001"/>
    <n v="2.10209"/>
    <n v="0"/>
    <n v="0"/>
    <n v="2.4514800000000001"/>
    <n v="2.1490800000000001"/>
    <n v="0"/>
    <n v="1.89401"/>
    <n v="3.3868800000000001"/>
    <n v="1019650000"/>
    <n v="0"/>
    <n v="0"/>
    <n v="0"/>
    <n v="0"/>
    <n v="6342570"/>
    <n v="963622"/>
    <n v="0"/>
    <n v="43"/>
    <x v="36"/>
    <n v="1.4139378861583606E-12"/>
    <n v="-1.0209805371015886E-13"/>
  </r>
  <r>
    <n v="56.488100000000003"/>
    <n v="85.138999999999996"/>
    <n v="1.8112200000000001"/>
    <n v="0.04"/>
    <n v="0.04"/>
    <n v="3.16649"/>
    <n v="3.46889"/>
    <n v="0"/>
    <n v="0.59339600000000003"/>
    <n v="5.3222399999999999"/>
    <n v="206257000"/>
    <n v="0"/>
    <n v="0"/>
    <n v="0"/>
    <n v="0"/>
    <n v="4733820"/>
    <n v="-51929.9"/>
    <n v="408539"/>
    <n v="93.814099999999996"/>
    <n v="98.274000000000001"/>
    <n v="3.9203600000000001"/>
    <n v="0"/>
    <n v="0"/>
    <n v="2.4514999999999998"/>
    <n v="2.1490999999999998"/>
    <n v="0"/>
    <n v="1.89402"/>
    <n v="3.3868800000000001"/>
    <n v="1020610000"/>
    <n v="0"/>
    <n v="0"/>
    <n v="0"/>
    <n v="0"/>
    <n v="6342610"/>
    <n v="963623"/>
    <n v="0"/>
    <n v="44"/>
    <x v="36"/>
    <n v="1.4139304363921582E-12"/>
    <n v="-1.0209268834544011E-13"/>
  </r>
  <r>
    <n v="54.813000000000002"/>
    <n v="85.138999999999996"/>
    <n v="1.16598"/>
    <n v="0.04"/>
    <n v="0.04"/>
    <n v="3.1665100000000002"/>
    <n v="3.4689100000000002"/>
    <n v="0"/>
    <n v="0.59340000000000004"/>
    <n v="5.3222399999999999"/>
    <n v="206205000"/>
    <n v="0"/>
    <n v="0"/>
    <n v="0"/>
    <n v="0"/>
    <n v="4733860"/>
    <n v="-51927.6"/>
    <n v="408539"/>
    <n v="93.642300000000006"/>
    <n v="98.274000000000001"/>
    <n v="3.1982300000000001"/>
    <n v="0"/>
    <n v="0"/>
    <n v="2.4515099999999999"/>
    <n v="2.1491099999999999"/>
    <n v="0"/>
    <n v="1.8940300000000001"/>
    <n v="3.3868800000000001"/>
    <n v="1021580000"/>
    <n v="0"/>
    <n v="0"/>
    <n v="0"/>
    <n v="0"/>
    <n v="6342650"/>
    <n v="963624"/>
    <n v="0"/>
    <n v="45"/>
    <x v="36"/>
    <n v="1.4139229867199202E-12"/>
    <n v="-1.0208730399073761E-13"/>
  </r>
  <r>
    <n v="53.105699999999999"/>
    <n v="85.138999999999996"/>
    <n v="1.0220400000000001"/>
    <n v="0.04"/>
    <n v="0.04"/>
    <n v="3.0606900000000001"/>
    <n v="3.3630900000000001"/>
    <n v="0"/>
    <n v="0.59340499999999996"/>
    <n v="5.3222399999999999"/>
    <n v="206142000"/>
    <n v="0"/>
    <n v="0"/>
    <n v="0"/>
    <n v="0"/>
    <n v="4575660"/>
    <n v="-62805.9"/>
    <n v="408539"/>
    <n v="93.019199999999998"/>
    <n v="98.274000000000001"/>
    <n v="1.83019"/>
    <n v="0"/>
    <n v="0"/>
    <n v="2.3481200000000002"/>
    <n v="2.0457200000000002"/>
    <n v="0"/>
    <n v="1.8940399999999999"/>
    <n v="3.3868800000000001"/>
    <n v="1022530000"/>
    <n v="0"/>
    <n v="0"/>
    <n v="0"/>
    <n v="0"/>
    <n v="6075150"/>
    <n v="954905"/>
    <n v="0"/>
    <n v="46"/>
    <x v="36"/>
    <n v="1.4628239284364327E-12"/>
    <n v="-1.277425528649031E-13"/>
  </r>
  <r>
    <n v="51.274700000000003"/>
    <n v="85.138999999999996"/>
    <n v="0.87162499999999998"/>
    <n v="0.06"/>
    <n v="0.04"/>
    <n v="3.0607199999999999"/>
    <n v="3.3631199999999999"/>
    <n v="0"/>
    <n v="0.57357400000000003"/>
    <n v="5.3222399999999999"/>
    <n v="206079000"/>
    <n v="0"/>
    <n v="0"/>
    <n v="0"/>
    <n v="0"/>
    <n v="4575690"/>
    <n v="-62803.6"/>
    <n v="408539"/>
    <n v="92.465500000000006"/>
    <n v="98.274000000000001"/>
    <n v="1.67252"/>
    <n v="0"/>
    <n v="0"/>
    <n v="2.3481399999999999"/>
    <n v="2.0457399999999999"/>
    <n v="0"/>
    <n v="1.81416"/>
    <n v="3.3868800000000001"/>
    <n v="1023490000"/>
    <n v="0"/>
    <n v="0"/>
    <n v="0"/>
    <n v="0"/>
    <n v="6075190"/>
    <n v="954906"/>
    <n v="0"/>
    <n v="47"/>
    <x v="36"/>
    <n v="1.4628158288702786E-12"/>
    <n v="-1.2773703733600927E-13"/>
  </r>
  <r>
    <n v="50.311"/>
    <n v="85.138999999999996"/>
    <n v="1.86215"/>
    <n v="0.06"/>
    <n v="0.04"/>
    <n v="3.06074"/>
    <n v="3.36314"/>
    <n v="0"/>
    <n v="0.57357800000000003"/>
    <n v="5.3222399999999999"/>
    <n v="206017000"/>
    <n v="0"/>
    <n v="0"/>
    <n v="0"/>
    <n v="0"/>
    <n v="4575730"/>
    <n v="-62801.3"/>
    <n v="408539"/>
    <n v="92.297799999999995"/>
    <n v="98.274000000000001"/>
    <n v="2.5703399999999998"/>
    <n v="0"/>
    <n v="0"/>
    <n v="2.34815"/>
    <n v="2.04575"/>
    <n v="0"/>
    <n v="1.8141700000000001"/>
    <n v="3.3868800000000001"/>
    <n v="1024440000"/>
    <n v="0"/>
    <n v="0"/>
    <n v="0"/>
    <n v="0"/>
    <n v="6075220"/>
    <n v="954907"/>
    <n v="0"/>
    <n v="48"/>
    <x v="36"/>
    <n v="1.4628101372375424E-12"/>
    <n v="-1.2773124272939752E-13"/>
  </r>
  <r>
    <n v="51.115900000000003"/>
    <n v="85.138999999999996"/>
    <n v="3.7506200000000001"/>
    <n v="0.05"/>
    <n v="0.04"/>
    <n v="3.0607600000000001"/>
    <n v="3.3631600000000001"/>
    <n v="0"/>
    <n v="0.57358299999999995"/>
    <n v="5.3222399999999999"/>
    <n v="205954000"/>
    <n v="0"/>
    <n v="0"/>
    <n v="0"/>
    <n v="0"/>
    <n v="4575760"/>
    <n v="-62799"/>
    <n v="408539"/>
    <n v="92.433899999999994"/>
    <n v="98.274000000000001"/>
    <n v="4.0709200000000001"/>
    <n v="0"/>
    <n v="0"/>
    <n v="2.34816"/>
    <n v="2.04576"/>
    <n v="0"/>
    <n v="1.8141799999999999"/>
    <n v="3.3868800000000001"/>
    <n v="1025400000"/>
    <n v="0"/>
    <n v="0"/>
    <n v="0"/>
    <n v="0"/>
    <n v="6075260"/>
    <n v="954908"/>
    <n v="0"/>
    <n v="49"/>
    <x v="36"/>
    <n v="1.4628020378555152E-12"/>
    <n v="-1.2772572735903281E-13"/>
  </r>
  <r>
    <n v="51.9392"/>
    <n v="85.138999999999996"/>
    <n v="3.7443399999999998"/>
    <n v="0.05"/>
    <n v="0.04"/>
    <n v="2.9739"/>
    <n v="3.2763"/>
    <n v="0"/>
    <n v="0.57358699999999996"/>
    <n v="5.3222399999999999"/>
    <n v="205882000"/>
    <n v="0"/>
    <n v="0"/>
    <n v="0"/>
    <n v="0"/>
    <n v="4445910"/>
    <n v="-71728.100000000006"/>
    <n v="408539"/>
    <n v="92.415000000000006"/>
    <n v="98.274000000000001"/>
    <n v="4.54664"/>
    <n v="0"/>
    <n v="0"/>
    <n v="2.2540499999999999"/>
    <n v="1.9516500000000001"/>
    <n v="0"/>
    <n v="1.81419"/>
    <n v="3.3868800000000001"/>
    <n v="1026340000"/>
    <n v="0"/>
    <n v="0"/>
    <n v="0"/>
    <n v="0"/>
    <n v="5831770"/>
    <n v="946971"/>
    <n v="0"/>
    <n v="50"/>
    <x v="36"/>
    <n v="1.5112112773174807E-12"/>
    <n v="-1.5014730933810974E-13"/>
  </r>
  <r>
    <n v="52.514099999999999"/>
    <n v="85.138999999999996"/>
    <n v="3.5468799999999998"/>
    <n v="0.05"/>
    <n v="0.04"/>
    <n v="2.9739300000000002"/>
    <n v="3.2763300000000002"/>
    <n v="0"/>
    <n v="0.55730999999999997"/>
    <n v="5.3222399999999999"/>
    <n v="205810000"/>
    <n v="0"/>
    <n v="0"/>
    <n v="0"/>
    <n v="0"/>
    <n v="4445940"/>
    <n v="-71725.8"/>
    <n v="408539"/>
    <n v="93.204499999999996"/>
    <n v="98.274000000000001"/>
    <n v="6.4235600000000002"/>
    <n v="0"/>
    <n v="0"/>
    <n v="2.25406"/>
    <n v="1.95166"/>
    <n v="0"/>
    <n v="1.7414799999999999"/>
    <n v="3.3868800000000001"/>
    <n v="1027290000"/>
    <n v="0"/>
    <n v="0"/>
    <n v="0"/>
    <n v="0"/>
    <n v="5831800"/>
    <n v="946972"/>
    <n v="0"/>
    <n v="51"/>
    <x v="36"/>
    <n v="1.5112050991590243E-12"/>
    <n v="-1.5014148166317523E-13"/>
  </r>
  <r>
    <n v="53.229900000000001"/>
    <n v="85.138999999999996"/>
    <n v="3.6568999999999998"/>
    <n v="0.04"/>
    <n v="0.04"/>
    <n v="2.9739499999999999"/>
    <n v="3.2763499999999999"/>
    <n v="0"/>
    <n v="0.55731399999999998"/>
    <n v="5.3222399999999999"/>
    <n v="205739000"/>
    <n v="0"/>
    <n v="0"/>
    <n v="0"/>
    <n v="0"/>
    <n v="4445980"/>
    <n v="-71723.600000000006"/>
    <n v="408539"/>
    <n v="93.591899999999995"/>
    <n v="98.274000000000001"/>
    <n v="5.8998100000000004"/>
    <n v="0"/>
    <n v="0"/>
    <n v="2.2540800000000001"/>
    <n v="1.9516800000000001"/>
    <n v="0"/>
    <n v="1.74149"/>
    <n v="3.3868800000000001"/>
    <n v="1028240000"/>
    <n v="0"/>
    <n v="0"/>
    <n v="0"/>
    <n v="0"/>
    <n v="5831830"/>
    <n v="946974"/>
    <n v="0"/>
    <n v="52"/>
    <x v="36"/>
    <n v="1.5112005168846257E-12"/>
    <n v="-1.5013552570347654E-13"/>
  </r>
  <r>
    <n v="54.749600000000001"/>
    <n v="85.138999999999996"/>
    <n v="4.6357400000000002"/>
    <n v="0.04"/>
    <n v="0.04"/>
    <n v="2.97397"/>
    <n v="3.27637"/>
    <n v="0"/>
    <n v="0.55731799999999998"/>
    <n v="5.3222399999999999"/>
    <n v="205667000"/>
    <n v="0"/>
    <n v="0"/>
    <n v="0"/>
    <n v="0"/>
    <n v="4446010"/>
    <n v="-71721.399999999994"/>
    <n v="408539"/>
    <n v="94.706800000000001"/>
    <n v="98.274000000000001"/>
    <n v="7.7573800000000004"/>
    <n v="0"/>
    <n v="0"/>
    <n v="2.2540900000000001"/>
    <n v="1.9516899999999999"/>
    <n v="0"/>
    <n v="1.7415"/>
    <n v="3.3868800000000001"/>
    <n v="1029180000"/>
    <n v="0"/>
    <n v="0"/>
    <n v="0"/>
    <n v="0"/>
    <n v="5831870"/>
    <n v="946975"/>
    <n v="0"/>
    <n v="1"/>
    <x v="37"/>
    <n v="7.4627182008880439E-13"/>
    <n v="-7.4138652171076481E-14"/>
  </r>
  <r>
    <n v="56.220599999999997"/>
    <n v="85.138999999999996"/>
    <n v="4.31351"/>
    <n v="0.03"/>
    <n v="0.04"/>
    <n v="2.7272400000000001"/>
    <n v="3.0296400000000001"/>
    <n v="0"/>
    <n v="0.55732199999999998"/>
    <n v="5.3222399999999999"/>
    <n v="205570000"/>
    <n v="0"/>
    <n v="0"/>
    <n v="0"/>
    <n v="0"/>
    <n v="4077160"/>
    <n v="-97085.5"/>
    <n v="408539"/>
    <n v="96.07"/>
    <n v="98.274000000000001"/>
    <n v="7.8170200000000003"/>
    <n v="0"/>
    <n v="0"/>
    <n v="2.0580599999999998"/>
    <n v="1.75566"/>
    <n v="0"/>
    <n v="1.7415099999999999"/>
    <n v="3.3868800000000001"/>
    <n v="1030110000"/>
    <n v="0"/>
    <n v="0"/>
    <n v="0"/>
    <n v="0"/>
    <n v="5324690"/>
    <n v="930443"/>
    <n v="0"/>
    <n v="2"/>
    <x v="37"/>
    <n v="8.0308554238677395E-13"/>
    <n v="-1.0943669780408638E-13"/>
  </r>
  <r>
    <n v="60.737099999999998"/>
    <n v="85.138999999999996"/>
    <n v="7.5321899999999999"/>
    <n v="0.04"/>
    <n v="0.04"/>
    <n v="2.7272599999999998"/>
    <n v="3.0296599999999998"/>
    <n v="0"/>
    <n v="0.51108500000000001"/>
    <n v="5.3222399999999999"/>
    <n v="205473000"/>
    <n v="0"/>
    <n v="0"/>
    <n v="0"/>
    <n v="0"/>
    <n v="4077190"/>
    <n v="-97083.4"/>
    <n v="408539"/>
    <n v="96.8536"/>
    <n v="98.274000000000001"/>
    <n v="7.1619000000000002"/>
    <n v="0"/>
    <n v="0"/>
    <n v="2.0580699999999998"/>
    <n v="1.7556700000000001"/>
    <n v="0"/>
    <n v="1.59006"/>
    <n v="3.3868800000000001"/>
    <n v="1031040000"/>
    <n v="0"/>
    <n v="0"/>
    <n v="0"/>
    <n v="0"/>
    <n v="5324720"/>
    <n v="930444"/>
    <n v="0"/>
    <n v="3"/>
    <x v="37"/>
    <n v="8.0308188084010184E-13"/>
    <n v="-1.0943352542373771E-13"/>
  </r>
  <r>
    <n v="62.973700000000001"/>
    <n v="85.138999999999996"/>
    <n v="5.2204699999999997"/>
    <n v="0.04"/>
    <n v="0.04"/>
    <n v="2.7272799999999999"/>
    <n v="3.0296799999999999"/>
    <n v="0"/>
    <n v="0.51108900000000002"/>
    <n v="5.3222399999999999"/>
    <n v="205376000"/>
    <n v="0"/>
    <n v="0"/>
    <n v="0"/>
    <n v="0"/>
    <n v="4077220"/>
    <n v="-97081.4"/>
    <n v="408539"/>
    <n v="96.984800000000007"/>
    <n v="98.274000000000001"/>
    <n v="5.7969200000000001"/>
    <n v="0"/>
    <n v="0"/>
    <n v="2.0580799999999999"/>
    <n v="1.7556799999999999"/>
    <n v="0"/>
    <n v="1.5900700000000001"/>
    <n v="3.3868800000000001"/>
    <n v="1031970000"/>
    <n v="0"/>
    <n v="0"/>
    <n v="0"/>
    <n v="0"/>
    <n v="5324750"/>
    <n v="930445"/>
    <n v="0"/>
    <n v="4"/>
    <x v="37"/>
    <n v="8.0307821933468879E-13"/>
    <n v="-1.0943046581039459E-13"/>
  </r>
  <r>
    <n v="64.883200000000002"/>
    <n v="85.138999999999996"/>
    <n v="4.9741400000000002"/>
    <n v="0.04"/>
    <n v="0.04"/>
    <n v="2.7273000000000001"/>
    <n v="3.0297000000000001"/>
    <n v="0"/>
    <n v="0.51109300000000002"/>
    <n v="5.3222399999999999"/>
    <n v="205279000"/>
    <n v="0"/>
    <n v="0"/>
    <n v="0"/>
    <n v="0"/>
    <n v="4077250"/>
    <n v="-97079.3"/>
    <n v="408539"/>
    <n v="97.508799999999994"/>
    <n v="98.274000000000001"/>
    <n v="7.1701199999999998"/>
    <n v="0"/>
    <n v="0"/>
    <n v="2.0581"/>
    <n v="1.7557"/>
    <n v="0"/>
    <n v="1.5900799999999999"/>
    <n v="3.3868800000000001"/>
    <n v="1032900000"/>
    <n v="0"/>
    <n v="0"/>
    <n v="0"/>
    <n v="0"/>
    <n v="5324780"/>
    <n v="930446"/>
    <n v="0"/>
    <n v="5"/>
    <x v="37"/>
    <n v="8.0307455787053359E-13"/>
    <n v="-1.0942729352258444E-13"/>
  </r>
  <r>
    <n v="66.278999999999996"/>
    <n v="85.138999999999996"/>
    <n v="4.4695"/>
    <n v="0.04"/>
    <n v="0.04"/>
    <n v="2.7273200000000002"/>
    <n v="3.0297200000000002"/>
    <n v="0"/>
    <n v="0.51109599999999999"/>
    <n v="5.3222399999999999"/>
    <n v="205182000"/>
    <n v="0"/>
    <n v="0"/>
    <n v="0"/>
    <n v="0"/>
    <n v="4077280"/>
    <n v="-97077.2"/>
    <n v="408539"/>
    <n v="98.078199999999995"/>
    <n v="98.274000000000001"/>
    <n v="4.58826"/>
    <n v="0"/>
    <n v="0"/>
    <n v="2.0581100000000001"/>
    <n v="1.7557100000000001"/>
    <n v="0"/>
    <n v="1.5900799999999999"/>
    <n v="3.3868800000000001"/>
    <n v="1033840000"/>
    <n v="0"/>
    <n v="0"/>
    <n v="0"/>
    <n v="0"/>
    <n v="5324810"/>
    <n v="930447"/>
    <n v="0"/>
    <n v="6"/>
    <x v="37"/>
    <n v="8.0307089644763585E-13"/>
    <n v="-1.0942412128145668E-13"/>
  </r>
  <r>
    <n v="68.555899999999994"/>
    <n v="85.138999999999996"/>
    <n v="5.4299900000000001"/>
    <n v="0.04"/>
    <n v="0.04"/>
    <n v="2.8222499999999999"/>
    <n v="3.1246499999999999"/>
    <n v="0"/>
    <n v="0.5111"/>
    <n v="5.3222399999999999"/>
    <n v="205094000"/>
    <n v="0"/>
    <n v="0"/>
    <n v="0"/>
    <n v="0"/>
    <n v="4219190"/>
    <n v="-87318.399999999994"/>
    <n v="408539"/>
    <n v="98.161699999999996"/>
    <n v="98.274000000000001"/>
    <n v="3.3879299999999999"/>
    <n v="0"/>
    <n v="0"/>
    <n v="2.1148899999999999"/>
    <n v="1.8124899999999999"/>
    <n v="0"/>
    <n v="1.59009"/>
    <n v="3.3868800000000001"/>
    <n v="1034770000"/>
    <n v="0"/>
    <n v="0"/>
    <n v="0"/>
    <n v="7883220"/>
    <n v="5471710"/>
    <n v="935235"/>
    <n v="0"/>
    <n v="7"/>
    <x v="37"/>
    <n v="7.4068882857363871E-12"/>
    <n v="-9.5113694050018113E-14"/>
  </r>
  <r>
    <n v="70.115099999999998"/>
    <n v="85.138999999999996"/>
    <n v="4.7655399999999997"/>
    <n v="0.04"/>
    <n v="0.04"/>
    <n v="2.8222499999999999"/>
    <n v="3.1246499999999999"/>
    <n v="0"/>
    <n v="0.52888999999999997"/>
    <n v="5.3222399999999999"/>
    <n v="205007000"/>
    <n v="0"/>
    <n v="0"/>
    <n v="0"/>
    <n v="0"/>
    <n v="4219200"/>
    <n v="-87318.1"/>
    <n v="408539"/>
    <n v="97.974000000000004"/>
    <n v="98.274000000000001"/>
    <n v="2.7130700000000001"/>
    <n v="0"/>
    <n v="0"/>
    <n v="2.1148899999999999"/>
    <n v="1.8124899999999999"/>
    <n v="0"/>
    <n v="1.6339600000000001"/>
    <n v="3.3868800000000001"/>
    <n v="1035710000"/>
    <n v="0"/>
    <n v="0"/>
    <n v="0"/>
    <n v="0"/>
    <n v="5471720"/>
    <n v="935235"/>
    <n v="0"/>
    <n v="8"/>
    <x v="37"/>
    <n v="7.8553085613529329E-13"/>
    <n v="-9.5113141837849149E-14"/>
  </r>
  <r>
    <n v="73.582700000000003"/>
    <n v="85.138999999999996"/>
    <n v="6.6796199999999999"/>
    <n v="0.04"/>
    <n v="0.04"/>
    <n v="2.82226"/>
    <n v="3.12466"/>
    <n v="0"/>
    <n v="0.52888999999999997"/>
    <n v="5.3222399999999999"/>
    <n v="204920000"/>
    <n v="0"/>
    <n v="0"/>
    <n v="0"/>
    <n v="0"/>
    <n v="4219200"/>
    <n v="-87317.8"/>
    <n v="408539"/>
    <n v="98.190299999999993"/>
    <n v="98.274000000000001"/>
    <n v="6.1651800000000003"/>
    <n v="0"/>
    <n v="0"/>
    <n v="2.1148899999999999"/>
    <n v="1.8124899999999999"/>
    <n v="0"/>
    <n v="1.6339600000000001"/>
    <n v="3.3868800000000001"/>
    <n v="1036640000"/>
    <n v="0"/>
    <n v="0"/>
    <n v="0"/>
    <n v="0"/>
    <n v="5471720"/>
    <n v="935235"/>
    <n v="0"/>
    <n v="9"/>
    <x v="37"/>
    <n v="7.8553085613529329E-13"/>
    <n v="-9.5112815056316429E-14"/>
  </r>
  <r>
    <n v="78.076400000000007"/>
    <n v="85.138999999999996"/>
    <n v="7.8429099999999998"/>
    <n v="0.04"/>
    <n v="0.04"/>
    <n v="2.82226"/>
    <n v="3.12466"/>
    <n v="0"/>
    <n v="0.528891"/>
    <n v="5.3222399999999999"/>
    <n v="204832000"/>
    <n v="0"/>
    <n v="0"/>
    <n v="0"/>
    <n v="0"/>
    <n v="4219210"/>
    <n v="-87317.5"/>
    <n v="408539"/>
    <n v="98.272900000000007"/>
    <n v="98.274000000000001"/>
    <n v="5.1498699999999999"/>
    <n v="0"/>
    <n v="0"/>
    <n v="2.1148899999999999"/>
    <n v="1.8124899999999999"/>
    <n v="0"/>
    <n v="1.6339600000000001"/>
    <n v="3.3868800000000001"/>
    <n v="1037580000"/>
    <n v="0"/>
    <n v="0"/>
    <n v="0"/>
    <n v="0"/>
    <n v="5471730"/>
    <n v="935235"/>
    <n v="0"/>
    <n v="10"/>
    <x v="37"/>
    <n v="7.8552942051830157E-13"/>
    <n v="-9.5112262847539567E-14"/>
  </r>
  <r>
    <n v="80.4529"/>
    <n v="85.138999999999996"/>
    <n v="6.11388"/>
    <n v="0.03"/>
    <n v="0.04"/>
    <n v="3.12703"/>
    <n v="3.42943"/>
    <n v="0"/>
    <n v="0.528891"/>
    <n v="5.3222399999999999"/>
    <n v="204776000"/>
    <n v="0"/>
    <n v="0"/>
    <n v="0"/>
    <n v="0"/>
    <n v="4674840"/>
    <n v="-55986"/>
    <n v="408539"/>
    <n v="98.235100000000003"/>
    <n v="98.274000000000001"/>
    <n v="3.9029799999999999"/>
    <n v="0"/>
    <n v="0"/>
    <n v="2.3279999999999998"/>
    <n v="2.0255999999999998"/>
    <n v="0"/>
    <n v="1.6339600000000001"/>
    <n v="3.3868800000000001"/>
    <n v="1038530000"/>
    <n v="0"/>
    <n v="0"/>
    <n v="0"/>
    <n v="0"/>
    <n v="6023100"/>
    <n v="953208"/>
    <n v="0"/>
    <n v="11"/>
    <x v="37"/>
    <n v="7.2733413136149849E-13"/>
    <n v="-5.5040079378433473E-14"/>
  </r>
  <r>
    <n v="81.6995"/>
    <n v="85.138999999999996"/>
    <n v="4.8784000000000001"/>
    <n v="0.01"/>
    <n v="0.04"/>
    <n v="3.12704"/>
    <n v="3.42944"/>
    <n v="0"/>
    <n v="0.58600600000000003"/>
    <n v="5.3222399999999999"/>
    <n v="204720000"/>
    <n v="0"/>
    <n v="0"/>
    <n v="0"/>
    <n v="0"/>
    <n v="4674840"/>
    <n v="-55985.7"/>
    <n v="408539"/>
    <n v="98.034199999999998"/>
    <n v="98.274000000000001"/>
    <n v="2.8713299999999999"/>
    <n v="0"/>
    <n v="0"/>
    <n v="2.3279999999999998"/>
    <n v="2.0255999999999998"/>
    <n v="0"/>
    <n v="1.79861"/>
    <n v="3.3868800000000001"/>
    <n v="1039480000"/>
    <n v="0"/>
    <n v="0"/>
    <n v="0"/>
    <n v="0"/>
    <n v="6023100"/>
    <n v="953208"/>
    <n v="0"/>
    <n v="12"/>
    <x v="37"/>
    <n v="7.2733413136149849E-13"/>
    <n v="-5.5039784447132545E-14"/>
  </r>
  <r>
    <n v="85.138999999999996"/>
    <n v="85.138999999999996"/>
    <n v="9.3427299999999995"/>
    <n v="0.01"/>
    <n v="0.04"/>
    <n v="3.12704"/>
    <n v="3.42944"/>
    <n v="0"/>
    <n v="0.58600699999999994"/>
    <n v="5.3222399999999999"/>
    <n v="204664000"/>
    <n v="0"/>
    <n v="0"/>
    <n v="0"/>
    <n v="0"/>
    <n v="4674850"/>
    <n v="-55985.4"/>
    <n v="408539"/>
    <n v="98.365300000000005"/>
    <n v="98.274000000000001"/>
    <n v="5.4639100000000003"/>
    <n v="0"/>
    <n v="0"/>
    <n v="2.3280099999999999"/>
    <n v="2.0256099999999999"/>
    <n v="0"/>
    <n v="1.7986200000000001"/>
    <n v="3.3868800000000001"/>
    <n v="1040440000"/>
    <n v="0"/>
    <n v="0"/>
    <n v="0"/>
    <n v="0"/>
    <n v="6023110"/>
    <n v="953208"/>
    <n v="0"/>
    <n v="13"/>
    <x v="37"/>
    <n v="7.2733292378911256E-13"/>
    <n v="-5.5039371780525641E-14"/>
  </r>
  <r>
    <n v="85.138999999999996"/>
    <n v="85.138999999999996"/>
    <n v="8.7026299999999992"/>
    <n v="0"/>
    <n v="0.04"/>
    <n v="3.42944"/>
    <n v="3.42944"/>
    <n v="0"/>
    <n v="0.58600699999999994"/>
    <n v="5.3222399999999999"/>
    <n v="205017000"/>
    <n v="0"/>
    <n v="0"/>
    <n v="0"/>
    <n v="0"/>
    <n v="5126930"/>
    <n v="352553"/>
    <n v="0"/>
    <n v="98.966200000000001"/>
    <n v="98.274000000000001"/>
    <n v="7.2349500000000004"/>
    <n v="0"/>
    <n v="0"/>
    <n v="2.0256099999999999"/>
    <n v="2.0256099999999999"/>
    <n v="0"/>
    <n v="1.7986200000000001"/>
    <n v="3.3868800000000001"/>
    <n v="1040610000"/>
    <n v="0"/>
    <n v="0"/>
    <n v="0"/>
    <n v="0"/>
    <n v="5240730"/>
    <n v="170828"/>
    <n v="0"/>
    <n v="14"/>
    <x v="37"/>
    <n v="1.4980752667293629E-13"/>
    <n v="3.1603369572896517E-13"/>
  </r>
  <r>
    <n v="85.138999999999996"/>
    <n v="85.138999999999996"/>
    <n v="5.4412200000000004"/>
    <n v="0"/>
    <n v="0.04"/>
    <n v="2.9947400000000002"/>
    <n v="2.9947400000000002"/>
    <n v="0"/>
    <n v="0.64267799999999997"/>
    <n v="5.3222399999999999"/>
    <n v="205325000"/>
    <n v="0"/>
    <n v="0"/>
    <n v="0"/>
    <n v="0"/>
    <n v="4477060"/>
    <n v="307865"/>
    <n v="0"/>
    <n v="99.302199999999999"/>
    <n v="98.274000000000001"/>
    <n v="5.2236700000000003"/>
    <n v="0"/>
    <n v="0"/>
    <n v="1.7396100000000001"/>
    <n v="1.7396100000000001"/>
    <n v="0"/>
    <n v="1.56498"/>
    <n v="3.3868800000000001"/>
    <n v="1040750000"/>
    <n v="0"/>
    <n v="0"/>
    <n v="0"/>
    <n v="0"/>
    <n v="4500790"/>
    <n v="146708"/>
    <n v="0"/>
    <n v="15"/>
    <x v="37"/>
    <n v="1.4980675951968776E-13"/>
    <n v="3.1603397008985971E-13"/>
  </r>
  <r>
    <n v="85.138999999999996"/>
    <n v="85.138999999999996"/>
    <n v="4.8376700000000001"/>
    <n v="0"/>
    <n v="0.04"/>
    <n v="2.9947499999999998"/>
    <n v="2.9947499999999998"/>
    <n v="0"/>
    <n v="0.56121500000000002"/>
    <n v="5.3222399999999999"/>
    <n v="205633000"/>
    <n v="0"/>
    <n v="0"/>
    <n v="0"/>
    <n v="0"/>
    <n v="4477070"/>
    <n v="307866"/>
    <n v="0"/>
    <n v="99.302199999999999"/>
    <n v="98.274000000000001"/>
    <n v="4.7040699999999998"/>
    <n v="0"/>
    <n v="0"/>
    <n v="1.7396100000000001"/>
    <n v="1.7396100000000001"/>
    <n v="0"/>
    <n v="1.34402"/>
    <n v="3.3868800000000001"/>
    <n v="1040900000"/>
    <n v="0"/>
    <n v="0"/>
    <n v="0"/>
    <n v="0"/>
    <n v="4500790"/>
    <n v="146709"/>
    <n v="0"/>
    <n v="16"/>
    <x v="37"/>
    <n v="1.4980778064164102E-13"/>
    <n v="3.160342907271906E-13"/>
  </r>
  <r>
    <n v="85.138999999999996"/>
    <n v="85.138999999999996"/>
    <n v="4.60032"/>
    <n v="0"/>
    <n v="0.04"/>
    <n v="2.9947499999999998"/>
    <n v="2.9947499999999998"/>
    <n v="0"/>
    <n v="0.56121500000000002"/>
    <n v="5.3222399999999999"/>
    <n v="205940000"/>
    <n v="0"/>
    <n v="0"/>
    <n v="0"/>
    <n v="0"/>
    <n v="4477070"/>
    <n v="307866"/>
    <n v="0"/>
    <n v="99.302199999999999"/>
    <n v="98.274000000000001"/>
    <n v="4.78071"/>
    <n v="0"/>
    <n v="0"/>
    <n v="1.7396100000000001"/>
    <n v="1.7396100000000001"/>
    <n v="0"/>
    <n v="1.3440300000000001"/>
    <n v="3.3868800000000001"/>
    <n v="1041050000"/>
    <n v="0"/>
    <n v="0"/>
    <n v="0"/>
    <n v="0"/>
    <n v="4500800"/>
    <n v="146709"/>
    <n v="0"/>
    <n v="17"/>
    <x v="37"/>
    <n v="1.4980744779463464E-13"/>
    <n v="3.160342907271906E-13"/>
  </r>
  <r>
    <n v="85.138999999999996"/>
    <n v="85.138999999999996"/>
    <n v="4.6957500000000003"/>
    <n v="0"/>
    <n v="0.04"/>
    <n v="2.9947499999999998"/>
    <n v="2.9947499999999998"/>
    <n v="0"/>
    <n v="0.56121600000000005"/>
    <n v="5.3222399999999999"/>
    <n v="206248000"/>
    <n v="0"/>
    <n v="0"/>
    <n v="0"/>
    <n v="0"/>
    <n v="4477080"/>
    <n v="307866"/>
    <n v="0"/>
    <n v="99.302199999999999"/>
    <n v="98.274000000000001"/>
    <n v="4.5280800000000001"/>
    <n v="0"/>
    <n v="0"/>
    <n v="1.7396199999999999"/>
    <n v="1.7396199999999999"/>
    <n v="0"/>
    <n v="1.3440300000000001"/>
    <n v="3.3868800000000001"/>
    <n v="1041190000"/>
    <n v="0"/>
    <n v="0"/>
    <n v="0"/>
    <n v="0"/>
    <n v="4500800"/>
    <n v="146709"/>
    <n v="0"/>
    <n v="18"/>
    <x v="37"/>
    <n v="1.4980744779463464E-13"/>
    <n v="3.1603358483341449E-13"/>
  </r>
  <r>
    <n v="85.138999999999996"/>
    <n v="85.138999999999996"/>
    <n v="4.5450799999999996"/>
    <n v="0"/>
    <n v="0.04"/>
    <n v="2.9947499999999998"/>
    <n v="2.9947499999999998"/>
    <n v="0"/>
    <n v="0.56121600000000005"/>
    <n v="5.3222399999999999"/>
    <n v="206556000"/>
    <n v="0"/>
    <n v="0"/>
    <n v="0"/>
    <n v="0"/>
    <n v="4477080"/>
    <n v="307866"/>
    <n v="0"/>
    <n v="99.302199999999999"/>
    <n v="98.274000000000001"/>
    <n v="5.0785"/>
    <n v="0"/>
    <n v="0"/>
    <n v="1.7396199999999999"/>
    <n v="1.7396199999999999"/>
    <n v="0"/>
    <n v="1.3440300000000001"/>
    <n v="3.3868800000000001"/>
    <n v="1041340000"/>
    <n v="0"/>
    <n v="0"/>
    <n v="0"/>
    <n v="0"/>
    <n v="4500810"/>
    <n v="146709"/>
    <n v="0"/>
    <n v="19"/>
    <x v="37"/>
    <n v="1.4980711494910728E-13"/>
    <n v="3.1603358483341449E-13"/>
  </r>
  <r>
    <n v="85.138999999999996"/>
    <n v="85.138999999999996"/>
    <n v="5.3098099999999997"/>
    <n v="0"/>
    <n v="0.04"/>
    <n v="3.1041799999999999"/>
    <n v="3.1041799999999999"/>
    <n v="0"/>
    <n v="0.56121699999999997"/>
    <n v="5.3222399999999999"/>
    <n v="206875000"/>
    <n v="0"/>
    <n v="0"/>
    <n v="0"/>
    <n v="0"/>
    <n v="4640670"/>
    <n v="319116"/>
    <n v="0"/>
    <n v="99.302199999999999"/>
    <n v="98.274000000000001"/>
    <n v="5.11843"/>
    <n v="0"/>
    <n v="0"/>
    <n v="1.80959"/>
    <n v="1.80959"/>
    <n v="0"/>
    <n v="1.3440300000000001"/>
    <n v="3.3868800000000001"/>
    <n v="1041490000"/>
    <n v="0"/>
    <n v="0"/>
    <n v="0"/>
    <n v="0"/>
    <n v="4681830"/>
    <n v="152610"/>
    <n v="0"/>
    <n v="20"/>
    <x v="37"/>
    <n v="1.4980755478054376E-13"/>
    <n v="3.1603432609761378E-13"/>
  </r>
  <r>
    <n v="85.138999999999996"/>
    <n v="85.138999999999996"/>
    <n v="5.9768600000000003"/>
    <n v="0"/>
    <n v="0.04"/>
    <n v="3.1041799999999999"/>
    <n v="3.1041799999999999"/>
    <n v="0"/>
    <n v="0.58172299999999999"/>
    <n v="5.3222399999999999"/>
    <n v="207194000"/>
    <n v="0"/>
    <n v="0"/>
    <n v="0"/>
    <n v="0"/>
    <n v="4640670"/>
    <n v="319116"/>
    <n v="0"/>
    <n v="99.302199999999999"/>
    <n v="98.274000000000001"/>
    <n v="5.9736000000000002"/>
    <n v="0"/>
    <n v="0"/>
    <n v="1.80959"/>
    <n v="1.80959"/>
    <n v="0"/>
    <n v="1.3980900000000001"/>
    <n v="3.3868800000000001"/>
    <n v="1041650000"/>
    <n v="0"/>
    <n v="0"/>
    <n v="0"/>
    <n v="0"/>
    <n v="4681830"/>
    <n v="152610"/>
    <n v="0"/>
    <n v="21"/>
    <x v="37"/>
    <n v="1.4980755478054376E-13"/>
    <n v="3.1603432609761378E-13"/>
  </r>
  <r>
    <n v="85.138999999999996"/>
    <n v="85.138999999999996"/>
    <n v="5.9508000000000001"/>
    <n v="0"/>
    <n v="0.04"/>
    <n v="3.1041799999999999"/>
    <n v="3.1041799999999999"/>
    <n v="0"/>
    <n v="0.58172299999999999"/>
    <n v="5.3222399999999999"/>
    <n v="207514000"/>
    <n v="0"/>
    <n v="0"/>
    <n v="0"/>
    <n v="0"/>
    <n v="4640680"/>
    <n v="319116"/>
    <n v="0"/>
    <n v="99.302199999999999"/>
    <n v="98.274000000000001"/>
    <n v="6.4821400000000002"/>
    <n v="0"/>
    <n v="0"/>
    <n v="1.80959"/>
    <n v="1.80959"/>
    <n v="0"/>
    <n v="1.3980900000000001"/>
    <n v="3.3868800000000001"/>
    <n v="1041800000"/>
    <n v="0"/>
    <n v="0"/>
    <n v="0"/>
    <n v="0"/>
    <n v="4681840"/>
    <n v="152610"/>
    <n v="0"/>
    <n v="22"/>
    <x v="37"/>
    <n v="1.4980723480473342E-13"/>
    <n v="3.1603364508895535E-13"/>
  </r>
  <r>
    <n v="85.138999999999996"/>
    <n v="85.138999999999996"/>
    <n v="6.9631800000000004"/>
    <n v="0"/>
    <n v="0.04"/>
    <n v="3.10419"/>
    <n v="3.10419"/>
    <n v="0"/>
    <n v="0.58172400000000002"/>
    <n v="5.3222399999999999"/>
    <n v="207833000"/>
    <n v="0"/>
    <n v="0"/>
    <n v="0"/>
    <n v="0"/>
    <n v="4640680"/>
    <n v="319116"/>
    <n v="0"/>
    <n v="99.302199999999999"/>
    <n v="98.274000000000001"/>
    <n v="6.6281600000000003"/>
    <n v="0"/>
    <n v="0"/>
    <n v="1.80959"/>
    <n v="1.80959"/>
    <n v="0"/>
    <n v="1.3980900000000001"/>
    <n v="3.3868800000000001"/>
    <n v="1041950000"/>
    <n v="0"/>
    <n v="0"/>
    <n v="0"/>
    <n v="0"/>
    <n v="4681840"/>
    <n v="152610"/>
    <n v="0"/>
    <n v="23"/>
    <x v="37"/>
    <n v="1.4980723480473342E-13"/>
    <n v="3.1603364508895535E-13"/>
  </r>
  <r>
    <n v="85.138999999999996"/>
    <n v="85.138999999999996"/>
    <n v="4.4866799999999998"/>
    <n v="0"/>
    <n v="0.04"/>
    <n v="3.06141"/>
    <n v="3.06141"/>
    <n v="0"/>
    <n v="0.58172400000000002"/>
    <n v="5.3222399999999999"/>
    <n v="208147000"/>
    <n v="0"/>
    <n v="0"/>
    <n v="0"/>
    <n v="0"/>
    <n v="4576720"/>
    <n v="314718"/>
    <n v="0"/>
    <n v="99.302199999999999"/>
    <n v="98.274000000000001"/>
    <n v="3.8493499999999998"/>
    <n v="0"/>
    <n v="0"/>
    <n v="1.7824199999999999"/>
    <n v="1.7824199999999999"/>
    <n v="0"/>
    <n v="1.3980900000000001"/>
    <n v="3.3868800000000001"/>
    <n v="1042100000"/>
    <n v="0"/>
    <n v="0"/>
    <n v="0"/>
    <n v="0"/>
    <n v="4611540"/>
    <n v="150318"/>
    <n v="0"/>
    <n v="24"/>
    <x v="37"/>
    <n v="1.4980674643332022E-13"/>
    <n v="3.1603385037926662E-13"/>
  </r>
  <r>
    <n v="85.138999999999996"/>
    <n v="85.138999999999996"/>
    <n v="3.9717899999999999"/>
    <n v="0"/>
    <n v="0.04"/>
    <n v="3.06141"/>
    <n v="3.06141"/>
    <n v="0"/>
    <n v="0.57370699999999997"/>
    <n v="5.3222399999999999"/>
    <n v="208462000"/>
    <n v="0"/>
    <n v="0"/>
    <n v="0"/>
    <n v="0"/>
    <n v="4576730"/>
    <n v="314719"/>
    <n v="0"/>
    <n v="99.302199999999999"/>
    <n v="98.274000000000001"/>
    <n v="3.36856"/>
    <n v="0"/>
    <n v="0"/>
    <n v="1.7824199999999999"/>
    <n v="1.7824199999999999"/>
    <n v="0"/>
    <n v="1.3771"/>
    <n v="3.3868800000000001"/>
    <n v="1042250000"/>
    <n v="0"/>
    <n v="0"/>
    <n v="0"/>
    <n v="0"/>
    <n v="4611540"/>
    <n v="150319"/>
    <n v="0"/>
    <n v="25"/>
    <x v="37"/>
    <n v="1.4980774303217354E-13"/>
    <n v="3.1603416403486185E-13"/>
  </r>
  <r>
    <n v="85.138999999999996"/>
    <n v="85.138999999999996"/>
    <n v="3.6188500000000001"/>
    <n v="0"/>
    <n v="0.04"/>
    <n v="3.06141"/>
    <n v="3.06141"/>
    <n v="0"/>
    <n v="0.573708"/>
    <n v="5.3222399999999999"/>
    <n v="208777000"/>
    <n v="0"/>
    <n v="0"/>
    <n v="0"/>
    <n v="0"/>
    <n v="4576730"/>
    <n v="314719"/>
    <n v="0"/>
    <n v="99.2898"/>
    <n v="98.274000000000001"/>
    <n v="3.08786"/>
    <n v="0"/>
    <n v="0"/>
    <n v="1.7824199999999999"/>
    <n v="1.7824199999999999"/>
    <n v="0"/>
    <n v="1.3771"/>
    <n v="3.3868800000000001"/>
    <n v="1042400000"/>
    <n v="0"/>
    <n v="0"/>
    <n v="0"/>
    <n v="0"/>
    <n v="4611550"/>
    <n v="150319"/>
    <n v="0"/>
    <n v="26"/>
    <x v="37"/>
    <n v="1.498074181788313E-13"/>
    <n v="3.1603416403486185E-13"/>
  </r>
  <r>
    <n v="85.138999999999996"/>
    <n v="85.138999999999996"/>
    <n v="3.4329999999999998"/>
    <n v="0"/>
    <n v="0.04"/>
    <n v="3.06141"/>
    <n v="3.06141"/>
    <n v="0"/>
    <n v="0.573708"/>
    <n v="5.3222399999999999"/>
    <n v="209091000"/>
    <n v="0"/>
    <n v="0"/>
    <n v="0"/>
    <n v="0"/>
    <n v="4576740"/>
    <n v="314719"/>
    <n v="0"/>
    <n v="99.302199999999999"/>
    <n v="98.274000000000001"/>
    <n v="2.9979800000000001"/>
    <n v="0"/>
    <n v="0"/>
    <n v="1.7824199999999999"/>
    <n v="1.7824199999999999"/>
    <n v="0"/>
    <n v="1.3771"/>
    <n v="3.3868800000000001"/>
    <n v="1042550000"/>
    <n v="0"/>
    <n v="0"/>
    <n v="0"/>
    <n v="0"/>
    <n v="4611550"/>
    <n v="150319"/>
    <n v="0"/>
    <n v="27"/>
    <x v="37"/>
    <n v="1.498074181788313E-13"/>
    <n v="3.1603347351242876E-13"/>
  </r>
  <r>
    <n v="85.138999999999996"/>
    <n v="85.138999999999996"/>
    <n v="3.61802"/>
    <n v="0"/>
    <n v="0.04"/>
    <n v="3.2066400000000002"/>
    <n v="3.2066400000000002"/>
    <n v="0"/>
    <n v="0.57370900000000002"/>
    <n v="5.3222399999999999"/>
    <n v="209421000"/>
    <n v="0"/>
    <n v="0"/>
    <n v="0"/>
    <n v="0"/>
    <n v="4793850"/>
    <n v="329649"/>
    <n v="0"/>
    <n v="99.302199999999999"/>
    <n v="98.274000000000001"/>
    <n v="3.08785"/>
    <n v="0"/>
    <n v="0"/>
    <n v="1.87879"/>
    <n v="1.87879"/>
    <n v="0"/>
    <n v="1.3771"/>
    <n v="3.3868800000000001"/>
    <n v="1042710000"/>
    <n v="0"/>
    <n v="0"/>
    <n v="0"/>
    <n v="0"/>
    <n v="4860880"/>
    <n v="158446"/>
    <n v="0"/>
    <n v="28"/>
    <x v="37"/>
    <n v="1.4980721942453881E-13"/>
    <n v="3.1603391049376264E-13"/>
  </r>
  <r>
    <n v="84.948700000000002"/>
    <n v="85.138999999999996"/>
    <n v="3.2652899999999998"/>
    <n v="0"/>
    <n v="0.04"/>
    <n v="3.2066400000000002"/>
    <n v="3.2066400000000002"/>
    <n v="0"/>
    <n v="0.60092400000000001"/>
    <n v="5.3222399999999999"/>
    <n v="209751000"/>
    <n v="0"/>
    <n v="0"/>
    <n v="0"/>
    <n v="0"/>
    <n v="4793850"/>
    <n v="329649"/>
    <n v="0"/>
    <n v="99.224800000000002"/>
    <n v="98.274000000000001"/>
    <n v="2.7712400000000001"/>
    <n v="0"/>
    <n v="0"/>
    <n v="1.87879"/>
    <n v="1.87879"/>
    <n v="0"/>
    <n v="1.4515499999999999"/>
    <n v="3.3868800000000001"/>
    <n v="1042870000"/>
    <n v="0"/>
    <n v="0"/>
    <n v="0"/>
    <n v="0"/>
    <n v="4860890"/>
    <n v="158446"/>
    <n v="0"/>
    <n v="29"/>
    <x v="37"/>
    <n v="1.4980691123566923E-13"/>
    <n v="3.1603391049376264E-13"/>
  </r>
  <r>
    <n v="84.532899999999998"/>
    <n v="85.138999999999996"/>
    <n v="3.0078"/>
    <n v="0"/>
    <n v="0.04"/>
    <n v="3.2066499999999998"/>
    <n v="3.2066499999999998"/>
    <n v="0"/>
    <n v="0.60092500000000004"/>
    <n v="5.3222399999999999"/>
    <n v="210080000"/>
    <n v="0"/>
    <n v="0"/>
    <n v="0"/>
    <n v="0"/>
    <n v="4793860"/>
    <n v="329649"/>
    <n v="0"/>
    <n v="99.123500000000007"/>
    <n v="98.274000000000001"/>
    <n v="2.8083900000000002"/>
    <n v="0"/>
    <n v="0"/>
    <n v="1.87879"/>
    <n v="1.87879"/>
    <n v="0"/>
    <n v="1.45156"/>
    <n v="3.3868800000000001"/>
    <n v="1043030000"/>
    <n v="0"/>
    <n v="0"/>
    <n v="0"/>
    <n v="0"/>
    <n v="4860890"/>
    <n v="158446"/>
    <n v="0"/>
    <n v="30"/>
    <x v="37"/>
    <n v="1.4980691123566923E-13"/>
    <n v="3.1603325124649527E-13"/>
  </r>
  <r>
    <n v="83.982900000000001"/>
    <n v="85.138999999999996"/>
    <n v="2.8539699999999999"/>
    <n v="0"/>
    <n v="0.04"/>
    <n v="3.2066499999999998"/>
    <n v="3.2066499999999998"/>
    <n v="0"/>
    <n v="0.60092599999999996"/>
    <n v="5.3222399999999999"/>
    <n v="210410000"/>
    <n v="0"/>
    <n v="0"/>
    <n v="0"/>
    <n v="0"/>
    <n v="4793860"/>
    <n v="329650"/>
    <n v="0"/>
    <n v="98.632000000000005"/>
    <n v="98.274000000000001"/>
    <n v="2.48238"/>
    <n v="0"/>
    <n v="0"/>
    <n v="1.8788"/>
    <n v="1.8788"/>
    <n v="0"/>
    <n v="1.45156"/>
    <n v="3.3868800000000001"/>
    <n v="1043190000"/>
    <n v="0"/>
    <n v="0"/>
    <n v="0"/>
    <n v="0"/>
    <n v="4860890"/>
    <n v="158446"/>
    <n v="0"/>
    <n v="31"/>
    <x v="37"/>
    <n v="1.4980691123566923E-13"/>
    <n v="3.1603420994271835E-13"/>
  </r>
  <r>
    <n v="82.425200000000004"/>
    <n v="85.138999999999996"/>
    <n v="1.73976"/>
    <n v="0"/>
    <n v="0.04"/>
    <n v="3.2066499999999998"/>
    <n v="3.2066499999999998"/>
    <n v="0"/>
    <n v="0.60092599999999996"/>
    <n v="5.3222399999999999"/>
    <n v="210740000"/>
    <n v="0"/>
    <n v="0"/>
    <n v="0"/>
    <n v="0"/>
    <n v="4793860"/>
    <n v="329650"/>
    <n v="0"/>
    <n v="98.041499999999999"/>
    <n v="98.274000000000001"/>
    <n v="1.7419500000000001"/>
    <n v="0"/>
    <n v="0"/>
    <n v="1.8788"/>
    <n v="1.8788"/>
    <n v="0"/>
    <n v="1.45156"/>
    <n v="3.3868800000000001"/>
    <n v="1043340000"/>
    <n v="0"/>
    <n v="0"/>
    <n v="0"/>
    <n v="0"/>
    <n v="4860900"/>
    <n v="158447"/>
    <n v="0"/>
    <n v="32"/>
    <x v="37"/>
    <n v="1.4980754852225475E-13"/>
    <n v="3.1603420994271835E-13"/>
  </r>
  <r>
    <n v="80.935699999999997"/>
    <n v="85.138999999999996"/>
    <n v="1.5026299999999999"/>
    <n v="0.01"/>
    <n v="0.04"/>
    <n v="2.87554"/>
    <n v="3.17794"/>
    <n v="0"/>
    <n v="0.60092699999999999"/>
    <n v="5.3222399999999999"/>
    <n v="210658000"/>
    <n v="0"/>
    <n v="0"/>
    <n v="0"/>
    <n v="0"/>
    <n v="4298850"/>
    <n v="-81840.600000000006"/>
    <n v="408539"/>
    <n v="97.308800000000005"/>
    <n v="98.274000000000001"/>
    <n v="1.56287"/>
    <n v="0"/>
    <n v="0"/>
    <n v="2.2341700000000002"/>
    <n v="1.93177"/>
    <n v="0"/>
    <n v="1.45156"/>
    <n v="3.3868800000000001"/>
    <n v="1044290000"/>
    <n v="0"/>
    <n v="0"/>
    <n v="0"/>
    <n v="0"/>
    <n v="5780320"/>
    <n v="945294"/>
    <n v="0"/>
    <n v="33"/>
    <x v="37"/>
    <n v="7.5159067428205975E-13"/>
    <n v="-8.749492763698518E-14"/>
  </r>
  <r>
    <n v="79.328599999999994"/>
    <n v="85.138999999999996"/>
    <n v="1.37351"/>
    <n v="0.01"/>
    <n v="0.04"/>
    <n v="2.87554"/>
    <n v="3.17794"/>
    <n v="0"/>
    <n v="0.53887499999999999"/>
    <n v="5.3222399999999999"/>
    <n v="210576000"/>
    <n v="0"/>
    <n v="0"/>
    <n v="0"/>
    <n v="0"/>
    <n v="4298860"/>
    <n v="-81840.399999999994"/>
    <n v="408539"/>
    <n v="96.440700000000007"/>
    <n v="98.274000000000001"/>
    <n v="1.56159"/>
    <n v="0"/>
    <n v="0"/>
    <n v="2.2341700000000002"/>
    <n v="1.93177"/>
    <n v="0"/>
    <n v="1.7261200000000001"/>
    <n v="3.3868800000000001"/>
    <n v="1045230000"/>
    <n v="0"/>
    <n v="0"/>
    <n v="0"/>
    <n v="0"/>
    <n v="5780320"/>
    <n v="945294"/>
    <n v="0"/>
    <n v="34"/>
    <x v="37"/>
    <n v="7.5159067428205975E-13"/>
    <n v="-8.7494510289043719E-14"/>
  </r>
  <r>
    <n v="77.603999999999999"/>
    <n v="85.138999999999996"/>
    <n v="1.23977"/>
    <n v="0.01"/>
    <n v="0.04"/>
    <n v="2.87554"/>
    <n v="3.17794"/>
    <n v="0"/>
    <n v="0.53887600000000002"/>
    <n v="5.3222399999999999"/>
    <n v="210494000"/>
    <n v="0"/>
    <n v="0"/>
    <n v="0"/>
    <n v="0"/>
    <n v="4298860"/>
    <n v="-81840.100000000006"/>
    <n v="408539"/>
    <n v="95.634299999999996"/>
    <n v="98.274000000000001"/>
    <n v="1.4060699999999999"/>
    <n v="0"/>
    <n v="0"/>
    <n v="2.2341700000000002"/>
    <n v="1.93177"/>
    <n v="0"/>
    <n v="1.7261200000000001"/>
    <n v="3.3868800000000001"/>
    <n v="1046180000"/>
    <n v="0"/>
    <n v="0"/>
    <n v="0"/>
    <n v="0"/>
    <n v="5780330"/>
    <n v="945295"/>
    <n v="0"/>
    <n v="35"/>
    <x v="37"/>
    <n v="7.5159016911172039E-13"/>
    <n v="-8.7494189562934296E-14"/>
  </r>
  <r>
    <n v="75.954599999999999"/>
    <n v="85.138999999999996"/>
    <n v="1.2785299999999999"/>
    <n v="0.02"/>
    <n v="0.04"/>
    <n v="2.87554"/>
    <n v="3.17794"/>
    <n v="0"/>
    <n v="0.53887600000000002"/>
    <n v="5.3222399999999999"/>
    <n v="210412000"/>
    <n v="0"/>
    <n v="0"/>
    <n v="0"/>
    <n v="0"/>
    <n v="4298870"/>
    <n v="-81839.8"/>
    <n v="408539"/>
    <n v="94.892700000000005"/>
    <n v="98.274000000000001"/>
    <n v="1.4763200000000001"/>
    <n v="0"/>
    <n v="0"/>
    <n v="2.2341700000000002"/>
    <n v="1.93177"/>
    <n v="0"/>
    <n v="1.7261200000000001"/>
    <n v="3.3868800000000001"/>
    <n v="1047130000"/>
    <n v="0"/>
    <n v="0"/>
    <n v="0"/>
    <n v="0"/>
    <n v="5780330"/>
    <n v="945295"/>
    <n v="0"/>
    <n v="36"/>
    <x v="37"/>
    <n v="7.5159016911172039E-13"/>
    <n v="-8.749366530922612E-14"/>
  </r>
  <r>
    <n v="74.367900000000006"/>
    <n v="85.138999999999996"/>
    <n v="1.3806700000000001"/>
    <n v="0.02"/>
    <n v="0.04"/>
    <n v="2.9497100000000001"/>
    <n v="3.2521100000000001"/>
    <n v="0"/>
    <n v="0.53887700000000005"/>
    <n v="5.3222399999999999"/>
    <n v="210338000"/>
    <n v="0"/>
    <n v="0"/>
    <n v="0"/>
    <n v="0"/>
    <n v="4409750"/>
    <n v="-74215"/>
    <n v="408539"/>
    <n v="94.079700000000003"/>
    <n v="98.274000000000001"/>
    <n v="1.66164"/>
    <n v="0"/>
    <n v="0"/>
    <n v="2.28138"/>
    <n v="1.97898"/>
    <n v="0"/>
    <n v="1.7261200000000001"/>
    <n v="3.3868800000000001"/>
    <n v="1048070000"/>
    <n v="0"/>
    <n v="0"/>
    <n v="0"/>
    <n v="0"/>
    <n v="5902460"/>
    <n v="949276"/>
    <n v="0"/>
    <n v="37"/>
    <x v="37"/>
    <n v="7.3913847834151508E-13"/>
    <n v="-7.7347109054748376E-14"/>
  </r>
  <r>
    <n v="72.641800000000003"/>
    <n v="85.138999999999996"/>
    <n v="1.22584"/>
    <n v="0.02"/>
    <n v="0.04"/>
    <n v="2.9497200000000001"/>
    <n v="3.2521200000000001"/>
    <n v="0"/>
    <n v="0.55277600000000005"/>
    <n v="5.3222399999999999"/>
    <n v="210264000"/>
    <n v="0"/>
    <n v="0"/>
    <n v="0"/>
    <n v="0"/>
    <n v="4409750"/>
    <n v="-74214.7"/>
    <n v="408539"/>
    <n v="93.223799999999997"/>
    <n v="98.274000000000001"/>
    <n v="1.58141"/>
    <n v="0"/>
    <n v="0"/>
    <n v="2.28138"/>
    <n v="1.97898"/>
    <n v="0"/>
    <n v="1.7625900000000001"/>
    <n v="3.3868800000000001"/>
    <n v="1049020000"/>
    <n v="0"/>
    <n v="0"/>
    <n v="0"/>
    <n v="0"/>
    <n v="5902470"/>
    <n v="949276"/>
    <n v="0"/>
    <n v="38"/>
    <x v="37"/>
    <n v="7.391372260886814E-13"/>
    <n v="-7.7346796393794166E-14"/>
  </r>
  <r>
    <n v="70.8292"/>
    <n v="85.138999999999996"/>
    <n v="1.1222799999999999"/>
    <n v="0.02"/>
    <n v="0.04"/>
    <n v="2.9497200000000001"/>
    <n v="3.2521200000000001"/>
    <n v="0"/>
    <n v="0.55277699999999996"/>
    <n v="5.3222399999999999"/>
    <n v="210190000"/>
    <n v="0"/>
    <n v="0"/>
    <n v="0"/>
    <n v="0"/>
    <n v="4409760"/>
    <n v="-74214.399999999994"/>
    <n v="408539"/>
    <n v="92.364699999999999"/>
    <n v="98.274000000000001"/>
    <n v="1.4856499999999999"/>
    <n v="0"/>
    <n v="0"/>
    <n v="2.28138"/>
    <n v="1.97898"/>
    <n v="0"/>
    <n v="1.7625900000000001"/>
    <n v="3.3868800000000001"/>
    <n v="1049970000"/>
    <n v="0"/>
    <n v="0"/>
    <n v="0"/>
    <n v="0"/>
    <n v="5902470"/>
    <n v="949276"/>
    <n v="0"/>
    <n v="39"/>
    <x v="37"/>
    <n v="7.391372260886814E-13"/>
    <n v="-7.7346308334442467E-14"/>
  </r>
  <r>
    <n v="68.894900000000007"/>
    <n v="85.138999999999996"/>
    <n v="0.96850199999999997"/>
    <n v="0.02"/>
    <n v="0.04"/>
    <n v="2.9497200000000001"/>
    <n v="3.2521200000000001"/>
    <n v="0"/>
    <n v="0.55277699999999996"/>
    <n v="5.3222399999999999"/>
    <n v="210116000"/>
    <n v="0"/>
    <n v="0"/>
    <n v="0"/>
    <n v="0"/>
    <n v="4409760"/>
    <n v="-74214.100000000006"/>
    <n v="408539"/>
    <n v="91.418199999999999"/>
    <n v="98.274000000000001"/>
    <n v="1.47451"/>
    <n v="0"/>
    <n v="0"/>
    <n v="2.28138"/>
    <n v="1.97898"/>
    <n v="0"/>
    <n v="1.7625900000000001"/>
    <n v="3.3868800000000001"/>
    <n v="1050920000"/>
    <n v="0"/>
    <n v="0"/>
    <n v="0"/>
    <n v="0"/>
    <n v="5902480"/>
    <n v="949276"/>
    <n v="0"/>
    <n v="40"/>
    <x v="37"/>
    <n v="7.3913597384009085E-13"/>
    <n v="-7.7345995674197286E-14"/>
  </r>
  <r>
    <n v="66.722700000000003"/>
    <n v="85.138999999999996"/>
    <n v="0.89608299999999996"/>
    <n v="0.02"/>
    <n v="0.04"/>
    <n v="3.1669200000000002"/>
    <n v="3.4693200000000002"/>
    <n v="0"/>
    <n v="0.55277799999999999"/>
    <n v="5.3222399999999999"/>
    <n v="210064000"/>
    <n v="0"/>
    <n v="0"/>
    <n v="0"/>
    <n v="0"/>
    <n v="4734470"/>
    <n v="-51885.7"/>
    <n v="408539"/>
    <n v="90.375200000000007"/>
    <n v="98.274000000000001"/>
    <n v="1.34507"/>
    <n v="0"/>
    <n v="0"/>
    <n v="2.4517600000000002"/>
    <n v="2.1493600000000002"/>
    <n v="0"/>
    <n v="1.7625999999999999"/>
    <n v="3.3868800000000001"/>
    <n v="1051890000"/>
    <n v="0"/>
    <n v="0"/>
    <n v="0"/>
    <n v="0"/>
    <n v="6343300"/>
    <n v="963645"/>
    <n v="0"/>
    <n v="41"/>
    <x v="37"/>
    <n v="6.9818125426936336E-13"/>
    <n v="-5.0366604598418911E-14"/>
  </r>
  <r>
    <n v="64.484200000000001"/>
    <n v="85.138999999999996"/>
    <n v="0.80320100000000005"/>
    <n v="0.02"/>
    <n v="0.04"/>
    <n v="3.1669200000000002"/>
    <n v="3.4693200000000002"/>
    <n v="0"/>
    <n v="0.59348100000000004"/>
    <n v="5.3222399999999999"/>
    <n v="210012000"/>
    <n v="0"/>
    <n v="0"/>
    <n v="0"/>
    <n v="0"/>
    <n v="4734470"/>
    <n v="-51885.3"/>
    <n v="408539"/>
    <n v="89.4"/>
    <n v="98.274000000000001"/>
    <n v="1.25149"/>
    <n v="0"/>
    <n v="0"/>
    <n v="2.4517699999999998"/>
    <n v="2.1493699999999998"/>
    <n v="0"/>
    <n v="1.8942300000000001"/>
    <n v="3.3868800000000001"/>
    <n v="1052850000"/>
    <n v="0"/>
    <n v="0"/>
    <n v="0"/>
    <n v="0"/>
    <n v="6343310"/>
    <n v="963646"/>
    <n v="0"/>
    <n v="42"/>
    <x v="37"/>
    <n v="6.9818087813181582E-13"/>
    <n v="-5.0366216309510041E-14"/>
  </r>
  <r>
    <n v="62.417200000000001"/>
    <n v="85.138999999999996"/>
    <n v="0.95359799999999995"/>
    <n v="0.02"/>
    <n v="0.04"/>
    <n v="3.1669299999999998"/>
    <n v="3.4693299999999998"/>
    <n v="0"/>
    <n v="0.59348100000000004"/>
    <n v="5.3222399999999999"/>
    <n v="209960000"/>
    <n v="0"/>
    <n v="0"/>
    <n v="0"/>
    <n v="0"/>
    <n v="4734480"/>
    <n v="-51885"/>
    <n v="408539"/>
    <n v="88.554100000000005"/>
    <n v="98.274000000000001"/>
    <n v="1.35608"/>
    <n v="0"/>
    <n v="0"/>
    <n v="2.4517699999999998"/>
    <n v="2.1493699999999998"/>
    <n v="0"/>
    <n v="1.8942399999999999"/>
    <n v="3.3868800000000001"/>
    <n v="1053810000"/>
    <n v="0"/>
    <n v="0"/>
    <n v="0"/>
    <n v="0"/>
    <n v="6343310"/>
    <n v="963646"/>
    <n v="0"/>
    <n v="43"/>
    <x v="37"/>
    <n v="6.9818087813181582E-13"/>
    <n v="-5.0365818711715578E-14"/>
  </r>
  <r>
    <n v="60.993899999999996"/>
    <n v="85.138999999999996"/>
    <n v="1.6282000000000001"/>
    <n v="0.02"/>
    <n v="0.04"/>
    <n v="3.1669299999999998"/>
    <n v="3.4693299999999998"/>
    <n v="0"/>
    <n v="0.59348199999999995"/>
    <n v="5.3222399999999999"/>
    <n v="209908000"/>
    <n v="0"/>
    <n v="0"/>
    <n v="0"/>
    <n v="0"/>
    <n v="4734480"/>
    <n v="-51884.7"/>
    <n v="408539"/>
    <n v="88.188000000000002"/>
    <n v="98.274000000000001"/>
    <n v="1.6223700000000001"/>
    <n v="0"/>
    <n v="0"/>
    <n v="2.4517699999999998"/>
    <n v="2.1493699999999998"/>
    <n v="0"/>
    <n v="1.8942399999999999"/>
    <n v="3.3868800000000001"/>
    <n v="1054780000"/>
    <n v="0"/>
    <n v="0"/>
    <n v="0"/>
    <n v="0"/>
    <n v="6343320"/>
    <n v="963646"/>
    <n v="0"/>
    <n v="44"/>
    <x v="37"/>
    <n v="6.9817977747651527E-13"/>
    <n v="-5.0365527495649014E-14"/>
  </r>
  <r>
    <n v="59.454599999999999"/>
    <n v="85.138999999999996"/>
    <n v="1.45905"/>
    <n v="0.02"/>
    <n v="0.04"/>
    <n v="3.1669299999999998"/>
    <n v="3.4693299999999998"/>
    <n v="0"/>
    <n v="0.59348299999999998"/>
    <n v="5.3222399999999999"/>
    <n v="209856000"/>
    <n v="0"/>
    <n v="0"/>
    <n v="0"/>
    <n v="0"/>
    <n v="4734480"/>
    <n v="-51884.4"/>
    <n v="408539"/>
    <n v="87.747299999999996"/>
    <n v="98.274000000000001"/>
    <n v="2.6523599999999998"/>
    <n v="0"/>
    <n v="0"/>
    <n v="2.4517699999999998"/>
    <n v="2.1493699999999998"/>
    <n v="0"/>
    <n v="1.8942399999999999"/>
    <n v="3.3868800000000001"/>
    <n v="1055740000"/>
    <n v="0"/>
    <n v="0"/>
    <n v="0"/>
    <n v="0"/>
    <n v="6343320"/>
    <n v="963646"/>
    <n v="0"/>
    <n v="45"/>
    <x v="37"/>
    <n v="6.9817977747651527E-13"/>
    <n v="-5.0365236279582456E-14"/>
  </r>
  <r>
    <n v="57.545099999999998"/>
    <n v="85.138999999999996"/>
    <n v="0.97481600000000002"/>
    <n v="0.02"/>
    <n v="0.04"/>
    <n v="3.06108"/>
    <n v="3.36348"/>
    <n v="0"/>
    <n v="0.59348299999999998"/>
    <n v="5.3222399999999999"/>
    <n v="209793000"/>
    <n v="0"/>
    <n v="0"/>
    <n v="0"/>
    <n v="0"/>
    <n v="4576240"/>
    <n v="-62766"/>
    <n v="408539"/>
    <n v="86.908100000000005"/>
    <n v="98.274000000000001"/>
    <n v="1.4771700000000001"/>
    <n v="0"/>
    <n v="0"/>
    <n v="2.34836"/>
    <n v="2.04596"/>
    <n v="0"/>
    <n v="1.8942399999999999"/>
    <n v="3.3868800000000001"/>
    <n v="1056700000"/>
    <n v="0"/>
    <n v="0"/>
    <n v="0"/>
    <n v="0"/>
    <n v="6075760"/>
    <n v="954925"/>
    <n v="0"/>
    <n v="46"/>
    <x v="37"/>
    <n v="7.2232894163953137E-13"/>
    <n v="-6.3035038548899325E-14"/>
  </r>
  <r>
    <n v="55.683799999999998"/>
    <n v="85.138999999999996"/>
    <n v="1.0126999999999999"/>
    <n v="0.04"/>
    <n v="0.04"/>
    <n v="3.0610900000000001"/>
    <n v="3.3634900000000001"/>
    <n v="0"/>
    <n v="0.57364700000000002"/>
    <n v="5.3222399999999999"/>
    <n v="209731000"/>
    <n v="0"/>
    <n v="0"/>
    <n v="0"/>
    <n v="0"/>
    <n v="4576250"/>
    <n v="-62765.7"/>
    <n v="408539"/>
    <n v="86.526600000000002"/>
    <n v="98.274000000000001"/>
    <n v="1.43553"/>
    <n v="0"/>
    <n v="0"/>
    <n v="2.34836"/>
    <n v="2.04596"/>
    <n v="0"/>
    <n v="1.8143400000000001"/>
    <n v="3.3868800000000001"/>
    <n v="1057650000"/>
    <n v="0"/>
    <n v="0"/>
    <n v="0"/>
    <n v="0"/>
    <n v="6075770"/>
    <n v="954925"/>
    <n v="0"/>
    <n v="47"/>
    <x v="37"/>
    <n v="7.2232775277138526E-13"/>
    <n v="-6.3034599519775411E-14"/>
  </r>
  <r>
    <n v="55.586399999999998"/>
    <n v="85.138999999999996"/>
    <n v="2.9435699999999998"/>
    <n v="0.04"/>
    <n v="0.04"/>
    <n v="3.0610900000000001"/>
    <n v="3.3634900000000001"/>
    <n v="0"/>
    <n v="0.57364700000000002"/>
    <n v="5.3222399999999999"/>
    <n v="209668000"/>
    <n v="0"/>
    <n v="0"/>
    <n v="0"/>
    <n v="0"/>
    <n v="4576250"/>
    <n v="-62765.4"/>
    <n v="408539"/>
    <n v="86.739800000000002"/>
    <n v="98.274000000000001"/>
    <n v="2.7743099999999998"/>
    <n v="0"/>
    <n v="0"/>
    <n v="2.34836"/>
    <n v="2.04596"/>
    <n v="0"/>
    <n v="1.8143400000000001"/>
    <n v="3.3868800000000001"/>
    <n v="1058610000"/>
    <n v="0"/>
    <n v="0"/>
    <n v="0"/>
    <n v="0"/>
    <n v="6075770"/>
    <n v="954925"/>
    <n v="0"/>
    <n v="48"/>
    <x v="37"/>
    <n v="7.2232775277138526E-13"/>
    <n v="-6.3034298234521601E-14"/>
  </r>
  <r>
    <n v="54.6629"/>
    <n v="85.138999999999996"/>
    <n v="2.1119599999999998"/>
    <n v="0.03"/>
    <n v="0.04"/>
    <n v="3.0610900000000001"/>
    <n v="3.3634900000000001"/>
    <n v="0"/>
    <n v="0.57364800000000005"/>
    <n v="5.3222399999999999"/>
    <n v="209605000"/>
    <n v="0"/>
    <n v="0"/>
    <n v="0"/>
    <n v="0"/>
    <n v="4576250"/>
    <n v="-62765.1"/>
    <n v="408539"/>
    <n v="86.305599999999998"/>
    <n v="98.274000000000001"/>
    <n v="2.2337699999999998"/>
    <n v="0"/>
    <n v="0"/>
    <n v="2.34836"/>
    <n v="2.04596"/>
    <n v="0"/>
    <n v="1.8143400000000001"/>
    <n v="3.3868800000000001"/>
    <n v="1059560000"/>
    <n v="0"/>
    <n v="0"/>
    <n v="0"/>
    <n v="0"/>
    <n v="6075780"/>
    <n v="954925"/>
    <n v="0"/>
    <n v="49"/>
    <x v="37"/>
    <n v="7.2232656390715261E-13"/>
    <n v="-6.3033996949267766E-14"/>
  </r>
  <r>
    <n v="53.712200000000003"/>
    <n v="85.138999999999996"/>
    <n v="1.98648"/>
    <n v="0.03"/>
    <n v="0.04"/>
    <n v="2.9742099999999998"/>
    <n v="3.2766099999999998"/>
    <n v="0"/>
    <n v="0.57364899999999996"/>
    <n v="5.3222399999999999"/>
    <n v="209533000"/>
    <n v="0"/>
    <n v="0"/>
    <n v="0"/>
    <n v="0"/>
    <n v="4446360"/>
    <n v="-71696.899999999994"/>
    <n v="408539"/>
    <n v="85.986000000000004"/>
    <n v="98.274000000000001"/>
    <n v="1.71065"/>
    <n v="0"/>
    <n v="0"/>
    <n v="2.2542300000000002"/>
    <n v="1.95183"/>
    <n v="0"/>
    <n v="1.8143499999999999"/>
    <n v="3.3868800000000001"/>
    <n v="1060510000"/>
    <n v="0"/>
    <n v="0"/>
    <n v="0"/>
    <n v="0"/>
    <n v="5832230"/>
    <n v="946987"/>
    <n v="0"/>
    <n v="50"/>
    <x v="37"/>
    <n v="7.4623521186355946E-13"/>
    <n v="-7.4107492528712208E-14"/>
  </r>
  <r>
    <n v="53.831299999999999"/>
    <n v="85.138999999999996"/>
    <n v="3.0775700000000001"/>
    <n v="0.05"/>
    <n v="0.04"/>
    <n v="2.9742099999999998"/>
    <n v="3.2766099999999998"/>
    <n v="0"/>
    <n v="0.55736600000000003"/>
    <n v="5.3222399999999999"/>
    <n v="209462000"/>
    <n v="0"/>
    <n v="0"/>
    <n v="0"/>
    <n v="0"/>
    <n v="4446370"/>
    <n v="-71696.600000000006"/>
    <n v="408539"/>
    <n v="85.7316"/>
    <n v="98.274000000000001"/>
    <n v="2.1032799999999998"/>
    <n v="0"/>
    <n v="0"/>
    <n v="2.2542300000000002"/>
    <n v="1.95183"/>
    <n v="0"/>
    <n v="1.7416199999999999"/>
    <n v="3.3868800000000001"/>
    <n v="1061450000"/>
    <n v="0"/>
    <n v="0"/>
    <n v="0"/>
    <n v="0"/>
    <n v="5832240"/>
    <n v="946987"/>
    <n v="0"/>
    <n v="51"/>
    <x v="37"/>
    <n v="7.4623393236338146E-13"/>
    <n v="-7.4107015773163735E-14"/>
  </r>
  <r>
    <n v="58.133000000000003"/>
    <n v="85.138999999999996"/>
    <n v="7.4435399999999996"/>
    <n v="0.04"/>
    <n v="0.04"/>
    <n v="2.9742099999999998"/>
    <n v="3.2766099999999998"/>
    <n v="0"/>
    <n v="0.55736699999999995"/>
    <n v="5.3222399999999999"/>
    <n v="209390000"/>
    <n v="0"/>
    <n v="0"/>
    <n v="0"/>
    <n v="0"/>
    <n v="4446370"/>
    <n v="-71696.3"/>
    <n v="408539"/>
    <n v="86.381699999999995"/>
    <n v="98.274000000000001"/>
    <n v="5.1004800000000001"/>
    <n v="0"/>
    <n v="0"/>
    <n v="2.2542300000000002"/>
    <n v="1.95183"/>
    <n v="0"/>
    <n v="1.7416199999999999"/>
    <n v="3.3868800000000001"/>
    <n v="1062400000"/>
    <n v="0"/>
    <n v="0"/>
    <n v="0"/>
    <n v="0"/>
    <n v="5832240"/>
    <n v="946987"/>
    <n v="0"/>
    <n v="52"/>
    <x v="37"/>
    <n v="7.4623393236338146E-13"/>
    <n v="-7.4106705687263818E-14"/>
  </r>
  <r>
    <n v="60.782499999999999"/>
    <n v="85.138999999999996"/>
    <n v="5.7323399999999998"/>
    <n v="0.03"/>
    <n v="0.04"/>
    <n v="2.9742199999999999"/>
    <n v="3.2766199999999999"/>
    <n v="0"/>
    <n v="0.55736799999999997"/>
    <n v="5.3222399999999999"/>
    <n v="209318000"/>
    <n v="0"/>
    <n v="0"/>
    <n v="0"/>
    <n v="0"/>
    <n v="4446380"/>
    <n v="-71696"/>
    <n v="408539"/>
    <n v="86.610600000000005"/>
    <n v="98.274000000000001"/>
    <n v="3.4685199999999998"/>
    <n v="0"/>
    <n v="0"/>
    <n v="2.2542399999999998"/>
    <n v="1.95184"/>
    <n v="0"/>
    <n v="1.7416199999999999"/>
    <n v="3.3868800000000001"/>
    <n v="1063350000"/>
    <n v="0"/>
    <n v="0"/>
    <n v="0"/>
    <n v="0"/>
    <n v="5832250"/>
    <n v="946987"/>
    <n v="0"/>
    <n v="1"/>
    <x v="38"/>
    <n v="3.685120706601747E-13"/>
    <n v="-3.6595879004421212E-14"/>
  </r>
  <r>
    <n v="63.732700000000001"/>
    <n v="85.138999999999996"/>
    <n v="6.1767399999999997"/>
    <n v="0.02"/>
    <n v="0.04"/>
    <n v="2.7274500000000002"/>
    <n v="3.0298500000000002"/>
    <n v="0"/>
    <n v="0.55736799999999997"/>
    <n v="5.3222399999999999"/>
    <n v="209221000"/>
    <n v="0"/>
    <n v="0"/>
    <n v="0"/>
    <n v="0"/>
    <n v="4077470"/>
    <n v="-97063.9"/>
    <n v="408539"/>
    <n v="87.522400000000005"/>
    <n v="98.274000000000001"/>
    <n v="5.3789800000000003"/>
    <n v="0"/>
    <n v="0"/>
    <n v="2.0581800000000001"/>
    <n v="1.7557799999999999"/>
    <n v="0"/>
    <n v="1.7416199999999999"/>
    <n v="3.3868800000000001"/>
    <n v="1064280000"/>
    <n v="0"/>
    <n v="0"/>
    <n v="0"/>
    <n v="0"/>
    <n v="5325010"/>
    <n v="930453"/>
    <n v="0"/>
    <n v="2"/>
    <x v="38"/>
    <n v="3.9656816270838867E-13"/>
    <n v="-5.4026992833327855E-14"/>
  </r>
  <r>
    <n v="67.837299999999999"/>
    <n v="85.138999999999996"/>
    <n v="7.2350500000000002"/>
    <n v="0.03"/>
    <n v="0.04"/>
    <n v="2.7274600000000002"/>
    <n v="3.0298600000000002"/>
    <n v="0"/>
    <n v="0.51112500000000005"/>
    <n v="5.3222399999999999"/>
    <n v="209124000"/>
    <n v="0"/>
    <n v="0"/>
    <n v="0"/>
    <n v="0"/>
    <n v="4077480"/>
    <n v="-97063.6"/>
    <n v="408539"/>
    <n v="88.434299999999993"/>
    <n v="98.274000000000001"/>
    <n v="5.2346300000000001"/>
    <n v="0"/>
    <n v="0"/>
    <n v="2.0581800000000001"/>
    <n v="1.7557799999999999"/>
    <n v="0"/>
    <n v="1.59015"/>
    <n v="3.3868800000000001"/>
    <n v="1065210000"/>
    <n v="0"/>
    <n v="0"/>
    <n v="0"/>
    <n v="0"/>
    <n v="5325010"/>
    <n v="930453"/>
    <n v="0"/>
    <n v="3"/>
    <x v="38"/>
    <n v="3.9656816270838867E-13"/>
    <n v="-5.4026693349008946E-14"/>
  </r>
  <r>
    <n v="72.171199999999999"/>
    <n v="85.138999999999996"/>
    <n v="7.52522"/>
    <n v="0.04"/>
    <n v="0.04"/>
    <n v="2.7274600000000002"/>
    <n v="3.0298600000000002"/>
    <n v="0"/>
    <n v="0.51112500000000005"/>
    <n v="5.3222399999999999"/>
    <n v="209027000"/>
    <n v="0"/>
    <n v="0"/>
    <n v="0"/>
    <n v="0"/>
    <n v="4077480"/>
    <n v="-97063.3"/>
    <n v="408539"/>
    <n v="90.122900000000001"/>
    <n v="98.274000000000001"/>
    <n v="6.38049"/>
    <n v="0"/>
    <n v="0"/>
    <n v="2.0581900000000002"/>
    <n v="1.75579"/>
    <n v="0"/>
    <n v="1.59015"/>
    <n v="3.3868800000000001"/>
    <n v="1066140000"/>
    <n v="0"/>
    <n v="0"/>
    <n v="0"/>
    <n v="0"/>
    <n v="5325020"/>
    <n v="930453"/>
    <n v="0"/>
    <n v="4"/>
    <x v="38"/>
    <n v="3.9656741798224176E-13"/>
    <n v="-5.4026526365628925E-14"/>
  </r>
  <r>
    <n v="79.761099999999999"/>
    <n v="85.138999999999996"/>
    <n v="11.1487"/>
    <n v="0.03"/>
    <n v="0.04"/>
    <n v="2.7274600000000002"/>
    <n v="3.0298600000000002"/>
    <n v="0"/>
    <n v="0.51112599999999997"/>
    <n v="5.3222399999999999"/>
    <n v="208930000"/>
    <n v="0"/>
    <n v="0"/>
    <n v="0"/>
    <n v="0"/>
    <n v="4077480"/>
    <n v="-97063"/>
    <n v="408539"/>
    <n v="91.9238"/>
    <n v="98.274000000000001"/>
    <n v="6.9077599999999997"/>
    <n v="0"/>
    <n v="0"/>
    <n v="2.0581900000000002"/>
    <n v="1.75579"/>
    <n v="0"/>
    <n v="1.59015"/>
    <n v="3.3868800000000001"/>
    <n v="1067070000"/>
    <n v="0"/>
    <n v="0"/>
    <n v="0"/>
    <n v="0"/>
    <n v="5325020"/>
    <n v="930453"/>
    <n v="0"/>
    <n v="5"/>
    <x v="38"/>
    <n v="3.9656741798224176E-13"/>
    <n v="-5.4026359382248904E-14"/>
  </r>
  <r>
    <n v="85.138999999999996"/>
    <n v="85.138999999999996"/>
    <n v="9.8928200000000004"/>
    <n v="0"/>
    <n v="0.04"/>
    <n v="3.0298600000000002"/>
    <n v="3.0298600000000002"/>
    <n v="0"/>
    <n v="0.51112599999999997"/>
    <n v="5.3222399999999999"/>
    <n v="209241000"/>
    <n v="0"/>
    <n v="0"/>
    <n v="0"/>
    <n v="0"/>
    <n v="4529570"/>
    <n v="311476"/>
    <n v="0"/>
    <n v="94.362200000000001"/>
    <n v="98.274000000000001"/>
    <n v="8.6553599999999999"/>
    <n v="0"/>
    <n v="0"/>
    <n v="1.75579"/>
    <n v="1.75579"/>
    <n v="0"/>
    <n v="1.59016"/>
    <n v="3.3868800000000001"/>
    <n v="1067220000"/>
    <n v="0"/>
    <n v="0"/>
    <n v="0"/>
    <n v="0"/>
    <n v="4542640"/>
    <n v="148073"/>
    <n v="0"/>
    <n v="6"/>
    <x v="38"/>
    <n v="7.3979499204737084E-14"/>
    <n v="1.5606713058505952E-13"/>
  </r>
  <r>
    <n v="85.138999999999996"/>
    <n v="85.138999999999996"/>
    <n v="4.3196000000000003"/>
    <n v="0"/>
    <n v="0.04"/>
    <n v="3.1247799999999999"/>
    <n v="3.1247799999999999"/>
    <n v="0"/>
    <n v="0.56779599999999997"/>
    <n v="5.3222399999999999"/>
    <n v="209563000"/>
    <n v="0"/>
    <n v="0"/>
    <n v="0"/>
    <n v="0"/>
    <n v="4671460"/>
    <n v="321233"/>
    <n v="0"/>
    <n v="95.102199999999996"/>
    <n v="98.274000000000001"/>
    <n v="5.03139"/>
    <n v="0"/>
    <n v="0"/>
    <n v="1.8125599999999999"/>
    <n v="1.8125599999999999"/>
    <n v="0"/>
    <n v="1.3565199999999999"/>
    <n v="3.3868800000000001"/>
    <n v="1067370000"/>
    <n v="0"/>
    <n v="0"/>
    <n v="0"/>
    <n v="7883220"/>
    <n v="4689520"/>
    <n v="152860"/>
    <n v="0"/>
    <n v="7"/>
    <x v="38"/>
    <n v="3.8891947567329895E-12"/>
    <n v="1.5606709678234843E-13"/>
  </r>
  <r>
    <n v="85.138999999999996"/>
    <n v="85.138999999999996"/>
    <n v="3.5015299999999998"/>
    <n v="0"/>
    <n v="0.04"/>
    <n v="3.1247600000000002"/>
    <n v="3.1247600000000002"/>
    <n v="0"/>
    <n v="0.58558299999999996"/>
    <n v="5.3222399999999999"/>
    <n v="209884000"/>
    <n v="0"/>
    <n v="0"/>
    <n v="0"/>
    <n v="0"/>
    <n v="4671440"/>
    <n v="321232"/>
    <n v="0"/>
    <n v="95.663499999999999"/>
    <n v="98.274000000000001"/>
    <n v="4.3002500000000001"/>
    <n v="0"/>
    <n v="0"/>
    <n v="1.8125500000000001"/>
    <n v="1.8125500000000001"/>
    <n v="0"/>
    <n v="1.40038"/>
    <n v="3.3868800000000001"/>
    <n v="1067520000"/>
    <n v="0"/>
    <n v="0"/>
    <n v="0"/>
    <n v="0"/>
    <n v="4689500"/>
    <n v="152860"/>
    <n v="0"/>
    <n v="8"/>
    <x v="38"/>
    <n v="7.3979458389612785E-14"/>
    <n v="1.5606727911812234E-13"/>
  </r>
  <r>
    <n v="85.138999999999996"/>
    <n v="85.138999999999996"/>
    <n v="3.9805299999999999"/>
    <n v="0"/>
    <n v="0.04"/>
    <n v="3.1247500000000001"/>
    <n v="3.1247500000000001"/>
    <n v="0"/>
    <n v="0.58558100000000002"/>
    <n v="5.3222399999999999"/>
    <n v="210205000"/>
    <n v="0"/>
    <n v="0"/>
    <n v="0"/>
    <n v="0"/>
    <n v="4671420"/>
    <n v="321230"/>
    <n v="0"/>
    <n v="96.626800000000003"/>
    <n v="98.274000000000001"/>
    <n v="5.1370800000000001"/>
    <n v="0"/>
    <n v="0"/>
    <n v="1.81254"/>
    <n v="1.81254"/>
    <n v="0"/>
    <n v="1.40038"/>
    <n v="3.3868800000000001"/>
    <n v="1067680000"/>
    <n v="0"/>
    <n v="0"/>
    <n v="0"/>
    <n v="0"/>
    <n v="4689480"/>
    <n v="152859"/>
    <n v="0"/>
    <n v="9"/>
    <x v="38"/>
    <n v="7.3979289931246385E-14"/>
    <n v="1.5606697561361338E-13"/>
  </r>
  <r>
    <n v="85.138999999999996"/>
    <n v="85.138999999999996"/>
    <n v="4.1320600000000001"/>
    <n v="0"/>
    <n v="0.04"/>
    <n v="3.12473"/>
    <n v="3.12473"/>
    <n v="0"/>
    <n v="0.58557800000000004"/>
    <n v="5.3222399999999999"/>
    <n v="210526000"/>
    <n v="0"/>
    <n v="0"/>
    <n v="0"/>
    <n v="0"/>
    <n v="4671400"/>
    <n v="321229"/>
    <n v="0"/>
    <n v="97.193799999999996"/>
    <n v="98.274000000000001"/>
    <n v="5.0522299999999998"/>
    <n v="0"/>
    <n v="0"/>
    <n v="1.81253"/>
    <n v="1.81253"/>
    <n v="0"/>
    <n v="1.4003699999999999"/>
    <n v="3.3868800000000001"/>
    <n v="1067830000"/>
    <n v="0"/>
    <n v="0"/>
    <n v="0"/>
    <n v="0"/>
    <n v="4689450"/>
    <n v="152858"/>
    <n v="0"/>
    <n v="10"/>
    <x v="38"/>
    <n v="7.397927922794218E-14"/>
    <n v="1.5606715795042983E-13"/>
  </r>
  <r>
    <n v="85.138999999999996"/>
    <n v="85.138999999999996"/>
    <n v="3.8989699999999998"/>
    <n v="0"/>
    <n v="0.04"/>
    <n v="3.4295"/>
    <n v="3.4295"/>
    <n v="0"/>
    <n v="0.58557499999999996"/>
    <n v="5.3222399999999999"/>
    <n v="210879000"/>
    <n v="0"/>
    <n v="0"/>
    <n v="0"/>
    <n v="0"/>
    <n v="5127010"/>
    <n v="352559"/>
    <n v="0"/>
    <n v="97.478300000000004"/>
    <n v="98.274000000000001"/>
    <n v="4.1485900000000004"/>
    <n v="0"/>
    <n v="0"/>
    <n v="2.0256400000000001"/>
    <n v="2.0256400000000001"/>
    <n v="0"/>
    <n v="1.40036"/>
    <n v="3.3868800000000001"/>
    <n v="1068000000"/>
    <n v="0"/>
    <n v="0"/>
    <n v="0"/>
    <n v="0"/>
    <n v="5240810"/>
    <n v="170830"/>
    <n v="0"/>
    <n v="11"/>
    <x v="38"/>
    <n v="7.3979187667587619E-14"/>
    <n v="1.5606714063842409E-13"/>
  </r>
  <r>
    <n v="85.114500000000007"/>
    <n v="85.138999999999996"/>
    <n v="3.83934"/>
    <n v="0"/>
    <n v="0.04"/>
    <n v="3.4294799999999999"/>
    <n v="3.4294799999999999"/>
    <n v="0"/>
    <n v="0.64268700000000001"/>
    <n v="5.3222399999999999"/>
    <n v="211232000"/>
    <n v="0"/>
    <n v="0"/>
    <n v="0"/>
    <n v="0"/>
    <n v="5126980"/>
    <n v="352557"/>
    <n v="0"/>
    <n v="97.663499999999999"/>
    <n v="98.274000000000001"/>
    <n v="4.1639799999999996"/>
    <n v="0"/>
    <n v="0"/>
    <n v="2.02563"/>
    <n v="2.02563"/>
    <n v="0"/>
    <n v="1.56501"/>
    <n v="3.3868800000000001"/>
    <n v="1068170000"/>
    <n v="0"/>
    <n v="0"/>
    <n v="0"/>
    <n v="0"/>
    <n v="5240780"/>
    <n v="170829"/>
    <n v="0"/>
    <n v="12"/>
    <x v="38"/>
    <n v="7.3979178089685508E-14"/>
    <n v="1.5606716850504412E-13"/>
  </r>
  <r>
    <n v="84.492599999999996"/>
    <n v="85.138999999999996"/>
    <n v="3.1182599999999998"/>
    <n v="0"/>
    <n v="0.04"/>
    <n v="3.4294600000000002"/>
    <n v="3.4294600000000002"/>
    <n v="0"/>
    <n v="0.64268400000000003"/>
    <n v="5.3222399999999999"/>
    <n v="211584000"/>
    <n v="0"/>
    <n v="0"/>
    <n v="0"/>
    <n v="0"/>
    <n v="5126960"/>
    <n v="352555"/>
    <n v="0"/>
    <n v="97.622600000000006"/>
    <n v="98.274000000000001"/>
    <n v="3.03878"/>
    <n v="0"/>
    <n v="0"/>
    <n v="2.02562"/>
    <n v="2.02562"/>
    <n v="0"/>
    <n v="1.5649999999999999"/>
    <n v="3.3868800000000001"/>
    <n v="1068340000"/>
    <n v="0"/>
    <n v="0"/>
    <n v="0"/>
    <n v="0"/>
    <n v="5240760"/>
    <n v="170828"/>
    <n v="0"/>
    <n v="13"/>
    <x v="38"/>
    <n v="7.3979027350528206E-14"/>
    <n v="1.5606689196704779E-13"/>
  </r>
  <r>
    <n v="85.138999999999996"/>
    <n v="85.138999999999996"/>
    <n v="5.2712300000000001"/>
    <n v="0"/>
    <n v="0.04"/>
    <n v="3.4294500000000001"/>
    <n v="3.4294500000000001"/>
    <n v="0"/>
    <n v="0.64268099999999995"/>
    <n v="5.3222399999999999"/>
    <n v="211937000"/>
    <n v="0"/>
    <n v="0"/>
    <n v="0"/>
    <n v="0"/>
    <n v="5126930"/>
    <n v="352554"/>
    <n v="0"/>
    <n v="98.136200000000002"/>
    <n v="98.274000000000001"/>
    <n v="5.5385600000000004"/>
    <n v="0"/>
    <n v="0"/>
    <n v="2.0256099999999999"/>
    <n v="2.0256099999999999"/>
    <n v="0"/>
    <n v="1.5649900000000001"/>
    <n v="3.3868800000000001"/>
    <n v="1068510000"/>
    <n v="0"/>
    <n v="0"/>
    <n v="0"/>
    <n v="0"/>
    <n v="5240730"/>
    <n v="170828"/>
    <n v="0"/>
    <n v="14"/>
    <x v="38"/>
    <n v="7.3979450835580961E-14"/>
    <n v="1.5606736250896101E-13"/>
  </r>
  <r>
    <n v="85.138999999999996"/>
    <n v="85.138999999999996"/>
    <n v="4.9092000000000002"/>
    <n v="0"/>
    <n v="0.04"/>
    <n v="2.9947300000000001"/>
    <n v="2.9947300000000001"/>
    <n v="0"/>
    <n v="0.64267799999999997"/>
    <n v="5.3222399999999999"/>
    <n v="212244000"/>
    <n v="0"/>
    <n v="0"/>
    <n v="0"/>
    <n v="0"/>
    <n v="4477040"/>
    <n v="307864"/>
    <n v="0"/>
    <n v="99.032799999999995"/>
    <n v="98.274000000000001"/>
    <n v="5.3466899999999997"/>
    <n v="0"/>
    <n v="0"/>
    <n v="1.7396"/>
    <n v="1.7396"/>
    <n v="0"/>
    <n v="1.5649900000000001"/>
    <n v="3.3868800000000001"/>
    <n v="1068660000"/>
    <n v="0"/>
    <n v="0"/>
    <n v="0"/>
    <n v="0"/>
    <n v="4500770"/>
    <n v="146708"/>
    <n v="0"/>
    <n v="15"/>
    <x v="38"/>
    <n v="7.3979400731917074E-14"/>
    <n v="1.560672455730149E-13"/>
  </r>
  <r>
    <n v="85.138999999999996"/>
    <n v="85.138999999999996"/>
    <n v="5.0303300000000002"/>
    <n v="0"/>
    <n v="0.04"/>
    <n v="2.99471"/>
    <n v="2.99471"/>
    <n v="0"/>
    <n v="0.56121200000000004"/>
    <n v="5.3222399999999999"/>
    <n v="212552000"/>
    <n v="0"/>
    <n v="0"/>
    <n v="0"/>
    <n v="0"/>
    <n v="4477020"/>
    <n v="307862"/>
    <n v="0"/>
    <n v="99.302199999999999"/>
    <n v="98.274000000000001"/>
    <n v="5.0109599999999999"/>
    <n v="0"/>
    <n v="0"/>
    <n v="1.73959"/>
    <n v="1.73959"/>
    <n v="0"/>
    <n v="1.34402"/>
    <n v="3.3868800000000001"/>
    <n v="1068810000"/>
    <n v="0"/>
    <n v="0"/>
    <n v="0"/>
    <n v="0"/>
    <n v="4500750"/>
    <n v="146707"/>
    <n v="0"/>
    <n v="16"/>
    <x v="38"/>
    <n v="7.3979225209327887E-14"/>
    <n v="1.5606692888966206E-13"/>
  </r>
  <r>
    <n v="85.138999999999996"/>
    <n v="85.138999999999996"/>
    <n v="3.7736499999999999"/>
    <n v="0"/>
    <n v="0.04"/>
    <n v="2.9946999999999999"/>
    <n v="2.9946999999999999"/>
    <n v="0"/>
    <n v="0.56120899999999996"/>
    <n v="5.3222399999999999"/>
    <n v="212860000"/>
    <n v="0"/>
    <n v="0"/>
    <n v="0"/>
    <n v="0"/>
    <n v="4477000"/>
    <n v="307861"/>
    <n v="0"/>
    <n v="99.302199999999999"/>
    <n v="98.274000000000001"/>
    <n v="3.9066999999999998"/>
    <n v="0"/>
    <n v="0"/>
    <n v="1.73959"/>
    <n v="1.73959"/>
    <n v="0"/>
    <n v="1.3440099999999999"/>
    <n v="3.3868800000000001"/>
    <n v="1068950000"/>
    <n v="0"/>
    <n v="0"/>
    <n v="0"/>
    <n v="0"/>
    <n v="4500720"/>
    <n v="146706"/>
    <n v="0"/>
    <n v="17"/>
    <x v="38"/>
    <n v="7.397921405676751E-14"/>
    <n v="1.5606711914368709E-13"/>
  </r>
  <r>
    <n v="85.138999999999996"/>
    <n v="85.138999999999996"/>
    <n v="4.4904900000000003"/>
    <n v="0"/>
    <n v="0.04"/>
    <n v="2.9946799999999998"/>
    <n v="2.9946799999999998"/>
    <n v="0"/>
    <n v="0.56120599999999998"/>
    <n v="5.3222399999999999"/>
    <n v="213168000"/>
    <n v="0"/>
    <n v="0"/>
    <n v="0"/>
    <n v="0"/>
    <n v="4476980"/>
    <n v="307859"/>
    <n v="0"/>
    <n v="99.302199999999999"/>
    <n v="98.274000000000001"/>
    <n v="4.11165"/>
    <n v="0"/>
    <n v="0"/>
    <n v="1.7395799999999999"/>
    <n v="1.7395799999999999"/>
    <n v="0"/>
    <n v="1.3440000000000001"/>
    <n v="3.3868800000000001"/>
    <n v="1069100000"/>
    <n v="0"/>
    <n v="0"/>
    <n v="0"/>
    <n v="0"/>
    <n v="4500700"/>
    <n v="146705"/>
    <n v="0"/>
    <n v="18"/>
    <x v="38"/>
    <n v="7.3979038531398857E-14"/>
    <n v="1.5606680245694004E-13"/>
  </r>
  <r>
    <n v="85.138999999999996"/>
    <n v="85.138999999999996"/>
    <n v="3.8137400000000001"/>
    <n v="0"/>
    <n v="0.04"/>
    <n v="2.9946700000000002"/>
    <n v="2.9946700000000002"/>
    <n v="0"/>
    <n v="0.56120400000000004"/>
    <n v="5.3222399999999999"/>
    <n v="213476000"/>
    <n v="0"/>
    <n v="0"/>
    <n v="0"/>
    <n v="0"/>
    <n v="4476950"/>
    <n v="307858"/>
    <n v="0"/>
    <n v="99.302199999999999"/>
    <n v="98.274000000000001"/>
    <n v="5.3421200000000004"/>
    <n v="0"/>
    <n v="0"/>
    <n v="1.7395700000000001"/>
    <n v="1.7395700000000001"/>
    <n v="0"/>
    <n v="1.3440000000000001"/>
    <n v="3.3868800000000001"/>
    <n v="1069250000"/>
    <n v="0"/>
    <n v="0"/>
    <n v="0"/>
    <n v="0"/>
    <n v="4500680"/>
    <n v="146705"/>
    <n v="0"/>
    <n v="19"/>
    <x v="38"/>
    <n v="7.3979367277448487E-14"/>
    <n v="1.56067341313252E-13"/>
  </r>
  <r>
    <n v="85.138999999999996"/>
    <n v="85.138999999999996"/>
    <n v="4.3895099999999996"/>
    <n v="0"/>
    <n v="0.04"/>
    <n v="3.1040700000000001"/>
    <n v="3.1040700000000001"/>
    <n v="0"/>
    <n v="0.56120099999999995"/>
    <n v="5.3222399999999999"/>
    <n v="213795000"/>
    <n v="0"/>
    <n v="0"/>
    <n v="0"/>
    <n v="0"/>
    <n v="4640510"/>
    <n v="319105"/>
    <n v="0"/>
    <n v="99.302199999999999"/>
    <n v="98.274000000000001"/>
    <n v="5.2490500000000004"/>
    <n v="0"/>
    <n v="0"/>
    <n v="1.80952"/>
    <n v="1.80952"/>
    <n v="0"/>
    <n v="1.34399"/>
    <n v="3.3868800000000001"/>
    <n v="1069400000"/>
    <n v="0"/>
    <n v="0"/>
    <n v="0"/>
    <n v="0"/>
    <n v="4681670"/>
    <n v="152604"/>
    <n v="0"/>
    <n v="20"/>
    <x v="38"/>
    <n v="7.3979084357350966E-14"/>
    <n v="1.5606723230674272E-13"/>
  </r>
  <r>
    <n v="85.138999999999996"/>
    <n v="85.138999999999996"/>
    <n v="4.4378799999999998"/>
    <n v="0"/>
    <n v="0.04"/>
    <n v="3.10406"/>
    <n v="3.10406"/>
    <n v="0"/>
    <n v="0.58170299999999997"/>
    <n v="5.3222399999999999"/>
    <n v="214114000"/>
    <n v="0"/>
    <n v="0"/>
    <n v="0"/>
    <n v="0"/>
    <n v="4640490"/>
    <n v="319103"/>
    <n v="0"/>
    <n v="99.302199999999999"/>
    <n v="98.274000000000001"/>
    <n v="5.7391100000000002"/>
    <n v="0"/>
    <n v="0"/>
    <n v="1.80952"/>
    <n v="1.80952"/>
    <n v="0"/>
    <n v="1.3980399999999999"/>
    <n v="3.3868800000000001"/>
    <n v="1069550000"/>
    <n v="0"/>
    <n v="0"/>
    <n v="0"/>
    <n v="0"/>
    <n v="4681650"/>
    <n v="152604"/>
    <n v="0"/>
    <n v="21"/>
    <x v="38"/>
    <n v="7.3979400395860283E-14"/>
    <n v="1.5606692677910026E-13"/>
  </r>
  <r>
    <n v="85.138999999999996"/>
    <n v="85.138999999999996"/>
    <n v="5.2922799999999999"/>
    <n v="0"/>
    <n v="0.04"/>
    <n v="3.1040399999999999"/>
    <n v="3.1040399999999999"/>
    <n v="0"/>
    <n v="0.58169999999999999"/>
    <n v="5.3222399999999999"/>
    <n v="214433000"/>
    <n v="0"/>
    <n v="0"/>
    <n v="0"/>
    <n v="0"/>
    <n v="4640470"/>
    <n v="319102"/>
    <n v="0"/>
    <n v="99.302199999999999"/>
    <n v="98.274000000000001"/>
    <n v="6.5838400000000004"/>
    <n v="0"/>
    <n v="0"/>
    <n v="1.80951"/>
    <n v="1.80951"/>
    <n v="0"/>
    <n v="1.3980300000000001"/>
    <n v="3.3868800000000001"/>
    <n v="1069700000"/>
    <n v="0"/>
    <n v="0"/>
    <n v="0"/>
    <n v="0"/>
    <n v="4681630"/>
    <n v="152603"/>
    <n v="0"/>
    <n v="22"/>
    <x v="38"/>
    <n v="7.3979231654780802E-14"/>
    <n v="1.5606711033103091E-13"/>
  </r>
  <r>
    <n v="85.138999999999996"/>
    <n v="85.138999999999996"/>
    <n v="5.3784200000000002"/>
    <n v="0"/>
    <n v="0.04"/>
    <n v="3.1040299999999998"/>
    <n v="3.1040299999999998"/>
    <n v="0"/>
    <n v="0.58169800000000005"/>
    <n v="5.3222399999999999"/>
    <n v="214752000"/>
    <n v="0"/>
    <n v="0"/>
    <n v="0"/>
    <n v="0"/>
    <n v="4640440"/>
    <n v="319100"/>
    <n v="0"/>
    <n v="99.302199999999999"/>
    <n v="98.274000000000001"/>
    <n v="8.0749600000000008"/>
    <n v="0"/>
    <n v="0"/>
    <n v="1.8095000000000001"/>
    <n v="1.8095000000000001"/>
    <n v="0"/>
    <n v="1.3980300000000001"/>
    <n v="3.3868800000000001"/>
    <n v="1069860000"/>
    <n v="0"/>
    <n v="0"/>
    <n v="0"/>
    <n v="0"/>
    <n v="4681600"/>
    <n v="152602"/>
    <n v="0"/>
    <n v="23"/>
    <x v="38"/>
    <n v="7.3979220933156104E-14"/>
    <n v="1.5606714111920927E-13"/>
  </r>
  <r>
    <n v="85.107399999999998"/>
    <n v="85.138999999999996"/>
    <n v="3.4216199999999999"/>
    <n v="0"/>
    <n v="0.04"/>
    <n v="3.0612300000000001"/>
    <n v="3.0612300000000001"/>
    <n v="0"/>
    <n v="0.58169499999999996"/>
    <n v="5.3222399999999999"/>
    <n v="215067000"/>
    <n v="0"/>
    <n v="0"/>
    <n v="0"/>
    <n v="0"/>
    <n v="4576460"/>
    <n v="314701"/>
    <n v="0"/>
    <n v="99.302199999999999"/>
    <n v="98.274000000000001"/>
    <n v="5.8077699999999997"/>
    <n v="0"/>
    <n v="0"/>
    <n v="1.7823199999999999"/>
    <n v="1.7823199999999999"/>
    <n v="0"/>
    <n v="1.39802"/>
    <n v="3.3868800000000001"/>
    <n v="1070010000"/>
    <n v="0"/>
    <n v="0"/>
    <n v="0"/>
    <n v="0"/>
    <n v="4611280"/>
    <n v="150310"/>
    <n v="0"/>
    <n v="24"/>
    <x v="38"/>
    <n v="7.3979299301510499E-14"/>
    <n v="1.5606743206582974E-13"/>
  </r>
  <r>
    <n v="84.528099999999995"/>
    <n v="85.138999999999996"/>
    <n v="2.8423799999999999"/>
    <n v="0"/>
    <n v="0.04"/>
    <n v="3.0612200000000001"/>
    <n v="3.0612200000000001"/>
    <n v="0"/>
    <n v="0.57367500000000005"/>
    <n v="5.3222399999999999"/>
    <n v="215382000"/>
    <n v="0"/>
    <n v="0"/>
    <n v="0"/>
    <n v="0"/>
    <n v="4576440"/>
    <n v="314699"/>
    <n v="0"/>
    <n v="99.302199999999999"/>
    <n v="98.274000000000001"/>
    <n v="5.2975099999999999"/>
    <n v="0"/>
    <n v="0"/>
    <n v="1.7823100000000001"/>
    <n v="1.7823100000000001"/>
    <n v="0"/>
    <n v="1.3770199999999999"/>
    <n v="3.3868800000000001"/>
    <n v="1070160000"/>
    <n v="0"/>
    <n v="0"/>
    <n v="0"/>
    <n v="0"/>
    <n v="4611260"/>
    <n v="150309"/>
    <n v="0"/>
    <n v="25"/>
    <x v="38"/>
    <n v="7.3979127984924183E-14"/>
    <n v="1.5606712226301919E-13"/>
  </r>
  <r>
    <n v="83.694500000000005"/>
    <n v="85.138999999999996"/>
    <n v="2.5782699999999998"/>
    <n v="0"/>
    <n v="0.04"/>
    <n v="3.0611999999999999"/>
    <n v="3.0611999999999999"/>
    <n v="0"/>
    <n v="0.57367199999999996"/>
    <n v="5.3222399999999999"/>
    <n v="215696000"/>
    <n v="0"/>
    <n v="0"/>
    <n v="0"/>
    <n v="0"/>
    <n v="4576420"/>
    <n v="314698"/>
    <n v="0"/>
    <n v="99.302199999999999"/>
    <n v="98.274000000000001"/>
    <n v="4.2655500000000002"/>
    <n v="0"/>
    <n v="0"/>
    <n v="1.7823"/>
    <n v="1.7823"/>
    <n v="0"/>
    <n v="1.3770100000000001"/>
    <n v="3.3868800000000001"/>
    <n v="1070310000"/>
    <n v="0"/>
    <n v="0"/>
    <n v="0"/>
    <n v="0"/>
    <n v="4611230"/>
    <n v="150308"/>
    <n v="0"/>
    <n v="26"/>
    <x v="38"/>
    <n v="7.3979117099006908E-14"/>
    <n v="1.5606730838473384E-13"/>
  </r>
  <r>
    <n v="83.461699999999993"/>
    <n v="85.138999999999996"/>
    <n v="3.1673900000000001"/>
    <n v="0"/>
    <n v="0.04"/>
    <n v="3.0611899999999999"/>
    <n v="3.0611899999999999"/>
    <n v="0"/>
    <n v="0.57366899999999998"/>
    <n v="5.3222399999999999"/>
    <n v="216011000"/>
    <n v="0"/>
    <n v="0"/>
    <n v="0"/>
    <n v="0"/>
    <n v="4576400"/>
    <n v="314696"/>
    <n v="0"/>
    <n v="99.302199999999999"/>
    <n v="98.274000000000001"/>
    <n v="4.7471899999999998"/>
    <n v="0"/>
    <n v="0"/>
    <n v="1.7822899999999999"/>
    <n v="1.7822899999999999"/>
    <n v="0"/>
    <n v="1.377"/>
    <n v="3.3868800000000001"/>
    <n v="1070460000"/>
    <n v="0"/>
    <n v="0"/>
    <n v="0"/>
    <n v="0"/>
    <n v="4611210"/>
    <n v="150308"/>
    <n v="0"/>
    <n v="27"/>
    <x v="38"/>
    <n v="7.3979437965404667E-14"/>
    <n v="1.5606699857867495E-13"/>
  </r>
  <r>
    <n v="82.139600000000002"/>
    <n v="85.138999999999996"/>
    <n v="2.0597799999999999"/>
    <n v="0"/>
    <n v="0.04"/>
    <n v="3.2063799999999998"/>
    <n v="3.2063799999999998"/>
    <n v="0"/>
    <n v="0.57366600000000001"/>
    <n v="5.3222399999999999"/>
    <n v="216341000"/>
    <n v="0"/>
    <n v="0"/>
    <n v="0"/>
    <n v="0"/>
    <n v="4793460"/>
    <n v="329623"/>
    <n v="0"/>
    <n v="99.302199999999999"/>
    <n v="98.274000000000001"/>
    <n v="3.69339"/>
    <n v="0"/>
    <n v="0"/>
    <n v="1.8786400000000001"/>
    <n v="1.8786400000000001"/>
    <n v="0"/>
    <n v="1.377"/>
    <n v="3.3868800000000001"/>
    <n v="1070620000"/>
    <n v="0"/>
    <n v="0"/>
    <n v="0"/>
    <n v="0"/>
    <n v="4860490"/>
    <n v="158433"/>
    <n v="0"/>
    <n v="28"/>
    <x v="38"/>
    <n v="7.3979164861308682E-14"/>
    <n v="1.5606741335230469E-13"/>
  </r>
  <r>
    <n v="81.0261"/>
    <n v="85.138999999999996"/>
    <n v="1.99491"/>
    <n v="0.01"/>
    <n v="0.04"/>
    <n v="2.9039700000000002"/>
    <n v="3.2063700000000002"/>
    <n v="0"/>
    <n v="0.60087699999999999"/>
    <n v="5.3222399999999999"/>
    <n v="216262000"/>
    <n v="0"/>
    <n v="0"/>
    <n v="0"/>
    <n v="0"/>
    <n v="4341360"/>
    <n v="-78917.5"/>
    <n v="408539"/>
    <n v="99.302199999999999"/>
    <n v="98.274000000000001"/>
    <n v="3.3406699999999998"/>
    <n v="0"/>
    <n v="0"/>
    <n v="2.1810299999999998"/>
    <n v="1.87863"/>
    <n v="0"/>
    <n v="1.4514400000000001"/>
    <n v="3.3868800000000001"/>
    <n v="1071560000"/>
    <n v="0"/>
    <n v="0"/>
    <n v="0"/>
    <n v="0"/>
    <n v="5642850"/>
    <n v="940813"/>
    <n v="0"/>
    <n v="29"/>
    <x v="38"/>
    <n v="3.783978292623643E-13"/>
    <n v="-4.1256402069241827E-14"/>
  </r>
  <r>
    <n v="79.724800000000002"/>
    <n v="85.138999999999996"/>
    <n v="1.76468"/>
    <n v="0.01"/>
    <n v="0.04"/>
    <n v="2.90395"/>
    <n v="3.20635"/>
    <n v="0"/>
    <n v="0.54420400000000002"/>
    <n v="5.3222399999999999"/>
    <n v="216183000"/>
    <n v="0"/>
    <n v="0"/>
    <n v="0"/>
    <n v="0"/>
    <n v="4341340"/>
    <n v="-78919.100000000006"/>
    <n v="408539"/>
    <n v="99.280100000000004"/>
    <n v="98.274000000000001"/>
    <n v="3.1583000000000001"/>
    <n v="0"/>
    <n v="0"/>
    <n v="2.1810200000000002"/>
    <n v="1.87862"/>
    <n v="0"/>
    <n v="1.6850700000000001"/>
    <n v="3.3868800000000001"/>
    <n v="1072500000"/>
    <n v="0"/>
    <n v="0"/>
    <n v="0"/>
    <n v="0"/>
    <n v="5642830"/>
    <n v="940813"/>
    <n v="0"/>
    <n v="30"/>
    <x v="38"/>
    <n v="3.783991704256787E-13"/>
    <n v="-4.1257428582284792E-14"/>
  </r>
  <r>
    <n v="78.371899999999997"/>
    <n v="85.138999999999996"/>
    <n v="1.6679999999999999"/>
    <n v="0.01"/>
    <n v="0.04"/>
    <n v="2.90394"/>
    <n v="3.20634"/>
    <n v="0"/>
    <n v="0.54420100000000005"/>
    <n v="5.3222399999999999"/>
    <n v="216104000"/>
    <n v="0"/>
    <n v="0"/>
    <n v="0"/>
    <n v="0"/>
    <n v="4341310"/>
    <n v="-78920.7"/>
    <n v="408539"/>
    <n v="99.203699999999998"/>
    <n v="98.274000000000001"/>
    <n v="3.01037"/>
    <n v="0"/>
    <n v="0"/>
    <n v="2.1810100000000001"/>
    <n v="1.8786099999999999"/>
    <n v="0"/>
    <n v="1.68506"/>
    <n v="3.3868800000000001"/>
    <n v="1073440000"/>
    <n v="0"/>
    <n v="0"/>
    <n v="0"/>
    <n v="0"/>
    <n v="5642800"/>
    <n v="940812"/>
    <n v="0"/>
    <n v="31"/>
    <x v="38"/>
    <n v="3.7840077998189277E-13"/>
    <n v="-4.1258550141664343E-14"/>
  </r>
  <r>
    <n v="77.112099999999998"/>
    <n v="85.138999999999996"/>
    <n v="1.77281"/>
    <n v="0.02"/>
    <n v="0.04"/>
    <n v="2.9039199999999998"/>
    <n v="3.2063199999999998"/>
    <n v="0"/>
    <n v="0.54419799999999996"/>
    <n v="5.3222399999999999"/>
    <n v="216025000"/>
    <n v="0"/>
    <n v="0"/>
    <n v="0"/>
    <n v="0"/>
    <n v="4341290"/>
    <n v="-78922.399999999994"/>
    <n v="408539"/>
    <n v="99.1096"/>
    <n v="98.274000000000001"/>
    <n v="2.6641699999999999"/>
    <n v="0"/>
    <n v="0"/>
    <n v="2.1810100000000001"/>
    <n v="1.8786099999999999"/>
    <n v="0"/>
    <n v="1.6850499999999999"/>
    <n v="3.3868800000000001"/>
    <n v="1074380000"/>
    <n v="0"/>
    <n v="0"/>
    <n v="0"/>
    <n v="0"/>
    <n v="5642780"/>
    <n v="940811"/>
    <n v="0"/>
    <n v="32"/>
    <x v="38"/>
    <n v="3.7840171895954056E-13"/>
    <n v="-4.1259628955156681E-14"/>
  </r>
  <r>
    <n v="75.909700000000001"/>
    <n v="85.138999999999996"/>
    <n v="1.7999099999999999"/>
    <n v="0.02"/>
    <n v="0.04"/>
    <n v="2.8751899999999999"/>
    <n v="3.1775899999999999"/>
    <n v="0"/>
    <n v="0.54419499999999998"/>
    <n v="5.3222399999999999"/>
    <n v="215943000"/>
    <n v="0"/>
    <n v="0"/>
    <n v="0"/>
    <n v="0"/>
    <n v="4298340"/>
    <n v="-81876.100000000006"/>
    <n v="408539"/>
    <n v="98.962900000000005"/>
    <n v="98.274000000000001"/>
    <n v="2.4817200000000001"/>
    <n v="0"/>
    <n v="0"/>
    <n v="2.2339600000000002"/>
    <n v="1.9315599999999999"/>
    <n v="0"/>
    <n v="1.6850400000000001"/>
    <n v="3.3868800000000001"/>
    <n v="1075330000"/>
    <n v="0"/>
    <n v="0"/>
    <n v="0"/>
    <n v="0"/>
    <n v="5779780"/>
    <n v="945277"/>
    <n v="0"/>
    <n v="33"/>
    <x v="38"/>
    <n v="3.711860238921514E-13"/>
    <n v="-4.3231491077655883E-14"/>
  </r>
  <r>
    <n v="74.622399999999999"/>
    <n v="85.138999999999996"/>
    <n v="1.6782300000000001"/>
    <n v="0.02"/>
    <n v="0.04"/>
    <n v="2.8751799999999998"/>
    <n v="3.1775799999999998"/>
    <n v="0"/>
    <n v="0.53881100000000004"/>
    <n v="5.3222399999999999"/>
    <n v="215861000"/>
    <n v="0"/>
    <n v="0"/>
    <n v="0"/>
    <n v="0"/>
    <n v="4298310"/>
    <n v="-81877.7"/>
    <n v="408539"/>
    <n v="98.762299999999996"/>
    <n v="98.274000000000001"/>
    <n v="2.3746700000000001"/>
    <n v="0"/>
    <n v="0"/>
    <n v="2.2339500000000001"/>
    <n v="1.9315500000000001"/>
    <n v="0"/>
    <n v="1.7259500000000001"/>
    <n v="3.3868800000000001"/>
    <n v="1076270000"/>
    <n v="0"/>
    <n v="0"/>
    <n v="0"/>
    <n v="0"/>
    <n v="5779750"/>
    <n v="945276"/>
    <n v="0"/>
    <n v="34"/>
    <x v="38"/>
    <n v="3.7118755787016239E-13"/>
    <n v="-4.3232637634983035E-14"/>
  </r>
  <r>
    <n v="73.166300000000007"/>
    <n v="85.138999999999996"/>
    <n v="1.4829300000000001"/>
    <n v="0.02"/>
    <n v="0.04"/>
    <n v="2.8751600000000002"/>
    <n v="3.1775600000000002"/>
    <n v="0"/>
    <n v="0.53880799999999995"/>
    <n v="5.3222399999999999"/>
    <n v="215779000"/>
    <n v="0"/>
    <n v="0"/>
    <n v="0"/>
    <n v="0"/>
    <n v="4298290"/>
    <n v="-81879.199999999997"/>
    <n v="408539"/>
    <n v="98.513400000000004"/>
    <n v="98.274000000000001"/>
    <n v="2.3307500000000001"/>
    <n v="0"/>
    <n v="0"/>
    <n v="2.23394"/>
    <n v="1.93154"/>
    <n v="0"/>
    <n v="1.7259500000000001"/>
    <n v="3.3868800000000001"/>
    <n v="1077220000"/>
    <n v="0"/>
    <n v="0"/>
    <n v="0"/>
    <n v="0"/>
    <n v="5779730"/>
    <n v="945275"/>
    <n v="0"/>
    <n v="35"/>
    <x v="38"/>
    <n v="3.7118844963843697E-13"/>
    <n v="-4.323363082290532E-14"/>
  </r>
  <r>
    <n v="71.653300000000002"/>
    <n v="85.138999999999996"/>
    <n v="1.4069700000000001"/>
    <n v="0.02"/>
    <n v="0.04"/>
    <n v="2.87514"/>
    <n v="3.17754"/>
    <n v="0"/>
    <n v="0.53880499999999998"/>
    <n v="5.3222399999999999"/>
    <n v="215698000"/>
    <n v="0"/>
    <n v="0"/>
    <n v="0"/>
    <n v="0"/>
    <n v="4298270"/>
    <n v="-81880.800000000003"/>
    <n v="408539"/>
    <n v="98.195999999999998"/>
    <n v="98.274000000000001"/>
    <n v="2.2533799999999999"/>
    <n v="0"/>
    <n v="0"/>
    <n v="2.23393"/>
    <n v="1.93153"/>
    <n v="0"/>
    <n v="1.72594"/>
    <n v="3.3868800000000001"/>
    <n v="1078160000"/>
    <n v="0"/>
    <n v="0"/>
    <n v="0"/>
    <n v="0"/>
    <n v="5779700"/>
    <n v="945274"/>
    <n v="0"/>
    <n v="36"/>
    <x v="38"/>
    <n v="3.7118998364230932E-13"/>
    <n v="-4.3234676822041954E-14"/>
  </r>
  <r>
    <n v="70.049700000000001"/>
    <n v="85.138999999999996"/>
    <n v="1.3621700000000001"/>
    <n v="0.02"/>
    <n v="0.04"/>
    <n v="2.94929"/>
    <n v="3.25169"/>
    <n v="0"/>
    <n v="0.538802"/>
    <n v="5.3222399999999999"/>
    <n v="215623000"/>
    <n v="0"/>
    <n v="0"/>
    <n v="0"/>
    <n v="0"/>
    <n v="4409110"/>
    <n v="-74258.899999999994"/>
    <n v="408539"/>
    <n v="97.998699999999999"/>
    <n v="98.274000000000001"/>
    <n v="2.2601499999999999"/>
    <n v="0"/>
    <n v="0"/>
    <n v="2.28112"/>
    <n v="1.97872"/>
    <n v="0"/>
    <n v="1.72593"/>
    <n v="3.3868800000000001"/>
    <n v="1079110000"/>
    <n v="0"/>
    <n v="0"/>
    <n v="0"/>
    <n v="0"/>
    <n v="5901790"/>
    <n v="949254"/>
    <n v="0"/>
    <n v="37"/>
    <x v="38"/>
    <n v="3.6504173179030461E-13"/>
    <n v="-3.8224464527437385E-14"/>
  </r>
  <r>
    <n v="68.393600000000006"/>
    <n v="85.138999999999996"/>
    <n v="1.2845200000000001"/>
    <n v="0.02"/>
    <n v="0.04"/>
    <n v="2.9492699999999998"/>
    <n v="3.2516699999999998"/>
    <n v="0"/>
    <n v="0.55269599999999997"/>
    <n v="5.3222399999999999"/>
    <n v="215549000"/>
    <n v="0"/>
    <n v="0"/>
    <n v="0"/>
    <n v="0"/>
    <n v="4409080"/>
    <n v="-74260.5"/>
    <n v="408539"/>
    <n v="97.713200000000001"/>
    <n v="98.274000000000001"/>
    <n v="2.30646"/>
    <n v="0"/>
    <n v="0"/>
    <n v="2.28111"/>
    <n v="1.97871"/>
    <n v="0"/>
    <n v="1.7623899999999999"/>
    <n v="3.3868800000000001"/>
    <n v="1080060000"/>
    <n v="0"/>
    <n v="0"/>
    <n v="0"/>
    <n v="0"/>
    <n v="5901770"/>
    <n v="949253"/>
    <n v="0"/>
    <n v="38"/>
    <x v="38"/>
    <n v="3.6504258429105061E-13"/>
    <n v="-3.8225548211114796E-14"/>
  </r>
  <r>
    <n v="66.674000000000007"/>
    <n v="85.138999999999996"/>
    <n v="1.2022299999999999"/>
    <n v="0.02"/>
    <n v="0.04"/>
    <n v="2.9492500000000001"/>
    <n v="3.2516500000000002"/>
    <n v="0"/>
    <n v="0.55269299999999999"/>
    <n v="5.3222399999999999"/>
    <n v="215475000"/>
    <n v="0"/>
    <n v="0"/>
    <n v="0"/>
    <n v="0"/>
    <n v="4409060"/>
    <n v="-74262.2"/>
    <n v="408539"/>
    <n v="97.378600000000006"/>
    <n v="98.274000000000001"/>
    <n v="2.10812"/>
    <n v="0"/>
    <n v="0"/>
    <n v="2.2810999999999999"/>
    <n v="1.9786999999999999"/>
    <n v="0"/>
    <n v="1.7623800000000001"/>
    <n v="3.3868800000000001"/>
    <n v="1081010000"/>
    <n v="0"/>
    <n v="0"/>
    <n v="0"/>
    <n v="0"/>
    <n v="5901740"/>
    <n v="949252"/>
    <n v="0"/>
    <n v="39"/>
    <x v="38"/>
    <n v="3.650440553328486E-13"/>
    <n v="-3.822659668452808E-14"/>
  </r>
  <r>
    <n v="64.954999999999998"/>
    <n v="85.138999999999996"/>
    <n v="1.1810700000000001"/>
    <n v="0.02"/>
    <n v="0.04"/>
    <n v="2.9492400000000001"/>
    <n v="3.2516400000000001"/>
    <n v="0"/>
    <n v="0.55269000000000001"/>
    <n v="5.3222399999999999"/>
    <n v="215401000"/>
    <n v="0"/>
    <n v="0"/>
    <n v="0"/>
    <n v="0"/>
    <n v="4409040"/>
    <n v="-74263.8"/>
    <n v="408539"/>
    <n v="96.857399999999998"/>
    <n v="98.274000000000001"/>
    <n v="2.27203"/>
    <n v="0"/>
    <n v="0"/>
    <n v="2.2810899999999998"/>
    <n v="1.9786900000000001"/>
    <n v="0"/>
    <n v="1.7623800000000001"/>
    <n v="3.3868800000000001"/>
    <n v="1081960000"/>
    <n v="0"/>
    <n v="0"/>
    <n v="0"/>
    <n v="0"/>
    <n v="5901720"/>
    <n v="949251"/>
    <n v="0"/>
    <n v="40"/>
    <x v="38"/>
    <n v="3.6504490784869126E-13"/>
    <n v="-3.8227593692045877E-14"/>
  </r>
  <r>
    <n v="62.926299999999998"/>
    <n v="85.138999999999996"/>
    <n v="1.01589"/>
    <n v="0.02"/>
    <n v="0.04"/>
    <n v="3.1663899999999998"/>
    <n v="3.4687899999999998"/>
    <n v="0"/>
    <n v="0.55268700000000004"/>
    <n v="5.3222399999999999"/>
    <n v="215349000"/>
    <n v="0"/>
    <n v="0"/>
    <n v="0"/>
    <n v="0"/>
    <n v="4733670"/>
    <n v="-51940.7"/>
    <n v="408539"/>
    <n v="96.283100000000005"/>
    <n v="98.274000000000001"/>
    <n v="1.7471000000000001"/>
    <n v="0"/>
    <n v="0"/>
    <n v="2.4514300000000002"/>
    <n v="2.1490300000000002"/>
    <n v="0"/>
    <n v="1.76237"/>
    <n v="3.3868800000000001"/>
    <n v="1082920000"/>
    <n v="0"/>
    <n v="0"/>
    <n v="0"/>
    <n v="0"/>
    <n v="6342440"/>
    <n v="963617"/>
    <n v="0"/>
    <n v="41"/>
    <x v="38"/>
    <n v="3.448195796818518E-13"/>
    <n v="-2.4903113742548896E-14"/>
  </r>
  <r>
    <n v="60.985399999999998"/>
    <n v="85.138999999999996"/>
    <n v="1.09104"/>
    <n v="0.02"/>
    <n v="0.04"/>
    <n v="3.1663700000000001"/>
    <n v="3.4687700000000001"/>
    <n v="0"/>
    <n v="0.59338100000000005"/>
    <n v="5.3222399999999999"/>
    <n v="215297000"/>
    <n v="0"/>
    <n v="0"/>
    <n v="0"/>
    <n v="0"/>
    <n v="4733640"/>
    <n v="-51942.400000000001"/>
    <n v="408539"/>
    <n v="95.508600000000001"/>
    <n v="98.274000000000001"/>
    <n v="1.9477800000000001"/>
    <n v="0"/>
    <n v="0"/>
    <n v="2.4514200000000002"/>
    <n v="2.1490200000000002"/>
    <n v="0"/>
    <n v="1.89398"/>
    <n v="3.3868800000000001"/>
    <n v="1083890000"/>
    <n v="0"/>
    <n v="0"/>
    <n v="0"/>
    <n v="0"/>
    <n v="6342410"/>
    <n v="963616"/>
    <n v="0"/>
    <n v="42"/>
    <x v="38"/>
    <n v="3.4482085285972622E-13"/>
    <n v="-2.4904086643875493E-14"/>
  </r>
  <r>
    <n v="58.855800000000002"/>
    <n v="85.138999999999996"/>
    <n v="0.88734199999999996"/>
    <n v="0.02"/>
    <n v="0.04"/>
    <n v="3.16635"/>
    <n v="3.46875"/>
    <n v="0"/>
    <n v="0.59337700000000004"/>
    <n v="5.3222399999999999"/>
    <n v="215245000"/>
    <n v="0"/>
    <n v="0"/>
    <n v="0"/>
    <n v="0"/>
    <n v="4733620"/>
    <n v="-51944.2"/>
    <n v="408539"/>
    <n v="94.945700000000002"/>
    <n v="98.274000000000001"/>
    <n v="1.4721599999999999"/>
    <n v="0"/>
    <n v="0"/>
    <n v="2.4514100000000001"/>
    <n v="2.1490100000000001"/>
    <n v="0"/>
    <n v="1.8939699999999999"/>
    <n v="3.3868800000000001"/>
    <n v="1084850000"/>
    <n v="0"/>
    <n v="0"/>
    <n v="0"/>
    <n v="0"/>
    <n v="6342390"/>
    <n v="963616"/>
    <n v="0"/>
    <n v="43"/>
    <x v="38"/>
    <n v="3.4482194021276779E-13"/>
    <n v="-2.490505489018318E-14"/>
  </r>
  <r>
    <n v="56.926000000000002"/>
    <n v="85.138999999999996"/>
    <n v="1.0509900000000001"/>
    <n v="0.04"/>
    <n v="0.04"/>
    <n v="3.1663299999999999"/>
    <n v="3.4687299999999999"/>
    <n v="0"/>
    <n v="0.59337399999999996"/>
    <n v="5.3222399999999999"/>
    <n v="215193000"/>
    <n v="0"/>
    <n v="0"/>
    <n v="0"/>
    <n v="0"/>
    <n v="4733590"/>
    <n v="-51945.9"/>
    <n v="408539"/>
    <n v="94.66"/>
    <n v="98.274000000000001"/>
    <n v="2.3859300000000001"/>
    <n v="0"/>
    <n v="0"/>
    <n v="2.4514"/>
    <n v="2.149"/>
    <n v="0"/>
    <n v="1.8939600000000001"/>
    <n v="3.3868800000000001"/>
    <n v="1085810000"/>
    <n v="0"/>
    <n v="0"/>
    <n v="0"/>
    <n v="0"/>
    <n v="6342360"/>
    <n v="963615"/>
    <n v="0"/>
    <n v="44"/>
    <x v="38"/>
    <n v="3.4482321341184488E-13"/>
    <n v="-2.4906027814088728E-14"/>
  </r>
  <r>
    <n v="55.067599999999999"/>
    <n v="85.138999999999996"/>
    <n v="1.15934"/>
    <n v="0.04"/>
    <n v="0.04"/>
    <n v="3.1663199999999998"/>
    <n v="3.4687199999999998"/>
    <n v="0"/>
    <n v="0.59337099999999998"/>
    <n v="5.3222399999999999"/>
    <n v="215141000"/>
    <n v="0"/>
    <n v="0"/>
    <n v="0"/>
    <n v="0"/>
    <n v="4733570"/>
    <n v="-51947.6"/>
    <n v="408539"/>
    <n v="94.513499999999993"/>
    <n v="98.274000000000001"/>
    <n v="2.8371400000000002"/>
    <n v="0"/>
    <n v="0"/>
    <n v="2.45139"/>
    <n v="2.14899"/>
    <n v="0"/>
    <n v="1.89395"/>
    <n v="3.3868800000000001"/>
    <n v="1086780000"/>
    <n v="0"/>
    <n v="0"/>
    <n v="0"/>
    <n v="0"/>
    <n v="6342330"/>
    <n v="963614"/>
    <n v="0"/>
    <n v="45"/>
    <x v="38"/>
    <n v="3.4482448662296677E-13"/>
    <n v="-2.4906948132533288E-14"/>
  </r>
  <r>
    <n v="53.2136"/>
    <n v="85.138999999999996"/>
    <n v="1.0888800000000001"/>
    <n v="0.04"/>
    <n v="0.04"/>
    <n v="3.06047"/>
    <n v="3.36287"/>
    <n v="0"/>
    <n v="0.59336800000000001"/>
    <n v="5.3222399999999999"/>
    <n v="215078000"/>
    <n v="0"/>
    <n v="0"/>
    <n v="0"/>
    <n v="0"/>
    <n v="4575320"/>
    <n v="-62829.3"/>
    <n v="408539"/>
    <n v="95.025400000000005"/>
    <n v="98.274000000000001"/>
    <n v="5.4254600000000002"/>
    <n v="0"/>
    <n v="0"/>
    <n v="2.3479800000000002"/>
    <n v="2.0455800000000002"/>
    <n v="0"/>
    <n v="1.89395"/>
    <n v="3.3868800000000001"/>
    <n v="1087730000"/>
    <n v="0"/>
    <n v="0"/>
    <n v="0"/>
    <n v="0"/>
    <n v="6074790"/>
    <n v="954893"/>
    <n v="0"/>
    <n v="46"/>
    <x v="38"/>
    <n v="3.5675270336384842E-13"/>
    <n v="-3.1166252103100284E-14"/>
  </r>
  <r>
    <n v="51.256900000000002"/>
    <n v="85.138999999999996"/>
    <n v="0.96126800000000001"/>
    <n v="0.06"/>
    <n v="0.04"/>
    <n v="3.0604499999999999"/>
    <n v="3.3628499999999999"/>
    <n v="0"/>
    <n v="0.57353100000000001"/>
    <n v="5.3222399999999999"/>
    <n v="215015000"/>
    <n v="0"/>
    <n v="0"/>
    <n v="0"/>
    <n v="0"/>
    <n v="4575300"/>
    <n v="-62831"/>
    <n v="408539"/>
    <n v="94.887699999999995"/>
    <n v="98.274000000000001"/>
    <n v="3.1772999999999998"/>
    <n v="0"/>
    <n v="0"/>
    <n v="2.3479700000000001"/>
    <n v="2.0455700000000001"/>
    <n v="0"/>
    <n v="1.8140499999999999"/>
    <n v="3.3868800000000001"/>
    <n v="1088690000"/>
    <n v="0"/>
    <n v="0"/>
    <n v="0"/>
    <n v="0"/>
    <n v="6074770"/>
    <n v="954892"/>
    <n v="0"/>
    <n v="47"/>
    <x v="38"/>
    <n v="3.5675350429668369E-13"/>
    <n v="-3.1167231622752637E-14"/>
  </r>
  <r>
    <n v="49.308100000000003"/>
    <n v="85.138999999999996"/>
    <n v="0.92883599999999999"/>
    <n v="0.04"/>
    <n v="0.04"/>
    <n v="3.0604300000000002"/>
    <n v="3.3628300000000002"/>
    <n v="0"/>
    <n v="0.57352800000000004"/>
    <n v="5.3222399999999999"/>
    <n v="214952000"/>
    <n v="0"/>
    <n v="0"/>
    <n v="0"/>
    <n v="0"/>
    <n v="4575270"/>
    <n v="-62832.7"/>
    <n v="408539"/>
    <n v="94.690200000000004"/>
    <n v="98.274000000000001"/>
    <n v="2.9327800000000002"/>
    <n v="0"/>
    <n v="0"/>
    <n v="2.34796"/>
    <n v="2.04556"/>
    <n v="0"/>
    <n v="1.8140400000000001"/>
    <n v="3.3868800000000001"/>
    <n v="1089640000"/>
    <n v="0"/>
    <n v="0"/>
    <n v="0"/>
    <n v="0"/>
    <n v="6074740"/>
    <n v="954891"/>
    <n v="0"/>
    <n v="48"/>
    <x v="38"/>
    <n v="3.5675489250981233E-13"/>
    <n v="-3.1168279274185674E-14"/>
  </r>
  <r>
    <n v="48.002899999999997"/>
    <n v="85.138999999999996"/>
    <n v="1.7454400000000001"/>
    <n v="0.06"/>
    <n v="0.04"/>
    <n v="3.0604200000000001"/>
    <n v="3.3628200000000001"/>
    <n v="0"/>
    <n v="0.57352499999999995"/>
    <n v="5.3222399999999999"/>
    <n v="214889000"/>
    <n v="0"/>
    <n v="0"/>
    <n v="0"/>
    <n v="0"/>
    <n v="4575250"/>
    <n v="-62834.3"/>
    <n v="408539"/>
    <n v="95.258300000000006"/>
    <n v="98.274000000000001"/>
    <n v="4.4314299999999998"/>
    <n v="0"/>
    <n v="0"/>
    <n v="2.34795"/>
    <n v="2.04555"/>
    <n v="0"/>
    <n v="1.8140400000000001"/>
    <n v="3.3868800000000001"/>
    <n v="1090600000"/>
    <n v="0"/>
    <n v="0"/>
    <n v="0"/>
    <n v="0"/>
    <n v="6074720"/>
    <n v="954891"/>
    <n v="0"/>
    <n v="49"/>
    <x v="38"/>
    <n v="3.5675606706565195E-13"/>
    <n v="-3.1169209207998695E-14"/>
  </r>
  <r>
    <n v="47.042999999999999"/>
    <n v="85.138999999999996"/>
    <n v="1.9063000000000001"/>
    <n v="0.04"/>
    <n v="0.04"/>
    <n v="2.9735299999999998"/>
    <n v="3.2759299999999998"/>
    <n v="0"/>
    <n v="0.57352199999999998"/>
    <n v="5.3222399999999999"/>
    <n v="214818000"/>
    <n v="0"/>
    <n v="0"/>
    <n v="0"/>
    <n v="0"/>
    <n v="4445360"/>
    <n v="-71766.3"/>
    <n v="408539"/>
    <n v="95.988200000000006"/>
    <n v="98.274000000000001"/>
    <n v="4.4610700000000003"/>
    <n v="0"/>
    <n v="0"/>
    <n v="2.2538299999999998"/>
    <n v="1.95143"/>
    <n v="0"/>
    <n v="1.81403"/>
    <n v="3.3868800000000001"/>
    <n v="1091540000"/>
    <n v="0"/>
    <n v="0"/>
    <n v="0"/>
    <n v="0"/>
    <n v="5831190"/>
    <n v="946953"/>
    <n v="0"/>
    <n v="50"/>
    <x v="38"/>
    <n v="3.6856582596062501E-13"/>
    <n v="-3.6640167579368224E-14"/>
  </r>
  <r>
    <n v="45.509799999999998"/>
    <n v="85.138999999999996"/>
    <n v="1.25901"/>
    <n v="0.03"/>
    <n v="0.04"/>
    <n v="2.9735200000000002"/>
    <n v="3.2759200000000002"/>
    <n v="0"/>
    <n v="0.55723999999999996"/>
    <n v="5.3222399999999999"/>
    <n v="214746000"/>
    <n v="0"/>
    <n v="0"/>
    <n v="0"/>
    <n v="0"/>
    <n v="4445330"/>
    <n v="-71768"/>
    <n v="408539"/>
    <n v="96.663899999999998"/>
    <n v="98.274000000000001"/>
    <n v="4.3502799999999997"/>
    <n v="0"/>
    <n v="0"/>
    <n v="2.2538200000000002"/>
    <n v="1.9514199999999999"/>
    <n v="0"/>
    <n v="1.7413099999999999"/>
    <n v="3.3868800000000001"/>
    <n v="1092490000"/>
    <n v="0"/>
    <n v="0"/>
    <n v="0"/>
    <n v="0"/>
    <n v="5831170"/>
    <n v="946952"/>
    <n v="0"/>
    <n v="51"/>
    <x v="38"/>
    <n v="3.6856670086998476E-13"/>
    <n v="-3.6641282789319049E-14"/>
  </r>
  <r>
    <n v="44.514699999999998"/>
    <n v="85.138999999999996"/>
    <n v="1.8869"/>
    <n v="0.01"/>
    <n v="0.04"/>
    <n v="2.9735"/>
    <n v="3.2759"/>
    <n v="0"/>
    <n v="0.55723699999999998"/>
    <n v="5.3222399999999999"/>
    <n v="214674000"/>
    <n v="0"/>
    <n v="0"/>
    <n v="0"/>
    <n v="0"/>
    <n v="4445310"/>
    <n v="-71769.600000000006"/>
    <n v="408539"/>
    <n v="97.006799999999998"/>
    <n v="98.274000000000001"/>
    <n v="3.7811300000000001"/>
    <n v="0"/>
    <n v="0"/>
    <n v="2.2538100000000001"/>
    <n v="1.9514100000000001"/>
    <n v="0"/>
    <n v="1.7413000000000001"/>
    <n v="3.3868800000000001"/>
    <n v="1093440000"/>
    <n v="0"/>
    <n v="0"/>
    <n v="0"/>
    <n v="0"/>
    <n v="5831140"/>
    <n v="946951"/>
    <n v="0"/>
    <n v="52"/>
    <x v="38"/>
    <n v="3.6856820785313357E-13"/>
    <n v="-3.6642264529568521E-14"/>
  </r>
  <r>
    <n v="45.433900000000001"/>
    <n v="85.138999999999996"/>
    <n v="3.9625900000000001"/>
    <n v="0.05"/>
    <n v="0.04"/>
    <n v="2.9734799999999999"/>
    <n v="3.2758799999999999"/>
    <n v="0"/>
    <n v="0.55723400000000001"/>
    <n v="5.3222399999999999"/>
    <n v="214602000"/>
    <n v="0"/>
    <n v="0"/>
    <n v="0"/>
    <n v="0"/>
    <n v="4445280"/>
    <n v="-71771.199999999997"/>
    <n v="408539"/>
    <n v="97.674700000000001"/>
    <n v="98.274000000000001"/>
    <n v="5.3816600000000001"/>
    <n v="0"/>
    <n v="0"/>
    <n v="2.2538"/>
    <n v="1.9514"/>
    <n v="0"/>
    <n v="1.74129"/>
    <n v="3.3868800000000001"/>
    <n v="1094380000"/>
    <n v="0"/>
    <n v="0"/>
    <n v="0"/>
    <n v="0"/>
    <n v="5831120"/>
    <n v="946950"/>
    <n v="0"/>
    <n v="1"/>
    <x v="39"/>
    <n v="1.820104699972741E-13"/>
    <n v="-1.8095575002066757E-14"/>
  </r>
  <r>
    <n v="45.1404"/>
    <n v="85.138999999999996"/>
    <n v="2.60981"/>
    <n v="0"/>
    <n v="0.04"/>
    <n v="3.0291600000000001"/>
    <n v="3.0291600000000001"/>
    <n v="0"/>
    <n v="0.55723100000000003"/>
    <n v="5.3222399999999999"/>
    <n v="214914000"/>
    <n v="0"/>
    <n v="0"/>
    <n v="0"/>
    <n v="0"/>
    <n v="4528520"/>
    <n v="311403"/>
    <n v="0"/>
    <n v="98.026300000000006"/>
    <n v="98.274000000000001"/>
    <n v="3.9862000000000002"/>
    <n v="0"/>
    <n v="0"/>
    <n v="1.7553799999999999"/>
    <n v="1.7553799999999999"/>
    <n v="0"/>
    <n v="1.74129"/>
    <n v="3.3868800000000001"/>
    <n v="1094530000"/>
    <n v="0"/>
    <n v="0"/>
    <n v="0"/>
    <n v="0"/>
    <n v="4541590"/>
    <n v="148038"/>
    <n v="0"/>
    <n v="2"/>
    <x v="39"/>
    <n v="3.6533105066494177E-14"/>
    <n v="7.7070433848678951E-14"/>
  </r>
  <r>
    <n v="45.743699999999997"/>
    <n v="85.138999999999996"/>
    <n v="3.62052"/>
    <n v="0"/>
    <n v="0.04"/>
    <n v="3.0291399999999999"/>
    <n v="3.0291399999999999"/>
    <n v="0"/>
    <n v="0.56766399999999995"/>
    <n v="5.3222399999999999"/>
    <n v="215225000"/>
    <n v="0"/>
    <n v="0"/>
    <n v="0"/>
    <n v="0"/>
    <n v="4528490"/>
    <n v="311402"/>
    <n v="0"/>
    <n v="98.8125"/>
    <n v="98.274000000000001"/>
    <n v="4.8891499999999999"/>
    <n v="0"/>
    <n v="0"/>
    <n v="1.7553700000000001"/>
    <n v="1.7553700000000001"/>
    <n v="0"/>
    <n v="1.3562099999999999"/>
    <n v="3.3868800000000001"/>
    <n v="1094680000"/>
    <n v="0"/>
    <n v="0"/>
    <n v="0"/>
    <n v="0"/>
    <n v="4541570"/>
    <n v="148038"/>
    <n v="0"/>
    <n v="3"/>
    <x v="39"/>
    <n v="3.6533265949647212E-14"/>
    <n v="7.7070696923261745E-14"/>
  </r>
  <r>
    <n v="46.569299999999998"/>
    <n v="85.138999999999996"/>
    <n v="3.8095500000000002"/>
    <n v="0"/>
    <n v="0.04"/>
    <n v="3.0291299999999999"/>
    <n v="3.0291299999999999"/>
    <n v="0"/>
    <n v="0.567662"/>
    <n v="5.3222399999999999"/>
    <n v="215537000"/>
    <n v="0"/>
    <n v="0"/>
    <n v="0"/>
    <n v="0"/>
    <n v="4528470"/>
    <n v="311400"/>
    <n v="0"/>
    <n v="99.302199999999999"/>
    <n v="98.274000000000001"/>
    <n v="5.5217700000000001"/>
    <n v="0"/>
    <n v="0"/>
    <n v="1.75536"/>
    <n v="1.75536"/>
    <n v="0"/>
    <n v="1.3562000000000001"/>
    <n v="3.3868800000000001"/>
    <n v="1094830000"/>
    <n v="0"/>
    <n v="0"/>
    <n v="0"/>
    <n v="0"/>
    <n v="4541540"/>
    <n v="148037"/>
    <n v="0"/>
    <n v="4"/>
    <x v="39"/>
    <n v="3.653326049237511E-14"/>
    <n v="7.7070542312353953E-14"/>
  </r>
  <r>
    <n v="48.482599999999998"/>
    <n v="85.138999999999996"/>
    <n v="5.19313"/>
    <n v="0"/>
    <n v="0.04"/>
    <n v="3.0291100000000002"/>
    <n v="3.0291100000000002"/>
    <n v="0"/>
    <n v="0.56765900000000002"/>
    <n v="5.3222399999999999"/>
    <n v="215848000"/>
    <n v="0"/>
    <n v="0"/>
    <n v="0"/>
    <n v="0"/>
    <n v="4528450"/>
    <n v="311399"/>
    <n v="0"/>
    <n v="99.302199999999999"/>
    <n v="98.274000000000001"/>
    <n v="8.2474100000000004"/>
    <n v="0"/>
    <n v="0"/>
    <n v="1.75536"/>
    <n v="1.75536"/>
    <n v="0"/>
    <n v="1.35619"/>
    <n v="3.3868800000000001"/>
    <n v="1094980000"/>
    <n v="0"/>
    <n v="0"/>
    <n v="0"/>
    <n v="0"/>
    <n v="4541520"/>
    <n v="148036"/>
    <n v="0"/>
    <n v="5"/>
    <x v="39"/>
    <n v="3.6533174592238555E-14"/>
    <n v="7.7070635198098131E-14"/>
  </r>
  <r>
    <n v="50.666400000000003"/>
    <n v="85.138999999999996"/>
    <n v="5.4413400000000003"/>
    <n v="0"/>
    <n v="0.04"/>
    <n v="3.0291000000000001"/>
    <n v="3.0291000000000001"/>
    <n v="0"/>
    <n v="0.56765600000000005"/>
    <n v="5.3222399999999999"/>
    <n v="216159000"/>
    <n v="0"/>
    <n v="0"/>
    <n v="0"/>
    <n v="0"/>
    <n v="4528430"/>
    <n v="311397"/>
    <n v="0"/>
    <n v="99.302199999999999"/>
    <n v="98.274000000000001"/>
    <n v="9.2418999999999993"/>
    <n v="0"/>
    <n v="0"/>
    <n v="1.75535"/>
    <n v="1.75535"/>
    <n v="0"/>
    <n v="1.35619"/>
    <n v="3.3868800000000001"/>
    <n v="1095120000"/>
    <n v="0"/>
    <n v="0"/>
    <n v="0"/>
    <n v="0"/>
    <n v="4541500"/>
    <n v="148035"/>
    <n v="0"/>
    <n v="6"/>
    <x v="39"/>
    <n v="3.6533088691345419E-14"/>
    <n v="7.7070480585552046E-14"/>
  </r>
  <r>
    <n v="53.2151"/>
    <n v="85.138999999999996"/>
    <n v="5.9854200000000004"/>
    <n v="0"/>
    <n v="0.04"/>
    <n v="3.1239699999999999"/>
    <n v="3.1239699999999999"/>
    <n v="0"/>
    <n v="0.56765299999999996"/>
    <n v="5.3222399999999999"/>
    <n v="216481000"/>
    <n v="0"/>
    <n v="0"/>
    <n v="0"/>
    <n v="0"/>
    <n v="4670260"/>
    <n v="321151"/>
    <n v="0"/>
    <n v="99.302199999999999"/>
    <n v="98.274000000000001"/>
    <n v="7.6334799999999996"/>
    <n v="0"/>
    <n v="0"/>
    <n v="1.81209"/>
    <n v="1.81209"/>
    <n v="0"/>
    <n v="1.3561799999999999"/>
    <n v="3.3868800000000001"/>
    <n v="1095280000"/>
    <n v="0"/>
    <n v="0"/>
    <n v="0"/>
    <n v="0"/>
    <n v="4688310"/>
    <n v="152821"/>
    <n v="0"/>
    <n v="7"/>
    <x v="39"/>
    <n v="3.6533225586340611E-14"/>
    <n v="7.7070738654459239E-14"/>
  </r>
  <r>
    <n v="56.500500000000002"/>
    <n v="85.138999999999996"/>
    <n v="6.7636200000000004"/>
    <n v="0"/>
    <n v="0.04"/>
    <n v="3.1239400000000002"/>
    <n v="3.1239400000000002"/>
    <n v="0"/>
    <n v="0.58543299999999998"/>
    <n v="5.3222399999999999"/>
    <n v="216802000"/>
    <n v="0"/>
    <n v="0"/>
    <n v="0"/>
    <n v="0"/>
    <n v="4670210"/>
    <n v="321147"/>
    <n v="0"/>
    <n v="99.302199999999999"/>
    <n v="98.274000000000001"/>
    <n v="7.3771899999999997"/>
    <n v="0"/>
    <n v="0"/>
    <n v="1.8120700000000001"/>
    <n v="1.8120700000000001"/>
    <n v="0"/>
    <n v="1.40002"/>
    <n v="3.3868800000000001"/>
    <n v="1095430000"/>
    <n v="0"/>
    <n v="0"/>
    <n v="0"/>
    <n v="7883220"/>
    <n v="4688270"/>
    <n v="152819"/>
    <n v="0"/>
    <n v="8"/>
    <x v="39"/>
    <n v="1.9211033197850441E-12"/>
    <n v="7.7070603844106089E-14"/>
  </r>
  <r>
    <n v="58.127499999999998"/>
    <n v="85.138999999999996"/>
    <n v="5.0091599999999996"/>
    <n v="0"/>
    <n v="0.04"/>
    <n v="3.12391"/>
    <n v="3.12391"/>
    <n v="0"/>
    <n v="0.585426"/>
    <n v="5.3222399999999999"/>
    <n v="217123000"/>
    <n v="0"/>
    <n v="0"/>
    <n v="0"/>
    <n v="0"/>
    <n v="4670160"/>
    <n v="321144"/>
    <n v="0"/>
    <n v="99.302199999999999"/>
    <n v="98.274000000000001"/>
    <n v="6.5453000000000001"/>
    <n v="0"/>
    <n v="0"/>
    <n v="1.8120499999999999"/>
    <n v="1.8120499999999999"/>
    <n v="0"/>
    <n v="1.40001"/>
    <n v="3.3868800000000001"/>
    <n v="1095580000"/>
    <n v="0"/>
    <n v="0"/>
    <n v="0"/>
    <n v="0"/>
    <n v="4688220"/>
    <n v="152818"/>
    <n v="0"/>
    <n v="9"/>
    <x v="39"/>
    <n v="3.6533209725973286E-14"/>
    <n v="7.7070709018874865E-14"/>
  </r>
  <r>
    <n v="62.779699999999998"/>
    <n v="85.138999999999996"/>
    <n v="8.1985899999999994"/>
    <n v="0"/>
    <n v="0.04"/>
    <n v="3.1238700000000001"/>
    <n v="3.1238700000000001"/>
    <n v="0"/>
    <n v="0.58542000000000005"/>
    <n v="5.3222399999999999"/>
    <n v="217444000"/>
    <n v="0"/>
    <n v="0"/>
    <n v="0"/>
    <n v="0"/>
    <n v="4670110"/>
    <n v="321140"/>
    <n v="0"/>
    <n v="99.302199999999999"/>
    <n v="98.274000000000001"/>
    <n v="8.6684300000000007"/>
    <n v="0"/>
    <n v="0"/>
    <n v="1.81203"/>
    <n v="1.81203"/>
    <n v="0"/>
    <n v="1.3999900000000001"/>
    <n v="3.3868800000000001"/>
    <n v="1095730000"/>
    <n v="0"/>
    <n v="0"/>
    <n v="0"/>
    <n v="0"/>
    <n v="4688170"/>
    <n v="152816"/>
    <n v="0"/>
    <n v="10"/>
    <x v="39"/>
    <n v="3.6533121225703508E-14"/>
    <n v="7.7070574205317766E-14"/>
  </r>
  <r>
    <n v="63.464799999999997"/>
    <n v="85.138999999999996"/>
    <n v="4.4208999999999996"/>
    <n v="0"/>
    <n v="0.04"/>
    <n v="3.4285299999999999"/>
    <n v="3.4285299999999999"/>
    <n v="0"/>
    <n v="0.58541399999999999"/>
    <n v="5.3222399999999999"/>
    <n v="217796000"/>
    <n v="0"/>
    <n v="0"/>
    <n v="0"/>
    <n v="0"/>
    <n v="5125570"/>
    <n v="352460"/>
    <n v="0"/>
    <n v="99.302199999999999"/>
    <n v="98.274000000000001"/>
    <n v="4.7431799999999997"/>
    <n v="0"/>
    <n v="0"/>
    <n v="2.0250699999999999"/>
    <n v="2.0250699999999999"/>
    <n v="0"/>
    <n v="1.39998"/>
    <n v="3.3868800000000001"/>
    <n v="1095910000"/>
    <n v="0"/>
    <n v="0"/>
    <n v="0"/>
    <n v="0"/>
    <n v="5239340"/>
    <n v="170782"/>
    <n v="0"/>
    <n v="11"/>
    <x v="39"/>
    <n v="3.653312430566397E-14"/>
    <n v="7.7070640730331205E-14"/>
  </r>
  <r>
    <n v="63.402099999999997"/>
    <n v="85.138999999999996"/>
    <n v="3.7262599999999999"/>
    <n v="0"/>
    <n v="0.04"/>
    <n v="3.4285000000000001"/>
    <n v="3.4285000000000001"/>
    <n v="0"/>
    <n v="0.64250700000000005"/>
    <n v="5.3222399999999999"/>
    <n v="218149000"/>
    <n v="0"/>
    <n v="0"/>
    <n v="0"/>
    <n v="0"/>
    <n v="5125520"/>
    <n v="352456"/>
    <n v="0"/>
    <n v="99.302199999999999"/>
    <n v="98.274000000000001"/>
    <n v="5.1753900000000002"/>
    <n v="0"/>
    <n v="0"/>
    <n v="2.0250499999999998"/>
    <n v="2.0250499999999998"/>
    <n v="0"/>
    <n v="1.56457"/>
    <n v="3.3868800000000001"/>
    <n v="1096080000"/>
    <n v="0"/>
    <n v="0"/>
    <n v="0"/>
    <n v="0"/>
    <n v="5239280"/>
    <n v="170780"/>
    <n v="0"/>
    <n v="12"/>
    <x v="39"/>
    <n v="3.6533114843039775E-14"/>
    <n v="7.7070517894491017E-14"/>
  </r>
  <r>
    <n v="66.580399999999997"/>
    <n v="85.138999999999996"/>
    <n v="7.0651599999999997"/>
    <n v="0"/>
    <n v="0.04"/>
    <n v="3.4284599999999998"/>
    <n v="3.4284599999999998"/>
    <n v="0"/>
    <n v="0.64249999999999996"/>
    <n v="5.3222399999999999"/>
    <n v="218501000"/>
    <n v="0"/>
    <n v="0"/>
    <n v="0"/>
    <n v="0"/>
    <n v="5125460"/>
    <n v="352453"/>
    <n v="0"/>
    <n v="99.302199999999999"/>
    <n v="98.274000000000001"/>
    <n v="9.4293899999999997"/>
    <n v="0"/>
    <n v="0"/>
    <n v="2.0250300000000001"/>
    <n v="2.0250300000000001"/>
    <n v="0"/>
    <n v="1.5645500000000001"/>
    <n v="3.3868800000000001"/>
    <n v="1096250000"/>
    <n v="0"/>
    <n v="0"/>
    <n v="0"/>
    <n v="0"/>
    <n v="5239230"/>
    <n v="170779"/>
    <n v="0"/>
    <n v="13"/>
    <x v="39"/>
    <n v="3.6533249571491115E-14"/>
    <n v="7.7070764093637949E-14"/>
  </r>
  <r>
    <n v="71.630799999999994"/>
    <n v="85.138999999999996"/>
    <n v="9.0563599999999997"/>
    <n v="0"/>
    <n v="0.04"/>
    <n v="3.4284300000000001"/>
    <n v="3.4284300000000001"/>
    <n v="0"/>
    <n v="0.64249400000000001"/>
    <n v="5.3222399999999999"/>
    <n v="218854000"/>
    <n v="0"/>
    <n v="0"/>
    <n v="0"/>
    <n v="0"/>
    <n v="5125410"/>
    <n v="352449"/>
    <n v="0"/>
    <n v="99.302199999999999"/>
    <n v="98.274000000000001"/>
    <n v="13.59"/>
    <n v="0"/>
    <n v="0"/>
    <n v="2.02501"/>
    <n v="2.02501"/>
    <n v="0"/>
    <n v="1.56454"/>
    <n v="3.3868800000000001"/>
    <n v="1096420000"/>
    <n v="0"/>
    <n v="0"/>
    <n v="0"/>
    <n v="0"/>
    <n v="5239170"/>
    <n v="170777"/>
    <n v="0"/>
    <n v="14"/>
    <x v="39"/>
    <n v="3.6533240110102806E-14"/>
    <n v="7.7070641256364937E-14"/>
  </r>
  <r>
    <n v="71.652100000000004"/>
    <n v="85.138999999999996"/>
    <n v="3.30674"/>
    <n v="0"/>
    <n v="0.04"/>
    <n v="2.9938199999999999"/>
    <n v="2.9938199999999999"/>
    <n v="0"/>
    <n v="0.64248700000000003"/>
    <n v="5.3222399999999999"/>
    <n v="219162000"/>
    <n v="0"/>
    <n v="0"/>
    <n v="0"/>
    <n v="0"/>
    <n v="4475680"/>
    <n v="307770"/>
    <n v="0"/>
    <n v="99.15"/>
    <n v="98.274000000000001"/>
    <n v="4.1899600000000001"/>
    <n v="0"/>
    <n v="0"/>
    <n v="1.73908"/>
    <n v="1.73908"/>
    <n v="0"/>
    <n v="1.5645199999999999"/>
    <n v="3.3868800000000001"/>
    <n v="1096560000"/>
    <n v="0"/>
    <n v="0"/>
    <n v="0"/>
    <n v="0"/>
    <n v="4499400"/>
    <n v="146663"/>
    <n v="0"/>
    <n v="15"/>
    <x v="39"/>
    <n v="3.6533161941959782E-14"/>
    <n v="7.7070567743983466E-14"/>
  </r>
  <r>
    <n v="73.941400000000002"/>
    <n v="85.138999999999996"/>
    <n v="5.7141400000000004"/>
    <n v="0"/>
    <n v="0.04"/>
    <n v="2.9937900000000002"/>
    <n v="2.9937900000000002"/>
    <n v="0"/>
    <n v="0.56104200000000004"/>
    <n v="5.3222399999999999"/>
    <n v="219469000"/>
    <n v="0"/>
    <n v="0"/>
    <n v="0"/>
    <n v="0"/>
    <n v="4475640"/>
    <n v="307767"/>
    <n v="0"/>
    <n v="99.302199999999999"/>
    <n v="98.274000000000001"/>
    <n v="5.4541199999999996"/>
    <n v="0"/>
    <n v="0"/>
    <n v="1.7390600000000001"/>
    <n v="1.7390600000000001"/>
    <n v="0"/>
    <n v="1.34361"/>
    <n v="3.3868800000000001"/>
    <n v="1096710000"/>
    <n v="0"/>
    <n v="0"/>
    <n v="0"/>
    <n v="0"/>
    <n v="4499350"/>
    <n v="146662"/>
    <n v="0"/>
    <n v="16"/>
    <x v="39"/>
    <n v="3.6533318825887258E-14"/>
    <n v="7.7070505289343626E-14"/>
  </r>
  <r>
    <n v="74.431600000000003"/>
    <n v="85.138999999999996"/>
    <n v="3.9380199999999999"/>
    <n v="0"/>
    <n v="0.04"/>
    <n v="2.99376"/>
    <n v="2.99376"/>
    <n v="0"/>
    <n v="0.56103599999999998"/>
    <n v="5.3222399999999999"/>
    <n v="219777000"/>
    <n v="0"/>
    <n v="0"/>
    <n v="0"/>
    <n v="0"/>
    <n v="4475590"/>
    <n v="307764"/>
    <n v="0"/>
    <n v="99.302199999999999"/>
    <n v="98.274000000000001"/>
    <n v="4.5239799999999999"/>
    <n v="0"/>
    <n v="0"/>
    <n v="1.7390399999999999"/>
    <n v="1.7390399999999999"/>
    <n v="0"/>
    <n v="1.3435999999999999"/>
    <n v="3.3868800000000001"/>
    <n v="1096860000"/>
    <n v="0"/>
    <n v="0"/>
    <n v="0"/>
    <n v="0"/>
    <n v="4499310"/>
    <n v="146660"/>
    <n v="0"/>
    <n v="17"/>
    <x v="39"/>
    <n v="3.6533145414399045E-14"/>
    <n v="7.707061503533697E-14"/>
  </r>
  <r>
    <n v="75.324100000000001"/>
    <n v="85.138999999999996"/>
    <n v="4.4123400000000004"/>
    <n v="0"/>
    <n v="0.04"/>
    <n v="2.9937200000000002"/>
    <n v="2.9937200000000002"/>
    <n v="0"/>
    <n v="0.56103000000000003"/>
    <n v="5.3222399999999999"/>
    <n v="220085000"/>
    <n v="0"/>
    <n v="0"/>
    <n v="0"/>
    <n v="0"/>
    <n v="4475540"/>
    <n v="307761"/>
    <n v="0"/>
    <n v="99.302199999999999"/>
    <n v="98.274000000000001"/>
    <n v="6.5731400000000004"/>
    <n v="0"/>
    <n v="0"/>
    <n v="1.73902"/>
    <n v="1.73902"/>
    <n v="0"/>
    <n v="1.34358"/>
    <n v="3.3868800000000001"/>
    <n v="1097000000"/>
    <n v="0"/>
    <n v="0"/>
    <n v="0"/>
    <n v="0"/>
    <n v="4499260"/>
    <n v="146659"/>
    <n v="0"/>
    <n v="18"/>
    <x v="39"/>
    <n v="3.6533302301281046E-14"/>
    <n v="7.7070724783782461E-14"/>
  </r>
  <r>
    <n v="77.128200000000007"/>
    <n v="85.138999999999996"/>
    <n v="5.4151600000000002"/>
    <n v="0"/>
    <n v="0.04"/>
    <n v="2.99369"/>
    <n v="2.99369"/>
    <n v="0"/>
    <n v="0.56102399999999997"/>
    <n v="5.3222399999999999"/>
    <n v="220393000"/>
    <n v="0"/>
    <n v="0"/>
    <n v="0"/>
    <n v="0"/>
    <n v="4475490"/>
    <n v="307757"/>
    <n v="0"/>
    <n v="99.302199999999999"/>
    <n v="98.274000000000001"/>
    <n v="6.5734700000000004"/>
    <n v="0"/>
    <n v="0"/>
    <n v="1.7390000000000001"/>
    <n v="1.7390000000000001"/>
    <n v="0"/>
    <n v="1.3435699999999999"/>
    <n v="3.3868800000000001"/>
    <n v="1097150000"/>
    <n v="0"/>
    <n v="0"/>
    <n v="0"/>
    <n v="0"/>
    <n v="4499210"/>
    <n v="146657"/>
    <n v="0"/>
    <n v="19"/>
    <x v="39"/>
    <n v="3.653321008516288E-14"/>
    <n v="7.7070584107934009E-14"/>
  </r>
  <r>
    <n v="79.054699999999997"/>
    <n v="85.138999999999996"/>
    <n v="5.5759699999999999"/>
    <n v="0"/>
    <n v="0.04"/>
    <n v="3.10304"/>
    <n v="3.10304"/>
    <n v="0"/>
    <n v="0.56101800000000002"/>
    <n v="5.3222399999999999"/>
    <n v="220712000"/>
    <n v="0"/>
    <n v="0"/>
    <n v="0"/>
    <n v="0"/>
    <n v="4638970"/>
    <n v="318999"/>
    <n v="0"/>
    <n v="99.302199999999999"/>
    <n v="98.274000000000001"/>
    <n v="6.4151100000000003"/>
    <n v="0"/>
    <n v="0"/>
    <n v="1.8089200000000001"/>
    <n v="1.8089200000000001"/>
    <n v="0"/>
    <n v="1.34355"/>
    <n v="3.3868800000000001"/>
    <n v="1097300000"/>
    <n v="0"/>
    <n v="0"/>
    <n v="0"/>
    <n v="0"/>
    <n v="4680120"/>
    <n v="152554"/>
    <n v="0"/>
    <n v="20"/>
    <x v="39"/>
    <n v="3.653321665863774E-14"/>
    <n v="7.7070656673318293E-14"/>
  </r>
  <r>
    <n v="80.267899999999997"/>
    <n v="85.138999999999996"/>
    <n v="4.8205600000000004"/>
    <n v="0"/>
    <n v="0.04"/>
    <n v="3.1030099999999998"/>
    <n v="3.1030099999999998"/>
    <n v="0"/>
    <n v="0.58150999999999997"/>
    <n v="5.3222399999999999"/>
    <n v="221031000"/>
    <n v="0"/>
    <n v="0"/>
    <n v="0"/>
    <n v="0"/>
    <n v="4638920"/>
    <n v="318996"/>
    <n v="0"/>
    <n v="99.302199999999999"/>
    <n v="98.274000000000001"/>
    <n v="6.06107"/>
    <n v="0"/>
    <n v="0"/>
    <n v="1.80891"/>
    <n v="1.80891"/>
    <n v="0"/>
    <n v="1.39757"/>
    <n v="3.3868800000000001"/>
    <n v="1097460000"/>
    <n v="0"/>
    <n v="0"/>
    <n v="0"/>
    <n v="0"/>
    <n v="4680070"/>
    <n v="152552"/>
    <n v="0"/>
    <n v="21"/>
    <x v="39"/>
    <n v="3.6533128005270779E-14"/>
    <n v="7.7070762556937662E-14"/>
  </r>
  <r>
    <n v="81.617199999999997"/>
    <n v="85.138999999999996"/>
    <n v="4.9056100000000002"/>
    <n v="0"/>
    <n v="0.04"/>
    <n v="3.1029800000000001"/>
    <n v="3.1029800000000001"/>
    <n v="0"/>
    <n v="0.58150400000000002"/>
    <n v="5.3222399999999999"/>
    <n v="221350000"/>
    <n v="0"/>
    <n v="0"/>
    <n v="0"/>
    <n v="0"/>
    <n v="4638870"/>
    <n v="318992"/>
    <n v="0"/>
    <n v="99.302199999999999"/>
    <n v="98.274000000000001"/>
    <n v="5.6692299999999998"/>
    <n v="0"/>
    <n v="0"/>
    <n v="1.8088900000000001"/>
    <n v="1.8088900000000001"/>
    <n v="0"/>
    <n v="1.3975599999999999"/>
    <n v="3.3868800000000001"/>
    <n v="1097610000"/>
    <n v="0"/>
    <n v="0"/>
    <n v="0"/>
    <n v="0"/>
    <n v="4680020"/>
    <n v="152551"/>
    <n v="0"/>
    <n v="22"/>
    <x v="39"/>
    <n v="3.6533278832404481E-14"/>
    <n v="7.7070626836069378E-14"/>
  </r>
  <r>
    <n v="82.834800000000001"/>
    <n v="85.138999999999996"/>
    <n v="4.7856500000000004"/>
    <n v="0"/>
    <n v="0.04"/>
    <n v="3.1029499999999999"/>
    <n v="3.1029499999999999"/>
    <n v="0"/>
    <n v="0.58149799999999996"/>
    <n v="5.3222399999999999"/>
    <n v="221669000"/>
    <n v="0"/>
    <n v="0"/>
    <n v="0"/>
    <n v="0"/>
    <n v="4638820"/>
    <n v="318989"/>
    <n v="0"/>
    <n v="99.302199999999999"/>
    <n v="98.274000000000001"/>
    <n v="5.6454899999999997"/>
    <n v="0"/>
    <n v="0"/>
    <n v="1.80887"/>
    <n v="1.80887"/>
    <n v="0"/>
    <n v="1.3975500000000001"/>
    <n v="3.3868800000000001"/>
    <n v="1097760000"/>
    <n v="0"/>
    <n v="0"/>
    <n v="0"/>
    <n v="0"/>
    <n v="4679970"/>
    <n v="152549"/>
    <n v="0"/>
    <n v="23"/>
    <x v="39"/>
    <n v="3.6533190177807453E-14"/>
    <n v="7.7070732721649704E-14"/>
  </r>
  <r>
    <n v="83.029799999999994"/>
    <n v="85.138999999999996"/>
    <n v="3.6090100000000001"/>
    <n v="0"/>
    <n v="0.04"/>
    <n v="3.0601500000000001"/>
    <n v="3.0601500000000001"/>
    <n v="0"/>
    <n v="0.58149200000000001"/>
    <n v="5.3222399999999999"/>
    <n v="221983000"/>
    <n v="0"/>
    <n v="0"/>
    <n v="0"/>
    <n v="0"/>
    <n v="4574840"/>
    <n v="314589"/>
    <n v="0"/>
    <n v="99.302199999999999"/>
    <n v="98.274000000000001"/>
    <n v="4.6986400000000001"/>
    <n v="0"/>
    <n v="0"/>
    <n v="1.7816799999999999"/>
    <n v="1.7816799999999999"/>
    <n v="0"/>
    <n v="1.3975299999999999"/>
    <n v="3.3868800000000001"/>
    <n v="1097910000"/>
    <n v="0"/>
    <n v="0"/>
    <n v="0"/>
    <n v="0"/>
    <n v="4609640"/>
    <n v="150257"/>
    <n v="0"/>
    <n v="24"/>
    <x v="39"/>
    <n v="3.6533308627172289E-14"/>
    <n v="7.7070632811755094E-14"/>
  </r>
  <r>
    <n v="82.898200000000003"/>
    <n v="85.138999999999996"/>
    <n v="3.2622200000000001"/>
    <n v="0"/>
    <n v="0.04"/>
    <n v="3.0601099999999999"/>
    <n v="3.0601099999999999"/>
    <n v="0"/>
    <n v="0.57347099999999995"/>
    <n v="5.3222399999999999"/>
    <n v="222298000"/>
    <n v="0"/>
    <n v="0"/>
    <n v="0"/>
    <n v="0"/>
    <n v="4574790"/>
    <n v="314586"/>
    <n v="0"/>
    <n v="99.302199999999999"/>
    <n v="98.274000000000001"/>
    <n v="4.0890300000000002"/>
    <n v="0"/>
    <n v="0"/>
    <n v="1.7816700000000001"/>
    <n v="1.7816700000000001"/>
    <n v="0"/>
    <n v="1.37653"/>
    <n v="3.3868800000000001"/>
    <n v="1098060000"/>
    <n v="0"/>
    <n v="0"/>
    <n v="0"/>
    <n v="0"/>
    <n v="4609590"/>
    <n v="150255"/>
    <n v="0"/>
    <n v="25"/>
    <x v="39"/>
    <n v="3.6533218619305065E-14"/>
    <n v="7.7070740179403996E-14"/>
  </r>
  <r>
    <n v="83.296300000000002"/>
    <n v="85.138999999999996"/>
    <n v="3.8012199999999998"/>
    <n v="0"/>
    <n v="0.04"/>
    <n v="3.0600800000000001"/>
    <n v="3.0600800000000001"/>
    <n v="0"/>
    <n v="0.573465"/>
    <n v="5.3222399999999999"/>
    <n v="222612000"/>
    <n v="0"/>
    <n v="0"/>
    <n v="0"/>
    <n v="0"/>
    <n v="4574750"/>
    <n v="314582"/>
    <n v="0"/>
    <n v="99.302199999999999"/>
    <n v="98.274000000000001"/>
    <n v="4.1298899999999996"/>
    <n v="0"/>
    <n v="0"/>
    <n v="1.78165"/>
    <n v="1.78165"/>
    <n v="0"/>
    <n v="1.37652"/>
    <n v="3.3868800000000001"/>
    <n v="1098210000"/>
    <n v="0"/>
    <n v="0"/>
    <n v="0"/>
    <n v="0"/>
    <n v="4609550"/>
    <n v="150253"/>
    <n v="0"/>
    <n v="26"/>
    <x v="39"/>
    <n v="3.6533049354181289E-14"/>
    <n v="7.7070434086178161E-14"/>
  </r>
  <r>
    <n v="83.032799999999995"/>
    <n v="85.138999999999996"/>
    <n v="3.0322200000000001"/>
    <n v="0"/>
    <n v="0.04"/>
    <n v="3.0600499999999999"/>
    <n v="3.0600499999999999"/>
    <n v="0"/>
    <n v="0.57345900000000005"/>
    <n v="5.3222399999999999"/>
    <n v="222927000"/>
    <n v="0"/>
    <n v="0"/>
    <n v="0"/>
    <n v="0"/>
    <n v="4574700"/>
    <n v="314579"/>
    <n v="0"/>
    <n v="99.302199999999999"/>
    <n v="98.274000000000001"/>
    <n v="3.9998300000000002"/>
    <n v="0"/>
    <n v="0"/>
    <n v="1.78163"/>
    <n v="1.78163"/>
    <n v="0"/>
    <n v="1.3765000000000001"/>
    <n v="3.3868800000000001"/>
    <n v="1098360000"/>
    <n v="0"/>
    <n v="0"/>
    <n v="0"/>
    <n v="0"/>
    <n v="4609500"/>
    <n v="150252"/>
    <n v="0"/>
    <n v="27"/>
    <x v="39"/>
    <n v="3.6533202487941937E-14"/>
    <n v="7.7070541453767337E-14"/>
  </r>
  <r>
    <n v="82.357699999999994"/>
    <n v="85.138999999999996"/>
    <n v="2.6932499999999999"/>
    <n v="0"/>
    <n v="0.04"/>
    <n v="3.2051799999999999"/>
    <n v="3.2051799999999999"/>
    <n v="0"/>
    <n v="0.57345299999999999"/>
    <n v="5.3222399999999999"/>
    <n v="223256000"/>
    <n v="0"/>
    <n v="0"/>
    <n v="0"/>
    <n v="0"/>
    <n v="4791660"/>
    <n v="329498"/>
    <n v="0"/>
    <n v="99.302199999999999"/>
    <n v="98.274000000000001"/>
    <n v="3.3086099999999998"/>
    <n v="0"/>
    <n v="0"/>
    <n v="1.8779300000000001"/>
    <n v="1.8779300000000001"/>
    <n v="0"/>
    <n v="1.37649"/>
    <n v="3.3868800000000001"/>
    <n v="1098520000"/>
    <n v="0"/>
    <n v="0"/>
    <n v="0"/>
    <n v="0"/>
    <n v="4858660"/>
    <n v="158374"/>
    <n v="0"/>
    <n v="28"/>
    <x v="39"/>
    <n v="3.6533281090863258E-14"/>
    <n v="7.7070484672263043E-14"/>
  </r>
  <r>
    <n v="81.623199999999997"/>
    <n v="85.138999999999996"/>
    <n v="2.6309900000000002"/>
    <n v="0"/>
    <n v="0.04"/>
    <n v="3.2051400000000001"/>
    <n v="3.2051400000000001"/>
    <n v="0"/>
    <n v="0.60065000000000002"/>
    <n v="5.3222399999999999"/>
    <n v="223586000"/>
    <n v="0"/>
    <n v="0"/>
    <n v="0"/>
    <n v="0"/>
    <n v="4791610"/>
    <n v="329495"/>
    <n v="0"/>
    <n v="99.302199999999999"/>
    <n v="98.274000000000001"/>
    <n v="3.3290500000000001"/>
    <n v="0"/>
    <n v="0"/>
    <n v="1.87791"/>
    <n v="1.87791"/>
    <n v="0"/>
    <n v="1.45089"/>
    <n v="3.3868800000000001"/>
    <n v="1098680000"/>
    <n v="0"/>
    <n v="0"/>
    <n v="0"/>
    <n v="0"/>
    <n v="4858610"/>
    <n v="158372"/>
    <n v="0"/>
    <n v="29"/>
    <x v="39"/>
    <n v="3.6533195695916653E-14"/>
    <n v="7.7070587179987913E-14"/>
  </r>
  <r>
    <n v="80.627300000000005"/>
    <n v="85.138999999999996"/>
    <n v="2.36863"/>
    <n v="0"/>
    <n v="0.04"/>
    <n v="3.2051099999999999"/>
    <n v="3.2051099999999999"/>
    <n v="0"/>
    <n v="0.60064399999999996"/>
    <n v="5.3222399999999999"/>
    <n v="223915000"/>
    <n v="0"/>
    <n v="0"/>
    <n v="0"/>
    <n v="0"/>
    <n v="4791560"/>
    <n v="329491"/>
    <n v="0"/>
    <n v="99.302199999999999"/>
    <n v="98.274000000000001"/>
    <n v="3.2798500000000002"/>
    <n v="0"/>
    <n v="0"/>
    <n v="1.8778900000000001"/>
    <n v="1.8778900000000001"/>
    <n v="0"/>
    <n v="1.4508799999999999"/>
    <n v="3.3868800000000001"/>
    <n v="1098840000"/>
    <n v="0"/>
    <n v="0"/>
    <n v="0"/>
    <n v="0"/>
    <n v="4858560"/>
    <n v="158370"/>
    <n v="0"/>
    <n v="30"/>
    <x v="39"/>
    <n v="3.6533110299212434E-14"/>
    <n v="7.7070455782231628E-14"/>
  </r>
  <r>
    <n v="79.552000000000007"/>
    <n v="85.138999999999996"/>
    <n v="2.2565300000000001"/>
    <n v="0"/>
    <n v="0.04"/>
    <n v="3.2050700000000001"/>
    <n v="3.2050700000000001"/>
    <n v="0"/>
    <n v="0.60063699999999998"/>
    <n v="5.3222399999999999"/>
    <n v="224245000"/>
    <n v="0"/>
    <n v="0"/>
    <n v="0"/>
    <n v="0"/>
    <n v="4791500"/>
    <n v="329488"/>
    <n v="0"/>
    <n v="99.302199999999999"/>
    <n v="98.274000000000001"/>
    <n v="3.2985000000000002"/>
    <n v="0"/>
    <n v="0"/>
    <n v="1.8778699999999999"/>
    <n v="1.8778699999999999"/>
    <n v="0"/>
    <n v="1.45086"/>
    <n v="3.3868800000000001"/>
    <n v="1099000000"/>
    <n v="0"/>
    <n v="0"/>
    <n v="0"/>
    <n v="0"/>
    <n v="4858510"/>
    <n v="158369"/>
    <n v="0"/>
    <n v="31"/>
    <x v="39"/>
    <n v="3.6533255585136918E-14"/>
    <n v="7.7070719140293368E-14"/>
  </r>
  <r>
    <n v="78.540599999999998"/>
    <n v="85.138999999999996"/>
    <n v="2.2811599999999999"/>
    <n v="0"/>
    <n v="0.04"/>
    <n v="3.2050399999999999"/>
    <n v="3.2050399999999999"/>
    <n v="0"/>
    <n v="0.60063100000000003"/>
    <n v="5.3222399999999999"/>
    <n v="224574000"/>
    <n v="0"/>
    <n v="0"/>
    <n v="0"/>
    <n v="0"/>
    <n v="4791450"/>
    <n v="329484"/>
    <n v="0"/>
    <n v="99.302199999999999"/>
    <n v="98.274000000000001"/>
    <n v="3.07342"/>
    <n v="0"/>
    <n v="0"/>
    <n v="1.87785"/>
    <n v="1.87785"/>
    <n v="0"/>
    <n v="1.45085"/>
    <n v="3.3868800000000001"/>
    <n v="1099150000"/>
    <n v="0"/>
    <n v="0"/>
    <n v="0"/>
    <n v="0"/>
    <n v="4858460"/>
    <n v="158367"/>
    <n v="0"/>
    <n v="32"/>
    <x v="39"/>
    <n v="3.6533170187291344E-14"/>
    <n v="7.7070587740897552E-14"/>
  </r>
  <r>
    <n v="77.491799999999998"/>
    <n v="85.138999999999996"/>
    <n v="2.2147600000000001"/>
    <n v="0"/>
    <n v="0.04"/>
    <n v="3.1762999999999999"/>
    <n v="3.1762999999999999"/>
    <n v="0"/>
    <n v="0.60062499999999996"/>
    <n v="5.3222399999999999"/>
    <n v="224901000"/>
    <n v="0"/>
    <n v="0"/>
    <n v="0"/>
    <n v="0"/>
    <n v="4748490"/>
    <n v="326530"/>
    <n v="0"/>
    <n v="99.294799999999995"/>
    <n v="98.274000000000001"/>
    <n v="2.8578600000000001"/>
    <n v="0"/>
    <n v="0"/>
    <n v="1.9307700000000001"/>
    <n v="1.9307700000000001"/>
    <n v="0"/>
    <n v="1.4508300000000001"/>
    <n v="3.3868800000000001"/>
    <n v="1099320000"/>
    <n v="0"/>
    <n v="0"/>
    <n v="0"/>
    <n v="0"/>
    <n v="4995370"/>
    <n v="162830"/>
    <n v="0"/>
    <n v="33"/>
    <x v="39"/>
    <n v="3.6533229344480294E-14"/>
    <n v="7.7070621698130442E-14"/>
  </r>
  <r>
    <n v="76.3"/>
    <n v="85.138999999999996"/>
    <n v="2.0500600000000002"/>
    <n v="0"/>
    <n v="0.04"/>
    <n v="3.1762700000000001"/>
    <n v="3.1762700000000001"/>
    <n v="0"/>
    <n v="0.59523899999999996"/>
    <n v="5.3222399999999999"/>
    <n v="225227000"/>
    <n v="0"/>
    <n v="0"/>
    <n v="0"/>
    <n v="0"/>
    <n v="4748440"/>
    <n v="326527"/>
    <n v="0"/>
    <n v="99.240300000000005"/>
    <n v="98.274000000000001"/>
    <n v="2.6795499999999999"/>
    <n v="0"/>
    <n v="0"/>
    <n v="1.93075"/>
    <n v="1.93075"/>
    <n v="0"/>
    <n v="1.4917100000000001"/>
    <n v="3.3868800000000001"/>
    <n v="1099480000"/>
    <n v="0"/>
    <n v="0"/>
    <n v="0"/>
    <n v="0"/>
    <n v="4995310"/>
    <n v="162828"/>
    <n v="0"/>
    <n v="34"/>
    <x v="39"/>
    <n v="3.6533219420964961E-14"/>
    <n v="7.7070725139237593E-14"/>
  </r>
  <r>
    <n v="75.063800000000001"/>
    <n v="85.138999999999996"/>
    <n v="1.9826600000000001"/>
    <n v="0"/>
    <n v="0.04"/>
    <n v="3.1762299999999999"/>
    <n v="3.1762299999999999"/>
    <n v="0"/>
    <n v="0.59523300000000001"/>
    <n v="5.3222399999999999"/>
    <n v="225554000"/>
    <n v="0"/>
    <n v="0"/>
    <n v="0"/>
    <n v="0"/>
    <n v="4748390"/>
    <n v="326523"/>
    <n v="0"/>
    <n v="99.142799999999994"/>
    <n v="98.274000000000001"/>
    <n v="2.48692"/>
    <n v="0"/>
    <n v="0"/>
    <n v="1.9307300000000001"/>
    <n v="1.9307300000000001"/>
    <n v="0"/>
    <n v="1.4917"/>
    <n v="3.3868800000000001"/>
    <n v="1099640000"/>
    <n v="0"/>
    <n v="0"/>
    <n v="0"/>
    <n v="0"/>
    <n v="4995260"/>
    <n v="162826"/>
    <n v="0"/>
    <n v="35"/>
    <x v="39"/>
    <n v="3.6533136361459544E-14"/>
    <n v="7.7070592548330968E-14"/>
  </r>
  <r>
    <n v="73.749300000000005"/>
    <n v="85.138999999999996"/>
    <n v="1.8666199999999999"/>
    <n v="0"/>
    <n v="0.04"/>
    <n v="3.1762000000000001"/>
    <n v="3.1762000000000001"/>
    <n v="0"/>
    <n v="0.59522600000000003"/>
    <n v="5.3222399999999999"/>
    <n v="225880000"/>
    <n v="0"/>
    <n v="0"/>
    <n v="0"/>
    <n v="0"/>
    <n v="4748340"/>
    <n v="326520"/>
    <n v="0"/>
    <n v="98.978899999999996"/>
    <n v="98.274000000000001"/>
    <n v="2.2897599999999998"/>
    <n v="0"/>
    <n v="0"/>
    <n v="1.9307099999999999"/>
    <n v="1.9307099999999999"/>
    <n v="0"/>
    <n v="1.4916799999999999"/>
    <n v="3.3868800000000001"/>
    <n v="1099810000"/>
    <n v="0"/>
    <n v="0"/>
    <n v="0"/>
    <n v="0"/>
    <n v="4995210"/>
    <n v="162825"/>
    <n v="0"/>
    <n v="36"/>
    <x v="39"/>
    <n v="3.6533277671718784E-14"/>
    <n v="7.7070695991309638E-14"/>
  </r>
  <r>
    <n v="72.464399999999998"/>
    <n v="85.138999999999996"/>
    <n v="1.96516"/>
    <n v="0"/>
    <n v="0.04"/>
    <n v="3.2502900000000001"/>
    <n v="3.2502900000000001"/>
    <n v="0"/>
    <n v="0.59521999999999997"/>
    <n v="5.3222399999999999"/>
    <n v="226215000"/>
    <n v="0"/>
    <n v="0"/>
    <n v="0"/>
    <n v="0"/>
    <n v="4859110"/>
    <n v="334136"/>
    <n v="0"/>
    <n v="98.863299999999995"/>
    <n v="98.274000000000001"/>
    <n v="2.3681399999999999"/>
    <n v="0"/>
    <n v="0"/>
    <n v="1.97787"/>
    <n v="1.97787"/>
    <n v="0"/>
    <n v="1.4916700000000001"/>
    <n v="3.3868800000000001"/>
    <n v="1099970000"/>
    <n v="0"/>
    <n v="0"/>
    <n v="0"/>
    <n v="0"/>
    <n v="5117220"/>
    <n v="166801"/>
    <n v="0"/>
    <n v="37"/>
    <x v="39"/>
    <n v="3.6533044264873672E-14"/>
    <n v="7.7070440337168633E-14"/>
  </r>
  <r>
    <n v="71.064300000000003"/>
    <n v="85.138999999999996"/>
    <n v="1.81836"/>
    <n v="0"/>
    <n v="0.04"/>
    <n v="3.2502599999999999"/>
    <n v="3.2502599999999999"/>
    <n v="0"/>
    <n v="0.60910500000000001"/>
    <n v="5.3222399999999999"/>
    <n v="226549000"/>
    <n v="0"/>
    <n v="0"/>
    <n v="0"/>
    <n v="0"/>
    <n v="4859050"/>
    <n v="334133"/>
    <n v="0"/>
    <n v="98.5899"/>
    <n v="98.274000000000001"/>
    <n v="2.3675000000000002"/>
    <n v="0"/>
    <n v="0"/>
    <n v="1.9778500000000001"/>
    <n v="1.9778500000000001"/>
    <n v="0"/>
    <n v="1.5281"/>
    <n v="3.3868800000000001"/>
    <n v="1100140000"/>
    <n v="0"/>
    <n v="0"/>
    <n v="0"/>
    <n v="0"/>
    <n v="5117160"/>
    <n v="166800"/>
    <n v="0"/>
    <n v="38"/>
    <x v="39"/>
    <n v="3.6533253599789498E-14"/>
    <n v="7.7070700033863697E-14"/>
  </r>
  <r>
    <n v="69.547899999999998"/>
    <n v="85.138999999999996"/>
    <n v="1.68513"/>
    <n v="0"/>
    <n v="0.04"/>
    <n v="3.2502200000000001"/>
    <n v="3.2502200000000001"/>
    <n v="0"/>
    <n v="0.60909800000000003"/>
    <n v="5.3222399999999999"/>
    <n v="226883000"/>
    <n v="0"/>
    <n v="0"/>
    <n v="0"/>
    <n v="0"/>
    <n v="4859000"/>
    <n v="334129"/>
    <n v="0"/>
    <n v="98.334900000000005"/>
    <n v="98.274000000000001"/>
    <n v="2.1121099999999999"/>
    <n v="0"/>
    <n v="0"/>
    <n v="1.97783"/>
    <n v="1.97783"/>
    <n v="0"/>
    <n v="1.5280800000000001"/>
    <n v="3.3868800000000001"/>
    <n v="1100310000"/>
    <n v="0"/>
    <n v="0"/>
    <n v="0"/>
    <n v="0"/>
    <n v="5117110"/>
    <n v="166798"/>
    <n v="0"/>
    <n v="39"/>
    <x v="39"/>
    <n v="3.653317251845334E-14"/>
    <n v="7.707057046099059E-14"/>
  </r>
  <r>
    <n v="68.084699999999998"/>
    <n v="85.138999999999996"/>
    <n v="1.71472"/>
    <n v="0"/>
    <n v="0.04"/>
    <n v="3.2501899999999999"/>
    <n v="3.2501899999999999"/>
    <n v="0"/>
    <n v="0.60909199999999997"/>
    <n v="5.3222399999999999"/>
    <n v="227217000"/>
    <n v="0"/>
    <n v="0"/>
    <n v="0"/>
    <n v="0"/>
    <n v="4858950"/>
    <n v="334126"/>
    <n v="0"/>
    <n v="98.133200000000002"/>
    <n v="98.274000000000001"/>
    <n v="2.4027500000000002"/>
    <n v="0"/>
    <n v="0"/>
    <n v="1.9778100000000001"/>
    <n v="1.9778100000000001"/>
    <n v="0"/>
    <n v="1.52807"/>
    <n v="3.3868800000000001"/>
    <n v="1100470000"/>
    <n v="0"/>
    <n v="0"/>
    <n v="0"/>
    <n v="0"/>
    <n v="5117050"/>
    <n v="166796"/>
    <n v="0"/>
    <n v="40"/>
    <x v="39"/>
    <n v="3.6533162830362557E-14"/>
    <n v="7.7070671548947648E-14"/>
  </r>
  <r>
    <n v="66.648600000000002"/>
    <n v="85.138999999999996"/>
    <n v="1.89872"/>
    <n v="0"/>
    <n v="0.04"/>
    <n v="3.4672200000000002"/>
    <n v="3.4672200000000002"/>
    <n v="0"/>
    <n v="0.60908600000000002"/>
    <n v="5.3222399999999999"/>
    <n v="227573000"/>
    <n v="0"/>
    <n v="0"/>
    <n v="0"/>
    <n v="0"/>
    <n v="5183410"/>
    <n v="356437"/>
    <n v="0"/>
    <n v="97.743700000000004"/>
    <n v="98.274000000000001"/>
    <n v="2.25115"/>
    <n v="0"/>
    <n v="0"/>
    <n v="2.1480600000000001"/>
    <n v="2.1480600000000001"/>
    <n v="0"/>
    <n v="1.5280499999999999"/>
    <n v="3.3868800000000001"/>
    <n v="1100650000"/>
    <n v="0"/>
    <n v="0"/>
    <n v="0"/>
    <n v="0"/>
    <n v="5557550"/>
    <n v="181155"/>
    <n v="0"/>
    <n v="41"/>
    <x v="39"/>
    <n v="3.6533244921657706E-14"/>
    <n v="7.7070560809411609E-14"/>
  </r>
  <r>
    <n v="64.9816"/>
    <n v="85.138999999999996"/>
    <n v="1.67608"/>
    <n v="0"/>
    <n v="0.04"/>
    <n v="3.4671799999999999"/>
    <n v="3.4671799999999999"/>
    <n v="0"/>
    <n v="0.64975700000000003"/>
    <n v="5.3222399999999999"/>
    <n v="227930000"/>
    <n v="0"/>
    <n v="0"/>
    <n v="0"/>
    <n v="0"/>
    <n v="5183350"/>
    <n v="356433"/>
    <n v="0"/>
    <n v="97.281800000000004"/>
    <n v="98.274000000000001"/>
    <n v="1.98776"/>
    <n v="0"/>
    <n v="0"/>
    <n v="2.1480399999999999"/>
    <n v="2.1480399999999999"/>
    <n v="0"/>
    <n v="1.6595899999999999"/>
    <n v="3.3868800000000001"/>
    <n v="1100840000"/>
    <n v="0"/>
    <n v="0"/>
    <n v="0"/>
    <n v="0"/>
    <n v="5557490"/>
    <n v="181153"/>
    <n v="0"/>
    <n v="42"/>
    <x v="39"/>
    <n v="3.6533236002145343E-14"/>
    <n v="7.7070588031971625E-14"/>
  </r>
  <r>
    <n v="63.365699999999997"/>
    <n v="85.138999999999996"/>
    <n v="1.69249"/>
    <n v="0"/>
    <n v="0.04"/>
    <n v="3.4671500000000002"/>
    <n v="3.4671500000000002"/>
    <n v="0"/>
    <n v="0.64975000000000005"/>
    <n v="5.3222399999999999"/>
    <n v="228286000"/>
    <n v="0"/>
    <n v="0"/>
    <n v="0"/>
    <n v="0"/>
    <n v="5183300"/>
    <n v="356429"/>
    <n v="0"/>
    <n v="96.898300000000006"/>
    <n v="98.274000000000001"/>
    <n v="2.1437900000000001"/>
    <n v="0"/>
    <n v="0"/>
    <n v="2.1480199999999998"/>
    <n v="2.1480199999999998"/>
    <n v="0"/>
    <n v="1.6595800000000001"/>
    <n v="3.3868800000000001"/>
    <n v="1101020000"/>
    <n v="0"/>
    <n v="0"/>
    <n v="0"/>
    <n v="0"/>
    <n v="5557430"/>
    <n v="181151"/>
    <n v="0"/>
    <n v="43"/>
    <x v="39"/>
    <n v="3.6533227082440385E-14"/>
    <n v="7.7070466564915801E-14"/>
  </r>
  <r>
    <n v="61.781500000000001"/>
    <n v="85.138999999999996"/>
    <n v="1.7082999999999999"/>
    <n v="0"/>
    <n v="0.04"/>
    <n v="3.4671099999999999"/>
    <n v="3.4671099999999999"/>
    <n v="0"/>
    <n v="0.64974299999999996"/>
    <n v="5.3222399999999999"/>
    <n v="228643000"/>
    <n v="0"/>
    <n v="0"/>
    <n v="0"/>
    <n v="0"/>
    <n v="5183240"/>
    <n v="356426"/>
    <n v="0"/>
    <n v="96.503900000000002"/>
    <n v="98.274000000000001"/>
    <n v="2.5330699999999999"/>
    <n v="0"/>
    <n v="0"/>
    <n v="2.1480000000000001"/>
    <n v="2.1480000000000001"/>
    <n v="0"/>
    <n v="1.6595599999999999"/>
    <n v="3.3868800000000001"/>
    <n v="1101200000"/>
    <n v="0"/>
    <n v="0"/>
    <n v="0"/>
    <n v="0"/>
    <n v="5557380"/>
    <n v="181149"/>
    <n v="0"/>
    <n v="44"/>
    <x v="39"/>
    <n v="3.6533152424338559E-14"/>
    <n v="7.7070710018971516E-14"/>
  </r>
  <r>
    <n v="60.308399999999999"/>
    <n v="85.138999999999996"/>
    <n v="1.76641"/>
    <n v="0"/>
    <n v="0.04"/>
    <n v="3.4670700000000001"/>
    <n v="3.4670700000000001"/>
    <n v="0"/>
    <n v="0.64973599999999998"/>
    <n v="5.3222399999999999"/>
    <n v="228999000"/>
    <n v="0"/>
    <n v="0"/>
    <n v="0"/>
    <n v="0"/>
    <n v="5183190"/>
    <n v="356422"/>
    <n v="0"/>
    <n v="96.093900000000005"/>
    <n v="98.274000000000001"/>
    <n v="2.0091800000000002"/>
    <n v="0"/>
    <n v="0"/>
    <n v="2.1479699999999999"/>
    <n v="2.1479699999999999"/>
    <n v="0"/>
    <n v="1.65954"/>
    <n v="3.3868800000000001"/>
    <n v="1101380000"/>
    <n v="0"/>
    <n v="0"/>
    <n v="0"/>
    <n v="0"/>
    <n v="5557320"/>
    <n v="181147"/>
    <n v="0"/>
    <n v="45"/>
    <x v="39"/>
    <n v="3.6533143503554691E-14"/>
    <n v="7.7070588550514612E-14"/>
  </r>
  <r>
    <n v="58.983600000000003"/>
    <n v="85.138999999999996"/>
    <n v="1.79559"/>
    <n v="0"/>
    <n v="0.04"/>
    <n v="3.3612500000000001"/>
    <n v="3.3612500000000001"/>
    <n v="0"/>
    <n v="0.64973000000000003"/>
    <n v="5.3222399999999999"/>
    <n v="229345000"/>
    <n v="0"/>
    <n v="0"/>
    <n v="0"/>
    <n v="0"/>
    <n v="5024990"/>
    <n v="345543"/>
    <n v="0"/>
    <n v="95.911100000000005"/>
    <n v="98.274000000000001"/>
    <n v="3.0106999999999999"/>
    <n v="0"/>
    <n v="0"/>
    <n v="2.0446"/>
    <n v="2.0446"/>
    <n v="0"/>
    <n v="1.6595200000000001"/>
    <n v="3.3868800000000001"/>
    <n v="1101550000"/>
    <n v="0"/>
    <n v="0"/>
    <n v="0"/>
    <n v="0"/>
    <n v="5289870"/>
    <n v="172429"/>
    <n v="0"/>
    <n v="46"/>
    <x v="39"/>
    <n v="3.6533107261461225E-14"/>
    <n v="7.7070504052947262E-14"/>
  </r>
  <r>
    <n v="57.448099999999997"/>
    <n v="85.138999999999996"/>
    <n v="1.5703199999999999"/>
    <n v="0"/>
    <n v="0.04"/>
    <n v="3.3612199999999999"/>
    <n v="3.3612199999999999"/>
    <n v="0"/>
    <n v="0.62989899999999999"/>
    <n v="5.3222399999999999"/>
    <n v="229690000"/>
    <n v="0"/>
    <n v="0"/>
    <n v="0"/>
    <n v="0"/>
    <n v="5024940"/>
    <n v="345540"/>
    <n v="0"/>
    <n v="95.302400000000006"/>
    <n v="98.274000000000001"/>
    <n v="1.77268"/>
    <n v="0"/>
    <n v="0"/>
    <n v="2.0445799999999998"/>
    <n v="2.0445799999999998"/>
    <n v="0"/>
    <n v="1.5796600000000001"/>
    <n v="3.3868800000000001"/>
    <n v="1101720000"/>
    <n v="0"/>
    <n v="0"/>
    <n v="0"/>
    <n v="0"/>
    <n v="5289820"/>
    <n v="172428"/>
    <n v="0"/>
    <n v="47"/>
    <x v="39"/>
    <n v="3.6533240701344828E-14"/>
    <n v="7.7070601800981777E-14"/>
  </r>
  <r>
    <n v="55.892099999999999"/>
    <n v="85.138999999999996"/>
    <n v="1.52291"/>
    <n v="0"/>
    <n v="0.04"/>
    <n v="3.3611800000000001"/>
    <n v="3.3611800000000001"/>
    <n v="0"/>
    <n v="0.62989200000000001"/>
    <n v="5.3222399999999999"/>
    <n v="230036000"/>
    <n v="0"/>
    <n v="0"/>
    <n v="0"/>
    <n v="0"/>
    <n v="5024880"/>
    <n v="345536"/>
    <n v="0"/>
    <n v="94.908100000000005"/>
    <n v="98.274000000000001"/>
    <n v="1.6389400000000001"/>
    <n v="0"/>
    <n v="0"/>
    <n v="2.0445600000000002"/>
    <n v="2.0445600000000002"/>
    <n v="0"/>
    <n v="1.5796399999999999"/>
    <n v="3.3868800000000001"/>
    <n v="1101900000"/>
    <n v="0"/>
    <n v="0"/>
    <n v="0"/>
    <n v="0"/>
    <n v="5289760"/>
    <n v="172426"/>
    <n v="0"/>
    <n v="48"/>
    <x v="39"/>
    <n v="3.6533231330342366E-14"/>
    <n v="7.7070629882551088E-14"/>
  </r>
  <r>
    <n v="55.72"/>
    <n v="85.138999999999996"/>
    <n v="3.11205"/>
    <n v="0"/>
    <n v="0.04"/>
    <n v="3.3611499999999999"/>
    <n v="3.3611499999999999"/>
    <n v="0"/>
    <n v="0.62988599999999995"/>
    <n v="5.3222399999999999"/>
    <n v="230381000"/>
    <n v="0"/>
    <n v="0"/>
    <n v="0"/>
    <n v="0"/>
    <n v="5024830"/>
    <n v="345532"/>
    <n v="0"/>
    <n v="94.9786"/>
    <n v="98.274000000000001"/>
    <n v="2.8486699999999998"/>
    <n v="0"/>
    <n v="0"/>
    <n v="2.04454"/>
    <n v="2.04454"/>
    <n v="0"/>
    <n v="1.5796300000000001"/>
    <n v="3.3868800000000001"/>
    <n v="1102070000"/>
    <n v="0"/>
    <n v="0"/>
    <n v="0"/>
    <n v="0"/>
    <n v="5289710"/>
    <n v="172424"/>
    <n v="0"/>
    <n v="49"/>
    <x v="39"/>
    <n v="3.6533152894430087E-14"/>
    <n v="7.7070504585158343E-14"/>
  </r>
  <r>
    <n v="53.653100000000002"/>
    <n v="85.138999999999996"/>
    <n v="1.0361"/>
    <n v="0"/>
    <n v="0.04"/>
    <n v="3.2742900000000001"/>
    <n v="3.2742900000000001"/>
    <n v="0"/>
    <n v="0.62987899999999997"/>
    <n v="5.3222399999999999"/>
    <n v="230718000"/>
    <n v="0"/>
    <n v="0"/>
    <n v="0"/>
    <n v="0"/>
    <n v="4894980"/>
    <n v="336603"/>
    <n v="0"/>
    <n v="94.572000000000003"/>
    <n v="98.274000000000001"/>
    <n v="1.79257"/>
    <n v="0"/>
    <n v="0"/>
    <n v="1.95045"/>
    <n v="1.95045"/>
    <n v="0"/>
    <n v="1.57961"/>
    <n v="3.3868800000000001"/>
    <n v="1102230000"/>
    <n v="0"/>
    <n v="0"/>
    <n v="0"/>
    <n v="0"/>
    <n v="5046280"/>
    <n v="164489"/>
    <n v="0"/>
    <n v="50"/>
    <x v="39"/>
    <n v="3.6533124572727093E-14"/>
    <n v="7.707053297922955E-14"/>
  </r>
  <r>
    <n v="51.9651"/>
    <n v="85.138999999999996"/>
    <n v="1.4270099999999999"/>
    <n v="0"/>
    <n v="0.04"/>
    <n v="3.2742499999999999"/>
    <n v="3.2742499999999999"/>
    <n v="0"/>
    <n v="0.61360099999999995"/>
    <n v="5.3222399999999999"/>
    <n v="231055000"/>
    <n v="0"/>
    <n v="0"/>
    <n v="0"/>
    <n v="0"/>
    <n v="4894920"/>
    <n v="336599"/>
    <n v="0"/>
    <n v="94.284499999999994"/>
    <n v="98.274000000000001"/>
    <n v="2.3953899999999999"/>
    <n v="0"/>
    <n v="0"/>
    <n v="1.9504300000000001"/>
    <n v="1.9504300000000001"/>
    <n v="0"/>
    <n v="1.50692"/>
    <n v="3.3868800000000001"/>
    <n v="1102400000"/>
    <n v="0"/>
    <n v="0"/>
    <n v="0"/>
    <n v="0"/>
    <n v="5046220"/>
    <n v="164487"/>
    <n v="0"/>
    <n v="51"/>
    <x v="39"/>
    <n v="3.6533114748081774E-14"/>
    <n v="7.7070561805520209E-14"/>
  </r>
  <r>
    <n v="51.023899999999998"/>
    <n v="85.138999999999996"/>
    <n v="2.2269700000000001"/>
    <n v="0"/>
    <n v="0.04"/>
    <n v="3.2742200000000001"/>
    <n v="3.2742200000000001"/>
    <n v="0"/>
    <n v="0.613595"/>
    <n v="5.3222399999999999"/>
    <n v="231391000"/>
    <n v="0"/>
    <n v="0"/>
    <n v="0"/>
    <n v="0"/>
    <n v="4894870"/>
    <n v="336596"/>
    <n v="0"/>
    <n v="94.241200000000006"/>
    <n v="98.274000000000001"/>
    <n v="2.9776500000000001"/>
    <n v="0"/>
    <n v="0"/>
    <n v="1.95041"/>
    <n v="1.95041"/>
    <n v="0"/>
    <n v="1.5068999999999999"/>
    <n v="3.3868800000000001"/>
    <n v="1102560000"/>
    <n v="0"/>
    <n v="0"/>
    <n v="0"/>
    <n v="0"/>
    <n v="5046170"/>
    <n v="164486"/>
    <n v="0"/>
    <n v="52"/>
    <x v="39"/>
    <n v="3.6533254631070136E-14"/>
    <n v="7.7070662151575597E-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326B82-435D-49A4-9FC2-B8216C95FC32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44" firstHeaderRow="0" firstDataRow="1" firstDataCol="1"/>
  <pivotFields count="4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numFmtId="1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numFmtId="11" showAll="0"/>
    <pivotField showAll="0"/>
    <pivotField dataField="1" showAll="0"/>
    <pivotField showAll="0"/>
    <pivotField axis="axisRow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umFmtId="11" showAll="0"/>
    <pivotField numFmtId="11" showAll="0"/>
  </pivotFields>
  <rowFields count="1">
    <field x="37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0drought_cost" fld="17" baseField="0" baseItem="0"/>
    <dataField name="Sum of 0cont_fund" fld="10" baseField="0" baseItem="0"/>
    <dataField name="Sum of 0gross_rev" fld="15" baseField="0" baseItem="0"/>
    <dataField name="Sum of 1cont_fund" fld="28" baseField="0" baseItem="0"/>
    <dataField name="Sum of 1gross_rev" fld="33" baseField="0" baseItem="0"/>
    <dataField name="Sum of 1drought_cost" fld="3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F14EE-A87E-4C96-A639-9DBBF3A7AFB4}">
  <dimension ref="A3:K44"/>
  <sheetViews>
    <sheetView workbookViewId="0">
      <selection activeCell="G3" sqref="A3:G44"/>
    </sheetView>
  </sheetViews>
  <sheetFormatPr defaultRowHeight="14.5" x14ac:dyDescent="0.35"/>
  <cols>
    <col min="1" max="1" width="12.36328125" bestFit="1" customWidth="1"/>
    <col min="2" max="2" width="19.453125" bestFit="1" customWidth="1"/>
    <col min="3" max="3" width="16.81640625" bestFit="1" customWidth="1"/>
    <col min="4" max="4" width="16.1796875" bestFit="1" customWidth="1"/>
    <col min="5" max="5" width="16.81640625" bestFit="1" customWidth="1"/>
    <col min="6" max="6" width="16.1796875" bestFit="1" customWidth="1"/>
    <col min="7" max="7" width="19.453125" bestFit="1" customWidth="1"/>
    <col min="8" max="9" width="19" bestFit="1" customWidth="1"/>
    <col min="10" max="10" width="12.453125" bestFit="1" customWidth="1"/>
    <col min="11" max="11" width="16.26953125" bestFit="1" customWidth="1"/>
  </cols>
  <sheetData>
    <row r="3" spans="1:11" x14ac:dyDescent="0.35">
      <c r="A3" s="4" t="s">
        <v>38</v>
      </c>
      <c r="B3" t="s">
        <v>51</v>
      </c>
      <c r="C3" t="s">
        <v>52</v>
      </c>
      <c r="D3" t="s">
        <v>47</v>
      </c>
      <c r="E3" t="s">
        <v>53</v>
      </c>
      <c r="F3" t="s">
        <v>41</v>
      </c>
      <c r="G3" t="s">
        <v>42</v>
      </c>
      <c r="J3" s="10" t="s">
        <v>49</v>
      </c>
      <c r="K3" s="10" t="s">
        <v>50</v>
      </c>
    </row>
    <row r="4" spans="1:11" x14ac:dyDescent="0.35">
      <c r="A4" s="5">
        <v>0</v>
      </c>
      <c r="B4" s="6">
        <v>13782279.770000001</v>
      </c>
      <c r="C4" s="6">
        <v>38529469.799999997</v>
      </c>
      <c r="D4" s="6">
        <v>182968250</v>
      </c>
      <c r="E4" s="6">
        <v>954419379</v>
      </c>
      <c r="F4" s="6">
        <v>230118160</v>
      </c>
      <c r="G4" s="6">
        <v>0</v>
      </c>
      <c r="J4" t="e">
        <f>(GETPIVOTDATA("Sum of 0ins_price",$A$3,"Year",0)+GETPIVOTDATA("Sum of 0cont_contrib",$A$3,"Year",0)+GETPIVOTDATA("Sum of 0debt_serv",$A$3,"Year",0))/(GETPIVOTDATA("Sum of 0gross_rev",$A$3,"Year",0)*(1+(1+0.070713)^A4))</f>
        <v>#REF!</v>
      </c>
      <c r="K4" t="e">
        <f>(GETPIVOTDATA("Sum of 1debt_serv",$A$3,"Year",0)+GETPIVOTDATA("Sum of 1ins_price",$A$3,"Year",0)+GETPIVOTDATA("Sum of 1cont_contrib",$A$3,"Year",0))/(GETPIVOTDATA("Sum of 1gross_rev",$A$3,"Year",0)*(1+(1+0.0707)^A4))</f>
        <v>#REF!</v>
      </c>
    </row>
    <row r="5" spans="1:11" x14ac:dyDescent="0.35">
      <c r="A5" s="5">
        <v>1</v>
      </c>
      <c r="B5" s="6">
        <v>12283510.699999999</v>
      </c>
      <c r="C5" s="6">
        <v>119958777</v>
      </c>
      <c r="D5" s="6">
        <v>189438390</v>
      </c>
      <c r="E5" s="6">
        <v>2621286800</v>
      </c>
      <c r="F5" s="6">
        <v>230757820</v>
      </c>
      <c r="G5" s="6">
        <v>0</v>
      </c>
      <c r="J5" t="e">
        <f t="shared" ref="J5:J43" si="0">(GETPIVOTDATA("Sum of 0ins_price",$A$3,"Year",0)+GETPIVOTDATA("Sum of 0cont_contrib",$A$3,"Year",0)+GETPIVOTDATA("Sum of 0debt_serv",$A$3,"Year",0))/(GETPIVOTDATA("Sum of 0gross_rev",$A$3,"Year",0)*(1+(1+0.070713)^A5))</f>
        <v>#REF!</v>
      </c>
      <c r="K5" t="e">
        <f t="shared" ref="K5:K43" si="1">(GETPIVOTDATA("Sum of 1debt_serv",$A$3,"Year",0)+GETPIVOTDATA("Sum of 1ins_price",$A$3,"Year",0)+GETPIVOTDATA("Sum of 1cont_contrib",$A$3,"Year",0))/(GETPIVOTDATA("Sum of 1gross_rev",$A$3,"Year",0)*(1+(1+0.0707)^A5))</f>
        <v>#REF!</v>
      </c>
    </row>
    <row r="6" spans="1:11" x14ac:dyDescent="0.35">
      <c r="A6" s="5">
        <v>2</v>
      </c>
      <c r="B6" s="6">
        <v>11619866.900000002</v>
      </c>
      <c r="C6" s="6">
        <v>322970790</v>
      </c>
      <c r="D6" s="6">
        <v>190493430</v>
      </c>
      <c r="E6" s="6">
        <v>4185254500</v>
      </c>
      <c r="F6" s="6">
        <v>231251380</v>
      </c>
      <c r="G6" s="6">
        <v>0</v>
      </c>
      <c r="J6" t="e">
        <f t="shared" si="0"/>
        <v>#REF!</v>
      </c>
      <c r="K6" t="e">
        <f t="shared" si="1"/>
        <v>#REF!</v>
      </c>
    </row>
    <row r="7" spans="1:11" x14ac:dyDescent="0.35">
      <c r="A7" s="5">
        <v>3</v>
      </c>
      <c r="B7" s="6">
        <v>10429634.500000002</v>
      </c>
      <c r="C7" s="6">
        <v>483233000</v>
      </c>
      <c r="D7" s="6">
        <v>194296240</v>
      </c>
      <c r="E7" s="6">
        <v>5635968900</v>
      </c>
      <c r="F7" s="6">
        <v>231526450</v>
      </c>
      <c r="G7" s="6">
        <v>0</v>
      </c>
      <c r="J7" t="e">
        <f>(GETPIVOTDATA("Sum of 0ins_price",$A$3,"Year",0)+GETPIVOTDATA("Sum of 0cont_contrib",$A$3,"Year",0)+GETPIVOTDATA("Sum of 0debt_serv",$A$3,"Year",0))/(GETPIVOTDATA("Sum of 0gross_rev",$A$3,"Year",0)*(1+(1+0.070713)^A7))</f>
        <v>#REF!</v>
      </c>
      <c r="K7" t="e">
        <f t="shared" si="1"/>
        <v>#REF!</v>
      </c>
    </row>
    <row r="8" spans="1:11" x14ac:dyDescent="0.35">
      <c r="A8" s="5">
        <v>4</v>
      </c>
      <c r="B8" s="6">
        <v>9275537.3000000007</v>
      </c>
      <c r="C8" s="6">
        <v>713324000</v>
      </c>
      <c r="D8" s="6">
        <v>198000380</v>
      </c>
      <c r="E8" s="6">
        <v>6974061000</v>
      </c>
      <c r="F8" s="6">
        <v>231810450</v>
      </c>
      <c r="G8" s="6">
        <v>0</v>
      </c>
      <c r="J8" t="e">
        <f t="shared" si="0"/>
        <v>#REF!</v>
      </c>
      <c r="K8" t="e">
        <f t="shared" si="1"/>
        <v>#REF!</v>
      </c>
    </row>
    <row r="9" spans="1:11" x14ac:dyDescent="0.35">
      <c r="A9" s="5">
        <v>5</v>
      </c>
      <c r="B9" s="6">
        <v>21157603</v>
      </c>
      <c r="C9" s="6">
        <v>707725900</v>
      </c>
      <c r="D9" s="6">
        <v>187217990</v>
      </c>
      <c r="E9" s="6">
        <v>8784094000</v>
      </c>
      <c r="F9" s="6">
        <v>256996850</v>
      </c>
      <c r="G9" s="6">
        <v>0</v>
      </c>
      <c r="J9" t="e">
        <f t="shared" si="0"/>
        <v>#REF!</v>
      </c>
      <c r="K9" t="e">
        <f t="shared" si="1"/>
        <v>#REF!</v>
      </c>
    </row>
    <row r="10" spans="1:11" x14ac:dyDescent="0.35">
      <c r="A10" s="5">
        <v>6</v>
      </c>
      <c r="B10" s="6">
        <v>5311007</v>
      </c>
      <c r="C10" s="6">
        <v>678182670</v>
      </c>
      <c r="D10" s="6">
        <v>207015170</v>
      </c>
      <c r="E10" s="6">
        <v>10657768000</v>
      </c>
      <c r="F10" s="6">
        <v>228974780</v>
      </c>
      <c r="G10" s="6">
        <v>0</v>
      </c>
      <c r="J10" t="e">
        <f t="shared" si="0"/>
        <v>#REF!</v>
      </c>
      <c r="K10" t="e">
        <f t="shared" si="1"/>
        <v>#REF!</v>
      </c>
    </row>
    <row r="11" spans="1:11" x14ac:dyDescent="0.35">
      <c r="A11" s="5">
        <v>7</v>
      </c>
      <c r="B11" s="6">
        <v>408539</v>
      </c>
      <c r="C11" s="6">
        <v>1408373500</v>
      </c>
      <c r="D11" s="6">
        <v>214678720</v>
      </c>
      <c r="E11" s="6">
        <v>11097893000</v>
      </c>
      <c r="F11" s="6">
        <v>221886610</v>
      </c>
      <c r="G11" s="6">
        <v>0</v>
      </c>
      <c r="J11" t="e">
        <f t="shared" si="0"/>
        <v>#REF!</v>
      </c>
      <c r="K11" t="e">
        <f t="shared" si="1"/>
        <v>#REF!</v>
      </c>
    </row>
    <row r="12" spans="1:11" x14ac:dyDescent="0.35">
      <c r="A12" s="5">
        <v>8</v>
      </c>
      <c r="B12" s="6">
        <v>2451234</v>
      </c>
      <c r="C12" s="6">
        <v>2142769400</v>
      </c>
      <c r="D12" s="6">
        <v>214589090</v>
      </c>
      <c r="E12" s="6">
        <v>11548904000</v>
      </c>
      <c r="F12" s="6">
        <v>228029250</v>
      </c>
      <c r="G12" s="6">
        <v>0</v>
      </c>
      <c r="J12" t="e">
        <f t="shared" si="0"/>
        <v>#REF!</v>
      </c>
      <c r="K12" t="e">
        <f t="shared" si="1"/>
        <v>#REF!</v>
      </c>
    </row>
    <row r="13" spans="1:11" x14ac:dyDescent="0.35">
      <c r="A13" s="5">
        <v>9</v>
      </c>
      <c r="B13" s="6">
        <v>0</v>
      </c>
      <c r="C13" s="6">
        <v>2816985500</v>
      </c>
      <c r="D13" s="6">
        <v>219403270</v>
      </c>
      <c r="E13" s="6">
        <v>12133501000</v>
      </c>
      <c r="F13" s="6">
        <v>225494710</v>
      </c>
      <c r="G13" s="6">
        <v>0</v>
      </c>
      <c r="J13" t="e">
        <f t="shared" si="0"/>
        <v>#REF!</v>
      </c>
      <c r="K13" t="e">
        <f t="shared" si="1"/>
        <v>#REF!</v>
      </c>
    </row>
    <row r="14" spans="1:11" x14ac:dyDescent="0.35">
      <c r="A14" s="5">
        <v>10</v>
      </c>
      <c r="B14" s="6">
        <v>4493929</v>
      </c>
      <c r="C14" s="6">
        <v>3560283400</v>
      </c>
      <c r="D14" s="6">
        <v>216464390</v>
      </c>
      <c r="E14" s="6">
        <v>12603568000</v>
      </c>
      <c r="F14" s="6">
        <v>236191100</v>
      </c>
      <c r="G14" s="6">
        <v>0</v>
      </c>
      <c r="J14" t="e">
        <f t="shared" si="0"/>
        <v>#REF!</v>
      </c>
      <c r="K14" t="e">
        <f t="shared" si="1"/>
        <v>#REF!</v>
      </c>
    </row>
    <row r="15" spans="1:11" x14ac:dyDescent="0.35">
      <c r="A15" s="5">
        <v>11</v>
      </c>
      <c r="B15" s="6">
        <v>5311007</v>
      </c>
      <c r="C15" s="6">
        <v>4129752800</v>
      </c>
      <c r="D15" s="6">
        <v>217529500</v>
      </c>
      <c r="E15" s="6">
        <v>13423710000</v>
      </c>
      <c r="F15" s="6">
        <v>239779500</v>
      </c>
      <c r="G15" s="6">
        <v>0</v>
      </c>
      <c r="J15" t="e">
        <f t="shared" si="0"/>
        <v>#REF!</v>
      </c>
      <c r="K15" t="e">
        <f t="shared" si="1"/>
        <v>#REF!</v>
      </c>
    </row>
    <row r="16" spans="1:11" x14ac:dyDescent="0.35">
      <c r="A16" s="5">
        <v>12</v>
      </c>
      <c r="B16" s="6">
        <v>6536624</v>
      </c>
      <c r="C16" s="6">
        <v>4607193000</v>
      </c>
      <c r="D16" s="6">
        <v>218045210</v>
      </c>
      <c r="E16" s="6">
        <v>14434392000</v>
      </c>
      <c r="F16" s="6">
        <v>244051110</v>
      </c>
      <c r="G16" s="6">
        <v>0</v>
      </c>
      <c r="J16" t="e">
        <f t="shared" si="0"/>
        <v>#REF!</v>
      </c>
      <c r="K16" t="e">
        <f t="shared" si="1"/>
        <v>#REF!</v>
      </c>
    </row>
    <row r="17" spans="1:11" x14ac:dyDescent="0.35">
      <c r="A17" s="5">
        <v>13</v>
      </c>
      <c r="B17" s="6">
        <v>6945163</v>
      </c>
      <c r="C17" s="6">
        <v>5036138000</v>
      </c>
      <c r="D17" s="6">
        <v>219434110</v>
      </c>
      <c r="E17" s="6">
        <v>15556068000</v>
      </c>
      <c r="F17" s="6">
        <v>246725280</v>
      </c>
      <c r="G17" s="6">
        <v>0</v>
      </c>
      <c r="J17" t="e">
        <f t="shared" si="0"/>
        <v>#REF!</v>
      </c>
      <c r="K17" t="e">
        <f t="shared" si="1"/>
        <v>#REF!</v>
      </c>
    </row>
    <row r="18" spans="1:11" x14ac:dyDescent="0.35">
      <c r="A18" s="5">
        <v>14</v>
      </c>
      <c r="B18" s="6">
        <v>6128085</v>
      </c>
      <c r="C18" s="6">
        <v>5566332000</v>
      </c>
      <c r="D18" s="6">
        <v>222113860</v>
      </c>
      <c r="E18" s="6">
        <v>16499382000</v>
      </c>
      <c r="F18" s="6">
        <v>246985070</v>
      </c>
      <c r="G18" s="6">
        <v>0</v>
      </c>
      <c r="J18" t="e">
        <f t="shared" si="0"/>
        <v>#REF!</v>
      </c>
      <c r="K18" t="e">
        <f t="shared" si="1"/>
        <v>#REF!</v>
      </c>
    </row>
    <row r="19" spans="1:11" x14ac:dyDescent="0.35">
      <c r="A19" s="5">
        <v>15</v>
      </c>
      <c r="B19" s="6">
        <v>11030553</v>
      </c>
      <c r="C19" s="6">
        <v>5902570000</v>
      </c>
      <c r="D19" s="6">
        <v>218396350</v>
      </c>
      <c r="E19" s="6">
        <v>17829100000</v>
      </c>
      <c r="F19" s="6">
        <v>258128160</v>
      </c>
      <c r="G19" s="6">
        <v>0</v>
      </c>
      <c r="J19" t="e">
        <f t="shared" si="0"/>
        <v>#REF!</v>
      </c>
      <c r="K19" t="e">
        <f t="shared" si="1"/>
        <v>#REF!</v>
      </c>
    </row>
    <row r="20" spans="1:11" x14ac:dyDescent="0.35">
      <c r="A20" s="5">
        <v>16</v>
      </c>
      <c r="B20" s="6">
        <v>15115943</v>
      </c>
      <c r="C20" s="6">
        <v>5993128000</v>
      </c>
      <c r="D20" s="6">
        <v>215511820</v>
      </c>
      <c r="E20" s="6">
        <v>19643677000</v>
      </c>
      <c r="F20" s="6">
        <v>267633370</v>
      </c>
      <c r="G20" s="6">
        <v>0</v>
      </c>
      <c r="J20" t="e">
        <f t="shared" si="0"/>
        <v>#REF!</v>
      </c>
      <c r="K20" t="e">
        <f t="shared" si="1"/>
        <v>#REF!</v>
      </c>
    </row>
    <row r="21" spans="1:11" x14ac:dyDescent="0.35">
      <c r="A21" s="5">
        <v>17</v>
      </c>
      <c r="B21" s="6">
        <v>7353702</v>
      </c>
      <c r="C21" s="6">
        <v>6321861000</v>
      </c>
      <c r="D21" s="6">
        <v>225664600</v>
      </c>
      <c r="E21" s="6">
        <v>21015865000</v>
      </c>
      <c r="F21" s="6">
        <v>254374400</v>
      </c>
      <c r="G21" s="6">
        <v>0</v>
      </c>
      <c r="J21" t="e">
        <f t="shared" si="0"/>
        <v>#REF!</v>
      </c>
      <c r="K21" t="e">
        <f t="shared" si="1"/>
        <v>#REF!</v>
      </c>
    </row>
    <row r="22" spans="1:11" x14ac:dyDescent="0.35">
      <c r="A22" s="5">
        <v>18</v>
      </c>
      <c r="B22" s="6">
        <v>10622014</v>
      </c>
      <c r="C22" s="6">
        <v>6646546000</v>
      </c>
      <c r="D22" s="6">
        <v>223511910</v>
      </c>
      <c r="E22" s="6">
        <v>22406504000</v>
      </c>
      <c r="F22" s="6">
        <v>262138390</v>
      </c>
      <c r="G22" s="6">
        <v>0</v>
      </c>
      <c r="J22" t="e">
        <f t="shared" si="0"/>
        <v>#REF!</v>
      </c>
      <c r="K22" t="e">
        <f t="shared" si="1"/>
        <v>#REF!</v>
      </c>
    </row>
    <row r="23" spans="1:11" x14ac:dyDescent="0.35">
      <c r="A23" s="5">
        <v>19</v>
      </c>
      <c r="B23" s="6">
        <v>17567177</v>
      </c>
      <c r="C23" s="6">
        <v>6721092000</v>
      </c>
      <c r="D23" s="6">
        <v>217241560</v>
      </c>
      <c r="E23" s="6">
        <v>24290811000</v>
      </c>
      <c r="F23" s="6">
        <v>276892780</v>
      </c>
      <c r="G23" s="6">
        <v>0</v>
      </c>
      <c r="J23" t="e">
        <f t="shared" si="0"/>
        <v>#REF!</v>
      </c>
      <c r="K23" t="e">
        <f t="shared" si="1"/>
        <v>#REF!</v>
      </c>
    </row>
    <row r="24" spans="1:11" x14ac:dyDescent="0.35">
      <c r="A24" s="5">
        <v>20</v>
      </c>
      <c r="B24" s="6">
        <v>12664709</v>
      </c>
      <c r="C24" s="6">
        <v>6761758000</v>
      </c>
      <c r="D24" s="6">
        <v>224006300</v>
      </c>
      <c r="E24" s="6">
        <v>26251847000</v>
      </c>
      <c r="F24" s="6">
        <v>268880790</v>
      </c>
      <c r="G24" s="6">
        <v>0</v>
      </c>
      <c r="J24" t="e">
        <f t="shared" si="0"/>
        <v>#REF!</v>
      </c>
      <c r="K24" t="e">
        <f t="shared" si="1"/>
        <v>#REF!</v>
      </c>
    </row>
    <row r="25" spans="1:11" x14ac:dyDescent="0.35">
      <c r="A25" s="5">
        <v>21</v>
      </c>
      <c r="B25" s="6">
        <v>7762241</v>
      </c>
      <c r="C25" s="6">
        <v>7178436000</v>
      </c>
      <c r="D25" s="6">
        <v>230693170</v>
      </c>
      <c r="E25" s="6">
        <v>27503965000</v>
      </c>
      <c r="F25" s="6">
        <v>260788710</v>
      </c>
      <c r="G25" s="6">
        <v>0</v>
      </c>
      <c r="J25" t="e">
        <f t="shared" si="0"/>
        <v>#REF!</v>
      </c>
      <c r="K25" t="e">
        <f t="shared" si="1"/>
        <v>#REF!</v>
      </c>
    </row>
    <row r="26" spans="1:11" x14ac:dyDescent="0.35">
      <c r="A26" s="5">
        <v>22</v>
      </c>
      <c r="B26" s="6">
        <v>21244028</v>
      </c>
      <c r="C26" s="6">
        <v>7187681000</v>
      </c>
      <c r="D26" s="6">
        <v>216958620</v>
      </c>
      <c r="E26" s="6">
        <v>29546851000</v>
      </c>
      <c r="F26" s="6">
        <v>287823920</v>
      </c>
      <c r="G26" s="6">
        <v>0</v>
      </c>
      <c r="J26" t="e">
        <f t="shared" si="0"/>
        <v>#REF!</v>
      </c>
      <c r="K26" t="e">
        <f t="shared" si="1"/>
        <v>#REF!</v>
      </c>
    </row>
    <row r="27" spans="1:11" x14ac:dyDescent="0.35">
      <c r="A27" s="5">
        <v>23</v>
      </c>
      <c r="B27" s="6">
        <v>14298865</v>
      </c>
      <c r="C27" s="6">
        <v>7160165000</v>
      </c>
      <c r="D27" s="6">
        <v>225751560</v>
      </c>
      <c r="E27" s="6">
        <v>31669970000</v>
      </c>
      <c r="F27" s="6">
        <v>275661440</v>
      </c>
      <c r="G27" s="6">
        <v>0</v>
      </c>
      <c r="J27" t="e">
        <f t="shared" si="0"/>
        <v>#REF!</v>
      </c>
      <c r="K27" t="e">
        <f t="shared" si="1"/>
        <v>#REF!</v>
      </c>
    </row>
    <row r="28" spans="1:11" x14ac:dyDescent="0.35">
      <c r="A28" s="5">
        <v>24</v>
      </c>
      <c r="B28" s="6">
        <v>9396397</v>
      </c>
      <c r="C28" s="6">
        <v>7504445000</v>
      </c>
      <c r="D28" s="6">
        <v>232191130</v>
      </c>
      <c r="E28" s="6">
        <v>33087815000</v>
      </c>
      <c r="F28" s="6">
        <v>267315720</v>
      </c>
      <c r="G28" s="6">
        <v>0</v>
      </c>
      <c r="J28" t="e">
        <f t="shared" si="0"/>
        <v>#REF!</v>
      </c>
      <c r="K28" t="e">
        <f t="shared" si="1"/>
        <v>#REF!</v>
      </c>
    </row>
    <row r="29" spans="1:11" x14ac:dyDescent="0.35">
      <c r="A29" s="5">
        <v>25</v>
      </c>
      <c r="B29" s="6">
        <v>11439092</v>
      </c>
      <c r="C29" s="6">
        <v>7627632000</v>
      </c>
      <c r="D29" s="6">
        <v>230886590</v>
      </c>
      <c r="E29" s="6">
        <v>34939883000</v>
      </c>
      <c r="F29" s="6">
        <v>272209650</v>
      </c>
      <c r="G29" s="6">
        <v>0</v>
      </c>
      <c r="J29" t="e">
        <f t="shared" si="0"/>
        <v>#REF!</v>
      </c>
      <c r="K29" t="e">
        <f t="shared" si="1"/>
        <v>#REF!</v>
      </c>
    </row>
    <row r="30" spans="1:11" x14ac:dyDescent="0.35">
      <c r="A30" s="5">
        <v>26</v>
      </c>
      <c r="B30" s="6">
        <v>4902468</v>
      </c>
      <c r="C30" s="6">
        <v>8255390000</v>
      </c>
      <c r="D30" s="6">
        <v>239001030</v>
      </c>
      <c r="E30" s="6">
        <v>35833563000</v>
      </c>
      <c r="F30" s="6">
        <v>260596730</v>
      </c>
      <c r="G30" s="6">
        <v>0</v>
      </c>
      <c r="J30" t="e">
        <f t="shared" si="0"/>
        <v>#REF!</v>
      </c>
      <c r="K30" t="e">
        <f t="shared" si="1"/>
        <v>#REF!</v>
      </c>
    </row>
    <row r="31" spans="1:11" x14ac:dyDescent="0.35">
      <c r="A31" s="5">
        <v>27</v>
      </c>
      <c r="B31" s="6">
        <v>6128085</v>
      </c>
      <c r="C31" s="6">
        <v>8858790000</v>
      </c>
      <c r="D31" s="6">
        <v>238450670</v>
      </c>
      <c r="E31" s="6">
        <v>36781135000</v>
      </c>
      <c r="F31" s="6">
        <v>263771720</v>
      </c>
      <c r="G31" s="6">
        <v>0</v>
      </c>
      <c r="J31" t="e">
        <f t="shared" si="0"/>
        <v>#REF!</v>
      </c>
      <c r="K31" t="e">
        <f t="shared" si="1"/>
        <v>#REF!</v>
      </c>
    </row>
    <row r="32" spans="1:11" x14ac:dyDescent="0.35">
      <c r="A32" s="5">
        <v>28</v>
      </c>
      <c r="B32" s="6">
        <v>11847631</v>
      </c>
      <c r="C32" s="6">
        <v>9271697000</v>
      </c>
      <c r="D32" s="6">
        <v>232852690</v>
      </c>
      <c r="E32" s="6">
        <v>38100116000</v>
      </c>
      <c r="F32" s="6">
        <v>275476180</v>
      </c>
      <c r="G32" s="6">
        <v>0</v>
      </c>
      <c r="J32" t="e">
        <f t="shared" si="0"/>
        <v>#REF!</v>
      </c>
      <c r="K32" t="e">
        <f t="shared" si="1"/>
        <v>#REF!</v>
      </c>
    </row>
    <row r="33" spans="1:11" x14ac:dyDescent="0.35">
      <c r="A33" s="5">
        <v>29</v>
      </c>
      <c r="B33" s="6">
        <v>15524482</v>
      </c>
      <c r="C33" s="6">
        <v>9337782000</v>
      </c>
      <c r="D33" s="6">
        <v>229440090</v>
      </c>
      <c r="E33" s="6">
        <v>40089238000</v>
      </c>
      <c r="F33" s="6">
        <v>283191490</v>
      </c>
      <c r="G33" s="6">
        <v>0</v>
      </c>
      <c r="J33" t="e">
        <f t="shared" si="0"/>
        <v>#REF!</v>
      </c>
      <c r="K33" t="e">
        <f t="shared" si="1"/>
        <v>#REF!</v>
      </c>
    </row>
    <row r="34" spans="1:11" x14ac:dyDescent="0.35">
      <c r="A34" s="5">
        <v>30</v>
      </c>
      <c r="B34" s="6">
        <v>9381898</v>
      </c>
      <c r="C34" s="6">
        <v>9658569000</v>
      </c>
      <c r="D34" s="6">
        <v>236808870</v>
      </c>
      <c r="E34" s="6">
        <v>41593435000</v>
      </c>
      <c r="F34" s="6">
        <v>272015300</v>
      </c>
      <c r="G34" s="6">
        <v>0</v>
      </c>
      <c r="J34" t="e">
        <f t="shared" si="0"/>
        <v>#REF!</v>
      </c>
      <c r="K34" t="e">
        <f t="shared" si="1"/>
        <v>#REF!</v>
      </c>
    </row>
    <row r="35" spans="1:11" x14ac:dyDescent="0.35">
      <c r="A35" s="5">
        <v>31</v>
      </c>
      <c r="B35" s="6">
        <v>12621939</v>
      </c>
      <c r="C35" s="6">
        <v>9932850000</v>
      </c>
      <c r="D35" s="6">
        <v>233729520</v>
      </c>
      <c r="E35" s="6">
        <v>43193731000</v>
      </c>
      <c r="F35" s="6">
        <v>278739880</v>
      </c>
      <c r="G35" s="6">
        <v>0</v>
      </c>
      <c r="J35" t="e">
        <f t="shared" si="0"/>
        <v>#REF!</v>
      </c>
      <c r="K35" t="e">
        <f t="shared" si="1"/>
        <v>#REF!</v>
      </c>
    </row>
    <row r="36" spans="1:11" x14ac:dyDescent="0.35">
      <c r="A36" s="5">
        <v>32</v>
      </c>
      <c r="B36" s="6">
        <v>19134650</v>
      </c>
      <c r="C36" s="6">
        <v>9935705000</v>
      </c>
      <c r="D36" s="6">
        <v>226954780</v>
      </c>
      <c r="E36" s="6">
        <v>45317876000</v>
      </c>
      <c r="F36" s="6">
        <v>291655740</v>
      </c>
      <c r="G36" s="6">
        <v>0</v>
      </c>
      <c r="J36" t="e">
        <f t="shared" si="0"/>
        <v>#REF!</v>
      </c>
      <c r="K36" t="e">
        <f t="shared" si="1"/>
        <v>#REF!</v>
      </c>
    </row>
    <row r="37" spans="1:11" x14ac:dyDescent="0.35">
      <c r="A37" s="5">
        <v>33</v>
      </c>
      <c r="B37" s="6">
        <v>10622014</v>
      </c>
      <c r="C37" s="6">
        <v>9972570000</v>
      </c>
      <c r="D37" s="6">
        <v>236731430</v>
      </c>
      <c r="E37" s="6">
        <v>47380256000</v>
      </c>
      <c r="F37" s="6">
        <v>275719770</v>
      </c>
      <c r="G37" s="6">
        <v>0</v>
      </c>
      <c r="J37" t="e">
        <f t="shared" si="0"/>
        <v>#REF!</v>
      </c>
      <c r="K37" t="e">
        <f t="shared" si="1"/>
        <v>#REF!</v>
      </c>
    </row>
    <row r="38" spans="1:11" x14ac:dyDescent="0.35">
      <c r="A38" s="5">
        <v>34</v>
      </c>
      <c r="B38" s="6">
        <v>6536624</v>
      </c>
      <c r="C38" s="6">
        <v>10607929000</v>
      </c>
      <c r="D38" s="6">
        <v>241532870</v>
      </c>
      <c r="E38" s="6">
        <v>48299227000</v>
      </c>
      <c r="F38" s="6">
        <v>268183970</v>
      </c>
      <c r="G38" s="6">
        <v>0</v>
      </c>
      <c r="J38" t="e">
        <f t="shared" si="0"/>
        <v>#REF!</v>
      </c>
      <c r="K38" t="e">
        <f t="shared" si="1"/>
        <v>#REF!</v>
      </c>
    </row>
    <row r="39" spans="1:11" x14ac:dyDescent="0.35">
      <c r="A39" s="5">
        <v>35</v>
      </c>
      <c r="B39" s="6">
        <v>14298865</v>
      </c>
      <c r="C39" s="6">
        <v>10872787000</v>
      </c>
      <c r="D39" s="6">
        <v>233147890</v>
      </c>
      <c r="E39" s="6">
        <v>49929811000</v>
      </c>
      <c r="F39" s="6">
        <v>283259000</v>
      </c>
      <c r="G39" s="6">
        <v>0</v>
      </c>
      <c r="J39" t="e">
        <f t="shared" si="0"/>
        <v>#REF!</v>
      </c>
      <c r="K39" t="e">
        <f t="shared" si="1"/>
        <v>#REF!</v>
      </c>
    </row>
    <row r="40" spans="1:11" x14ac:dyDescent="0.35">
      <c r="A40" s="5">
        <v>36</v>
      </c>
      <c r="B40" s="6">
        <v>21244028</v>
      </c>
      <c r="C40" s="6">
        <v>10796582000</v>
      </c>
      <c r="D40" s="6">
        <v>225221450</v>
      </c>
      <c r="E40" s="6">
        <v>52212570000</v>
      </c>
      <c r="F40" s="6">
        <v>296183290</v>
      </c>
      <c r="G40" s="6">
        <v>0</v>
      </c>
      <c r="J40" t="e">
        <f t="shared" si="0"/>
        <v>#REF!</v>
      </c>
      <c r="K40" t="e">
        <f t="shared" si="1"/>
        <v>#REF!</v>
      </c>
    </row>
    <row r="41" spans="1:11" x14ac:dyDescent="0.35">
      <c r="A41" s="5">
        <v>37</v>
      </c>
      <c r="B41" s="6">
        <v>13481787</v>
      </c>
      <c r="C41" s="6">
        <v>10815604000</v>
      </c>
      <c r="D41" s="6">
        <v>234235560</v>
      </c>
      <c r="E41" s="6">
        <v>54316120000</v>
      </c>
      <c r="F41" s="6">
        <v>281882030</v>
      </c>
      <c r="G41" s="6">
        <v>0</v>
      </c>
      <c r="J41" t="e">
        <f t="shared" si="0"/>
        <v>#REF!</v>
      </c>
      <c r="K41" t="e">
        <f t="shared" si="1"/>
        <v>#REF!</v>
      </c>
    </row>
    <row r="42" spans="1:11" x14ac:dyDescent="0.35">
      <c r="A42" s="5">
        <v>38</v>
      </c>
      <c r="B42" s="6">
        <v>11847631</v>
      </c>
      <c r="C42" s="6">
        <v>11110862000</v>
      </c>
      <c r="D42" s="6">
        <v>236025570</v>
      </c>
      <c r="E42" s="6">
        <v>55890910000</v>
      </c>
      <c r="F42" s="6">
        <v>278733310</v>
      </c>
      <c r="G42" s="6">
        <v>0</v>
      </c>
      <c r="J42" t="e">
        <f t="shared" si="0"/>
        <v>#REF!</v>
      </c>
      <c r="K42" t="e">
        <f t="shared" si="1"/>
        <v>#REF!</v>
      </c>
    </row>
    <row r="43" spans="1:11" x14ac:dyDescent="0.35">
      <c r="A43" s="5">
        <v>39</v>
      </c>
      <c r="B43" s="6">
        <v>408539</v>
      </c>
      <c r="C43" s="6">
        <v>11588952000</v>
      </c>
      <c r="D43" s="6">
        <v>248591390</v>
      </c>
      <c r="E43" s="6">
        <v>57115000000</v>
      </c>
      <c r="F43" s="6">
        <v>256731310</v>
      </c>
      <c r="G43" s="6">
        <v>0</v>
      </c>
      <c r="J43" t="e">
        <f t="shared" si="0"/>
        <v>#REF!</v>
      </c>
      <c r="K43" t="e">
        <f t="shared" si="1"/>
        <v>#REF!</v>
      </c>
    </row>
    <row r="44" spans="1:11" x14ac:dyDescent="0.35">
      <c r="A44" s="5" t="s">
        <v>39</v>
      </c>
      <c r="B44" s="6">
        <v>412609382.17000002</v>
      </c>
      <c r="C44" s="6">
        <v>248353135206.79999</v>
      </c>
      <c r="D44" s="6">
        <v>8845225420</v>
      </c>
      <c r="E44" s="6">
        <v>1081349546579</v>
      </c>
      <c r="F44" s="6">
        <v>10348565570</v>
      </c>
      <c r="G44" s="6">
        <v>0</v>
      </c>
      <c r="J44" t="e">
        <f>MAX(J4:J43)</f>
        <v>#REF!</v>
      </c>
      <c r="K44" t="e">
        <f>MAX(K4:K43)</f>
        <v>#REF!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533DC-DF3D-434D-948C-E6C0A0815DE9}">
  <dimension ref="A1:I44"/>
  <sheetViews>
    <sheetView tabSelected="1" workbookViewId="0">
      <selection activeCell="H2" sqref="H2"/>
    </sheetView>
  </sheetViews>
  <sheetFormatPr defaultRowHeight="14.5" x14ac:dyDescent="0.35"/>
  <cols>
    <col min="1" max="1" width="10.7265625" style="9" bestFit="1" customWidth="1"/>
    <col min="2" max="2" width="19.453125" style="9" bestFit="1" customWidth="1"/>
    <col min="3" max="3" width="16.81640625" style="9" bestFit="1" customWidth="1"/>
    <col min="4" max="4" width="16.1796875" style="9" bestFit="1" customWidth="1"/>
    <col min="5" max="5" width="16.81640625" style="9" bestFit="1" customWidth="1"/>
    <col min="6" max="6" width="16.1796875" style="9" bestFit="1" customWidth="1"/>
    <col min="7" max="7" width="19.453125" style="9" bestFit="1" customWidth="1"/>
    <col min="8" max="8" width="10.453125" style="23" bestFit="1" customWidth="1"/>
    <col min="9" max="9" width="16.453125" style="23" bestFit="1" customWidth="1"/>
  </cols>
  <sheetData>
    <row r="1" spans="1:9" x14ac:dyDescent="0.35">
      <c r="A1" s="32" t="s">
        <v>37</v>
      </c>
      <c r="B1" s="24" t="s">
        <v>51</v>
      </c>
      <c r="C1" s="24" t="s">
        <v>52</v>
      </c>
      <c r="D1" s="24" t="s">
        <v>47</v>
      </c>
      <c r="E1" s="26" t="s">
        <v>53</v>
      </c>
      <c r="F1" s="26" t="s">
        <v>41</v>
      </c>
      <c r="G1" s="26" t="s">
        <v>42</v>
      </c>
      <c r="H1" s="25" t="s">
        <v>49</v>
      </c>
      <c r="I1" s="26" t="s">
        <v>50</v>
      </c>
    </row>
    <row r="2" spans="1:9" x14ac:dyDescent="0.35">
      <c r="A2" s="33">
        <v>0</v>
      </c>
      <c r="B2" s="2">
        <v>13782279.770000001</v>
      </c>
      <c r="C2" s="2">
        <v>2094690</v>
      </c>
      <c r="D2" s="2">
        <v>182968250</v>
      </c>
      <c r="E2" s="27">
        <v>33034700</v>
      </c>
      <c r="F2" s="27">
        <v>230118160</v>
      </c>
      <c r="G2" s="27">
        <v>0</v>
      </c>
      <c r="H2" s="28">
        <f>(MAX(B2-C2,0))/(D2*(1+(1+0.0707130527)^A2))</f>
        <v>3.1938846685148931E-2</v>
      </c>
      <c r="I2" s="29">
        <f>(IF(E2&gt;G2,0,G2-E2))/(F2*(1+(1+0)^A2))</f>
        <v>0</v>
      </c>
    </row>
    <row r="3" spans="1:9" x14ac:dyDescent="0.35">
      <c r="A3" s="33">
        <v>1</v>
      </c>
      <c r="B3" s="2">
        <v>12283510.699999999</v>
      </c>
      <c r="C3" s="2">
        <v>5887270</v>
      </c>
      <c r="D3" s="2">
        <v>189438390</v>
      </c>
      <c r="E3" s="27">
        <v>64132700</v>
      </c>
      <c r="F3" s="27">
        <v>230757820</v>
      </c>
      <c r="G3" s="27">
        <v>0</v>
      </c>
      <c r="H3" s="28">
        <f t="shared" ref="H3:H41" si="0">(MAX(B3-C3,0))/(D3*(1+(1+0.0707130527)^A3))</f>
        <v>1.6305603721885224E-2</v>
      </c>
      <c r="I3" s="29">
        <f t="shared" ref="I3:I41" si="1">(IF(E3&gt;G3,0,G3-E3))/(F3*(1+(1+0)^A3))</f>
        <v>0</v>
      </c>
    </row>
    <row r="4" spans="1:9" x14ac:dyDescent="0.35">
      <c r="A4" s="33">
        <v>2</v>
      </c>
      <c r="B4" s="2">
        <v>11619866.900000002</v>
      </c>
      <c r="C4" s="2">
        <v>8250890</v>
      </c>
      <c r="D4" s="2">
        <v>190493430</v>
      </c>
      <c r="E4" s="27">
        <v>93198100</v>
      </c>
      <c r="F4" s="27">
        <v>231251380</v>
      </c>
      <c r="G4" s="27">
        <v>0</v>
      </c>
      <c r="H4" s="28">
        <f t="shared" si="0"/>
        <v>8.2395220783806049E-3</v>
      </c>
      <c r="I4" s="29">
        <f t="shared" si="1"/>
        <v>0</v>
      </c>
    </row>
    <row r="5" spans="1:9" x14ac:dyDescent="0.35">
      <c r="A5" s="33">
        <v>3</v>
      </c>
      <c r="B5" s="2">
        <v>10429634.500000002</v>
      </c>
      <c r="C5" s="2">
        <v>11975700</v>
      </c>
      <c r="D5" s="2">
        <v>194296240</v>
      </c>
      <c r="E5" s="27">
        <v>120067000</v>
      </c>
      <c r="F5" s="27">
        <v>231526450</v>
      </c>
      <c r="G5" s="27">
        <v>0</v>
      </c>
      <c r="H5" s="28">
        <f t="shared" si="0"/>
        <v>0</v>
      </c>
      <c r="I5" s="29">
        <f t="shared" si="1"/>
        <v>0</v>
      </c>
    </row>
    <row r="6" spans="1:9" x14ac:dyDescent="0.35">
      <c r="A6" s="33">
        <v>4</v>
      </c>
      <c r="B6" s="2">
        <v>9275537.3000000007</v>
      </c>
      <c r="C6" s="2">
        <v>17021400</v>
      </c>
      <c r="D6" s="2">
        <v>198000380</v>
      </c>
      <c r="E6" s="27">
        <v>144808000</v>
      </c>
      <c r="F6" s="27">
        <v>231810450</v>
      </c>
      <c r="G6" s="27">
        <v>0</v>
      </c>
      <c r="H6" s="28">
        <f t="shared" si="0"/>
        <v>0</v>
      </c>
      <c r="I6" s="29">
        <f t="shared" si="1"/>
        <v>0</v>
      </c>
    </row>
    <row r="7" spans="1:9" x14ac:dyDescent="0.35">
      <c r="A7" s="33">
        <v>5</v>
      </c>
      <c r="B7" s="2">
        <v>21157603</v>
      </c>
      <c r="C7" s="2">
        <v>10347900</v>
      </c>
      <c r="D7" s="2">
        <v>187217990</v>
      </c>
      <c r="E7" s="27">
        <v>192383000</v>
      </c>
      <c r="F7" s="27">
        <v>256996850</v>
      </c>
      <c r="G7" s="27">
        <v>0</v>
      </c>
      <c r="H7" s="28">
        <f t="shared" si="0"/>
        <v>2.3985477146941572E-2</v>
      </c>
      <c r="I7" s="29">
        <f t="shared" si="1"/>
        <v>0</v>
      </c>
    </row>
    <row r="8" spans="1:9" x14ac:dyDescent="0.35">
      <c r="A8" s="33">
        <v>6</v>
      </c>
      <c r="B8" s="2">
        <v>5311007</v>
      </c>
      <c r="C8" s="2">
        <v>19676400</v>
      </c>
      <c r="D8" s="2">
        <v>207015170</v>
      </c>
      <c r="E8" s="27">
        <v>209686000</v>
      </c>
      <c r="F8" s="27">
        <v>228974780</v>
      </c>
      <c r="G8" s="27">
        <v>0</v>
      </c>
      <c r="H8" s="28">
        <f t="shared" si="0"/>
        <v>0</v>
      </c>
      <c r="I8" s="29">
        <f t="shared" si="1"/>
        <v>0</v>
      </c>
    </row>
    <row r="9" spans="1:9" x14ac:dyDescent="0.35">
      <c r="A9" s="33">
        <v>7</v>
      </c>
      <c r="B9" s="2">
        <v>408539</v>
      </c>
      <c r="C9" s="2">
        <v>34061300</v>
      </c>
      <c r="D9" s="2">
        <v>214678720</v>
      </c>
      <c r="E9" s="27">
        <v>217675000</v>
      </c>
      <c r="F9" s="27">
        <v>221886610</v>
      </c>
      <c r="G9" s="27">
        <v>0</v>
      </c>
      <c r="H9" s="28">
        <f t="shared" si="0"/>
        <v>0</v>
      </c>
      <c r="I9" s="29">
        <f t="shared" si="1"/>
        <v>0</v>
      </c>
    </row>
    <row r="10" spans="1:9" x14ac:dyDescent="0.35">
      <c r="A10" s="33">
        <v>8</v>
      </c>
      <c r="B10" s="2">
        <v>2451234</v>
      </c>
      <c r="C10" s="2">
        <v>46552900</v>
      </c>
      <c r="D10" s="2">
        <v>214589090</v>
      </c>
      <c r="E10" s="27">
        <v>229649000</v>
      </c>
      <c r="F10" s="27">
        <v>228029250</v>
      </c>
      <c r="G10" s="27">
        <v>0</v>
      </c>
      <c r="H10" s="28">
        <f t="shared" si="0"/>
        <v>0</v>
      </c>
      <c r="I10" s="29">
        <f t="shared" si="1"/>
        <v>0</v>
      </c>
    </row>
    <row r="11" spans="1:9" x14ac:dyDescent="0.35">
      <c r="A11" s="33">
        <v>9</v>
      </c>
      <c r="B11" s="2">
        <v>0</v>
      </c>
      <c r="C11" s="2">
        <v>61640100</v>
      </c>
      <c r="D11" s="2">
        <v>219403270</v>
      </c>
      <c r="E11" s="27">
        <v>237000000</v>
      </c>
      <c r="F11" s="27">
        <v>225494710</v>
      </c>
      <c r="G11" s="27">
        <v>0</v>
      </c>
      <c r="H11" s="28">
        <f t="shared" si="0"/>
        <v>0</v>
      </c>
      <c r="I11" s="29">
        <f t="shared" si="1"/>
        <v>0</v>
      </c>
    </row>
    <row r="12" spans="1:9" x14ac:dyDescent="0.35">
      <c r="A12" s="33">
        <v>10</v>
      </c>
      <c r="B12" s="2">
        <v>4493929</v>
      </c>
      <c r="C12" s="2">
        <v>72373300</v>
      </c>
      <c r="D12" s="2">
        <v>216464390</v>
      </c>
      <c r="E12" s="27">
        <v>253024000</v>
      </c>
      <c r="F12" s="27">
        <v>236191100</v>
      </c>
      <c r="G12" s="27">
        <v>0</v>
      </c>
      <c r="H12" s="28">
        <f t="shared" si="0"/>
        <v>0</v>
      </c>
      <c r="I12" s="29">
        <f t="shared" si="1"/>
        <v>0</v>
      </c>
    </row>
    <row r="13" spans="1:9" x14ac:dyDescent="0.35">
      <c r="A13" s="33">
        <v>11</v>
      </c>
      <c r="B13" s="2">
        <v>5311007</v>
      </c>
      <c r="C13" s="2">
        <v>82424900</v>
      </c>
      <c r="D13" s="2">
        <v>217529500</v>
      </c>
      <c r="E13" s="27">
        <v>270679000</v>
      </c>
      <c r="F13" s="27">
        <v>239779500</v>
      </c>
      <c r="G13" s="27">
        <v>0</v>
      </c>
      <c r="H13" s="28">
        <f t="shared" si="0"/>
        <v>0</v>
      </c>
      <c r="I13" s="29">
        <f t="shared" si="1"/>
        <v>0</v>
      </c>
    </row>
    <row r="14" spans="1:9" x14ac:dyDescent="0.35">
      <c r="A14" s="33">
        <v>12</v>
      </c>
      <c r="B14" s="2">
        <v>6536624</v>
      </c>
      <c r="C14" s="2">
        <v>91379600</v>
      </c>
      <c r="D14" s="2">
        <v>218045210</v>
      </c>
      <c r="E14" s="27">
        <v>290745000</v>
      </c>
      <c r="F14" s="27">
        <v>244051110</v>
      </c>
      <c r="G14" s="27">
        <v>0</v>
      </c>
      <c r="H14" s="28">
        <f t="shared" si="0"/>
        <v>0</v>
      </c>
      <c r="I14" s="29">
        <f t="shared" si="1"/>
        <v>0</v>
      </c>
    </row>
    <row r="15" spans="1:9" x14ac:dyDescent="0.35">
      <c r="A15" s="33">
        <v>13</v>
      </c>
      <c r="B15" s="2">
        <v>6945163</v>
      </c>
      <c r="C15" s="2">
        <v>100052000</v>
      </c>
      <c r="D15" s="2">
        <v>219434110</v>
      </c>
      <c r="E15" s="27">
        <v>311654000</v>
      </c>
      <c r="F15" s="27">
        <v>246725280</v>
      </c>
      <c r="G15" s="27">
        <v>0</v>
      </c>
      <c r="H15" s="28">
        <f t="shared" si="0"/>
        <v>0</v>
      </c>
      <c r="I15" s="29">
        <f t="shared" si="1"/>
        <v>0</v>
      </c>
    </row>
    <row r="16" spans="1:9" x14ac:dyDescent="0.35">
      <c r="A16" s="33">
        <v>14</v>
      </c>
      <c r="B16" s="2">
        <v>6128085</v>
      </c>
      <c r="C16" s="2">
        <v>109664000</v>
      </c>
      <c r="D16" s="2">
        <v>222113860</v>
      </c>
      <c r="E16" s="27">
        <v>331058000</v>
      </c>
      <c r="F16" s="27">
        <v>246985070</v>
      </c>
      <c r="G16" s="27">
        <v>0</v>
      </c>
      <c r="H16" s="28">
        <f t="shared" si="0"/>
        <v>0</v>
      </c>
      <c r="I16" s="29">
        <f t="shared" si="1"/>
        <v>0</v>
      </c>
    </row>
    <row r="17" spans="1:9" x14ac:dyDescent="0.35">
      <c r="A17" s="33">
        <v>15</v>
      </c>
      <c r="B17" s="2">
        <v>11030553</v>
      </c>
      <c r="C17" s="2">
        <v>114491000</v>
      </c>
      <c r="D17" s="2">
        <v>218396350</v>
      </c>
      <c r="E17" s="27">
        <v>359907000</v>
      </c>
      <c r="F17" s="27">
        <v>258128160</v>
      </c>
      <c r="G17" s="27">
        <v>0</v>
      </c>
      <c r="H17" s="28">
        <f t="shared" si="0"/>
        <v>0</v>
      </c>
      <c r="I17" s="29">
        <f t="shared" si="1"/>
        <v>0</v>
      </c>
    </row>
    <row r="18" spans="1:9" x14ac:dyDescent="0.35">
      <c r="A18" s="33">
        <v>16</v>
      </c>
      <c r="B18" s="2">
        <v>15115943</v>
      </c>
      <c r="C18" s="2">
        <v>115345000</v>
      </c>
      <c r="D18" s="2">
        <v>215511820</v>
      </c>
      <c r="E18" s="27">
        <v>396636000</v>
      </c>
      <c r="F18" s="27">
        <v>267633370</v>
      </c>
      <c r="G18" s="27">
        <v>0</v>
      </c>
      <c r="H18" s="28">
        <f t="shared" si="0"/>
        <v>0</v>
      </c>
      <c r="I18" s="29">
        <f t="shared" si="1"/>
        <v>0</v>
      </c>
    </row>
    <row r="19" spans="1:9" x14ac:dyDescent="0.35">
      <c r="A19" s="33">
        <v>17</v>
      </c>
      <c r="B19" s="2">
        <v>7353702</v>
      </c>
      <c r="C19" s="2">
        <v>124069000</v>
      </c>
      <c r="D19" s="2">
        <v>225664600</v>
      </c>
      <c r="E19" s="27">
        <v>418551000</v>
      </c>
      <c r="F19" s="27">
        <v>254374400</v>
      </c>
      <c r="G19" s="27">
        <v>0</v>
      </c>
      <c r="H19" s="28">
        <f t="shared" si="0"/>
        <v>0</v>
      </c>
      <c r="I19" s="29">
        <f t="shared" si="1"/>
        <v>0</v>
      </c>
    </row>
    <row r="20" spans="1:9" x14ac:dyDescent="0.35">
      <c r="A20" s="33">
        <v>18</v>
      </c>
      <c r="B20" s="2">
        <v>10622014</v>
      </c>
      <c r="C20" s="2">
        <v>129625000</v>
      </c>
      <c r="D20" s="2">
        <v>223511910</v>
      </c>
      <c r="E20" s="27">
        <v>446775000</v>
      </c>
      <c r="F20" s="27">
        <v>262138390</v>
      </c>
      <c r="G20" s="27">
        <v>0</v>
      </c>
      <c r="H20" s="28">
        <f t="shared" si="0"/>
        <v>0</v>
      </c>
      <c r="I20" s="29">
        <f t="shared" si="1"/>
        <v>0</v>
      </c>
    </row>
    <row r="21" spans="1:9" x14ac:dyDescent="0.35">
      <c r="A21" s="33">
        <v>19</v>
      </c>
      <c r="B21" s="2">
        <v>17567177</v>
      </c>
      <c r="C21" s="2">
        <v>128333000</v>
      </c>
      <c r="D21" s="2">
        <v>217241560</v>
      </c>
      <c r="E21" s="27">
        <v>488346000</v>
      </c>
      <c r="F21" s="27">
        <v>276892780</v>
      </c>
      <c r="G21" s="27">
        <v>0</v>
      </c>
      <c r="H21" s="28">
        <f t="shared" si="0"/>
        <v>0</v>
      </c>
      <c r="I21" s="29">
        <f t="shared" si="1"/>
        <v>0</v>
      </c>
    </row>
    <row r="22" spans="1:9" x14ac:dyDescent="0.35">
      <c r="A22" s="33">
        <v>20</v>
      </c>
      <c r="B22" s="2">
        <v>12664709</v>
      </c>
      <c r="C22" s="2">
        <v>132036000</v>
      </c>
      <c r="D22" s="2">
        <v>224006300</v>
      </c>
      <c r="E22" s="27">
        <v>520574000</v>
      </c>
      <c r="F22" s="27">
        <v>268880790</v>
      </c>
      <c r="G22" s="27">
        <v>0</v>
      </c>
      <c r="H22" s="28">
        <f t="shared" si="0"/>
        <v>0</v>
      </c>
      <c r="I22" s="29">
        <f t="shared" si="1"/>
        <v>0</v>
      </c>
    </row>
    <row r="23" spans="1:9" x14ac:dyDescent="0.35">
      <c r="A23" s="33">
        <v>21</v>
      </c>
      <c r="B23" s="2">
        <v>7762241</v>
      </c>
      <c r="C23" s="2">
        <v>140728000</v>
      </c>
      <c r="D23" s="2">
        <v>230693170</v>
      </c>
      <c r="E23" s="27">
        <v>543455000</v>
      </c>
      <c r="F23" s="27">
        <v>260788710</v>
      </c>
      <c r="G23" s="27">
        <v>0</v>
      </c>
      <c r="H23" s="28">
        <f t="shared" si="0"/>
        <v>0</v>
      </c>
      <c r="I23" s="29">
        <f t="shared" si="1"/>
        <v>0</v>
      </c>
    </row>
    <row r="24" spans="1:9" x14ac:dyDescent="0.35">
      <c r="A24" s="33">
        <v>22</v>
      </c>
      <c r="B24" s="2">
        <v>21244028</v>
      </c>
      <c r="C24" s="2">
        <v>136020000</v>
      </c>
      <c r="D24" s="2">
        <v>216958620</v>
      </c>
      <c r="E24" s="27">
        <v>592195000</v>
      </c>
      <c r="F24" s="27">
        <v>287823920</v>
      </c>
      <c r="G24" s="27">
        <v>0</v>
      </c>
      <c r="H24" s="28">
        <f t="shared" si="0"/>
        <v>0</v>
      </c>
      <c r="I24" s="29">
        <f t="shared" si="1"/>
        <v>0</v>
      </c>
    </row>
    <row r="25" spans="1:9" x14ac:dyDescent="0.35">
      <c r="A25" s="33">
        <v>23</v>
      </c>
      <c r="B25" s="2">
        <v>14298865</v>
      </c>
      <c r="C25" s="2">
        <v>138333000</v>
      </c>
      <c r="D25" s="2">
        <v>225751560</v>
      </c>
      <c r="E25" s="27">
        <v>627671000</v>
      </c>
      <c r="F25" s="27">
        <v>275661440</v>
      </c>
      <c r="G25" s="27">
        <v>0</v>
      </c>
      <c r="H25" s="28">
        <f t="shared" si="0"/>
        <v>0</v>
      </c>
      <c r="I25" s="29">
        <f t="shared" si="1"/>
        <v>0</v>
      </c>
    </row>
    <row r="26" spans="1:9" x14ac:dyDescent="0.35">
      <c r="A26" s="33">
        <v>24</v>
      </c>
      <c r="B26" s="2">
        <v>9396397</v>
      </c>
      <c r="C26" s="2">
        <v>145618000</v>
      </c>
      <c r="D26" s="2">
        <v>232191130</v>
      </c>
      <c r="E26" s="27">
        <v>653793000</v>
      </c>
      <c r="F26" s="27">
        <v>267315720</v>
      </c>
      <c r="G26" s="27">
        <v>0</v>
      </c>
      <c r="H26" s="28">
        <f t="shared" si="0"/>
        <v>0</v>
      </c>
      <c r="I26" s="29">
        <f t="shared" si="1"/>
        <v>0</v>
      </c>
    </row>
    <row r="27" spans="1:9" x14ac:dyDescent="0.35">
      <c r="A27" s="33">
        <v>25</v>
      </c>
      <c r="B27" s="2">
        <v>11439092</v>
      </c>
      <c r="C27" s="2">
        <v>150926000</v>
      </c>
      <c r="D27" s="2">
        <v>230886590</v>
      </c>
      <c r="E27" s="27">
        <v>683858000</v>
      </c>
      <c r="F27" s="27">
        <v>272209650</v>
      </c>
      <c r="G27" s="27">
        <v>0</v>
      </c>
      <c r="H27" s="28">
        <f t="shared" si="0"/>
        <v>0</v>
      </c>
      <c r="I27" s="29">
        <f t="shared" si="1"/>
        <v>0</v>
      </c>
    </row>
    <row r="28" spans="1:9" x14ac:dyDescent="0.35">
      <c r="A28" s="33">
        <v>26</v>
      </c>
      <c r="B28" s="2">
        <v>4902468</v>
      </c>
      <c r="C28" s="2">
        <v>162832000</v>
      </c>
      <c r="D28" s="2">
        <v>239001030</v>
      </c>
      <c r="E28" s="27">
        <v>701435000</v>
      </c>
      <c r="F28" s="27">
        <v>260596730</v>
      </c>
      <c r="G28" s="27">
        <v>0</v>
      </c>
      <c r="H28" s="28">
        <f t="shared" si="0"/>
        <v>0</v>
      </c>
      <c r="I28" s="29">
        <f t="shared" si="1"/>
        <v>0</v>
      </c>
    </row>
    <row r="29" spans="1:9" x14ac:dyDescent="0.35">
      <c r="A29" s="33">
        <v>27</v>
      </c>
      <c r="B29" s="2">
        <v>6128085</v>
      </c>
      <c r="C29" s="2">
        <v>173567000</v>
      </c>
      <c r="D29" s="2">
        <v>238450670</v>
      </c>
      <c r="E29" s="27">
        <v>721386000</v>
      </c>
      <c r="F29" s="27">
        <v>263771720</v>
      </c>
      <c r="G29" s="27">
        <v>0</v>
      </c>
      <c r="H29" s="28">
        <f t="shared" si="0"/>
        <v>0</v>
      </c>
      <c r="I29" s="29">
        <f t="shared" si="1"/>
        <v>0</v>
      </c>
    </row>
    <row r="30" spans="1:9" x14ac:dyDescent="0.35">
      <c r="A30" s="33">
        <v>28</v>
      </c>
      <c r="B30" s="2">
        <v>11847631</v>
      </c>
      <c r="C30" s="2">
        <v>178633000</v>
      </c>
      <c r="D30" s="2">
        <v>232852690</v>
      </c>
      <c r="E30" s="27">
        <v>752315000</v>
      </c>
      <c r="F30" s="27">
        <v>275476180</v>
      </c>
      <c r="G30" s="27">
        <v>0</v>
      </c>
      <c r="H30" s="28">
        <f t="shared" si="0"/>
        <v>0</v>
      </c>
      <c r="I30" s="29">
        <f t="shared" si="1"/>
        <v>0</v>
      </c>
    </row>
    <row r="31" spans="1:9" x14ac:dyDescent="0.35">
      <c r="A31" s="33">
        <v>29</v>
      </c>
      <c r="B31" s="2">
        <v>15524482</v>
      </c>
      <c r="C31" s="2">
        <v>180067000</v>
      </c>
      <c r="D31" s="2">
        <v>229440090</v>
      </c>
      <c r="E31" s="27">
        <v>790308000</v>
      </c>
      <c r="F31" s="27">
        <v>283191490</v>
      </c>
      <c r="G31" s="27">
        <v>0</v>
      </c>
      <c r="H31" s="28">
        <f t="shared" si="0"/>
        <v>0</v>
      </c>
      <c r="I31" s="29">
        <f t="shared" si="1"/>
        <v>0</v>
      </c>
    </row>
    <row r="32" spans="1:9" x14ac:dyDescent="0.35">
      <c r="A32" s="33">
        <v>30</v>
      </c>
      <c r="B32" s="2">
        <v>9381898</v>
      </c>
      <c r="C32" s="2">
        <v>187683000</v>
      </c>
      <c r="D32" s="2">
        <v>236808870</v>
      </c>
      <c r="E32" s="27">
        <v>816556000</v>
      </c>
      <c r="F32" s="27">
        <v>272015300</v>
      </c>
      <c r="G32" s="27">
        <v>0</v>
      </c>
      <c r="H32" s="28">
        <f t="shared" si="0"/>
        <v>0</v>
      </c>
      <c r="I32" s="29">
        <f t="shared" si="1"/>
        <v>0</v>
      </c>
    </row>
    <row r="33" spans="1:9" x14ac:dyDescent="0.35">
      <c r="A33" s="33">
        <v>31</v>
      </c>
      <c r="B33" s="2">
        <v>12621939</v>
      </c>
      <c r="C33" s="2">
        <v>192094000</v>
      </c>
      <c r="D33" s="2">
        <v>233729520</v>
      </c>
      <c r="E33" s="27">
        <v>849025000</v>
      </c>
      <c r="F33" s="27">
        <v>278739880</v>
      </c>
      <c r="G33" s="27">
        <v>0</v>
      </c>
      <c r="H33" s="28">
        <f t="shared" si="0"/>
        <v>0</v>
      </c>
      <c r="I33" s="29">
        <f t="shared" si="1"/>
        <v>0</v>
      </c>
    </row>
    <row r="34" spans="1:9" x14ac:dyDescent="0.35">
      <c r="A34" s="33">
        <v>32</v>
      </c>
      <c r="B34" s="2">
        <v>19134650</v>
      </c>
      <c r="C34" s="2">
        <v>190022000</v>
      </c>
      <c r="D34" s="2">
        <v>226954780</v>
      </c>
      <c r="E34" s="27">
        <v>893982000</v>
      </c>
      <c r="F34" s="27">
        <v>291655740</v>
      </c>
      <c r="G34" s="27">
        <v>0</v>
      </c>
      <c r="H34" s="28">
        <f t="shared" si="0"/>
        <v>0</v>
      </c>
      <c r="I34" s="29">
        <f t="shared" si="1"/>
        <v>0</v>
      </c>
    </row>
    <row r="35" spans="1:9" x14ac:dyDescent="0.35">
      <c r="A35" s="33">
        <v>33</v>
      </c>
      <c r="B35" s="2">
        <v>10622014</v>
      </c>
      <c r="C35" s="2">
        <v>196487000</v>
      </c>
      <c r="D35" s="2">
        <v>236731430</v>
      </c>
      <c r="E35" s="27">
        <v>922648000</v>
      </c>
      <c r="F35" s="27">
        <v>275719770</v>
      </c>
      <c r="G35" s="27">
        <v>0</v>
      </c>
      <c r="H35" s="28">
        <f t="shared" si="0"/>
        <v>0</v>
      </c>
      <c r="I35" s="29">
        <f t="shared" si="1"/>
        <v>0</v>
      </c>
    </row>
    <row r="36" spans="1:9" x14ac:dyDescent="0.35">
      <c r="A36" s="33">
        <v>34</v>
      </c>
      <c r="B36" s="2">
        <v>6536624</v>
      </c>
      <c r="C36" s="2">
        <v>207057000</v>
      </c>
      <c r="D36" s="2">
        <v>241532870</v>
      </c>
      <c r="E36" s="27">
        <v>943500000</v>
      </c>
      <c r="F36" s="27">
        <v>268183970</v>
      </c>
      <c r="G36" s="27">
        <v>0</v>
      </c>
      <c r="H36" s="28">
        <f t="shared" si="0"/>
        <v>0</v>
      </c>
      <c r="I36" s="29">
        <f t="shared" si="1"/>
        <v>0</v>
      </c>
    </row>
    <row r="37" spans="1:9" x14ac:dyDescent="0.35">
      <c r="A37" s="33">
        <v>35</v>
      </c>
      <c r="B37" s="2">
        <v>14298865</v>
      </c>
      <c r="C37" s="2">
        <v>209879000</v>
      </c>
      <c r="D37" s="2">
        <v>233147890</v>
      </c>
      <c r="E37" s="27">
        <v>979224000</v>
      </c>
      <c r="F37" s="27">
        <v>283259000</v>
      </c>
      <c r="G37" s="27">
        <v>0</v>
      </c>
      <c r="H37" s="28">
        <f t="shared" si="0"/>
        <v>0</v>
      </c>
      <c r="I37" s="29">
        <f t="shared" si="1"/>
        <v>0</v>
      </c>
    </row>
    <row r="38" spans="1:9" x14ac:dyDescent="0.35">
      <c r="A38" s="33">
        <v>36</v>
      </c>
      <c r="B38" s="2">
        <v>21244028</v>
      </c>
      <c r="C38" s="2">
        <v>205739000</v>
      </c>
      <c r="D38" s="2">
        <v>225221450</v>
      </c>
      <c r="E38" s="27">
        <v>1028240000</v>
      </c>
      <c r="F38" s="27">
        <v>296183290</v>
      </c>
      <c r="G38" s="27">
        <v>0</v>
      </c>
      <c r="H38" s="28">
        <f t="shared" si="0"/>
        <v>0</v>
      </c>
      <c r="I38" s="29">
        <f t="shared" si="1"/>
        <v>0</v>
      </c>
    </row>
    <row r="39" spans="1:9" x14ac:dyDescent="0.35">
      <c r="A39" s="33">
        <v>37</v>
      </c>
      <c r="B39" s="2">
        <v>13481787</v>
      </c>
      <c r="C39" s="2">
        <v>209390000</v>
      </c>
      <c r="D39" s="2">
        <v>234235560</v>
      </c>
      <c r="E39" s="27">
        <v>1062400000</v>
      </c>
      <c r="F39" s="27">
        <v>281882030</v>
      </c>
      <c r="G39" s="27">
        <v>0</v>
      </c>
      <c r="H39" s="28">
        <f t="shared" si="0"/>
        <v>0</v>
      </c>
      <c r="I39" s="29">
        <f t="shared" si="1"/>
        <v>0</v>
      </c>
    </row>
    <row r="40" spans="1:9" x14ac:dyDescent="0.35">
      <c r="A40" s="33">
        <v>38</v>
      </c>
      <c r="B40" s="2">
        <v>11847631</v>
      </c>
      <c r="C40" s="2">
        <v>214674000</v>
      </c>
      <c r="D40" s="2">
        <v>236025570</v>
      </c>
      <c r="E40" s="27">
        <v>1093440000</v>
      </c>
      <c r="F40" s="27">
        <v>278733310</v>
      </c>
      <c r="G40" s="27">
        <v>0</v>
      </c>
      <c r="H40" s="28">
        <f t="shared" si="0"/>
        <v>0</v>
      </c>
      <c r="I40" s="29">
        <f t="shared" si="1"/>
        <v>0</v>
      </c>
    </row>
    <row r="41" spans="1:9" ht="15" thickBot="1" x14ac:dyDescent="0.4">
      <c r="A41" s="33">
        <v>39</v>
      </c>
      <c r="B41" s="2">
        <v>408539</v>
      </c>
      <c r="C41" s="2">
        <v>231391000</v>
      </c>
      <c r="D41" s="2">
        <v>248591390</v>
      </c>
      <c r="E41" s="27">
        <v>1102560000</v>
      </c>
      <c r="F41" s="27">
        <v>256731310</v>
      </c>
      <c r="G41" s="27">
        <v>0</v>
      </c>
      <c r="H41" s="28">
        <f t="shared" si="0"/>
        <v>0</v>
      </c>
      <c r="I41" s="30">
        <f t="shared" si="1"/>
        <v>0</v>
      </c>
    </row>
    <row r="42" spans="1:9" ht="15" thickBot="1" x14ac:dyDescent="0.4">
      <c r="A42" s="34" t="s">
        <v>54</v>
      </c>
      <c r="B42" s="35"/>
      <c r="C42" s="35"/>
      <c r="D42" s="35"/>
      <c r="E42" s="35"/>
      <c r="F42" s="35"/>
      <c r="G42" s="35"/>
      <c r="H42" s="36">
        <f>MAX(H2:H41)</f>
        <v>3.1938846685148931E-2</v>
      </c>
      <c r="I42" s="37">
        <f>MAX(I2:I41)</f>
        <v>0</v>
      </c>
    </row>
    <row r="43" spans="1:9" x14ac:dyDescent="0.35">
      <c r="A43" s="31"/>
      <c r="B43" s="31"/>
      <c r="C43" s="31"/>
      <c r="D43" s="31"/>
      <c r="E43" s="31"/>
      <c r="F43" s="31"/>
      <c r="G43" s="31"/>
    </row>
    <row r="44" spans="1:9" x14ac:dyDescent="0.35">
      <c r="A44" s="31"/>
      <c r="B44" s="31"/>
      <c r="C44" s="31"/>
      <c r="D44" s="31"/>
      <c r="E44" s="31"/>
      <c r="F44" s="31"/>
      <c r="G44" s="31"/>
    </row>
  </sheetData>
  <mergeCells count="1">
    <mergeCell ref="A42:G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FA14A-9BAF-44A1-85E7-46438AD4C71C}">
  <dimension ref="A1:K42"/>
  <sheetViews>
    <sheetView zoomScale="85" zoomScaleNormal="85" workbookViewId="0">
      <selection activeCell="G8" sqref="G8"/>
    </sheetView>
  </sheetViews>
  <sheetFormatPr defaultRowHeight="14.5" x14ac:dyDescent="0.35"/>
  <cols>
    <col min="1" max="1" width="10.6328125" style="15" bestFit="1" customWidth="1"/>
    <col min="2" max="2" width="16.453125" style="15" bestFit="1" customWidth="1"/>
    <col min="3" max="3" width="16.1796875" style="15" bestFit="1" customWidth="1"/>
    <col min="4" max="4" width="15.6328125" style="15" bestFit="1" customWidth="1"/>
    <col min="5" max="5" width="18.81640625" style="15" bestFit="1" customWidth="1"/>
    <col min="6" max="6" width="15.6328125" style="15" bestFit="1" customWidth="1"/>
    <col min="7" max="7" width="16.453125" style="15" bestFit="1" customWidth="1"/>
    <col min="8" max="8" width="16.1796875" style="15" bestFit="1" customWidth="1"/>
    <col min="9" max="9" width="18.81640625" style="15" bestFit="1" customWidth="1"/>
    <col min="10" max="10" width="12.453125" style="15" bestFit="1" customWidth="1"/>
    <col min="11" max="11" width="16.26953125" style="15" bestFit="1" customWidth="1"/>
  </cols>
  <sheetData>
    <row r="1" spans="1:11" x14ac:dyDescent="0.35">
      <c r="A1" s="11" t="s">
        <v>38</v>
      </c>
      <c r="B1" s="1" t="s">
        <v>43</v>
      </c>
      <c r="C1" s="1" t="s">
        <v>41</v>
      </c>
      <c r="D1" s="1" t="s">
        <v>44</v>
      </c>
      <c r="E1" s="1" t="s">
        <v>40</v>
      </c>
      <c r="F1" s="8" t="s">
        <v>45</v>
      </c>
      <c r="G1" s="8" t="s">
        <v>46</v>
      </c>
      <c r="H1" s="8" t="s">
        <v>47</v>
      </c>
      <c r="I1" s="8" t="s">
        <v>48</v>
      </c>
      <c r="J1" s="1" t="s">
        <v>50</v>
      </c>
      <c r="K1" s="8" t="s">
        <v>49</v>
      </c>
    </row>
    <row r="2" spans="1:11" x14ac:dyDescent="0.35">
      <c r="A2" s="11">
        <v>0</v>
      </c>
      <c r="B2" s="1">
        <v>0</v>
      </c>
      <c r="C2" s="1">
        <v>230118160</v>
      </c>
      <c r="D2" s="1">
        <v>0</v>
      </c>
      <c r="E2" s="1">
        <v>33034672</v>
      </c>
      <c r="F2" s="8">
        <v>0</v>
      </c>
      <c r="G2" s="8">
        <v>0</v>
      </c>
      <c r="H2" s="8">
        <v>182968250</v>
      </c>
      <c r="I2" s="8">
        <v>-151715.60000000079</v>
      </c>
      <c r="J2" s="1">
        <f>(B2+D2+E2)/(C2*(1+(1+0)^A2))</f>
        <v>7.1777629370928395E-2</v>
      </c>
      <c r="K2" s="8">
        <f>(F2+G2+I2)/(H2*(1+(1+0.0707130527)^A2))</f>
        <v>-4.1459542844182198E-4</v>
      </c>
    </row>
    <row r="3" spans="1:11" x14ac:dyDescent="0.35">
      <c r="A3" s="11">
        <v>1</v>
      </c>
      <c r="B3" s="1">
        <v>0</v>
      </c>
      <c r="C3" s="1">
        <v>230757820</v>
      </c>
      <c r="D3" s="1">
        <v>0</v>
      </c>
      <c r="E3" s="1">
        <v>31098022</v>
      </c>
      <c r="F3" s="8">
        <v>0</v>
      </c>
      <c r="G3" s="8">
        <v>0</v>
      </c>
      <c r="H3" s="8">
        <v>189438390</v>
      </c>
      <c r="I3" s="8">
        <v>3792587.4000000004</v>
      </c>
      <c r="J3" s="1">
        <f t="shared" ref="J3:J41" si="0">(B3+D3+E3)/(C3*(1+(1+0)^A3))</f>
        <v>6.7382379500725051E-2</v>
      </c>
      <c r="K3" s="8">
        <f t="shared" ref="K3:K41" si="1">(F3+G3+I3)/(H3*(1+(1+0.0707130527)^A3))</f>
        <v>9.6682457908463353E-3</v>
      </c>
    </row>
    <row r="4" spans="1:11" x14ac:dyDescent="0.35">
      <c r="A4" s="11">
        <v>2</v>
      </c>
      <c r="B4" s="1">
        <v>0</v>
      </c>
      <c r="C4" s="1">
        <v>231251380</v>
      </c>
      <c r="D4" s="1">
        <v>0</v>
      </c>
      <c r="E4" s="1">
        <v>29065424</v>
      </c>
      <c r="F4" s="8">
        <v>0</v>
      </c>
      <c r="G4" s="8">
        <v>0</v>
      </c>
      <c r="H4" s="8">
        <v>190493430</v>
      </c>
      <c r="I4" s="8">
        <v>2363621.0999999996</v>
      </c>
      <c r="J4" s="1">
        <f t="shared" si="0"/>
        <v>6.2843784975466957E-2</v>
      </c>
      <c r="K4" s="8">
        <f t="shared" si="1"/>
        <v>5.7807188403031905E-3</v>
      </c>
    </row>
    <row r="5" spans="1:11" x14ac:dyDescent="0.35">
      <c r="A5" s="11">
        <v>3</v>
      </c>
      <c r="B5" s="1">
        <v>0</v>
      </c>
      <c r="C5" s="1">
        <v>231526450</v>
      </c>
      <c r="D5" s="1">
        <v>0</v>
      </c>
      <c r="E5" s="1">
        <v>26869311</v>
      </c>
      <c r="F5" s="8">
        <v>0</v>
      </c>
      <c r="G5" s="8">
        <v>0</v>
      </c>
      <c r="H5" s="8">
        <v>194296240</v>
      </c>
      <c r="I5" s="8">
        <v>3724781.3000000003</v>
      </c>
      <c r="J5" s="1">
        <f t="shared" si="0"/>
        <v>5.8026439311793535E-2</v>
      </c>
      <c r="K5" s="8">
        <f t="shared" si="1"/>
        <v>8.6063675013348887E-3</v>
      </c>
    </row>
    <row r="6" spans="1:11" x14ac:dyDescent="0.35">
      <c r="A6" s="11">
        <v>4</v>
      </c>
      <c r="B6" s="1">
        <v>0</v>
      </c>
      <c r="C6" s="1">
        <v>231810450</v>
      </c>
      <c r="D6" s="1">
        <v>0</v>
      </c>
      <c r="E6" s="1">
        <v>24740435</v>
      </c>
      <c r="F6" s="8">
        <v>0</v>
      </c>
      <c r="G6" s="8">
        <v>0</v>
      </c>
      <c r="H6" s="8">
        <v>198000380</v>
      </c>
      <c r="I6" s="8">
        <v>5045774.1999999993</v>
      </c>
      <c r="J6" s="13">
        <f t="shared" si="0"/>
        <v>5.3363502378775421E-2</v>
      </c>
      <c r="K6" s="8">
        <f t="shared" si="1"/>
        <v>1.1011420217589898E-2</v>
      </c>
    </row>
    <row r="7" spans="1:11" x14ac:dyDescent="0.35">
      <c r="A7" s="11">
        <v>5</v>
      </c>
      <c r="B7" s="1">
        <v>0</v>
      </c>
      <c r="C7" s="1">
        <v>256996850</v>
      </c>
      <c r="D7" s="1">
        <v>0</v>
      </c>
      <c r="E7" s="1">
        <v>47574660</v>
      </c>
      <c r="F7" s="8">
        <v>0</v>
      </c>
      <c r="G7" s="8">
        <v>0</v>
      </c>
      <c r="H7" s="8">
        <v>187217990</v>
      </c>
      <c r="I7" s="19">
        <v>-6673567.9000000004</v>
      </c>
      <c r="J7" s="1">
        <f t="shared" si="0"/>
        <v>9.2558838756194875E-2</v>
      </c>
      <c r="K7" s="20">
        <f t="shared" si="1"/>
        <v>-1.48078731075232E-2</v>
      </c>
    </row>
    <row r="8" spans="1:11" ht="15" thickBot="1" x14ac:dyDescent="0.4">
      <c r="A8" s="11">
        <v>6</v>
      </c>
      <c r="B8" s="1">
        <v>7883220</v>
      </c>
      <c r="C8" s="1">
        <v>228974780</v>
      </c>
      <c r="D8" s="1">
        <v>0</v>
      </c>
      <c r="E8" s="1">
        <v>17303110</v>
      </c>
      <c r="F8" s="8">
        <v>0</v>
      </c>
      <c r="G8" s="8">
        <v>29016000</v>
      </c>
      <c r="H8" s="8">
        <v>207015170</v>
      </c>
      <c r="I8" s="8">
        <v>9328534</v>
      </c>
      <c r="J8" s="21">
        <f t="shared" si="0"/>
        <v>5.4998043889375063E-2</v>
      </c>
      <c r="K8" s="14">
        <f t="shared" si="1"/>
        <v>7.3891050774182884E-2</v>
      </c>
    </row>
    <row r="9" spans="1:11" ht="15" thickBot="1" x14ac:dyDescent="0.4">
      <c r="A9" s="11">
        <v>7</v>
      </c>
      <c r="B9" s="1">
        <v>7883220</v>
      </c>
      <c r="C9" s="1">
        <v>221886610</v>
      </c>
      <c r="D9" s="1">
        <v>0</v>
      </c>
      <c r="E9" s="1">
        <v>7989528</v>
      </c>
      <c r="F9" s="8">
        <v>0</v>
      </c>
      <c r="G9" s="8">
        <v>29016000</v>
      </c>
      <c r="H9" s="8">
        <v>214678720</v>
      </c>
      <c r="I9" s="8">
        <v>14384932</v>
      </c>
      <c r="J9" s="1">
        <f t="shared" si="0"/>
        <v>3.5767701349802047E-2</v>
      </c>
      <c r="K9" s="17">
        <f t="shared" si="1"/>
        <v>7.7361151003474987E-2</v>
      </c>
    </row>
    <row r="10" spans="1:11" x14ac:dyDescent="0.35">
      <c r="A10" s="11">
        <v>8</v>
      </c>
      <c r="B10" s="1">
        <v>7883220</v>
      </c>
      <c r="C10" s="1">
        <v>228029250</v>
      </c>
      <c r="D10" s="1">
        <v>0</v>
      </c>
      <c r="E10" s="1">
        <v>11974144</v>
      </c>
      <c r="F10" s="8">
        <v>0</v>
      </c>
      <c r="G10" s="8">
        <v>29016000</v>
      </c>
      <c r="H10" s="8">
        <v>214589090</v>
      </c>
      <c r="I10" s="8">
        <v>12491513</v>
      </c>
      <c r="J10" s="1">
        <f t="shared" si="0"/>
        <v>4.354126499122371E-2</v>
      </c>
      <c r="K10" s="16">
        <f t="shared" si="1"/>
        <v>7.0921088593088058E-2</v>
      </c>
    </row>
    <row r="11" spans="1:11" x14ac:dyDescent="0.35">
      <c r="A11" s="11">
        <v>9</v>
      </c>
      <c r="B11" s="1">
        <v>7883220</v>
      </c>
      <c r="C11" s="1">
        <v>225494710</v>
      </c>
      <c r="D11" s="1">
        <v>0</v>
      </c>
      <c r="E11" s="1">
        <v>7350259</v>
      </c>
      <c r="F11" s="8">
        <v>0</v>
      </c>
      <c r="G11" s="8">
        <v>29016000</v>
      </c>
      <c r="H11" s="8">
        <v>219403270</v>
      </c>
      <c r="I11" s="8">
        <v>15087269</v>
      </c>
      <c r="J11" s="1">
        <f t="shared" si="0"/>
        <v>3.3777907694597362E-2</v>
      </c>
      <c r="K11" s="8">
        <f t="shared" si="1"/>
        <v>7.0543455226738674E-2</v>
      </c>
    </row>
    <row r="12" spans="1:11" x14ac:dyDescent="0.35">
      <c r="A12" s="11">
        <v>10</v>
      </c>
      <c r="B12" s="1">
        <v>7883220</v>
      </c>
      <c r="C12" s="1">
        <v>236191100</v>
      </c>
      <c r="D12" s="1">
        <v>0</v>
      </c>
      <c r="E12" s="1">
        <v>16024581</v>
      </c>
      <c r="F12" s="8">
        <v>0</v>
      </c>
      <c r="G12" s="8">
        <v>29016000</v>
      </c>
      <c r="H12" s="8">
        <v>216464390</v>
      </c>
      <c r="I12" s="8">
        <v>10733211.5</v>
      </c>
      <c r="J12" s="1">
        <f t="shared" si="0"/>
        <v>5.0611138607678276E-2</v>
      </c>
      <c r="K12" s="8">
        <f t="shared" si="1"/>
        <v>6.1614380275275285E-2</v>
      </c>
    </row>
    <row r="13" spans="1:11" x14ac:dyDescent="0.35">
      <c r="A13" s="11">
        <v>11</v>
      </c>
      <c r="B13" s="1">
        <v>7883220</v>
      </c>
      <c r="C13" s="1">
        <v>239779500</v>
      </c>
      <c r="D13" s="1">
        <v>0</v>
      </c>
      <c r="E13" s="1">
        <v>17655302</v>
      </c>
      <c r="F13" s="8">
        <v>0</v>
      </c>
      <c r="G13" s="8">
        <v>29016000</v>
      </c>
      <c r="H13" s="8">
        <v>217529500</v>
      </c>
      <c r="I13" s="8">
        <v>10051552.9</v>
      </c>
      <c r="J13" s="1">
        <f t="shared" si="0"/>
        <v>5.3254181445870061E-2</v>
      </c>
      <c r="K13" s="8">
        <f t="shared" si="1"/>
        <v>5.7556861793047281E-2</v>
      </c>
    </row>
    <row r="14" spans="1:11" x14ac:dyDescent="0.35">
      <c r="A14" s="11">
        <v>12</v>
      </c>
      <c r="B14" s="1">
        <v>7883220</v>
      </c>
      <c r="C14" s="1">
        <v>244051110</v>
      </c>
      <c r="D14" s="1">
        <v>0</v>
      </c>
      <c r="E14" s="1">
        <v>20065171</v>
      </c>
      <c r="F14" s="8">
        <v>0</v>
      </c>
      <c r="G14" s="8">
        <v>29016000</v>
      </c>
      <c r="H14" s="8">
        <v>218045210</v>
      </c>
      <c r="I14" s="8">
        <v>8954662.7999999989</v>
      </c>
      <c r="J14" s="1">
        <f t="shared" si="0"/>
        <v>5.7259299086982234E-2</v>
      </c>
      <c r="K14" s="8">
        <f t="shared" si="1"/>
        <v>5.3249833868053931E-2</v>
      </c>
    </row>
    <row r="15" spans="1:11" x14ac:dyDescent="0.35">
      <c r="A15" s="11">
        <v>13</v>
      </c>
      <c r="B15" s="1">
        <v>7883220</v>
      </c>
      <c r="C15" s="1">
        <v>246725280</v>
      </c>
      <c r="D15" s="1">
        <v>0</v>
      </c>
      <c r="E15" s="1">
        <v>20909222</v>
      </c>
      <c r="F15" s="8">
        <v>0</v>
      </c>
      <c r="G15" s="8">
        <v>29016000</v>
      </c>
      <c r="H15" s="8">
        <v>219434110</v>
      </c>
      <c r="I15" s="8">
        <v>8672714</v>
      </c>
      <c r="J15" s="1">
        <f t="shared" si="0"/>
        <v>5.8349193078228549E-2</v>
      </c>
      <c r="K15" s="8">
        <f t="shared" si="1"/>
        <v>5.0062328701250644E-2</v>
      </c>
    </row>
    <row r="16" spans="1:11" x14ac:dyDescent="0.35">
      <c r="A16" s="11">
        <v>14</v>
      </c>
      <c r="B16" s="1">
        <v>7883220</v>
      </c>
      <c r="C16" s="1">
        <v>246985070</v>
      </c>
      <c r="D16" s="1">
        <v>0</v>
      </c>
      <c r="E16" s="1">
        <v>19403935</v>
      </c>
      <c r="F16" s="8">
        <v>0</v>
      </c>
      <c r="G16" s="8">
        <v>29016000</v>
      </c>
      <c r="H16" s="8">
        <v>222113860</v>
      </c>
      <c r="I16" s="8">
        <v>9611892.9000000004</v>
      </c>
      <c r="J16" s="1">
        <f t="shared" si="0"/>
        <v>5.5240494901169529E-2</v>
      </c>
      <c r="K16" s="8">
        <f t="shared" si="1"/>
        <v>4.8272279098717265E-2</v>
      </c>
    </row>
    <row r="17" spans="1:11" x14ac:dyDescent="0.35">
      <c r="A17" s="11">
        <v>15</v>
      </c>
      <c r="B17" s="1">
        <v>7883220</v>
      </c>
      <c r="C17" s="1">
        <v>258128160</v>
      </c>
      <c r="D17" s="1">
        <v>0</v>
      </c>
      <c r="E17" s="1">
        <v>28849695</v>
      </c>
      <c r="F17" s="8">
        <v>0</v>
      </c>
      <c r="G17" s="8">
        <v>29016000</v>
      </c>
      <c r="H17" s="8">
        <v>218396350</v>
      </c>
      <c r="I17" s="8">
        <v>4826841.8000000007</v>
      </c>
      <c r="J17" s="1">
        <f t="shared" si="0"/>
        <v>7.1152475189068878E-2</v>
      </c>
      <c r="K17" s="8">
        <f t="shared" si="1"/>
        <v>4.0921915815374459E-2</v>
      </c>
    </row>
    <row r="18" spans="1:11" x14ac:dyDescent="0.35">
      <c r="A18" s="11">
        <v>16</v>
      </c>
      <c r="B18" s="1">
        <v>7883220</v>
      </c>
      <c r="C18" s="1">
        <v>267633370</v>
      </c>
      <c r="D18" s="1">
        <v>0</v>
      </c>
      <c r="E18" s="1">
        <v>36728306</v>
      </c>
      <c r="F18" s="8">
        <v>0</v>
      </c>
      <c r="G18" s="8">
        <v>29016000</v>
      </c>
      <c r="H18" s="8">
        <v>215511820</v>
      </c>
      <c r="I18" s="8">
        <v>853975.49999999977</v>
      </c>
      <c r="J18" s="1">
        <f t="shared" si="0"/>
        <v>8.3344476064401082E-2</v>
      </c>
      <c r="K18" s="8">
        <f t="shared" si="1"/>
        <v>3.4790955956600214E-2</v>
      </c>
    </row>
    <row r="19" spans="1:11" x14ac:dyDescent="0.35">
      <c r="A19" s="11">
        <v>17</v>
      </c>
      <c r="B19" s="1">
        <v>7883220</v>
      </c>
      <c r="C19" s="1">
        <v>254374400</v>
      </c>
      <c r="D19" s="1">
        <v>0</v>
      </c>
      <c r="E19" s="1">
        <v>21915435</v>
      </c>
      <c r="F19" s="8">
        <v>0</v>
      </c>
      <c r="G19" s="8">
        <v>29016000</v>
      </c>
      <c r="H19" s="8">
        <v>225664600</v>
      </c>
      <c r="I19" s="8">
        <v>8723704.5</v>
      </c>
      <c r="J19" s="1">
        <f t="shared" si="0"/>
        <v>5.8572432996402156E-2</v>
      </c>
      <c r="K19" s="8">
        <f t="shared" si="1"/>
        <v>3.98680120418093E-2</v>
      </c>
    </row>
    <row r="20" spans="1:11" x14ac:dyDescent="0.35">
      <c r="A20" s="11">
        <v>18</v>
      </c>
      <c r="B20" s="1">
        <v>7883220</v>
      </c>
      <c r="C20" s="1">
        <v>262138390</v>
      </c>
      <c r="D20" s="1">
        <v>0</v>
      </c>
      <c r="E20" s="1">
        <v>28223534</v>
      </c>
      <c r="F20" s="8">
        <v>0</v>
      </c>
      <c r="G20" s="8">
        <v>29016000</v>
      </c>
      <c r="H20" s="8">
        <v>223511910</v>
      </c>
      <c r="I20" s="8">
        <v>5556065.1000000024</v>
      </c>
      <c r="J20" s="1">
        <f t="shared" si="0"/>
        <v>6.8869641718635716E-2</v>
      </c>
      <c r="K20" s="8">
        <f t="shared" si="1"/>
        <v>3.4989120120945155E-2</v>
      </c>
    </row>
    <row r="21" spans="1:11" x14ac:dyDescent="0.35">
      <c r="A21" s="11">
        <v>19</v>
      </c>
      <c r="B21" s="1">
        <v>7883220</v>
      </c>
      <c r="C21" s="1">
        <v>276892780</v>
      </c>
      <c r="D21" s="1">
        <v>0</v>
      </c>
      <c r="E21" s="1">
        <v>41571399</v>
      </c>
      <c r="F21" s="8">
        <v>0</v>
      </c>
      <c r="G21" s="8">
        <v>29016000</v>
      </c>
      <c r="H21" s="8">
        <v>217241560</v>
      </c>
      <c r="I21" s="8">
        <v>-1291788.2000000002</v>
      </c>
      <c r="J21" s="1">
        <f t="shared" si="0"/>
        <v>8.9302832309314822E-2</v>
      </c>
      <c r="K21" s="8">
        <f t="shared" si="1"/>
        <v>2.7370872668347871E-2</v>
      </c>
    </row>
    <row r="22" spans="1:11" x14ac:dyDescent="0.35">
      <c r="A22" s="11">
        <v>20</v>
      </c>
      <c r="B22" s="1">
        <v>7883220</v>
      </c>
      <c r="C22" s="1">
        <v>268880790</v>
      </c>
      <c r="D22" s="1">
        <v>0</v>
      </c>
      <c r="E22" s="1">
        <v>32227700</v>
      </c>
      <c r="F22" s="8">
        <v>0</v>
      </c>
      <c r="G22" s="8">
        <v>29016000</v>
      </c>
      <c r="H22" s="8">
        <v>224006300</v>
      </c>
      <c r="I22" s="8">
        <v>3702806.3999999994</v>
      </c>
      <c r="J22" s="1">
        <f t="shared" si="0"/>
        <v>7.4588668085957349E-2</v>
      </c>
      <c r="K22" s="8">
        <f t="shared" si="1"/>
        <v>2.9677819122861531E-2</v>
      </c>
    </row>
    <row r="23" spans="1:11" ht="15" thickBot="1" x14ac:dyDescent="0.4">
      <c r="A23" s="11">
        <v>21</v>
      </c>
      <c r="B23" s="1">
        <v>7883220</v>
      </c>
      <c r="C23" s="1">
        <v>260788710</v>
      </c>
      <c r="D23" s="1">
        <v>0</v>
      </c>
      <c r="E23" s="1">
        <v>22881395</v>
      </c>
      <c r="F23" s="8">
        <v>0</v>
      </c>
      <c r="G23" s="8">
        <v>29016000</v>
      </c>
      <c r="H23" s="8">
        <v>230693170</v>
      </c>
      <c r="I23" s="8">
        <v>8692037.1000000015</v>
      </c>
      <c r="J23" s="1">
        <f t="shared" si="0"/>
        <v>5.8983793815307418E-2</v>
      </c>
      <c r="K23" s="8">
        <f t="shared" si="1"/>
        <v>3.1440404420148484E-2</v>
      </c>
    </row>
    <row r="24" spans="1:11" ht="15" thickBot="1" x14ac:dyDescent="0.4">
      <c r="A24" s="11">
        <v>22</v>
      </c>
      <c r="B24" s="1">
        <v>7883220</v>
      </c>
      <c r="C24" s="1">
        <v>287823920</v>
      </c>
      <c r="D24" s="1">
        <v>0</v>
      </c>
      <c r="E24" s="1">
        <v>48739615</v>
      </c>
      <c r="F24" s="8">
        <v>0</v>
      </c>
      <c r="G24" s="8">
        <v>29016000</v>
      </c>
      <c r="H24" s="8">
        <v>216958620</v>
      </c>
      <c r="I24" s="8">
        <v>-4708303.1000000006</v>
      </c>
      <c r="J24" s="22">
        <f t="shared" si="0"/>
        <v>9.8363671441901002E-2</v>
      </c>
      <c r="K24" s="8">
        <f t="shared" si="1"/>
        <v>2.0386141787179873E-2</v>
      </c>
    </row>
    <row r="25" spans="1:11" x14ac:dyDescent="0.35">
      <c r="A25" s="11">
        <v>23</v>
      </c>
      <c r="B25" s="1">
        <v>7883220</v>
      </c>
      <c r="C25" s="1">
        <v>275661440</v>
      </c>
      <c r="D25" s="1">
        <v>0</v>
      </c>
      <c r="E25" s="1">
        <v>35476240</v>
      </c>
      <c r="F25" s="8">
        <v>0</v>
      </c>
      <c r="G25" s="8">
        <v>29016000</v>
      </c>
      <c r="H25" s="8">
        <v>225751560</v>
      </c>
      <c r="I25" s="8">
        <v>2313015.8000000003</v>
      </c>
      <c r="J25" s="1">
        <f t="shared" si="0"/>
        <v>7.8646219072206841E-2</v>
      </c>
      <c r="K25" s="8">
        <f t="shared" si="1"/>
        <v>2.3870501496204982E-2</v>
      </c>
    </row>
    <row r="26" spans="1:11" x14ac:dyDescent="0.35">
      <c r="A26" s="11">
        <v>24</v>
      </c>
      <c r="B26" s="1">
        <v>0</v>
      </c>
      <c r="C26" s="1">
        <v>267315720</v>
      </c>
      <c r="D26" s="1">
        <v>0</v>
      </c>
      <c r="E26" s="1">
        <v>26121662</v>
      </c>
      <c r="F26" s="8">
        <v>0</v>
      </c>
      <c r="G26" s="8">
        <v>0</v>
      </c>
      <c r="H26" s="8">
        <v>232191130</v>
      </c>
      <c r="I26" s="8">
        <v>7285250.5000000009</v>
      </c>
      <c r="J26" s="1">
        <f t="shared" si="0"/>
        <v>4.8859195411328597E-2</v>
      </c>
      <c r="K26" s="8">
        <f t="shared" si="1"/>
        <v>5.0983901756995725E-3</v>
      </c>
    </row>
    <row r="27" spans="1:11" x14ac:dyDescent="0.35">
      <c r="A27" s="11">
        <v>25</v>
      </c>
      <c r="B27" s="1">
        <v>0</v>
      </c>
      <c r="C27" s="1">
        <v>272209650</v>
      </c>
      <c r="D27" s="1">
        <v>0</v>
      </c>
      <c r="E27" s="1">
        <v>30065577</v>
      </c>
      <c r="F27" s="8">
        <v>0</v>
      </c>
      <c r="G27" s="8">
        <v>0</v>
      </c>
      <c r="H27" s="8">
        <v>230886590</v>
      </c>
      <c r="I27" s="8">
        <v>5308283.8000000007</v>
      </c>
      <c r="J27" s="1">
        <f t="shared" si="0"/>
        <v>5.5225038862509096E-2</v>
      </c>
      <c r="K27" s="8">
        <f t="shared" si="1"/>
        <v>3.526974775676948E-3</v>
      </c>
    </row>
    <row r="28" spans="1:11" x14ac:dyDescent="0.35">
      <c r="A28" s="11">
        <v>26</v>
      </c>
      <c r="B28" s="1">
        <v>0</v>
      </c>
      <c r="C28" s="1">
        <v>260596730</v>
      </c>
      <c r="D28" s="1">
        <v>0</v>
      </c>
      <c r="E28" s="1">
        <v>17576987</v>
      </c>
      <c r="F28" s="8">
        <v>0</v>
      </c>
      <c r="G28" s="8">
        <v>0</v>
      </c>
      <c r="H28" s="8">
        <v>239001030</v>
      </c>
      <c r="I28" s="8">
        <v>11905490.499999998</v>
      </c>
      <c r="J28" s="1">
        <f t="shared" si="0"/>
        <v>3.3724496466244994E-2</v>
      </c>
      <c r="K28" s="8">
        <f t="shared" si="1"/>
        <v>7.2101424509252738E-3</v>
      </c>
    </row>
    <row r="29" spans="1:11" x14ac:dyDescent="0.35">
      <c r="A29" s="11">
        <v>27</v>
      </c>
      <c r="B29" s="1">
        <v>0</v>
      </c>
      <c r="C29" s="1">
        <v>263771720</v>
      </c>
      <c r="D29" s="1">
        <v>0</v>
      </c>
      <c r="E29" s="1">
        <v>19951111</v>
      </c>
      <c r="F29" s="8">
        <v>0</v>
      </c>
      <c r="G29" s="8">
        <v>0</v>
      </c>
      <c r="H29" s="8">
        <v>238450670</v>
      </c>
      <c r="I29" s="8">
        <v>10735293.600000001</v>
      </c>
      <c r="J29" s="1">
        <f t="shared" si="0"/>
        <v>3.7818896961357346E-2</v>
      </c>
      <c r="K29" s="8">
        <f t="shared" si="1"/>
        <v>6.1448331815417701E-3</v>
      </c>
    </row>
    <row r="30" spans="1:11" x14ac:dyDescent="0.35">
      <c r="A30" s="11">
        <v>28</v>
      </c>
      <c r="B30" s="1">
        <v>0</v>
      </c>
      <c r="C30" s="1">
        <v>275476180</v>
      </c>
      <c r="D30" s="1">
        <v>0</v>
      </c>
      <c r="E30" s="1">
        <v>30928924</v>
      </c>
      <c r="F30" s="8">
        <v>0</v>
      </c>
      <c r="G30" s="8">
        <v>0</v>
      </c>
      <c r="H30" s="8">
        <v>232852690</v>
      </c>
      <c r="I30" s="8">
        <v>5066031.1000000006</v>
      </c>
      <c r="J30" s="1">
        <f t="shared" si="0"/>
        <v>5.6137202134863347E-2</v>
      </c>
      <c r="K30" s="8">
        <f t="shared" si="1"/>
        <v>2.7985993379949538E-3</v>
      </c>
    </row>
    <row r="31" spans="1:11" x14ac:dyDescent="0.35">
      <c r="A31" s="11">
        <v>29</v>
      </c>
      <c r="B31" s="1">
        <v>0</v>
      </c>
      <c r="C31" s="1">
        <v>283191490</v>
      </c>
      <c r="D31" s="1">
        <v>0</v>
      </c>
      <c r="E31" s="1">
        <v>37992326</v>
      </c>
      <c r="F31" s="8">
        <v>0</v>
      </c>
      <c r="G31" s="8">
        <v>0</v>
      </c>
      <c r="H31" s="8">
        <v>229440090</v>
      </c>
      <c r="I31" s="8">
        <v>1434299.5000000002</v>
      </c>
      <c r="J31" s="1">
        <f t="shared" si="0"/>
        <v>6.7078862433330888E-2</v>
      </c>
      <c r="K31" s="8">
        <f t="shared" si="1"/>
        <v>7.5745497020675561E-4</v>
      </c>
    </row>
    <row r="32" spans="1:11" x14ac:dyDescent="0.35">
      <c r="A32" s="11">
        <v>30</v>
      </c>
      <c r="B32" s="1">
        <v>0</v>
      </c>
      <c r="C32" s="1">
        <v>272015300</v>
      </c>
      <c r="D32" s="1">
        <v>0</v>
      </c>
      <c r="E32" s="1">
        <v>26247990</v>
      </c>
      <c r="F32" s="8">
        <v>0</v>
      </c>
      <c r="G32" s="8">
        <v>0</v>
      </c>
      <c r="H32" s="8">
        <v>236808870</v>
      </c>
      <c r="I32" s="8">
        <v>7616180.3000000035</v>
      </c>
      <c r="J32" s="1">
        <f t="shared" si="0"/>
        <v>4.8247267708838436E-2</v>
      </c>
      <c r="K32" s="8">
        <f t="shared" si="1"/>
        <v>3.6689496284225899E-3</v>
      </c>
    </row>
    <row r="33" spans="1:11" x14ac:dyDescent="0.35">
      <c r="A33" s="11">
        <v>31</v>
      </c>
      <c r="B33" s="1">
        <v>0</v>
      </c>
      <c r="C33" s="1">
        <v>278739880</v>
      </c>
      <c r="D33" s="1">
        <v>0</v>
      </c>
      <c r="E33" s="1">
        <v>32469833</v>
      </c>
      <c r="F33" s="8">
        <v>0</v>
      </c>
      <c r="G33" s="8">
        <v>0</v>
      </c>
      <c r="H33" s="8">
        <v>233729520</v>
      </c>
      <c r="I33" s="8">
        <v>4410934.1999999983</v>
      </c>
      <c r="J33" s="1">
        <f t="shared" si="0"/>
        <v>5.8243967458119016E-2</v>
      </c>
      <c r="K33" s="8">
        <f t="shared" si="1"/>
        <v>2.0259596948748646E-3</v>
      </c>
    </row>
    <row r="34" spans="1:11" x14ac:dyDescent="0.35">
      <c r="A34" s="11">
        <v>32</v>
      </c>
      <c r="B34" s="1">
        <v>0</v>
      </c>
      <c r="C34" s="1">
        <v>291655740</v>
      </c>
      <c r="D34" s="1">
        <v>0</v>
      </c>
      <c r="E34" s="1">
        <v>44956594</v>
      </c>
      <c r="F34" s="8">
        <v>0</v>
      </c>
      <c r="G34" s="8">
        <v>0</v>
      </c>
      <c r="H34" s="8">
        <v>226954780</v>
      </c>
      <c r="I34" s="8">
        <v>-2072057.2999999996</v>
      </c>
      <c r="J34" s="1">
        <f t="shared" si="0"/>
        <v>7.7071334169524663E-2</v>
      </c>
      <c r="K34" s="8">
        <f t="shared" si="1"/>
        <v>-9.2191990491584538E-4</v>
      </c>
    </row>
    <row r="35" spans="1:11" x14ac:dyDescent="0.35">
      <c r="A35" s="11">
        <v>33</v>
      </c>
      <c r="B35" s="1">
        <v>7883220</v>
      </c>
      <c r="C35" s="1">
        <v>275719770</v>
      </c>
      <c r="D35" s="1">
        <v>0</v>
      </c>
      <c r="E35" s="1">
        <v>28666232</v>
      </c>
      <c r="F35" s="8">
        <v>0</v>
      </c>
      <c r="G35" s="8">
        <v>0</v>
      </c>
      <c r="H35" s="8">
        <v>236731430</v>
      </c>
      <c r="I35" s="8">
        <v>6465104</v>
      </c>
      <c r="J35" s="1">
        <f t="shared" si="0"/>
        <v>6.6280071247701966E-2</v>
      </c>
      <c r="K35" s="8">
        <f t="shared" si="1"/>
        <v>2.5928849639436304E-3</v>
      </c>
    </row>
    <row r="36" spans="1:11" x14ac:dyDescent="0.35">
      <c r="A36" s="11">
        <v>34</v>
      </c>
      <c r="B36" s="1">
        <v>7883220</v>
      </c>
      <c r="C36" s="1">
        <v>268183970</v>
      </c>
      <c r="D36" s="1">
        <v>0</v>
      </c>
      <c r="E36" s="1">
        <v>20851814</v>
      </c>
      <c r="F36" s="8">
        <v>0</v>
      </c>
      <c r="G36" s="8">
        <v>0</v>
      </c>
      <c r="H36" s="8">
        <v>241532870</v>
      </c>
      <c r="I36" s="8">
        <v>10569787.800000003</v>
      </c>
      <c r="J36" s="1">
        <f t="shared" si="0"/>
        <v>5.3573362345258745E-2</v>
      </c>
      <c r="K36" s="8">
        <f t="shared" si="1"/>
        <v>3.9049216676440737E-3</v>
      </c>
    </row>
    <row r="37" spans="1:11" x14ac:dyDescent="0.35">
      <c r="A37" s="11">
        <v>35</v>
      </c>
      <c r="B37" s="1">
        <v>7883220</v>
      </c>
      <c r="C37" s="1">
        <v>283259000</v>
      </c>
      <c r="D37" s="1">
        <v>0</v>
      </c>
      <c r="E37" s="1">
        <v>35723890</v>
      </c>
      <c r="F37" s="8">
        <v>0</v>
      </c>
      <c r="G37" s="8">
        <v>0</v>
      </c>
      <c r="H37" s="8">
        <v>233147890</v>
      </c>
      <c r="I37" s="8">
        <v>2821622.9000000004</v>
      </c>
      <c r="J37" s="1">
        <f t="shared" si="0"/>
        <v>7.6973917863157035E-2</v>
      </c>
      <c r="K37" s="8">
        <f t="shared" si="1"/>
        <v>1.0145737601763311E-3</v>
      </c>
    </row>
    <row r="38" spans="1:11" x14ac:dyDescent="0.35">
      <c r="A38" s="11">
        <v>36</v>
      </c>
      <c r="B38" s="1">
        <v>7883220</v>
      </c>
      <c r="C38" s="1">
        <v>296183290</v>
      </c>
      <c r="D38" s="1">
        <v>0</v>
      </c>
      <c r="E38" s="1">
        <v>49012098</v>
      </c>
      <c r="F38" s="8">
        <v>0</v>
      </c>
      <c r="G38" s="8">
        <v>0</v>
      </c>
      <c r="H38" s="8">
        <v>225221450</v>
      </c>
      <c r="I38" s="8">
        <v>-4140109.2</v>
      </c>
      <c r="J38" s="1">
        <f t="shared" si="0"/>
        <v>9.6047481274179919E-2</v>
      </c>
      <c r="K38" s="8">
        <f t="shared" si="1"/>
        <v>-1.4472924153817006E-3</v>
      </c>
    </row>
    <row r="39" spans="1:11" x14ac:dyDescent="0.35">
      <c r="A39" s="11">
        <v>37</v>
      </c>
      <c r="B39" s="1">
        <v>7883220</v>
      </c>
      <c r="C39" s="1">
        <v>281882030</v>
      </c>
      <c r="D39" s="1">
        <v>0</v>
      </c>
      <c r="E39" s="1">
        <v>34165254</v>
      </c>
      <c r="F39" s="8">
        <v>0</v>
      </c>
      <c r="G39" s="8">
        <v>0</v>
      </c>
      <c r="H39" s="8">
        <v>234235560</v>
      </c>
      <c r="I39" s="8">
        <v>3651314.7000000007</v>
      </c>
      <c r="J39" s="1">
        <f t="shared" si="0"/>
        <v>7.4585233404201035E-2</v>
      </c>
      <c r="K39" s="8">
        <f t="shared" si="1"/>
        <v>1.152236654024371E-3</v>
      </c>
    </row>
    <row r="40" spans="1:11" x14ac:dyDescent="0.35">
      <c r="A40" s="11">
        <v>38</v>
      </c>
      <c r="B40" s="1">
        <v>7883220</v>
      </c>
      <c r="C40" s="1">
        <v>278733310</v>
      </c>
      <c r="D40" s="1">
        <v>0</v>
      </c>
      <c r="E40" s="1">
        <v>31035098</v>
      </c>
      <c r="F40" s="8">
        <v>0</v>
      </c>
      <c r="G40" s="8">
        <v>0</v>
      </c>
      <c r="H40" s="8">
        <v>236025570</v>
      </c>
      <c r="I40" s="8">
        <v>5284215.3</v>
      </c>
      <c r="J40" s="1">
        <f t="shared" si="0"/>
        <v>6.9812822156060217E-2</v>
      </c>
      <c r="K40" s="8">
        <f t="shared" si="1"/>
        <v>1.5531696321440375E-3</v>
      </c>
    </row>
    <row r="41" spans="1:11" x14ac:dyDescent="0.35">
      <c r="A41" s="11">
        <v>39</v>
      </c>
      <c r="B41" s="1">
        <v>7883220</v>
      </c>
      <c r="C41" s="1">
        <v>256731310</v>
      </c>
      <c r="D41" s="1">
        <v>0</v>
      </c>
      <c r="E41" s="1">
        <v>9125330</v>
      </c>
      <c r="F41" s="8">
        <v>0</v>
      </c>
      <c r="G41" s="8">
        <v>0</v>
      </c>
      <c r="H41" s="8">
        <v>248591390</v>
      </c>
      <c r="I41" s="8">
        <v>16716936.800000001</v>
      </c>
      <c r="J41" s="1">
        <f t="shared" si="0"/>
        <v>3.3125196143781607E-2</v>
      </c>
      <c r="K41" s="8">
        <f t="shared" si="1"/>
        <v>4.3771288294619584E-3</v>
      </c>
    </row>
    <row r="42" spans="1:11" x14ac:dyDescent="0.35">
      <c r="A42" s="18" t="s">
        <v>39</v>
      </c>
      <c r="B42" s="3">
        <v>197080500</v>
      </c>
      <c r="C42" s="3">
        <v>10348565570</v>
      </c>
      <c r="D42" s="3">
        <v>0</v>
      </c>
      <c r="E42" s="3">
        <v>1102561815</v>
      </c>
      <c r="F42" s="7">
        <v>0</v>
      </c>
      <c r="G42" s="7">
        <v>522288000</v>
      </c>
      <c r="H42" s="7">
        <v>8845225420</v>
      </c>
      <c r="I42" s="7">
        <v>229144696.00000006</v>
      </c>
      <c r="J42" s="12">
        <f>MAX(J2:J41)</f>
        <v>9.8363671441901002E-2</v>
      </c>
      <c r="K42" s="12">
        <f>MAX(K2:K41)</f>
        <v>7.7361151003474987E-2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2081"/>
  <sheetViews>
    <sheetView topLeftCell="R2053" zoomScale="85" zoomScaleNormal="85" workbookViewId="0">
      <selection activeCell="AC1" sqref="AC1:AJ2081"/>
    </sheetView>
  </sheetViews>
  <sheetFormatPr defaultRowHeight="14.5" x14ac:dyDescent="0.35"/>
  <cols>
    <col min="11" max="11" width="10.36328125" style="1" bestFit="1" customWidth="1"/>
    <col min="12" max="12" width="9.08984375" style="1" bestFit="1" customWidth="1"/>
    <col min="13" max="13" width="9.26953125" style="1" bestFit="1" customWidth="1"/>
    <col min="14" max="14" width="9.81640625" style="1" bestFit="1" customWidth="1"/>
    <col min="15" max="15" width="10.08984375" style="1" bestFit="1" customWidth="1"/>
    <col min="16" max="16" width="9.81640625" style="1" bestFit="1" customWidth="1"/>
    <col min="17" max="17" width="12.36328125" style="1" bestFit="1" customWidth="1"/>
    <col min="18" max="18" width="12.90625" style="1" bestFit="1" customWidth="1"/>
    <col min="29" max="29" width="10.36328125" style="1" bestFit="1" customWidth="1"/>
    <col min="30" max="30" width="9.08984375" style="1" bestFit="1" customWidth="1"/>
    <col min="31" max="31" width="9.26953125" style="1" bestFit="1" customWidth="1"/>
    <col min="32" max="32" width="9.81640625" style="1" bestFit="1" customWidth="1"/>
    <col min="33" max="33" width="10.08984375" style="1" bestFit="1" customWidth="1"/>
    <col min="34" max="34" width="9.81640625" style="1" bestFit="1" customWidth="1"/>
    <col min="35" max="35" width="12.36328125" style="1" bestFit="1" customWidth="1"/>
    <col min="36" max="36" width="12.90625" style="1" bestFit="1" customWidth="1"/>
    <col min="37" max="38" width="12.90625" style="8" customWidth="1"/>
    <col min="39" max="39" width="10.81640625" bestFit="1" customWidth="1"/>
    <col min="40" max="40" width="10.453125" bestFit="1" customWidth="1"/>
  </cols>
  <sheetData>
    <row r="1" spans="1:4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7" t="s">
        <v>36</v>
      </c>
      <c r="AL1" s="7" t="s">
        <v>37</v>
      </c>
      <c r="AM1" s="3" t="s">
        <v>28</v>
      </c>
      <c r="AN1" s="3" t="s">
        <v>10</v>
      </c>
    </row>
    <row r="2" spans="1:40" x14ac:dyDescent="0.35">
      <c r="A2">
        <v>71.586200000000005</v>
      </c>
      <c r="B2">
        <v>72.290000000000006</v>
      </c>
      <c r="C2">
        <v>2.1292900000000001</v>
      </c>
      <c r="D2">
        <v>0.05</v>
      </c>
      <c r="E2">
        <v>1</v>
      </c>
      <c r="F2">
        <v>2.16737</v>
      </c>
      <c r="G2">
        <v>2.46977</v>
      </c>
      <c r="H2">
        <v>0</v>
      </c>
      <c r="I2">
        <v>0</v>
      </c>
      <c r="J2">
        <v>3.6288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2">
        <v>3240170</v>
      </c>
      <c r="Q2" s="1">
        <v>-154641</v>
      </c>
      <c r="R2" s="1">
        <v>408539</v>
      </c>
      <c r="S2">
        <v>99.302199999999999</v>
      </c>
      <c r="T2">
        <v>98.274000000000001</v>
      </c>
      <c r="U2">
        <v>2.6552600000000002</v>
      </c>
      <c r="V2">
        <v>0</v>
      </c>
      <c r="W2">
        <v>1</v>
      </c>
      <c r="X2">
        <v>1.73502</v>
      </c>
      <c r="Y2">
        <v>1.43262</v>
      </c>
      <c r="Z2">
        <v>0</v>
      </c>
      <c r="AA2">
        <v>0</v>
      </c>
      <c r="AB2">
        <v>2.1168</v>
      </c>
      <c r="AC2" s="1">
        <v>903199</v>
      </c>
      <c r="AD2" s="1">
        <v>0</v>
      </c>
      <c r="AE2" s="1">
        <v>0</v>
      </c>
      <c r="AF2" s="1">
        <v>0</v>
      </c>
      <c r="AG2" s="1">
        <v>0</v>
      </c>
      <c r="AH2" s="2">
        <v>4488900</v>
      </c>
      <c r="AI2" s="1">
        <v>903199</v>
      </c>
      <c r="AJ2" s="1">
        <v>0</v>
      </c>
      <c r="AK2" s="8">
        <v>1</v>
      </c>
      <c r="AL2" s="8">
        <v>1</v>
      </c>
      <c r="AM2">
        <f>IF(AK2=52,AC2,0)</f>
        <v>0</v>
      </c>
      <c r="AN2">
        <f>IF(AK2=52,K2,0)</f>
        <v>0</v>
      </c>
    </row>
    <row r="3" spans="1:40" x14ac:dyDescent="0.35">
      <c r="A3">
        <v>72.290000000000006</v>
      </c>
      <c r="B3">
        <v>72.290000000000006</v>
      </c>
      <c r="C3">
        <v>6.00352</v>
      </c>
      <c r="D3">
        <v>7.0000000000000007E-2</v>
      </c>
      <c r="E3">
        <v>1</v>
      </c>
      <c r="F3">
        <v>2.1887400000000001</v>
      </c>
      <c r="G3">
        <v>2.4704000000000002</v>
      </c>
      <c r="H3">
        <v>0</v>
      </c>
      <c r="I3">
        <v>0.40616600000000003</v>
      </c>
      <c r="J3">
        <v>3.6288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2">
        <v>3272100</v>
      </c>
      <c r="Q3" s="1">
        <v>-126562</v>
      </c>
      <c r="R3" s="1">
        <v>380524</v>
      </c>
      <c r="S3">
        <v>99.302199999999999</v>
      </c>
      <c r="T3">
        <v>98.274000000000001</v>
      </c>
      <c r="U3">
        <v>4.1706300000000001</v>
      </c>
      <c r="V3">
        <v>0</v>
      </c>
      <c r="W3">
        <v>1</v>
      </c>
      <c r="X3">
        <v>1.7146399999999999</v>
      </c>
      <c r="Y3">
        <v>1.4329799999999999</v>
      </c>
      <c r="Z3">
        <v>0</v>
      </c>
      <c r="AA3">
        <v>1.3404700000000001</v>
      </c>
      <c r="AB3">
        <v>2.1168</v>
      </c>
      <c r="AC3" s="2">
        <v>1752780</v>
      </c>
      <c r="AD3" s="1">
        <v>0</v>
      </c>
      <c r="AE3" s="1">
        <v>0</v>
      </c>
      <c r="AF3" s="1">
        <v>0</v>
      </c>
      <c r="AG3" s="1">
        <v>0</v>
      </c>
      <c r="AH3" s="2">
        <v>4436190</v>
      </c>
      <c r="AI3" s="1">
        <v>849579</v>
      </c>
      <c r="AJ3" s="1">
        <v>0</v>
      </c>
      <c r="AK3" s="8">
        <v>2</v>
      </c>
      <c r="AL3" s="8">
        <f>IF(AK2=52,AL2+1,AL2)</f>
        <v>1</v>
      </c>
      <c r="AM3">
        <f t="shared" ref="AM3:AM66" si="0">IF(AK3=52,AC3,0)</f>
        <v>0</v>
      </c>
      <c r="AN3">
        <f t="shared" ref="AN3:AN66" si="1">IF(AK3=52,K3,0)</f>
        <v>0</v>
      </c>
    </row>
    <row r="4" spans="1:40" x14ac:dyDescent="0.35">
      <c r="A4">
        <v>72.290000000000006</v>
      </c>
      <c r="B4">
        <v>72.290000000000006</v>
      </c>
      <c r="C4">
        <v>14.325100000000001</v>
      </c>
      <c r="D4">
        <v>0.05</v>
      </c>
      <c r="E4">
        <v>1</v>
      </c>
      <c r="F4">
        <v>2.18973</v>
      </c>
      <c r="G4">
        <v>2.4710299999999998</v>
      </c>
      <c r="H4">
        <v>0</v>
      </c>
      <c r="I4">
        <v>0.41016900000000001</v>
      </c>
      <c r="J4">
        <v>3.6288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2">
        <v>3273590</v>
      </c>
      <c r="Q4" s="1">
        <v>-126006</v>
      </c>
      <c r="R4" s="1">
        <v>380032</v>
      </c>
      <c r="S4">
        <v>99.302199999999999</v>
      </c>
      <c r="T4">
        <v>98.274000000000001</v>
      </c>
      <c r="U4">
        <v>7.3181399999999996</v>
      </c>
      <c r="V4">
        <v>0</v>
      </c>
      <c r="W4">
        <v>1</v>
      </c>
      <c r="X4">
        <v>1.7146399999999999</v>
      </c>
      <c r="Y4">
        <v>1.4333400000000001</v>
      </c>
      <c r="Z4">
        <v>0</v>
      </c>
      <c r="AA4">
        <v>1.32473</v>
      </c>
      <c r="AB4">
        <v>2.1168</v>
      </c>
      <c r="AC4" s="2">
        <v>2601450</v>
      </c>
      <c r="AD4" s="1">
        <v>0</v>
      </c>
      <c r="AE4" s="1">
        <v>0</v>
      </c>
      <c r="AF4" s="1">
        <v>0</v>
      </c>
      <c r="AG4" s="1">
        <v>0</v>
      </c>
      <c r="AH4" s="2">
        <v>4436190</v>
      </c>
      <c r="AI4" s="1">
        <v>848669</v>
      </c>
      <c r="AJ4" s="1">
        <v>0</v>
      </c>
      <c r="AK4" s="8">
        <v>3</v>
      </c>
      <c r="AL4" s="8">
        <f t="shared" ref="AL4:AL67" si="2">IF(AK3=52,AL3+1,AL3)</f>
        <v>1</v>
      </c>
      <c r="AM4">
        <f t="shared" si="0"/>
        <v>0</v>
      </c>
      <c r="AN4">
        <f t="shared" si="1"/>
        <v>0</v>
      </c>
    </row>
    <row r="5" spans="1:40" x14ac:dyDescent="0.35">
      <c r="A5">
        <v>72.290000000000006</v>
      </c>
      <c r="B5">
        <v>72.290000000000006</v>
      </c>
      <c r="C5">
        <v>6.3771699999999996</v>
      </c>
      <c r="D5">
        <v>0.05</v>
      </c>
      <c r="E5">
        <v>1</v>
      </c>
      <c r="F5">
        <v>2.1907199999999998</v>
      </c>
      <c r="G5">
        <v>2.4716499999999999</v>
      </c>
      <c r="H5">
        <v>0</v>
      </c>
      <c r="I5">
        <v>0.41035500000000003</v>
      </c>
      <c r="J5">
        <v>3.6288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2">
        <v>3275070</v>
      </c>
      <c r="Q5" s="1">
        <v>-125450</v>
      </c>
      <c r="R5" s="1">
        <v>379541</v>
      </c>
      <c r="S5">
        <v>99.302199999999999</v>
      </c>
      <c r="T5">
        <v>98.274000000000001</v>
      </c>
      <c r="U5">
        <v>4.6779999999999999</v>
      </c>
      <c r="V5">
        <v>0</v>
      </c>
      <c r="W5">
        <v>1</v>
      </c>
      <c r="X5">
        <v>1.7146399999999999</v>
      </c>
      <c r="Y5">
        <v>1.43371</v>
      </c>
      <c r="Z5">
        <v>0</v>
      </c>
      <c r="AA5">
        <v>1.32473</v>
      </c>
      <c r="AB5">
        <v>2.1168</v>
      </c>
      <c r="AC5" s="2">
        <v>3449210</v>
      </c>
      <c r="AD5" s="1">
        <v>0</v>
      </c>
      <c r="AE5" s="1">
        <v>0</v>
      </c>
      <c r="AF5" s="1">
        <v>0</v>
      </c>
      <c r="AG5" s="1">
        <v>0</v>
      </c>
      <c r="AH5" s="2">
        <v>4436190</v>
      </c>
      <c r="AI5" s="1">
        <v>847759</v>
      </c>
      <c r="AJ5" s="1">
        <v>0</v>
      </c>
      <c r="AK5" s="8">
        <v>4</v>
      </c>
      <c r="AL5" s="8">
        <f t="shared" si="2"/>
        <v>1</v>
      </c>
      <c r="AM5">
        <f t="shared" si="0"/>
        <v>0</v>
      </c>
      <c r="AN5">
        <f t="shared" si="1"/>
        <v>0</v>
      </c>
    </row>
    <row r="6" spans="1:40" x14ac:dyDescent="0.35">
      <c r="A6">
        <v>72.290000000000006</v>
      </c>
      <c r="B6">
        <v>72.290000000000006</v>
      </c>
      <c r="C6">
        <v>5.1424200000000004</v>
      </c>
      <c r="D6">
        <v>0.05</v>
      </c>
      <c r="E6">
        <v>1</v>
      </c>
      <c r="F6">
        <v>2.4328500000000002</v>
      </c>
      <c r="G6">
        <v>2.7134200000000002</v>
      </c>
      <c r="H6">
        <v>0</v>
      </c>
      <c r="I6">
        <v>0.41054099999999999</v>
      </c>
      <c r="J6">
        <v>3.6288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2">
        <v>3637050</v>
      </c>
      <c r="Q6" s="1">
        <v>-100104</v>
      </c>
      <c r="R6" s="1">
        <v>379049</v>
      </c>
      <c r="S6">
        <v>99.302199999999999</v>
      </c>
      <c r="T6">
        <v>98.274000000000001</v>
      </c>
      <c r="U6">
        <v>3.83765</v>
      </c>
      <c r="V6">
        <v>0</v>
      </c>
      <c r="W6">
        <v>1</v>
      </c>
      <c r="X6">
        <v>1.8832599999999999</v>
      </c>
      <c r="Y6">
        <v>1.6026899999999999</v>
      </c>
      <c r="Z6">
        <v>0</v>
      </c>
      <c r="AA6">
        <v>1.32473</v>
      </c>
      <c r="AB6">
        <v>2.1168</v>
      </c>
      <c r="AC6" s="2">
        <v>4310270</v>
      </c>
      <c r="AD6" s="1">
        <v>0</v>
      </c>
      <c r="AE6" s="1">
        <v>0</v>
      </c>
      <c r="AF6" s="1">
        <v>0</v>
      </c>
      <c r="AG6" s="1">
        <v>0</v>
      </c>
      <c r="AH6" s="2">
        <v>4872440</v>
      </c>
      <c r="AI6" s="1">
        <v>861068</v>
      </c>
      <c r="AJ6" s="1">
        <v>0</v>
      </c>
      <c r="AK6" s="8">
        <v>5</v>
      </c>
      <c r="AL6" s="8">
        <f t="shared" si="2"/>
        <v>1</v>
      </c>
      <c r="AM6">
        <f t="shared" si="0"/>
        <v>0</v>
      </c>
      <c r="AN6">
        <f t="shared" si="1"/>
        <v>0</v>
      </c>
    </row>
    <row r="7" spans="1:40" x14ac:dyDescent="0.35">
      <c r="A7">
        <v>72.290000000000006</v>
      </c>
      <c r="B7">
        <v>72.290000000000006</v>
      </c>
      <c r="C7">
        <v>7.3306899999999997</v>
      </c>
      <c r="D7">
        <v>0.05</v>
      </c>
      <c r="E7">
        <v>1</v>
      </c>
      <c r="F7">
        <v>2.6025200000000002</v>
      </c>
      <c r="G7">
        <v>2.7141099999999998</v>
      </c>
      <c r="H7">
        <v>0</v>
      </c>
      <c r="I7">
        <v>0.45591599999999999</v>
      </c>
      <c r="J7">
        <v>3.6288</v>
      </c>
      <c r="K7" s="1">
        <v>128257</v>
      </c>
      <c r="L7" s="1">
        <v>0</v>
      </c>
      <c r="M7" s="1">
        <v>0</v>
      </c>
      <c r="N7" s="1">
        <v>0</v>
      </c>
      <c r="O7" s="1">
        <v>0</v>
      </c>
      <c r="P7" s="2">
        <v>3890700</v>
      </c>
      <c r="Q7" s="1">
        <v>128257</v>
      </c>
      <c r="R7" s="1">
        <v>150759</v>
      </c>
      <c r="S7">
        <v>99.302199999999999</v>
      </c>
      <c r="T7">
        <v>98.274000000000001</v>
      </c>
      <c r="U7">
        <v>5.40191</v>
      </c>
      <c r="V7">
        <v>0</v>
      </c>
      <c r="W7">
        <v>1</v>
      </c>
      <c r="X7">
        <v>1.71469</v>
      </c>
      <c r="Y7">
        <v>1.6030899999999999</v>
      </c>
      <c r="Z7">
        <v>0</v>
      </c>
      <c r="AA7">
        <v>1.4550099999999999</v>
      </c>
      <c r="AB7">
        <v>2.1168</v>
      </c>
      <c r="AC7" s="2">
        <v>4734180</v>
      </c>
      <c r="AD7" s="1">
        <v>0</v>
      </c>
      <c r="AE7" s="1">
        <v>0</v>
      </c>
      <c r="AF7" s="1">
        <v>0</v>
      </c>
      <c r="AG7" s="1">
        <v>0</v>
      </c>
      <c r="AH7" s="2">
        <v>4436300</v>
      </c>
      <c r="AI7" s="1">
        <v>423910</v>
      </c>
      <c r="AJ7" s="1">
        <v>0</v>
      </c>
      <c r="AK7" s="8">
        <f>IF(AK6=52, 1, AK6+1)</f>
        <v>6</v>
      </c>
      <c r="AL7" s="8">
        <f t="shared" si="2"/>
        <v>1</v>
      </c>
      <c r="AM7">
        <f t="shared" si="0"/>
        <v>0</v>
      </c>
      <c r="AN7">
        <f t="shared" si="1"/>
        <v>0</v>
      </c>
    </row>
    <row r="8" spans="1:40" x14ac:dyDescent="0.35">
      <c r="A8">
        <v>72.290000000000006</v>
      </c>
      <c r="B8">
        <v>72.290000000000006</v>
      </c>
      <c r="C8">
        <v>6.92638</v>
      </c>
      <c r="D8">
        <v>0.05</v>
      </c>
      <c r="E8">
        <v>1</v>
      </c>
      <c r="F8">
        <v>2.6036100000000002</v>
      </c>
      <c r="G8">
        <v>2.7147999999999999</v>
      </c>
      <c r="H8">
        <v>0</v>
      </c>
      <c r="I8">
        <v>0.48771199999999998</v>
      </c>
      <c r="J8">
        <v>3.6288</v>
      </c>
      <c r="K8" s="1">
        <v>257134</v>
      </c>
      <c r="L8" s="1">
        <v>0</v>
      </c>
      <c r="M8" s="1">
        <v>0</v>
      </c>
      <c r="N8" s="1">
        <v>0</v>
      </c>
      <c r="O8" s="1">
        <v>0</v>
      </c>
      <c r="P8" s="2">
        <v>3892340</v>
      </c>
      <c r="Q8" s="1">
        <v>128877</v>
      </c>
      <c r="R8" s="1">
        <v>150210</v>
      </c>
      <c r="S8">
        <v>99.302199999999999</v>
      </c>
      <c r="T8">
        <v>98.274000000000001</v>
      </c>
      <c r="U8">
        <v>4.3779300000000001</v>
      </c>
      <c r="V8">
        <v>0</v>
      </c>
      <c r="W8">
        <v>1</v>
      </c>
      <c r="X8">
        <v>1.71469</v>
      </c>
      <c r="Y8">
        <v>1.6034999999999999</v>
      </c>
      <c r="Z8">
        <v>0</v>
      </c>
      <c r="AA8">
        <v>1.32477</v>
      </c>
      <c r="AB8">
        <v>2.1168</v>
      </c>
      <c r="AC8" s="2">
        <v>5157080</v>
      </c>
      <c r="AD8" s="1">
        <v>0</v>
      </c>
      <c r="AE8" s="1">
        <v>0</v>
      </c>
      <c r="AF8" s="1">
        <v>0</v>
      </c>
      <c r="AG8" s="1">
        <v>0</v>
      </c>
      <c r="AH8" s="2">
        <v>4436300</v>
      </c>
      <c r="AI8" s="1">
        <v>422892</v>
      </c>
      <c r="AJ8" s="1">
        <v>0</v>
      </c>
      <c r="AK8" s="8">
        <f t="shared" ref="AK8:AK71" si="3">IF(AK7=52, 1, AK7+1)</f>
        <v>7</v>
      </c>
      <c r="AL8" s="8">
        <f t="shared" si="2"/>
        <v>1</v>
      </c>
      <c r="AM8">
        <f t="shared" si="0"/>
        <v>0</v>
      </c>
      <c r="AN8">
        <f t="shared" si="1"/>
        <v>0</v>
      </c>
    </row>
    <row r="9" spans="1:40" x14ac:dyDescent="0.35">
      <c r="A9">
        <v>72.290000000000006</v>
      </c>
      <c r="B9">
        <v>72.290000000000006</v>
      </c>
      <c r="C9">
        <v>11.178900000000001</v>
      </c>
      <c r="D9">
        <v>0.05</v>
      </c>
      <c r="E9">
        <v>1</v>
      </c>
      <c r="F9">
        <v>2.6047099999999999</v>
      </c>
      <c r="G9">
        <v>2.71549</v>
      </c>
      <c r="H9">
        <v>0</v>
      </c>
      <c r="I9">
        <v>0.48791699999999999</v>
      </c>
      <c r="J9">
        <v>3.6288</v>
      </c>
      <c r="K9" s="1">
        <v>386632</v>
      </c>
      <c r="L9" s="1">
        <v>0</v>
      </c>
      <c r="M9" s="1">
        <v>0</v>
      </c>
      <c r="N9" s="1">
        <v>0</v>
      </c>
      <c r="O9" s="1">
        <v>0</v>
      </c>
      <c r="P9" s="2">
        <v>3893980</v>
      </c>
      <c r="Q9" s="1">
        <v>129498</v>
      </c>
      <c r="R9" s="1">
        <v>149660</v>
      </c>
      <c r="S9">
        <v>99.302199999999999</v>
      </c>
      <c r="T9">
        <v>98.274000000000001</v>
      </c>
      <c r="U9">
        <v>4.8376599999999996</v>
      </c>
      <c r="V9">
        <v>0</v>
      </c>
      <c r="W9">
        <v>1</v>
      </c>
      <c r="X9">
        <v>1.71469</v>
      </c>
      <c r="Y9">
        <v>1.6039099999999999</v>
      </c>
      <c r="Z9">
        <v>0</v>
      </c>
      <c r="AA9">
        <v>1.32477</v>
      </c>
      <c r="AB9">
        <v>2.1168</v>
      </c>
      <c r="AC9" s="2">
        <v>5578950</v>
      </c>
      <c r="AD9" s="1">
        <v>0</v>
      </c>
      <c r="AE9" s="1">
        <v>0</v>
      </c>
      <c r="AF9" s="1">
        <v>0</v>
      </c>
      <c r="AG9" s="1">
        <v>0</v>
      </c>
      <c r="AH9" s="2">
        <v>4436300</v>
      </c>
      <c r="AI9" s="1">
        <v>421873</v>
      </c>
      <c r="AJ9" s="1">
        <v>0</v>
      </c>
      <c r="AK9" s="8">
        <f t="shared" si="3"/>
        <v>8</v>
      </c>
      <c r="AL9" s="8">
        <f t="shared" si="2"/>
        <v>1</v>
      </c>
      <c r="AM9">
        <f t="shared" si="0"/>
        <v>0</v>
      </c>
      <c r="AN9">
        <f t="shared" si="1"/>
        <v>0</v>
      </c>
    </row>
    <row r="10" spans="1:40" x14ac:dyDescent="0.35">
      <c r="A10">
        <v>72.290000000000006</v>
      </c>
      <c r="B10">
        <v>72.290000000000006</v>
      </c>
      <c r="C10">
        <v>7.1620299999999997</v>
      </c>
      <c r="D10">
        <v>0.05</v>
      </c>
      <c r="E10">
        <v>1</v>
      </c>
      <c r="F10">
        <v>2.2615099999999999</v>
      </c>
      <c r="G10">
        <v>2.3718900000000001</v>
      </c>
      <c r="H10">
        <v>0</v>
      </c>
      <c r="I10">
        <v>0.48812299999999997</v>
      </c>
      <c r="J10">
        <v>3.6288</v>
      </c>
      <c r="K10" s="1">
        <v>481356</v>
      </c>
      <c r="L10" s="1">
        <v>0</v>
      </c>
      <c r="M10" s="1">
        <v>0</v>
      </c>
      <c r="N10" s="1">
        <v>0</v>
      </c>
      <c r="O10" s="1">
        <v>0</v>
      </c>
      <c r="P10" s="2">
        <v>3380910</v>
      </c>
      <c r="Q10" s="1">
        <v>94724.4</v>
      </c>
      <c r="R10" s="1">
        <v>149110</v>
      </c>
      <c r="S10">
        <v>99.302199999999999</v>
      </c>
      <c r="T10">
        <v>98.274000000000001</v>
      </c>
      <c r="U10">
        <v>8.0455500000000004</v>
      </c>
      <c r="V10">
        <v>0</v>
      </c>
      <c r="W10">
        <v>1</v>
      </c>
      <c r="X10">
        <v>1.48817</v>
      </c>
      <c r="Y10">
        <v>1.3777999999999999</v>
      </c>
      <c r="Z10">
        <v>0</v>
      </c>
      <c r="AA10">
        <v>1.32477</v>
      </c>
      <c r="AB10">
        <v>2.1168</v>
      </c>
      <c r="AC10" s="2">
        <v>5980700</v>
      </c>
      <c r="AD10" s="1">
        <v>0</v>
      </c>
      <c r="AE10" s="1">
        <v>0</v>
      </c>
      <c r="AF10" s="1">
        <v>0</v>
      </c>
      <c r="AG10" s="1">
        <v>0</v>
      </c>
      <c r="AH10" s="2">
        <v>3850260</v>
      </c>
      <c r="AI10" s="1">
        <v>401752</v>
      </c>
      <c r="AJ10" s="1">
        <v>0</v>
      </c>
      <c r="AK10" s="8">
        <f t="shared" si="3"/>
        <v>9</v>
      </c>
      <c r="AL10" s="8">
        <f t="shared" si="2"/>
        <v>1</v>
      </c>
      <c r="AM10">
        <f t="shared" si="0"/>
        <v>0</v>
      </c>
      <c r="AN10">
        <f t="shared" si="1"/>
        <v>0</v>
      </c>
    </row>
    <row r="11" spans="1:40" x14ac:dyDescent="0.35">
      <c r="A11">
        <v>72.290000000000006</v>
      </c>
      <c r="B11">
        <v>72.290000000000006</v>
      </c>
      <c r="C11">
        <v>7.1474700000000002</v>
      </c>
      <c r="D11">
        <v>0.05</v>
      </c>
      <c r="E11">
        <v>1</v>
      </c>
      <c r="F11">
        <v>2.07009</v>
      </c>
      <c r="G11">
        <v>2.37249</v>
      </c>
      <c r="H11">
        <v>0</v>
      </c>
      <c r="I11">
        <v>0.42380800000000002</v>
      </c>
      <c r="J11">
        <v>3.6288</v>
      </c>
      <c r="K11" s="1">
        <v>316714</v>
      </c>
      <c r="L11" s="1">
        <v>0</v>
      </c>
      <c r="M11" s="1">
        <v>0</v>
      </c>
      <c r="N11" s="1">
        <v>0</v>
      </c>
      <c r="O11" s="1">
        <v>0</v>
      </c>
      <c r="P11" s="2">
        <v>3094730</v>
      </c>
      <c r="Q11" s="1">
        <v>-164642</v>
      </c>
      <c r="R11" s="1">
        <v>408539</v>
      </c>
      <c r="S11">
        <v>99.302199999999999</v>
      </c>
      <c r="T11">
        <v>98.274000000000001</v>
      </c>
      <c r="U11">
        <v>7.6155400000000002</v>
      </c>
      <c r="V11">
        <v>0</v>
      </c>
      <c r="W11">
        <v>1</v>
      </c>
      <c r="X11">
        <v>1.68055</v>
      </c>
      <c r="Y11">
        <v>1.37815</v>
      </c>
      <c r="Z11">
        <v>0</v>
      </c>
      <c r="AA11">
        <v>1.1497599999999999</v>
      </c>
      <c r="AB11">
        <v>2.1168</v>
      </c>
      <c r="AC11" s="2">
        <v>6879310</v>
      </c>
      <c r="AD11" s="1">
        <v>0</v>
      </c>
      <c r="AE11" s="1">
        <v>0</v>
      </c>
      <c r="AF11" s="1">
        <v>0</v>
      </c>
      <c r="AG11" s="1">
        <v>0</v>
      </c>
      <c r="AH11" s="2">
        <v>4347990</v>
      </c>
      <c r="AI11" s="1">
        <v>898606</v>
      </c>
      <c r="AJ11" s="1">
        <v>0</v>
      </c>
      <c r="AK11" s="8">
        <f t="shared" si="3"/>
        <v>10</v>
      </c>
      <c r="AL11" s="8">
        <f t="shared" si="2"/>
        <v>1</v>
      </c>
      <c r="AM11">
        <f t="shared" si="0"/>
        <v>0</v>
      </c>
      <c r="AN11">
        <f t="shared" si="1"/>
        <v>0</v>
      </c>
    </row>
    <row r="12" spans="1:40" x14ac:dyDescent="0.35">
      <c r="A12">
        <v>72.290000000000006</v>
      </c>
      <c r="B12">
        <v>72.290000000000006</v>
      </c>
      <c r="C12">
        <v>5.6828000000000003</v>
      </c>
      <c r="D12">
        <v>0.05</v>
      </c>
      <c r="E12">
        <v>1</v>
      </c>
      <c r="F12">
        <v>2.0706899999999999</v>
      </c>
      <c r="G12">
        <v>2.3730899999999999</v>
      </c>
      <c r="H12">
        <v>0</v>
      </c>
      <c r="I12">
        <v>0.387934</v>
      </c>
      <c r="J12">
        <v>3.6288</v>
      </c>
      <c r="K12" s="1">
        <v>152133</v>
      </c>
      <c r="L12" s="1">
        <v>0</v>
      </c>
      <c r="M12" s="1">
        <v>0</v>
      </c>
      <c r="N12" s="1">
        <v>0</v>
      </c>
      <c r="O12" s="1">
        <v>0</v>
      </c>
      <c r="P12" s="2">
        <v>3095630</v>
      </c>
      <c r="Q12" s="1">
        <v>-164580</v>
      </c>
      <c r="R12" s="1">
        <v>408539</v>
      </c>
      <c r="S12">
        <v>99.302199999999999</v>
      </c>
      <c r="T12">
        <v>98.274000000000001</v>
      </c>
      <c r="U12">
        <v>5.4377399999999998</v>
      </c>
      <c r="V12">
        <v>0</v>
      </c>
      <c r="W12">
        <v>1</v>
      </c>
      <c r="X12">
        <v>1.6809000000000001</v>
      </c>
      <c r="Y12">
        <v>1.3785000000000001</v>
      </c>
      <c r="Z12">
        <v>0</v>
      </c>
      <c r="AA12">
        <v>1.2983899999999999</v>
      </c>
      <c r="AB12">
        <v>2.1168</v>
      </c>
      <c r="AC12" s="2">
        <v>7777940</v>
      </c>
      <c r="AD12" s="1">
        <v>0</v>
      </c>
      <c r="AE12" s="1">
        <v>0</v>
      </c>
      <c r="AF12" s="1">
        <v>0</v>
      </c>
      <c r="AG12" s="1">
        <v>0</v>
      </c>
      <c r="AH12" s="2">
        <v>4348890</v>
      </c>
      <c r="AI12" s="1">
        <v>898635</v>
      </c>
      <c r="AJ12" s="1">
        <v>0</v>
      </c>
      <c r="AK12" s="8">
        <f t="shared" si="3"/>
        <v>11</v>
      </c>
      <c r="AL12" s="8">
        <f t="shared" si="2"/>
        <v>1</v>
      </c>
      <c r="AM12">
        <f t="shared" si="0"/>
        <v>0</v>
      </c>
      <c r="AN12">
        <f t="shared" si="1"/>
        <v>0</v>
      </c>
    </row>
    <row r="13" spans="1:40" x14ac:dyDescent="0.35">
      <c r="A13">
        <v>72.290000000000006</v>
      </c>
      <c r="B13">
        <v>72.290000000000006</v>
      </c>
      <c r="C13">
        <v>3.8504</v>
      </c>
      <c r="D13">
        <v>0.05</v>
      </c>
      <c r="E13">
        <v>1</v>
      </c>
      <c r="F13">
        <v>2.0712899999999999</v>
      </c>
      <c r="G13">
        <v>2.3736899999999999</v>
      </c>
      <c r="H13">
        <v>0</v>
      </c>
      <c r="I13">
        <v>0.38804699999999998</v>
      </c>
      <c r="J13">
        <v>3.6288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2">
        <v>3096530</v>
      </c>
      <c r="Q13" s="1">
        <v>-164518</v>
      </c>
      <c r="R13" s="1">
        <v>408539</v>
      </c>
      <c r="S13">
        <v>99.302199999999999</v>
      </c>
      <c r="T13">
        <v>98.274000000000001</v>
      </c>
      <c r="U13">
        <v>4.3604000000000003</v>
      </c>
      <c r="V13">
        <v>0</v>
      </c>
      <c r="W13">
        <v>1</v>
      </c>
      <c r="X13">
        <v>1.6812499999999999</v>
      </c>
      <c r="Y13">
        <v>1.3788499999999999</v>
      </c>
      <c r="Z13">
        <v>0</v>
      </c>
      <c r="AA13">
        <v>1.2986599999999999</v>
      </c>
      <c r="AB13">
        <v>2.1168</v>
      </c>
      <c r="AC13" s="2">
        <v>8676610</v>
      </c>
      <c r="AD13" s="1">
        <v>0</v>
      </c>
      <c r="AE13" s="1">
        <v>0</v>
      </c>
      <c r="AF13" s="1">
        <v>0</v>
      </c>
      <c r="AG13" s="1">
        <v>0</v>
      </c>
      <c r="AH13" s="2">
        <v>4349800</v>
      </c>
      <c r="AI13" s="1">
        <v>898665</v>
      </c>
      <c r="AJ13" s="1">
        <v>0</v>
      </c>
      <c r="AK13" s="8">
        <f t="shared" si="3"/>
        <v>12</v>
      </c>
      <c r="AL13" s="8">
        <f t="shared" si="2"/>
        <v>1</v>
      </c>
      <c r="AM13">
        <f t="shared" si="0"/>
        <v>0</v>
      </c>
      <c r="AN13">
        <f t="shared" si="1"/>
        <v>0</v>
      </c>
    </row>
    <row r="14" spans="1:40" x14ac:dyDescent="0.35">
      <c r="A14">
        <v>72.290000000000006</v>
      </c>
      <c r="B14">
        <v>72.290000000000006</v>
      </c>
      <c r="C14">
        <v>5.3824199999999998</v>
      </c>
      <c r="D14">
        <v>0.05</v>
      </c>
      <c r="E14">
        <v>1</v>
      </c>
      <c r="F14">
        <v>2.0718899999999998</v>
      </c>
      <c r="G14">
        <v>2.3742899999999998</v>
      </c>
      <c r="H14">
        <v>0</v>
      </c>
      <c r="I14">
        <v>0.38816000000000001</v>
      </c>
      <c r="J14">
        <v>3.6288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2">
        <v>3097430</v>
      </c>
      <c r="Q14" s="1">
        <v>-164456</v>
      </c>
      <c r="R14" s="1">
        <v>408539</v>
      </c>
      <c r="S14">
        <v>99.302199999999999</v>
      </c>
      <c r="T14">
        <v>98.274000000000001</v>
      </c>
      <c r="U14">
        <v>5.0574500000000002</v>
      </c>
      <c r="V14">
        <v>0</v>
      </c>
      <c r="W14">
        <v>1</v>
      </c>
      <c r="X14">
        <v>1.6816</v>
      </c>
      <c r="Y14">
        <v>1.3792</v>
      </c>
      <c r="Z14">
        <v>0</v>
      </c>
      <c r="AA14">
        <v>1.2989299999999999</v>
      </c>
      <c r="AB14">
        <v>2.1168</v>
      </c>
      <c r="AC14" s="2">
        <v>9575300</v>
      </c>
      <c r="AD14" s="1">
        <v>0</v>
      </c>
      <c r="AE14" s="1">
        <v>0</v>
      </c>
      <c r="AF14" s="1">
        <v>0</v>
      </c>
      <c r="AG14" s="1">
        <v>0</v>
      </c>
      <c r="AH14" s="2">
        <v>4350700</v>
      </c>
      <c r="AI14" s="1">
        <v>898694</v>
      </c>
      <c r="AJ14" s="1">
        <v>0</v>
      </c>
      <c r="AK14" s="8">
        <f t="shared" si="3"/>
        <v>13</v>
      </c>
      <c r="AL14" s="8">
        <f t="shared" si="2"/>
        <v>1</v>
      </c>
      <c r="AM14">
        <f t="shared" si="0"/>
        <v>0</v>
      </c>
      <c r="AN14">
        <f t="shared" si="1"/>
        <v>0</v>
      </c>
    </row>
    <row r="15" spans="1:40" x14ac:dyDescent="0.35">
      <c r="A15">
        <v>72.290000000000006</v>
      </c>
      <c r="B15">
        <v>72.290000000000006</v>
      </c>
      <c r="C15">
        <v>6.6389199999999997</v>
      </c>
      <c r="D15">
        <v>0.05</v>
      </c>
      <c r="E15">
        <v>1</v>
      </c>
      <c r="F15">
        <v>2.1592699999999998</v>
      </c>
      <c r="G15">
        <v>2.4616699999999998</v>
      </c>
      <c r="H15">
        <v>0</v>
      </c>
      <c r="I15">
        <v>0.38827299999999998</v>
      </c>
      <c r="J15">
        <v>3.6288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2">
        <v>3228050</v>
      </c>
      <c r="Q15" s="1">
        <v>-155474</v>
      </c>
      <c r="R15" s="1">
        <v>408539</v>
      </c>
      <c r="S15">
        <v>99.302199999999999</v>
      </c>
      <c r="T15">
        <v>98.274000000000001</v>
      </c>
      <c r="U15">
        <v>4.9381899999999996</v>
      </c>
      <c r="V15">
        <v>0</v>
      </c>
      <c r="W15">
        <v>1</v>
      </c>
      <c r="X15">
        <v>1.7374400000000001</v>
      </c>
      <c r="Y15">
        <v>1.4350400000000001</v>
      </c>
      <c r="Z15">
        <v>0</v>
      </c>
      <c r="AA15">
        <v>1.2991999999999999</v>
      </c>
      <c r="AB15">
        <v>2.1168</v>
      </c>
      <c r="AC15" s="2">
        <v>10478700</v>
      </c>
      <c r="AD15" s="1">
        <v>0</v>
      </c>
      <c r="AE15" s="1">
        <v>0</v>
      </c>
      <c r="AF15" s="1">
        <v>0</v>
      </c>
      <c r="AG15" s="1">
        <v>0</v>
      </c>
      <c r="AH15" s="2">
        <v>4495160</v>
      </c>
      <c r="AI15" s="1">
        <v>903403</v>
      </c>
      <c r="AJ15" s="1">
        <v>0</v>
      </c>
      <c r="AK15" s="8">
        <f t="shared" si="3"/>
        <v>14</v>
      </c>
      <c r="AL15" s="8">
        <f t="shared" si="2"/>
        <v>1</v>
      </c>
      <c r="AM15">
        <f t="shared" si="0"/>
        <v>0</v>
      </c>
      <c r="AN15">
        <f t="shared" si="1"/>
        <v>0</v>
      </c>
    </row>
    <row r="16" spans="1:40" x14ac:dyDescent="0.35">
      <c r="A16">
        <v>72.290000000000006</v>
      </c>
      <c r="B16">
        <v>72.290000000000006</v>
      </c>
      <c r="C16">
        <v>4.61043</v>
      </c>
      <c r="D16">
        <v>0.05</v>
      </c>
      <c r="E16">
        <v>1</v>
      </c>
      <c r="F16">
        <v>2.1830500000000002</v>
      </c>
      <c r="G16">
        <v>2.4622999999999999</v>
      </c>
      <c r="H16">
        <v>0</v>
      </c>
      <c r="I16">
        <v>0.40464699999999998</v>
      </c>
      <c r="J16">
        <v>3.6288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2">
        <v>3263610</v>
      </c>
      <c r="Q16" s="1">
        <v>-124128</v>
      </c>
      <c r="R16" s="1">
        <v>377256</v>
      </c>
      <c r="S16">
        <v>99.302199999999999</v>
      </c>
      <c r="T16">
        <v>98.274000000000001</v>
      </c>
      <c r="U16">
        <v>4.4763500000000001</v>
      </c>
      <c r="V16">
        <v>0</v>
      </c>
      <c r="W16">
        <v>1</v>
      </c>
      <c r="X16">
        <v>1.7146399999999999</v>
      </c>
      <c r="Y16">
        <v>1.4354</v>
      </c>
      <c r="Z16">
        <v>0</v>
      </c>
      <c r="AA16">
        <v>1.3423400000000001</v>
      </c>
      <c r="AB16">
        <v>2.1168</v>
      </c>
      <c r="AC16" s="2">
        <v>11322200</v>
      </c>
      <c r="AD16" s="1">
        <v>0</v>
      </c>
      <c r="AE16" s="1">
        <v>0</v>
      </c>
      <c r="AF16" s="1">
        <v>0</v>
      </c>
      <c r="AG16" s="1">
        <v>0</v>
      </c>
      <c r="AH16" s="2">
        <v>4436190</v>
      </c>
      <c r="AI16" s="1">
        <v>843526</v>
      </c>
      <c r="AJ16" s="1">
        <v>0</v>
      </c>
      <c r="AK16" s="8">
        <f t="shared" si="3"/>
        <v>15</v>
      </c>
      <c r="AL16" s="8">
        <f t="shared" si="2"/>
        <v>1</v>
      </c>
      <c r="AM16">
        <f t="shared" si="0"/>
        <v>0</v>
      </c>
      <c r="AN16">
        <f t="shared" si="1"/>
        <v>0</v>
      </c>
    </row>
    <row r="17" spans="1:40" x14ac:dyDescent="0.35">
      <c r="A17">
        <v>72.290000000000006</v>
      </c>
      <c r="B17">
        <v>72.290000000000006</v>
      </c>
      <c r="C17">
        <v>3.60188</v>
      </c>
      <c r="D17">
        <v>0.05</v>
      </c>
      <c r="E17">
        <v>1</v>
      </c>
      <c r="F17">
        <v>2.18404</v>
      </c>
      <c r="G17">
        <v>2.46292</v>
      </c>
      <c r="H17">
        <v>0</v>
      </c>
      <c r="I17">
        <v>0.40910400000000002</v>
      </c>
      <c r="J17">
        <v>3.6288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2">
        <v>3265080</v>
      </c>
      <c r="Q17" s="1">
        <v>-123571</v>
      </c>
      <c r="R17" s="1">
        <v>376764</v>
      </c>
      <c r="S17">
        <v>99.302199999999999</v>
      </c>
      <c r="T17">
        <v>98.274000000000001</v>
      </c>
      <c r="U17">
        <v>3.5867</v>
      </c>
      <c r="V17">
        <v>0</v>
      </c>
      <c r="W17">
        <v>1</v>
      </c>
      <c r="X17">
        <v>1.7146399999999999</v>
      </c>
      <c r="Y17">
        <v>1.4357599999999999</v>
      </c>
      <c r="Z17">
        <v>0</v>
      </c>
      <c r="AA17">
        <v>1.32473</v>
      </c>
      <c r="AB17">
        <v>2.1168</v>
      </c>
      <c r="AC17" s="2">
        <v>12164800</v>
      </c>
      <c r="AD17" s="1">
        <v>0</v>
      </c>
      <c r="AE17" s="1">
        <v>0</v>
      </c>
      <c r="AF17" s="1">
        <v>0</v>
      </c>
      <c r="AG17" s="1">
        <v>0</v>
      </c>
      <c r="AH17" s="2">
        <v>4436190</v>
      </c>
      <c r="AI17" s="1">
        <v>842614</v>
      </c>
      <c r="AJ17" s="1">
        <v>0</v>
      </c>
      <c r="AK17" s="8">
        <f t="shared" si="3"/>
        <v>16</v>
      </c>
      <c r="AL17" s="8">
        <f t="shared" si="2"/>
        <v>1</v>
      </c>
      <c r="AM17">
        <f t="shared" si="0"/>
        <v>0</v>
      </c>
      <c r="AN17">
        <f t="shared" si="1"/>
        <v>0</v>
      </c>
    </row>
    <row r="18" spans="1:40" x14ac:dyDescent="0.35">
      <c r="A18">
        <v>72.290000000000006</v>
      </c>
      <c r="B18">
        <v>72.290000000000006</v>
      </c>
      <c r="C18">
        <v>3.34416</v>
      </c>
      <c r="D18">
        <v>0.05</v>
      </c>
      <c r="E18">
        <v>1</v>
      </c>
      <c r="F18">
        <v>2.1850299999999998</v>
      </c>
      <c r="G18">
        <v>2.4635500000000001</v>
      </c>
      <c r="H18">
        <v>0</v>
      </c>
      <c r="I18">
        <v>0.40928900000000001</v>
      </c>
      <c r="J18">
        <v>3.6288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2">
        <v>3266560</v>
      </c>
      <c r="Q18" s="1">
        <v>-123015</v>
      </c>
      <c r="R18" s="1">
        <v>376272</v>
      </c>
      <c r="S18">
        <v>99.302199999999999</v>
      </c>
      <c r="T18">
        <v>98.274000000000001</v>
      </c>
      <c r="U18">
        <v>3.5726599999999999</v>
      </c>
      <c r="V18">
        <v>0</v>
      </c>
      <c r="W18">
        <v>1</v>
      </c>
      <c r="X18">
        <v>1.7146399999999999</v>
      </c>
      <c r="Y18">
        <v>1.4361299999999999</v>
      </c>
      <c r="Z18">
        <v>0</v>
      </c>
      <c r="AA18">
        <v>1.32473</v>
      </c>
      <c r="AB18">
        <v>2.1168</v>
      </c>
      <c r="AC18" s="2">
        <v>13006500</v>
      </c>
      <c r="AD18" s="1">
        <v>0</v>
      </c>
      <c r="AE18" s="1">
        <v>0</v>
      </c>
      <c r="AF18" s="1">
        <v>0</v>
      </c>
      <c r="AG18" s="1">
        <v>0</v>
      </c>
      <c r="AH18" s="2">
        <v>4436190</v>
      </c>
      <c r="AI18" s="1">
        <v>841702</v>
      </c>
      <c r="AJ18" s="1">
        <v>0</v>
      </c>
      <c r="AK18" s="8">
        <f t="shared" si="3"/>
        <v>17</v>
      </c>
      <c r="AL18" s="8">
        <f t="shared" si="2"/>
        <v>1</v>
      </c>
      <c r="AM18">
        <f t="shared" si="0"/>
        <v>0</v>
      </c>
      <c r="AN18">
        <f t="shared" si="1"/>
        <v>0</v>
      </c>
    </row>
    <row r="19" spans="1:40" x14ac:dyDescent="0.35">
      <c r="A19">
        <v>72.290000000000006</v>
      </c>
      <c r="B19">
        <v>72.290000000000006</v>
      </c>
      <c r="C19">
        <v>3.68492</v>
      </c>
      <c r="D19">
        <v>0.05</v>
      </c>
      <c r="E19">
        <v>1</v>
      </c>
      <c r="F19">
        <v>2.1520600000000001</v>
      </c>
      <c r="G19">
        <v>2.4302100000000002</v>
      </c>
      <c r="H19">
        <v>0</v>
      </c>
      <c r="I19">
        <v>0.40947499999999998</v>
      </c>
      <c r="J19">
        <v>3.6288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2">
        <v>3217270</v>
      </c>
      <c r="Q19" s="1">
        <v>-125949</v>
      </c>
      <c r="R19" s="1">
        <v>375780</v>
      </c>
      <c r="S19">
        <v>99.302199999999999</v>
      </c>
      <c r="T19">
        <v>98.274000000000001</v>
      </c>
      <c r="U19">
        <v>3.14723</v>
      </c>
      <c r="V19">
        <v>0</v>
      </c>
      <c r="W19">
        <v>1</v>
      </c>
      <c r="X19">
        <v>1.6930700000000001</v>
      </c>
      <c r="Y19">
        <v>1.41492</v>
      </c>
      <c r="Z19">
        <v>0</v>
      </c>
      <c r="AA19">
        <v>1.32473</v>
      </c>
      <c r="AB19">
        <v>2.1168</v>
      </c>
      <c r="AC19" s="2">
        <v>13845500</v>
      </c>
      <c r="AD19" s="1">
        <v>0</v>
      </c>
      <c r="AE19" s="1">
        <v>0</v>
      </c>
      <c r="AF19" s="1">
        <v>0</v>
      </c>
      <c r="AG19" s="1">
        <v>0</v>
      </c>
      <c r="AH19" s="2">
        <v>4380380</v>
      </c>
      <c r="AI19" s="1">
        <v>838971</v>
      </c>
      <c r="AJ19" s="1">
        <v>0</v>
      </c>
      <c r="AK19" s="8">
        <f t="shared" si="3"/>
        <v>18</v>
      </c>
      <c r="AL19" s="8">
        <f t="shared" si="2"/>
        <v>1</v>
      </c>
      <c r="AM19">
        <f t="shared" si="0"/>
        <v>0</v>
      </c>
      <c r="AN19">
        <f t="shared" si="1"/>
        <v>0</v>
      </c>
    </row>
    <row r="20" spans="1:40" x14ac:dyDescent="0.35">
      <c r="A20">
        <v>72.290000000000006</v>
      </c>
      <c r="B20">
        <v>72.290000000000006</v>
      </c>
      <c r="C20">
        <v>3.3841999999999999</v>
      </c>
      <c r="D20">
        <v>0.05</v>
      </c>
      <c r="E20">
        <v>1</v>
      </c>
      <c r="F20">
        <v>2.1314700000000002</v>
      </c>
      <c r="G20">
        <v>2.4308299999999998</v>
      </c>
      <c r="H20">
        <v>0</v>
      </c>
      <c r="I20">
        <v>0.40329500000000001</v>
      </c>
      <c r="J20">
        <v>3.6288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2">
        <v>3186490</v>
      </c>
      <c r="Q20" s="1">
        <v>-154536</v>
      </c>
      <c r="R20" s="1">
        <v>404430</v>
      </c>
      <c r="S20">
        <v>99.302199999999999</v>
      </c>
      <c r="T20">
        <v>98.274000000000001</v>
      </c>
      <c r="U20">
        <v>2.9582299999999999</v>
      </c>
      <c r="V20">
        <v>0</v>
      </c>
      <c r="W20">
        <v>1</v>
      </c>
      <c r="X20">
        <v>1.7146399999999999</v>
      </c>
      <c r="Y20">
        <v>1.4152800000000001</v>
      </c>
      <c r="Z20">
        <v>0</v>
      </c>
      <c r="AA20">
        <v>1.3080700000000001</v>
      </c>
      <c r="AB20">
        <v>2.1168</v>
      </c>
      <c r="AC20" s="2">
        <v>14739400</v>
      </c>
      <c r="AD20" s="1">
        <v>0</v>
      </c>
      <c r="AE20" s="1">
        <v>0</v>
      </c>
      <c r="AF20" s="1">
        <v>0</v>
      </c>
      <c r="AG20" s="1">
        <v>0</v>
      </c>
      <c r="AH20" s="2">
        <v>4436180</v>
      </c>
      <c r="AI20" s="1">
        <v>893869</v>
      </c>
      <c r="AJ20" s="1">
        <v>0</v>
      </c>
      <c r="AK20" s="8">
        <f t="shared" si="3"/>
        <v>19</v>
      </c>
      <c r="AL20" s="8">
        <f t="shared" si="2"/>
        <v>1</v>
      </c>
      <c r="AM20">
        <f t="shared" si="0"/>
        <v>0</v>
      </c>
      <c r="AN20">
        <f t="shared" si="1"/>
        <v>0</v>
      </c>
    </row>
    <row r="21" spans="1:40" x14ac:dyDescent="0.35">
      <c r="A21">
        <v>72.290000000000006</v>
      </c>
      <c r="B21">
        <v>72.290000000000006</v>
      </c>
      <c r="C21">
        <v>2.98481</v>
      </c>
      <c r="D21">
        <v>0.05</v>
      </c>
      <c r="E21">
        <v>1</v>
      </c>
      <c r="F21">
        <v>2.1324399999999999</v>
      </c>
      <c r="G21">
        <v>2.4314399999999998</v>
      </c>
      <c r="H21">
        <v>0</v>
      </c>
      <c r="I21">
        <v>0.39943699999999999</v>
      </c>
      <c r="J21">
        <v>3.6288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2">
        <v>3187950</v>
      </c>
      <c r="Q21" s="1">
        <v>-153988</v>
      </c>
      <c r="R21" s="1">
        <v>403945</v>
      </c>
      <c r="S21">
        <v>99.302199999999999</v>
      </c>
      <c r="T21">
        <v>98.274000000000001</v>
      </c>
      <c r="U21">
        <v>3.1795300000000002</v>
      </c>
      <c r="V21">
        <v>0</v>
      </c>
      <c r="W21">
        <v>1</v>
      </c>
      <c r="X21">
        <v>1.7146399999999999</v>
      </c>
      <c r="Y21">
        <v>1.41564</v>
      </c>
      <c r="Z21">
        <v>0</v>
      </c>
      <c r="AA21">
        <v>1.32473</v>
      </c>
      <c r="AB21">
        <v>2.1168</v>
      </c>
      <c r="AC21" s="2">
        <v>15632400</v>
      </c>
      <c r="AD21" s="1">
        <v>0</v>
      </c>
      <c r="AE21" s="1">
        <v>0</v>
      </c>
      <c r="AF21" s="1">
        <v>0</v>
      </c>
      <c r="AG21" s="1">
        <v>0</v>
      </c>
      <c r="AH21" s="2">
        <v>4436180</v>
      </c>
      <c r="AI21" s="1">
        <v>892970</v>
      </c>
      <c r="AJ21" s="1">
        <v>0</v>
      </c>
      <c r="AK21" s="8">
        <f t="shared" si="3"/>
        <v>20</v>
      </c>
      <c r="AL21" s="8">
        <f t="shared" si="2"/>
        <v>1</v>
      </c>
      <c r="AM21">
        <f t="shared" si="0"/>
        <v>0</v>
      </c>
      <c r="AN21">
        <f t="shared" si="1"/>
        <v>0</v>
      </c>
    </row>
    <row r="22" spans="1:40" x14ac:dyDescent="0.35">
      <c r="A22">
        <v>72.290000000000006</v>
      </c>
      <c r="B22">
        <v>72.290000000000006</v>
      </c>
      <c r="C22">
        <v>3.0459999999999998</v>
      </c>
      <c r="D22">
        <v>0.04</v>
      </c>
      <c r="E22">
        <v>1</v>
      </c>
      <c r="F22">
        <v>2.1334200000000001</v>
      </c>
      <c r="G22">
        <v>2.4320599999999999</v>
      </c>
      <c r="H22">
        <v>0</v>
      </c>
      <c r="I22">
        <v>0.39961999999999998</v>
      </c>
      <c r="J22">
        <v>3.6288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2">
        <v>3189410</v>
      </c>
      <c r="Q22" s="1">
        <v>-153439</v>
      </c>
      <c r="R22" s="1">
        <v>403459</v>
      </c>
      <c r="S22">
        <v>99.302199999999999</v>
      </c>
      <c r="T22">
        <v>98.274000000000001</v>
      </c>
      <c r="U22">
        <v>2.71753</v>
      </c>
      <c r="V22">
        <v>0</v>
      </c>
      <c r="W22">
        <v>1</v>
      </c>
      <c r="X22">
        <v>1.7146399999999999</v>
      </c>
      <c r="Y22">
        <v>1.4159999999999999</v>
      </c>
      <c r="Z22">
        <v>0</v>
      </c>
      <c r="AA22">
        <v>1.32473</v>
      </c>
      <c r="AB22">
        <v>2.1168</v>
      </c>
      <c r="AC22" s="2">
        <v>16524400</v>
      </c>
      <c r="AD22" s="1">
        <v>0</v>
      </c>
      <c r="AE22" s="1">
        <v>0</v>
      </c>
      <c r="AF22" s="1">
        <v>0</v>
      </c>
      <c r="AG22" s="1">
        <v>0</v>
      </c>
      <c r="AH22" s="2">
        <v>4436180</v>
      </c>
      <c r="AI22" s="1">
        <v>892071</v>
      </c>
      <c r="AJ22" s="1">
        <v>0</v>
      </c>
      <c r="AK22" s="8">
        <f t="shared" si="3"/>
        <v>21</v>
      </c>
      <c r="AL22" s="8">
        <f t="shared" si="2"/>
        <v>1</v>
      </c>
      <c r="AM22">
        <f t="shared" si="0"/>
        <v>0</v>
      </c>
      <c r="AN22">
        <f t="shared" si="1"/>
        <v>0</v>
      </c>
    </row>
    <row r="23" spans="1:40" x14ac:dyDescent="0.35">
      <c r="A23">
        <v>72.290000000000006</v>
      </c>
      <c r="B23">
        <v>72.290000000000006</v>
      </c>
      <c r="C23">
        <v>3.1656399999999998</v>
      </c>
      <c r="D23">
        <v>0.04</v>
      </c>
      <c r="E23">
        <v>1</v>
      </c>
      <c r="F23">
        <v>2.24979</v>
      </c>
      <c r="G23">
        <v>2.5480800000000001</v>
      </c>
      <c r="H23">
        <v>0</v>
      </c>
      <c r="I23">
        <v>0.39980300000000002</v>
      </c>
      <c r="J23">
        <v>3.6288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2">
        <v>3363390</v>
      </c>
      <c r="Q23" s="1">
        <v>-141027</v>
      </c>
      <c r="R23" s="1">
        <v>402974</v>
      </c>
      <c r="S23">
        <v>99.302199999999999</v>
      </c>
      <c r="T23">
        <v>98.274000000000001</v>
      </c>
      <c r="U23">
        <v>2.8777699999999999</v>
      </c>
      <c r="V23">
        <v>0</v>
      </c>
      <c r="W23">
        <v>1</v>
      </c>
      <c r="X23">
        <v>1.79122</v>
      </c>
      <c r="Y23">
        <v>1.4929300000000001</v>
      </c>
      <c r="Z23">
        <v>0</v>
      </c>
      <c r="AA23">
        <v>1.32473</v>
      </c>
      <c r="AB23">
        <v>2.1168</v>
      </c>
      <c r="AC23" s="2">
        <v>17422100</v>
      </c>
      <c r="AD23" s="1">
        <v>0</v>
      </c>
      <c r="AE23" s="1">
        <v>0</v>
      </c>
      <c r="AF23" s="1">
        <v>0</v>
      </c>
      <c r="AG23" s="1">
        <v>0</v>
      </c>
      <c r="AH23" s="2">
        <v>4634300</v>
      </c>
      <c r="AI23" s="1">
        <v>897629</v>
      </c>
      <c r="AJ23" s="1">
        <v>0</v>
      </c>
      <c r="AK23" s="8">
        <f t="shared" si="3"/>
        <v>22</v>
      </c>
      <c r="AL23" s="8">
        <f t="shared" si="2"/>
        <v>1</v>
      </c>
      <c r="AM23">
        <f t="shared" si="0"/>
        <v>0</v>
      </c>
      <c r="AN23">
        <f t="shared" si="1"/>
        <v>0</v>
      </c>
    </row>
    <row r="24" spans="1:40" x14ac:dyDescent="0.35">
      <c r="A24">
        <v>72.290000000000006</v>
      </c>
      <c r="B24">
        <v>72.290000000000006</v>
      </c>
      <c r="C24">
        <v>2.9220700000000002</v>
      </c>
      <c r="D24">
        <v>0.02</v>
      </c>
      <c r="E24">
        <v>1</v>
      </c>
      <c r="F24">
        <v>2.3273799999999998</v>
      </c>
      <c r="G24">
        <v>2.5487199999999999</v>
      </c>
      <c r="H24">
        <v>0</v>
      </c>
      <c r="I24">
        <v>0.42161199999999999</v>
      </c>
      <c r="J24">
        <v>3.6288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2">
        <v>3479370</v>
      </c>
      <c r="Q24" s="1">
        <v>-37021.699999999997</v>
      </c>
      <c r="R24" s="1">
        <v>299035</v>
      </c>
      <c r="S24">
        <v>99.302199999999999</v>
      </c>
      <c r="T24">
        <v>98.274000000000001</v>
      </c>
      <c r="U24">
        <v>2.5978599999999998</v>
      </c>
      <c r="V24">
        <v>0</v>
      </c>
      <c r="W24">
        <v>1</v>
      </c>
      <c r="X24">
        <v>1.7146600000000001</v>
      </c>
      <c r="Y24">
        <v>1.4933099999999999</v>
      </c>
      <c r="Z24">
        <v>0</v>
      </c>
      <c r="AA24">
        <v>1.3838900000000001</v>
      </c>
      <c r="AB24">
        <v>2.1168</v>
      </c>
      <c r="AC24" s="2">
        <v>18120700</v>
      </c>
      <c r="AD24" s="1">
        <v>0</v>
      </c>
      <c r="AE24" s="1">
        <v>0</v>
      </c>
      <c r="AF24" s="1">
        <v>0</v>
      </c>
      <c r="AG24" s="1">
        <v>0</v>
      </c>
      <c r="AH24" s="2">
        <v>4436230</v>
      </c>
      <c r="AI24" s="1">
        <v>698611</v>
      </c>
      <c r="AJ24" s="1">
        <v>0</v>
      </c>
      <c r="AK24" s="8">
        <f t="shared" si="3"/>
        <v>23</v>
      </c>
      <c r="AL24" s="8">
        <f t="shared" si="2"/>
        <v>1</v>
      </c>
      <c r="AM24">
        <f t="shared" si="0"/>
        <v>0</v>
      </c>
      <c r="AN24">
        <f t="shared" si="1"/>
        <v>0</v>
      </c>
    </row>
    <row r="25" spans="1:40" x14ac:dyDescent="0.35">
      <c r="A25">
        <v>72.048400000000001</v>
      </c>
      <c r="B25">
        <v>72.290000000000006</v>
      </c>
      <c r="C25">
        <v>2.6005099999999999</v>
      </c>
      <c r="D25">
        <v>0.01</v>
      </c>
      <c r="E25">
        <v>1</v>
      </c>
      <c r="F25">
        <v>2.3283999999999998</v>
      </c>
      <c r="G25">
        <v>2.5493700000000001</v>
      </c>
      <c r="H25">
        <v>0</v>
      </c>
      <c r="I25">
        <v>0.43614999999999998</v>
      </c>
      <c r="J25">
        <v>3.6288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2">
        <v>3480900</v>
      </c>
      <c r="Q25" s="1">
        <v>-36443.199999999997</v>
      </c>
      <c r="R25" s="1">
        <v>298523</v>
      </c>
      <c r="S25">
        <v>99.292000000000002</v>
      </c>
      <c r="T25">
        <v>98.274000000000001</v>
      </c>
      <c r="U25">
        <v>2.3903099999999999</v>
      </c>
      <c r="V25">
        <v>0</v>
      </c>
      <c r="W25">
        <v>1</v>
      </c>
      <c r="X25">
        <v>1.7146600000000001</v>
      </c>
      <c r="Y25">
        <v>1.49369</v>
      </c>
      <c r="Z25">
        <v>0</v>
      </c>
      <c r="AA25">
        <v>1.3247500000000001</v>
      </c>
      <c r="AB25">
        <v>2.1168</v>
      </c>
      <c r="AC25" s="2">
        <v>18818300</v>
      </c>
      <c r="AD25" s="1">
        <v>0</v>
      </c>
      <c r="AE25" s="1">
        <v>0</v>
      </c>
      <c r="AF25" s="1">
        <v>0</v>
      </c>
      <c r="AG25" s="1">
        <v>0</v>
      </c>
      <c r="AH25" s="2">
        <v>4436230</v>
      </c>
      <c r="AI25" s="1">
        <v>697663</v>
      </c>
      <c r="AJ25" s="1">
        <v>0</v>
      </c>
      <c r="AK25" s="8">
        <f t="shared" si="3"/>
        <v>24</v>
      </c>
      <c r="AL25" s="8">
        <f t="shared" si="2"/>
        <v>1</v>
      </c>
      <c r="AM25">
        <f t="shared" si="0"/>
        <v>0</v>
      </c>
      <c r="AN25">
        <f t="shared" si="1"/>
        <v>0</v>
      </c>
    </row>
    <row r="26" spans="1:40" x14ac:dyDescent="0.35">
      <c r="A26">
        <v>71.7119</v>
      </c>
      <c r="B26">
        <v>72.290000000000006</v>
      </c>
      <c r="C26">
        <v>2.4561299999999999</v>
      </c>
      <c r="D26">
        <v>0.04</v>
      </c>
      <c r="E26">
        <v>1</v>
      </c>
      <c r="F26">
        <v>2.3294299999999999</v>
      </c>
      <c r="G26">
        <v>2.55002</v>
      </c>
      <c r="H26">
        <v>0</v>
      </c>
      <c r="I26">
        <v>0.43634299999999998</v>
      </c>
      <c r="J26">
        <v>3.6288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2">
        <v>3482440</v>
      </c>
      <c r="Q26" s="1">
        <v>-35864.5</v>
      </c>
      <c r="R26" s="1">
        <v>298011</v>
      </c>
      <c r="S26">
        <v>99.145099999999999</v>
      </c>
      <c r="T26">
        <v>98.274000000000001</v>
      </c>
      <c r="U26">
        <v>2.29562</v>
      </c>
      <c r="V26">
        <v>0</v>
      </c>
      <c r="W26">
        <v>1</v>
      </c>
      <c r="X26">
        <v>1.7146600000000001</v>
      </c>
      <c r="Y26">
        <v>1.49407</v>
      </c>
      <c r="Z26">
        <v>0</v>
      </c>
      <c r="AA26">
        <v>1.3247500000000001</v>
      </c>
      <c r="AB26">
        <v>2.1168</v>
      </c>
      <c r="AC26" s="2">
        <v>19515000</v>
      </c>
      <c r="AD26" s="1">
        <v>0</v>
      </c>
      <c r="AE26" s="1">
        <v>0</v>
      </c>
      <c r="AF26" s="1">
        <v>0</v>
      </c>
      <c r="AG26" s="1">
        <v>0</v>
      </c>
      <c r="AH26" s="2">
        <v>4436230</v>
      </c>
      <c r="AI26" s="1">
        <v>696714</v>
      </c>
      <c r="AJ26" s="1">
        <v>0</v>
      </c>
      <c r="AK26" s="8">
        <f t="shared" si="3"/>
        <v>25</v>
      </c>
      <c r="AL26" s="8">
        <f t="shared" si="2"/>
        <v>1</v>
      </c>
      <c r="AM26">
        <f t="shared" si="0"/>
        <v>0</v>
      </c>
      <c r="AN26">
        <f t="shared" si="1"/>
        <v>0</v>
      </c>
    </row>
    <row r="27" spans="1:40" x14ac:dyDescent="0.35">
      <c r="A27">
        <v>71.2119</v>
      </c>
      <c r="B27">
        <v>72.290000000000006</v>
      </c>
      <c r="C27">
        <v>2.2956699999999999</v>
      </c>
      <c r="D27">
        <v>0.04</v>
      </c>
      <c r="E27">
        <v>1</v>
      </c>
      <c r="F27">
        <v>2.33046</v>
      </c>
      <c r="G27">
        <v>2.5506600000000001</v>
      </c>
      <c r="H27">
        <v>0</v>
      </c>
      <c r="I27">
        <v>0.43653500000000001</v>
      </c>
      <c r="J27">
        <v>3.6288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2">
        <v>3483970</v>
      </c>
      <c r="Q27" s="1">
        <v>-35285.699999999997</v>
      </c>
      <c r="R27" s="1">
        <v>297499</v>
      </c>
      <c r="S27">
        <v>99.027600000000007</v>
      </c>
      <c r="T27">
        <v>98.274000000000001</v>
      </c>
      <c r="U27">
        <v>2.1637300000000002</v>
      </c>
      <c r="V27">
        <v>0</v>
      </c>
      <c r="W27">
        <v>1</v>
      </c>
      <c r="X27">
        <v>1.7146600000000001</v>
      </c>
      <c r="Y27">
        <v>1.4944500000000001</v>
      </c>
      <c r="Z27">
        <v>0</v>
      </c>
      <c r="AA27">
        <v>1.3247500000000001</v>
      </c>
      <c r="AB27">
        <v>2.1168</v>
      </c>
      <c r="AC27" s="2">
        <v>20210800</v>
      </c>
      <c r="AD27" s="1">
        <v>0</v>
      </c>
      <c r="AE27" s="1">
        <v>0</v>
      </c>
      <c r="AF27" s="1">
        <v>0</v>
      </c>
      <c r="AG27" s="1">
        <v>0</v>
      </c>
      <c r="AH27" s="2">
        <v>4436230</v>
      </c>
      <c r="AI27" s="1">
        <v>695765</v>
      </c>
      <c r="AJ27" s="1">
        <v>0</v>
      </c>
      <c r="AK27" s="8">
        <f t="shared" si="3"/>
        <v>26</v>
      </c>
      <c r="AL27" s="8">
        <f t="shared" si="2"/>
        <v>1</v>
      </c>
      <c r="AM27">
        <f t="shared" si="0"/>
        <v>0</v>
      </c>
      <c r="AN27">
        <f t="shared" si="1"/>
        <v>0</v>
      </c>
    </row>
    <row r="28" spans="1:40" x14ac:dyDescent="0.35">
      <c r="A28">
        <v>70.441599999999994</v>
      </c>
      <c r="B28">
        <v>72.290000000000006</v>
      </c>
      <c r="C28">
        <v>2.01675</v>
      </c>
      <c r="D28">
        <v>0.02</v>
      </c>
      <c r="E28">
        <v>1</v>
      </c>
      <c r="F28">
        <v>2.30863</v>
      </c>
      <c r="G28">
        <v>2.5284599999999999</v>
      </c>
      <c r="H28">
        <v>0</v>
      </c>
      <c r="I28">
        <v>0.43672699999999998</v>
      </c>
      <c r="J28">
        <v>3.6288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2">
        <v>3451350</v>
      </c>
      <c r="Q28" s="1">
        <v>-37055.9</v>
      </c>
      <c r="R28" s="1">
        <v>296987</v>
      </c>
      <c r="S28">
        <v>98.685299999999998</v>
      </c>
      <c r="T28">
        <v>98.274000000000001</v>
      </c>
      <c r="U28">
        <v>2.0867200000000001</v>
      </c>
      <c r="V28">
        <v>0</v>
      </c>
      <c r="W28">
        <v>1</v>
      </c>
      <c r="X28">
        <v>1.7567999999999999</v>
      </c>
      <c r="Y28">
        <v>1.5369699999999999</v>
      </c>
      <c r="Z28">
        <v>0</v>
      </c>
      <c r="AA28">
        <v>1.3247500000000001</v>
      </c>
      <c r="AB28">
        <v>2.1168</v>
      </c>
      <c r="AC28" s="2">
        <v>20909200</v>
      </c>
      <c r="AD28" s="1">
        <v>0</v>
      </c>
      <c r="AE28" s="1">
        <v>0</v>
      </c>
      <c r="AF28" s="1">
        <v>0</v>
      </c>
      <c r="AG28" s="1">
        <v>0</v>
      </c>
      <c r="AH28" s="2">
        <v>4545260</v>
      </c>
      <c r="AI28" s="1">
        <v>698370</v>
      </c>
      <c r="AJ28" s="1">
        <v>0</v>
      </c>
      <c r="AK28" s="8">
        <f t="shared" si="3"/>
        <v>27</v>
      </c>
      <c r="AL28" s="8">
        <f t="shared" si="2"/>
        <v>1</v>
      </c>
      <c r="AM28">
        <f t="shared" si="0"/>
        <v>0</v>
      </c>
      <c r="AN28">
        <f t="shared" si="1"/>
        <v>0</v>
      </c>
    </row>
    <row r="29" spans="1:40" x14ac:dyDescent="0.35">
      <c r="A29">
        <v>69.455299999999994</v>
      </c>
      <c r="B29">
        <v>72.290000000000006</v>
      </c>
      <c r="C29">
        <v>1.8431599999999999</v>
      </c>
      <c r="D29">
        <v>0.02</v>
      </c>
      <c r="E29">
        <v>1</v>
      </c>
      <c r="F29">
        <v>2.3517899999999998</v>
      </c>
      <c r="G29">
        <v>2.5291000000000001</v>
      </c>
      <c r="H29">
        <v>0</v>
      </c>
      <c r="I29">
        <v>0.43263800000000002</v>
      </c>
      <c r="J29">
        <v>3.6288</v>
      </c>
      <c r="K29" s="1">
        <v>20454.099999999999</v>
      </c>
      <c r="L29" s="1">
        <v>0</v>
      </c>
      <c r="M29" s="1">
        <v>0</v>
      </c>
      <c r="N29" s="1">
        <v>0</v>
      </c>
      <c r="O29" s="1">
        <v>0</v>
      </c>
      <c r="P29" s="2">
        <v>3515870</v>
      </c>
      <c r="Q29" s="1">
        <v>20454.099999999999</v>
      </c>
      <c r="R29" s="1">
        <v>239543</v>
      </c>
      <c r="S29">
        <v>98.391900000000007</v>
      </c>
      <c r="T29">
        <v>98.274000000000001</v>
      </c>
      <c r="U29">
        <v>1.8523000000000001</v>
      </c>
      <c r="V29">
        <v>0</v>
      </c>
      <c r="W29">
        <v>1</v>
      </c>
      <c r="X29">
        <v>1.7146699999999999</v>
      </c>
      <c r="Y29">
        <v>1.5373600000000001</v>
      </c>
      <c r="Z29">
        <v>0</v>
      </c>
      <c r="AA29">
        <v>1.3573</v>
      </c>
      <c r="AB29">
        <v>2.1168</v>
      </c>
      <c r="AC29" s="2">
        <v>21497600</v>
      </c>
      <c r="AD29" s="1">
        <v>0</v>
      </c>
      <c r="AE29" s="1">
        <v>0</v>
      </c>
      <c r="AF29" s="1">
        <v>0</v>
      </c>
      <c r="AG29" s="1">
        <v>0</v>
      </c>
      <c r="AH29" s="2">
        <v>4436260</v>
      </c>
      <c r="AI29" s="1">
        <v>588393</v>
      </c>
      <c r="AJ29" s="1">
        <v>0</v>
      </c>
      <c r="AK29" s="8">
        <f t="shared" si="3"/>
        <v>28</v>
      </c>
      <c r="AL29" s="8">
        <f t="shared" si="2"/>
        <v>1</v>
      </c>
      <c r="AM29">
        <f t="shared" si="0"/>
        <v>0</v>
      </c>
      <c r="AN29">
        <f t="shared" si="1"/>
        <v>0</v>
      </c>
    </row>
    <row r="30" spans="1:40" x14ac:dyDescent="0.35">
      <c r="A30">
        <v>68.339100000000002</v>
      </c>
      <c r="B30">
        <v>72.290000000000006</v>
      </c>
      <c r="C30">
        <v>1.6948300000000001</v>
      </c>
      <c r="D30">
        <v>0.02</v>
      </c>
      <c r="E30">
        <v>1</v>
      </c>
      <c r="F30">
        <v>2.35283</v>
      </c>
      <c r="G30">
        <v>2.5297499999999999</v>
      </c>
      <c r="H30">
        <v>0</v>
      </c>
      <c r="I30">
        <v>0.44072600000000001</v>
      </c>
      <c r="J30">
        <v>3.6288</v>
      </c>
      <c r="K30" s="1">
        <v>41501.4</v>
      </c>
      <c r="L30" s="1">
        <v>0</v>
      </c>
      <c r="M30" s="1">
        <v>0</v>
      </c>
      <c r="N30" s="1">
        <v>0</v>
      </c>
      <c r="O30" s="1">
        <v>0</v>
      </c>
      <c r="P30" s="2">
        <v>3517420</v>
      </c>
      <c r="Q30" s="1">
        <v>21047.3</v>
      </c>
      <c r="R30" s="1">
        <v>239015</v>
      </c>
      <c r="S30">
        <v>98.002899999999997</v>
      </c>
      <c r="T30">
        <v>98.274000000000001</v>
      </c>
      <c r="U30">
        <v>1.81471</v>
      </c>
      <c r="V30">
        <v>0</v>
      </c>
      <c r="W30">
        <v>1</v>
      </c>
      <c r="X30">
        <v>1.7146699999999999</v>
      </c>
      <c r="Y30">
        <v>1.53775</v>
      </c>
      <c r="Z30">
        <v>0</v>
      </c>
      <c r="AA30">
        <v>1.3247500000000001</v>
      </c>
      <c r="AB30">
        <v>2.1168</v>
      </c>
      <c r="AC30" s="2">
        <v>22085000</v>
      </c>
      <c r="AD30" s="1">
        <v>0</v>
      </c>
      <c r="AE30" s="1">
        <v>0</v>
      </c>
      <c r="AF30" s="1">
        <v>0</v>
      </c>
      <c r="AG30" s="1">
        <v>0</v>
      </c>
      <c r="AH30" s="2">
        <v>4436260</v>
      </c>
      <c r="AI30" s="1">
        <v>587417</v>
      </c>
      <c r="AJ30" s="1">
        <v>0</v>
      </c>
      <c r="AK30" s="8">
        <f t="shared" si="3"/>
        <v>29</v>
      </c>
      <c r="AL30" s="8">
        <f t="shared" si="2"/>
        <v>1</v>
      </c>
      <c r="AM30">
        <f t="shared" si="0"/>
        <v>0</v>
      </c>
      <c r="AN30">
        <f t="shared" si="1"/>
        <v>0</v>
      </c>
    </row>
    <row r="31" spans="1:40" x14ac:dyDescent="0.35">
      <c r="A31">
        <v>67.130799999999994</v>
      </c>
      <c r="B31">
        <v>72.290000000000006</v>
      </c>
      <c r="C31">
        <v>1.5890899999999999</v>
      </c>
      <c r="D31">
        <v>0.03</v>
      </c>
      <c r="E31">
        <v>1</v>
      </c>
      <c r="F31">
        <v>2.3538600000000001</v>
      </c>
      <c r="G31">
        <v>2.5303900000000001</v>
      </c>
      <c r="H31">
        <v>0</v>
      </c>
      <c r="I31">
        <v>0.44091999999999998</v>
      </c>
      <c r="J31">
        <v>3.6288</v>
      </c>
      <c r="K31" s="1">
        <v>63142</v>
      </c>
      <c r="L31" s="1">
        <v>0</v>
      </c>
      <c r="M31" s="1">
        <v>0</v>
      </c>
      <c r="N31" s="1">
        <v>0</v>
      </c>
      <c r="O31" s="1">
        <v>0</v>
      </c>
      <c r="P31" s="2">
        <v>3518960</v>
      </c>
      <c r="Q31" s="1">
        <v>21640.6</v>
      </c>
      <c r="R31" s="1">
        <v>238488</v>
      </c>
      <c r="S31">
        <v>97.4572</v>
      </c>
      <c r="T31">
        <v>98.274000000000001</v>
      </c>
      <c r="U31">
        <v>1.74986</v>
      </c>
      <c r="V31">
        <v>0</v>
      </c>
      <c r="W31">
        <v>1</v>
      </c>
      <c r="X31">
        <v>1.7146699999999999</v>
      </c>
      <c r="Y31">
        <v>1.5381400000000001</v>
      </c>
      <c r="Z31">
        <v>0</v>
      </c>
      <c r="AA31">
        <v>1.3247500000000001</v>
      </c>
      <c r="AB31">
        <v>2.1168</v>
      </c>
      <c r="AC31" s="2">
        <v>22671400</v>
      </c>
      <c r="AD31" s="1">
        <v>0</v>
      </c>
      <c r="AE31" s="1">
        <v>0</v>
      </c>
      <c r="AF31" s="1">
        <v>0</v>
      </c>
      <c r="AG31" s="1">
        <v>0</v>
      </c>
      <c r="AH31" s="2">
        <v>4436260</v>
      </c>
      <c r="AI31" s="1">
        <v>586440</v>
      </c>
      <c r="AJ31" s="1">
        <v>0</v>
      </c>
      <c r="AK31" s="8">
        <f t="shared" si="3"/>
        <v>30</v>
      </c>
      <c r="AL31" s="8">
        <f t="shared" si="2"/>
        <v>1</v>
      </c>
      <c r="AM31">
        <f t="shared" si="0"/>
        <v>0</v>
      </c>
      <c r="AN31">
        <f t="shared" si="1"/>
        <v>0</v>
      </c>
    </row>
    <row r="32" spans="1:40" x14ac:dyDescent="0.35">
      <c r="A32">
        <v>65.814099999999996</v>
      </c>
      <c r="B32">
        <v>72.290000000000006</v>
      </c>
      <c r="C32">
        <v>1.5383800000000001</v>
      </c>
      <c r="D32">
        <v>0.04</v>
      </c>
      <c r="E32">
        <v>1</v>
      </c>
      <c r="F32">
        <v>2.4139599999999999</v>
      </c>
      <c r="G32">
        <v>2.5901000000000001</v>
      </c>
      <c r="H32">
        <v>0</v>
      </c>
      <c r="I32">
        <v>0.44111299999999998</v>
      </c>
      <c r="J32">
        <v>3.6288</v>
      </c>
      <c r="K32" s="1">
        <v>91448.3</v>
      </c>
      <c r="L32" s="1">
        <v>0</v>
      </c>
      <c r="M32" s="1">
        <v>0</v>
      </c>
      <c r="N32" s="1">
        <v>0</v>
      </c>
      <c r="O32" s="1">
        <v>0</v>
      </c>
      <c r="P32" s="2">
        <v>3608810</v>
      </c>
      <c r="Q32" s="1">
        <v>28306.3</v>
      </c>
      <c r="R32" s="1">
        <v>237961</v>
      </c>
      <c r="S32">
        <v>96.882999999999996</v>
      </c>
      <c r="T32">
        <v>98.274000000000001</v>
      </c>
      <c r="U32">
        <v>1.6021300000000001</v>
      </c>
      <c r="V32">
        <v>0</v>
      </c>
      <c r="W32">
        <v>1</v>
      </c>
      <c r="X32">
        <v>1.75227</v>
      </c>
      <c r="Y32">
        <v>1.57613</v>
      </c>
      <c r="Z32">
        <v>0</v>
      </c>
      <c r="AA32">
        <v>1.3247500000000001</v>
      </c>
      <c r="AB32">
        <v>2.1168</v>
      </c>
      <c r="AC32" s="2">
        <v>23260100</v>
      </c>
      <c r="AD32" s="1">
        <v>0</v>
      </c>
      <c r="AE32" s="1">
        <v>0</v>
      </c>
      <c r="AF32" s="1">
        <v>0</v>
      </c>
      <c r="AG32" s="1">
        <v>0</v>
      </c>
      <c r="AH32" s="2">
        <v>4533530</v>
      </c>
      <c r="AI32" s="1">
        <v>588633</v>
      </c>
      <c r="AJ32" s="1">
        <v>0</v>
      </c>
      <c r="AK32" s="8">
        <f t="shared" si="3"/>
        <v>31</v>
      </c>
      <c r="AL32" s="8">
        <f t="shared" si="2"/>
        <v>1</v>
      </c>
      <c r="AM32">
        <f t="shared" si="0"/>
        <v>0</v>
      </c>
      <c r="AN32">
        <f t="shared" si="1"/>
        <v>0</v>
      </c>
    </row>
    <row r="33" spans="1:40" x14ac:dyDescent="0.35">
      <c r="A33">
        <v>64.452299999999994</v>
      </c>
      <c r="B33">
        <v>72.290000000000006</v>
      </c>
      <c r="C33">
        <v>1.5303899999999999</v>
      </c>
      <c r="D33">
        <v>0.04</v>
      </c>
      <c r="E33">
        <v>1</v>
      </c>
      <c r="F33">
        <v>2.4525999999999999</v>
      </c>
      <c r="G33">
        <v>2.59076</v>
      </c>
      <c r="H33">
        <v>0</v>
      </c>
      <c r="I33">
        <v>0.452376</v>
      </c>
      <c r="J33">
        <v>3.6288</v>
      </c>
      <c r="K33" s="1">
        <v>171140</v>
      </c>
      <c r="L33" s="1">
        <v>0</v>
      </c>
      <c r="M33" s="1">
        <v>0</v>
      </c>
      <c r="N33" s="1">
        <v>0</v>
      </c>
      <c r="O33" s="1">
        <v>0</v>
      </c>
      <c r="P33" s="2">
        <v>3666580</v>
      </c>
      <c r="Q33" s="1">
        <v>79691.600000000006</v>
      </c>
      <c r="R33" s="1">
        <v>186643</v>
      </c>
      <c r="S33">
        <v>96.299899999999994</v>
      </c>
      <c r="T33">
        <v>98.274000000000001</v>
      </c>
      <c r="U33">
        <v>1.58809</v>
      </c>
      <c r="V33">
        <v>0</v>
      </c>
      <c r="W33">
        <v>1</v>
      </c>
      <c r="X33">
        <v>1.71468</v>
      </c>
      <c r="Y33">
        <v>1.57653</v>
      </c>
      <c r="Z33">
        <v>0</v>
      </c>
      <c r="AA33">
        <v>1.3537999999999999</v>
      </c>
      <c r="AB33">
        <v>2.1168</v>
      </c>
      <c r="AC33" s="2">
        <v>23750500</v>
      </c>
      <c r="AD33" s="1">
        <v>0</v>
      </c>
      <c r="AE33" s="1">
        <v>0</v>
      </c>
      <c r="AF33" s="1">
        <v>0</v>
      </c>
      <c r="AG33" s="1">
        <v>0</v>
      </c>
      <c r="AH33" s="2">
        <v>4436290</v>
      </c>
      <c r="AI33" s="1">
        <v>490390</v>
      </c>
      <c r="AJ33" s="1">
        <v>0</v>
      </c>
      <c r="AK33" s="8">
        <f t="shared" si="3"/>
        <v>32</v>
      </c>
      <c r="AL33" s="8">
        <f t="shared" si="2"/>
        <v>1</v>
      </c>
      <c r="AM33">
        <f t="shared" si="0"/>
        <v>0</v>
      </c>
      <c r="AN33">
        <f t="shared" si="1"/>
        <v>0</v>
      </c>
    </row>
    <row r="34" spans="1:40" x14ac:dyDescent="0.35">
      <c r="A34">
        <v>62.915100000000002</v>
      </c>
      <c r="B34">
        <v>72.290000000000006</v>
      </c>
      <c r="C34">
        <v>1.35524</v>
      </c>
      <c r="D34">
        <v>0.04</v>
      </c>
      <c r="E34">
        <v>1</v>
      </c>
      <c r="F34">
        <v>2.4536600000000002</v>
      </c>
      <c r="G34">
        <v>2.5914100000000002</v>
      </c>
      <c r="H34">
        <v>0</v>
      </c>
      <c r="I34">
        <v>0.45961800000000003</v>
      </c>
      <c r="J34">
        <v>3.6288</v>
      </c>
      <c r="K34" s="1">
        <v>251439</v>
      </c>
      <c r="L34" s="1">
        <v>0</v>
      </c>
      <c r="M34" s="1">
        <v>0</v>
      </c>
      <c r="N34" s="1">
        <v>0</v>
      </c>
      <c r="O34" s="1">
        <v>0</v>
      </c>
      <c r="P34" s="2">
        <v>3668160</v>
      </c>
      <c r="Q34" s="1">
        <v>80299.7</v>
      </c>
      <c r="R34" s="1">
        <v>186103</v>
      </c>
      <c r="S34">
        <v>95.650400000000005</v>
      </c>
      <c r="T34">
        <v>98.274000000000001</v>
      </c>
      <c r="U34">
        <v>1.49532</v>
      </c>
      <c r="V34">
        <v>0</v>
      </c>
      <c r="W34">
        <v>1</v>
      </c>
      <c r="X34">
        <v>1.71468</v>
      </c>
      <c r="Y34">
        <v>1.5769299999999999</v>
      </c>
      <c r="Z34">
        <v>0</v>
      </c>
      <c r="AA34">
        <v>1.3247599999999999</v>
      </c>
      <c r="AB34">
        <v>2.1168</v>
      </c>
      <c r="AC34" s="2">
        <v>24239800</v>
      </c>
      <c r="AD34" s="1">
        <v>0</v>
      </c>
      <c r="AE34" s="1">
        <v>0</v>
      </c>
      <c r="AF34" s="1">
        <v>0</v>
      </c>
      <c r="AG34" s="1">
        <v>0</v>
      </c>
      <c r="AH34" s="2">
        <v>4436290</v>
      </c>
      <c r="AI34" s="1">
        <v>489389</v>
      </c>
      <c r="AJ34" s="1">
        <v>0</v>
      </c>
      <c r="AK34" s="8">
        <f t="shared" si="3"/>
        <v>33</v>
      </c>
      <c r="AL34" s="8">
        <f t="shared" si="2"/>
        <v>1</v>
      </c>
      <c r="AM34">
        <f t="shared" si="0"/>
        <v>0</v>
      </c>
      <c r="AN34">
        <f t="shared" si="1"/>
        <v>0</v>
      </c>
    </row>
    <row r="35" spans="1:40" x14ac:dyDescent="0.35">
      <c r="A35">
        <v>61.253599999999999</v>
      </c>
      <c r="B35">
        <v>72.290000000000006</v>
      </c>
      <c r="C35">
        <v>1.2311000000000001</v>
      </c>
      <c r="D35">
        <v>0.04</v>
      </c>
      <c r="E35">
        <v>1</v>
      </c>
      <c r="F35">
        <v>2.45472</v>
      </c>
      <c r="G35">
        <v>2.5920700000000001</v>
      </c>
      <c r="H35">
        <v>0</v>
      </c>
      <c r="I35">
        <v>0.459816</v>
      </c>
      <c r="J35">
        <v>3.6288</v>
      </c>
      <c r="K35" s="1">
        <v>332347</v>
      </c>
      <c r="L35" s="1">
        <v>0</v>
      </c>
      <c r="M35" s="1">
        <v>0</v>
      </c>
      <c r="N35" s="1">
        <v>0</v>
      </c>
      <c r="O35" s="1">
        <v>0</v>
      </c>
      <c r="P35" s="2">
        <v>3669740</v>
      </c>
      <c r="Q35" s="1">
        <v>80907.899999999994</v>
      </c>
      <c r="R35" s="1">
        <v>185562</v>
      </c>
      <c r="S35">
        <v>94.931700000000006</v>
      </c>
      <c r="T35">
        <v>98.274000000000001</v>
      </c>
      <c r="U35">
        <v>1.41957</v>
      </c>
      <c r="V35">
        <v>0</v>
      </c>
      <c r="W35">
        <v>1</v>
      </c>
      <c r="X35">
        <v>1.71468</v>
      </c>
      <c r="Y35">
        <v>1.5773299999999999</v>
      </c>
      <c r="Z35">
        <v>0</v>
      </c>
      <c r="AA35">
        <v>1.3247599999999999</v>
      </c>
      <c r="AB35">
        <v>2.1168</v>
      </c>
      <c r="AC35" s="2">
        <v>24728200</v>
      </c>
      <c r="AD35" s="1">
        <v>0</v>
      </c>
      <c r="AE35" s="1">
        <v>0</v>
      </c>
      <c r="AF35" s="1">
        <v>0</v>
      </c>
      <c r="AG35" s="1">
        <v>0</v>
      </c>
      <c r="AH35" s="2">
        <v>4436290</v>
      </c>
      <c r="AI35" s="1">
        <v>488387</v>
      </c>
      <c r="AJ35" s="1">
        <v>0</v>
      </c>
      <c r="AK35" s="8">
        <f t="shared" si="3"/>
        <v>34</v>
      </c>
      <c r="AL35" s="8">
        <f t="shared" si="2"/>
        <v>1</v>
      </c>
      <c r="AM35">
        <f t="shared" si="0"/>
        <v>0</v>
      </c>
      <c r="AN35">
        <f t="shared" si="1"/>
        <v>0</v>
      </c>
    </row>
    <row r="36" spans="1:40" x14ac:dyDescent="0.35">
      <c r="A36">
        <v>59.341299999999997</v>
      </c>
      <c r="B36">
        <v>72.290000000000006</v>
      </c>
      <c r="C36">
        <v>1.1436200000000001</v>
      </c>
      <c r="D36">
        <v>0.04</v>
      </c>
      <c r="E36">
        <v>1</v>
      </c>
      <c r="F36">
        <v>2.62893</v>
      </c>
      <c r="G36">
        <v>2.7658900000000002</v>
      </c>
      <c r="H36">
        <v>0</v>
      </c>
      <c r="I36">
        <v>0.46001399999999998</v>
      </c>
      <c r="J36">
        <v>3.6288</v>
      </c>
      <c r="K36" s="1">
        <v>431665</v>
      </c>
      <c r="L36" s="1">
        <v>0</v>
      </c>
      <c r="M36" s="1">
        <v>0</v>
      </c>
      <c r="N36" s="1">
        <v>0</v>
      </c>
      <c r="O36" s="1">
        <v>0</v>
      </c>
      <c r="P36" s="2">
        <v>3930190</v>
      </c>
      <c r="Q36" s="1">
        <v>99317.3</v>
      </c>
      <c r="R36" s="1">
        <v>185021</v>
      </c>
      <c r="S36">
        <v>93.8553</v>
      </c>
      <c r="T36">
        <v>98.274000000000001</v>
      </c>
      <c r="U36">
        <v>1.3146500000000001</v>
      </c>
      <c r="V36">
        <v>0</v>
      </c>
      <c r="W36">
        <v>1</v>
      </c>
      <c r="X36">
        <v>1.8505199999999999</v>
      </c>
      <c r="Y36">
        <v>1.71356</v>
      </c>
      <c r="Z36">
        <v>0</v>
      </c>
      <c r="AA36">
        <v>1.3247599999999999</v>
      </c>
      <c r="AB36">
        <v>2.1168</v>
      </c>
      <c r="AC36" s="2">
        <v>25227100</v>
      </c>
      <c r="AD36" s="1">
        <v>0</v>
      </c>
      <c r="AE36" s="1">
        <v>0</v>
      </c>
      <c r="AF36" s="1">
        <v>0</v>
      </c>
      <c r="AG36" s="1">
        <v>0</v>
      </c>
      <c r="AH36" s="2">
        <v>4787730</v>
      </c>
      <c r="AI36" s="1">
        <v>498841</v>
      </c>
      <c r="AJ36" s="1">
        <v>0</v>
      </c>
      <c r="AK36" s="8">
        <f t="shared" si="3"/>
        <v>35</v>
      </c>
      <c r="AL36" s="8">
        <f t="shared" si="2"/>
        <v>1</v>
      </c>
      <c r="AM36">
        <f t="shared" si="0"/>
        <v>0</v>
      </c>
      <c r="AN36">
        <f t="shared" si="1"/>
        <v>0</v>
      </c>
    </row>
    <row r="37" spans="1:40" x14ac:dyDescent="0.35">
      <c r="A37">
        <v>57.384399999999999</v>
      </c>
      <c r="B37">
        <v>72.290000000000006</v>
      </c>
      <c r="C37">
        <v>1.2679199999999999</v>
      </c>
      <c r="D37">
        <v>0.04</v>
      </c>
      <c r="E37">
        <v>1</v>
      </c>
      <c r="F37">
        <v>2.7658700000000001</v>
      </c>
      <c r="G37">
        <v>2.7665899999999999</v>
      </c>
      <c r="H37">
        <v>0</v>
      </c>
      <c r="I37">
        <v>0.49266199999999999</v>
      </c>
      <c r="J37">
        <v>3.6288</v>
      </c>
      <c r="K37" s="1">
        <v>715107</v>
      </c>
      <c r="L37" s="1">
        <v>0</v>
      </c>
      <c r="M37" s="1">
        <v>0</v>
      </c>
      <c r="N37" s="1">
        <v>0</v>
      </c>
      <c r="O37" s="1">
        <v>0</v>
      </c>
      <c r="P37" s="2">
        <v>4134910</v>
      </c>
      <c r="Q37" s="1">
        <v>283443</v>
      </c>
      <c r="R37" s="1">
        <v>968.221</v>
      </c>
      <c r="S37">
        <v>93.1267</v>
      </c>
      <c r="T37">
        <v>98.274000000000001</v>
      </c>
      <c r="U37">
        <v>1.05409</v>
      </c>
      <c r="V37">
        <v>0</v>
      </c>
      <c r="W37">
        <v>1</v>
      </c>
      <c r="X37">
        <v>1.71471</v>
      </c>
      <c r="Y37">
        <v>1.714</v>
      </c>
      <c r="Z37">
        <v>0</v>
      </c>
      <c r="AA37">
        <v>1.42971</v>
      </c>
      <c r="AB37">
        <v>2.1168</v>
      </c>
      <c r="AC37" s="2">
        <v>25373500</v>
      </c>
      <c r="AD37" s="1">
        <v>0</v>
      </c>
      <c r="AE37" s="1">
        <v>0</v>
      </c>
      <c r="AF37" s="1">
        <v>0</v>
      </c>
      <c r="AG37" s="1">
        <v>0</v>
      </c>
      <c r="AH37" s="2">
        <v>4436380</v>
      </c>
      <c r="AI37" s="1">
        <v>146403</v>
      </c>
      <c r="AJ37" s="1">
        <v>0</v>
      </c>
      <c r="AK37" s="8">
        <f t="shared" si="3"/>
        <v>36</v>
      </c>
      <c r="AL37" s="8">
        <f t="shared" si="2"/>
        <v>1</v>
      </c>
      <c r="AM37">
        <f t="shared" si="0"/>
        <v>0</v>
      </c>
      <c r="AN37">
        <f t="shared" si="1"/>
        <v>0</v>
      </c>
    </row>
    <row r="38" spans="1:40" x14ac:dyDescent="0.35">
      <c r="A38">
        <v>55.3446</v>
      </c>
      <c r="B38">
        <v>72.290000000000006</v>
      </c>
      <c r="C38">
        <v>1.18909</v>
      </c>
      <c r="D38">
        <v>7.0000000000000007E-2</v>
      </c>
      <c r="E38">
        <v>1</v>
      </c>
      <c r="F38">
        <v>2.76701</v>
      </c>
      <c r="G38">
        <v>2.76729</v>
      </c>
      <c r="H38">
        <v>0</v>
      </c>
      <c r="I38">
        <v>0.51832400000000001</v>
      </c>
      <c r="J38">
        <v>3.6288</v>
      </c>
      <c r="K38" s="1">
        <v>999210</v>
      </c>
      <c r="L38" s="1">
        <v>0</v>
      </c>
      <c r="M38" s="1">
        <v>0</v>
      </c>
      <c r="N38" s="1">
        <v>0</v>
      </c>
      <c r="O38" s="1">
        <v>0</v>
      </c>
      <c r="P38" s="2">
        <v>4136610</v>
      </c>
      <c r="Q38" s="1">
        <v>284102</v>
      </c>
      <c r="R38" s="1">
        <v>380.54899999999998</v>
      </c>
      <c r="S38">
        <v>92.519400000000005</v>
      </c>
      <c r="T38">
        <v>98.274000000000001</v>
      </c>
      <c r="U38">
        <v>1.29938</v>
      </c>
      <c r="V38">
        <v>0</v>
      </c>
      <c r="W38">
        <v>1</v>
      </c>
      <c r="X38">
        <v>1.71472</v>
      </c>
      <c r="Y38">
        <v>1.7144299999999999</v>
      </c>
      <c r="Z38">
        <v>0</v>
      </c>
      <c r="AA38">
        <v>1.3247899999999999</v>
      </c>
      <c r="AB38">
        <v>2.1168</v>
      </c>
      <c r="AC38" s="2">
        <v>25518800</v>
      </c>
      <c r="AD38" s="1">
        <v>0</v>
      </c>
      <c r="AE38" s="1">
        <v>0</v>
      </c>
      <c r="AF38" s="1">
        <v>0</v>
      </c>
      <c r="AG38" s="1">
        <v>0</v>
      </c>
      <c r="AH38" s="2">
        <v>4436380</v>
      </c>
      <c r="AI38" s="1">
        <v>145314</v>
      </c>
      <c r="AJ38" s="1">
        <v>0</v>
      </c>
      <c r="AK38" s="8">
        <f t="shared" si="3"/>
        <v>37</v>
      </c>
      <c r="AL38" s="8">
        <f t="shared" si="2"/>
        <v>1</v>
      </c>
      <c r="AM38">
        <f t="shared" si="0"/>
        <v>0</v>
      </c>
      <c r="AN38">
        <f t="shared" si="1"/>
        <v>0</v>
      </c>
    </row>
    <row r="39" spans="1:40" x14ac:dyDescent="0.35">
      <c r="A39">
        <v>53.235399999999998</v>
      </c>
      <c r="B39">
        <v>72.290000000000006</v>
      </c>
      <c r="C39">
        <v>1.1186100000000001</v>
      </c>
      <c r="D39">
        <v>7.0000000000000007E-2</v>
      </c>
      <c r="E39">
        <v>1</v>
      </c>
      <c r="F39">
        <v>2.7679900000000002</v>
      </c>
      <c r="G39">
        <v>2.7679900000000002</v>
      </c>
      <c r="H39">
        <v>0</v>
      </c>
      <c r="I39">
        <v>0.51853800000000005</v>
      </c>
      <c r="J39">
        <v>3.6288</v>
      </c>
      <c r="K39" s="2">
        <v>1283760</v>
      </c>
      <c r="L39" s="1">
        <v>0</v>
      </c>
      <c r="M39" s="1">
        <v>0</v>
      </c>
      <c r="N39" s="1">
        <v>0</v>
      </c>
      <c r="O39" s="1">
        <v>0</v>
      </c>
      <c r="P39" s="2">
        <v>4138080</v>
      </c>
      <c r="Q39" s="1">
        <v>284555</v>
      </c>
      <c r="R39" s="1">
        <v>0</v>
      </c>
      <c r="S39">
        <v>91.877099999999999</v>
      </c>
      <c r="T39">
        <v>98.274000000000001</v>
      </c>
      <c r="U39">
        <v>1.3813599999999999</v>
      </c>
      <c r="V39">
        <v>0</v>
      </c>
      <c r="W39">
        <v>1</v>
      </c>
      <c r="X39">
        <v>1.7148699999999999</v>
      </c>
      <c r="Y39">
        <v>1.7148699999999999</v>
      </c>
      <c r="Z39">
        <v>0</v>
      </c>
      <c r="AA39">
        <v>1.3247899999999999</v>
      </c>
      <c r="AB39">
        <v>2.1168</v>
      </c>
      <c r="AC39" s="2">
        <v>25663400</v>
      </c>
      <c r="AD39" s="1">
        <v>0</v>
      </c>
      <c r="AE39" s="1">
        <v>0</v>
      </c>
      <c r="AF39" s="1">
        <v>0</v>
      </c>
      <c r="AG39" s="1">
        <v>0</v>
      </c>
      <c r="AH39" s="2">
        <v>4436770</v>
      </c>
      <c r="AI39" s="1">
        <v>144622</v>
      </c>
      <c r="AJ39" s="1">
        <v>0</v>
      </c>
      <c r="AK39" s="8">
        <f t="shared" si="3"/>
        <v>38</v>
      </c>
      <c r="AL39" s="8">
        <f t="shared" si="2"/>
        <v>1</v>
      </c>
      <c r="AM39">
        <f t="shared" si="0"/>
        <v>0</v>
      </c>
      <c r="AN39">
        <f t="shared" si="1"/>
        <v>0</v>
      </c>
    </row>
    <row r="40" spans="1:40" x14ac:dyDescent="0.35">
      <c r="A40">
        <v>51.097999999999999</v>
      </c>
      <c r="B40">
        <v>72.290000000000006</v>
      </c>
      <c r="C40">
        <v>1.0891900000000001</v>
      </c>
      <c r="D40">
        <v>7.0000000000000007E-2</v>
      </c>
      <c r="E40">
        <v>1</v>
      </c>
      <c r="F40">
        <v>2.7686999999999999</v>
      </c>
      <c r="G40">
        <v>2.7686999999999999</v>
      </c>
      <c r="H40">
        <v>0</v>
      </c>
      <c r="I40">
        <v>0.51872200000000002</v>
      </c>
      <c r="J40">
        <v>3.6288</v>
      </c>
      <c r="K40" s="2">
        <v>1568390</v>
      </c>
      <c r="L40" s="1">
        <v>0</v>
      </c>
      <c r="M40" s="1">
        <v>0</v>
      </c>
      <c r="N40" s="1">
        <v>0</v>
      </c>
      <c r="O40" s="1">
        <v>0</v>
      </c>
      <c r="P40" s="2">
        <v>4139130</v>
      </c>
      <c r="Q40" s="1">
        <v>284627</v>
      </c>
      <c r="R40" s="1">
        <v>0</v>
      </c>
      <c r="S40">
        <v>90.958100000000002</v>
      </c>
      <c r="T40">
        <v>98.274000000000001</v>
      </c>
      <c r="U40">
        <v>1.36886</v>
      </c>
      <c r="V40">
        <v>0</v>
      </c>
      <c r="W40">
        <v>1</v>
      </c>
      <c r="X40">
        <v>1.7153</v>
      </c>
      <c r="Y40">
        <v>1.7153</v>
      </c>
      <c r="Z40">
        <v>0</v>
      </c>
      <c r="AA40">
        <v>1.32491</v>
      </c>
      <c r="AB40">
        <v>2.1168</v>
      </c>
      <c r="AC40" s="2">
        <v>25808100</v>
      </c>
      <c r="AD40" s="1">
        <v>0</v>
      </c>
      <c r="AE40" s="1">
        <v>0</v>
      </c>
      <c r="AF40" s="1">
        <v>0</v>
      </c>
      <c r="AG40" s="1">
        <v>0</v>
      </c>
      <c r="AH40" s="2">
        <v>4437900</v>
      </c>
      <c r="AI40" s="1">
        <v>144658</v>
      </c>
      <c r="AJ40" s="1">
        <v>0</v>
      </c>
      <c r="AK40" s="8">
        <f t="shared" si="3"/>
        <v>39</v>
      </c>
      <c r="AL40" s="8">
        <f t="shared" si="2"/>
        <v>1</v>
      </c>
      <c r="AM40">
        <f t="shared" si="0"/>
        <v>0</v>
      </c>
      <c r="AN40">
        <f t="shared" si="1"/>
        <v>0</v>
      </c>
    </row>
    <row r="41" spans="1:40" x14ac:dyDescent="0.35">
      <c r="A41">
        <v>48.802999999999997</v>
      </c>
      <c r="B41">
        <v>72.290000000000006</v>
      </c>
      <c r="C41">
        <v>0.91497600000000001</v>
      </c>
      <c r="D41">
        <v>0.11</v>
      </c>
      <c r="E41">
        <v>1</v>
      </c>
      <c r="F41">
        <v>2.6848999999999998</v>
      </c>
      <c r="G41">
        <v>2.6848999999999998</v>
      </c>
      <c r="H41">
        <v>0</v>
      </c>
      <c r="I41">
        <v>0.51885400000000004</v>
      </c>
      <c r="J41">
        <v>3.6288</v>
      </c>
      <c r="K41" s="2">
        <v>1844410</v>
      </c>
      <c r="L41" s="1">
        <v>0</v>
      </c>
      <c r="M41" s="1">
        <v>0</v>
      </c>
      <c r="N41" s="1">
        <v>0</v>
      </c>
      <c r="O41" s="1">
        <v>0</v>
      </c>
      <c r="P41" s="2">
        <v>4013860</v>
      </c>
      <c r="Q41" s="1">
        <v>276013</v>
      </c>
      <c r="R41" s="1">
        <v>0</v>
      </c>
      <c r="S41">
        <v>90.533600000000007</v>
      </c>
      <c r="T41">
        <v>98.274000000000001</v>
      </c>
      <c r="U41">
        <v>0.96164499999999997</v>
      </c>
      <c r="V41">
        <v>0</v>
      </c>
      <c r="W41">
        <v>1</v>
      </c>
      <c r="X41">
        <v>1.6331899999999999</v>
      </c>
      <c r="Y41">
        <v>1.6331899999999999</v>
      </c>
      <c r="Z41">
        <v>0</v>
      </c>
      <c r="AA41">
        <v>1.32524</v>
      </c>
      <c r="AB41">
        <v>2.1168</v>
      </c>
      <c r="AC41" s="2">
        <v>25945800</v>
      </c>
      <c r="AD41" s="1">
        <v>0</v>
      </c>
      <c r="AE41" s="1">
        <v>0</v>
      </c>
      <c r="AF41" s="1">
        <v>0</v>
      </c>
      <c r="AG41" s="1">
        <v>0</v>
      </c>
      <c r="AH41" s="2">
        <v>4225450</v>
      </c>
      <c r="AI41" s="1">
        <v>137733</v>
      </c>
      <c r="AJ41" s="1">
        <v>0</v>
      </c>
      <c r="AK41" s="8">
        <f t="shared" si="3"/>
        <v>40</v>
      </c>
      <c r="AL41" s="8">
        <f t="shared" si="2"/>
        <v>1</v>
      </c>
      <c r="AM41">
        <f t="shared" si="0"/>
        <v>0</v>
      </c>
      <c r="AN41">
        <f t="shared" si="1"/>
        <v>0</v>
      </c>
    </row>
    <row r="42" spans="1:40" x14ac:dyDescent="0.35">
      <c r="A42">
        <v>46.429600000000001</v>
      </c>
      <c r="B42">
        <v>72.290000000000006</v>
      </c>
      <c r="C42">
        <v>0.75237100000000001</v>
      </c>
      <c r="D42">
        <v>0.11</v>
      </c>
      <c r="E42">
        <v>1</v>
      </c>
      <c r="F42">
        <v>2.6044900000000002</v>
      </c>
      <c r="G42">
        <v>2.6855799999999999</v>
      </c>
      <c r="H42">
        <v>0</v>
      </c>
      <c r="I42">
        <v>0.50315100000000001</v>
      </c>
      <c r="J42">
        <v>3.6288</v>
      </c>
      <c r="K42" s="2">
        <v>2010930</v>
      </c>
      <c r="L42" s="1">
        <v>0</v>
      </c>
      <c r="M42" s="1">
        <v>0</v>
      </c>
      <c r="N42" s="1">
        <v>0</v>
      </c>
      <c r="O42" s="1">
        <v>0</v>
      </c>
      <c r="P42" s="2">
        <v>3893650</v>
      </c>
      <c r="Q42" s="1">
        <v>166528</v>
      </c>
      <c r="R42" s="1">
        <v>109555</v>
      </c>
      <c r="S42">
        <v>89.593599999999995</v>
      </c>
      <c r="T42">
        <v>98.274000000000001</v>
      </c>
      <c r="U42">
        <v>1.5022599999999999</v>
      </c>
      <c r="V42">
        <v>0</v>
      </c>
      <c r="W42">
        <v>1</v>
      </c>
      <c r="X42">
        <v>1.71469</v>
      </c>
      <c r="Y42">
        <v>1.6335999999999999</v>
      </c>
      <c r="Z42">
        <v>0</v>
      </c>
      <c r="AA42">
        <v>1.2618</v>
      </c>
      <c r="AB42">
        <v>2.1168</v>
      </c>
      <c r="AC42" s="2">
        <v>26293400</v>
      </c>
      <c r="AD42" s="1">
        <v>0</v>
      </c>
      <c r="AE42" s="1">
        <v>0</v>
      </c>
      <c r="AF42" s="1">
        <v>0</v>
      </c>
      <c r="AG42" s="1">
        <v>0</v>
      </c>
      <c r="AH42" s="2">
        <v>4436320</v>
      </c>
      <c r="AI42" s="1">
        <v>347574</v>
      </c>
      <c r="AJ42" s="1">
        <v>0</v>
      </c>
      <c r="AK42" s="8">
        <f t="shared" si="3"/>
        <v>41</v>
      </c>
      <c r="AL42" s="8">
        <f t="shared" si="2"/>
        <v>1</v>
      </c>
      <c r="AM42">
        <f t="shared" si="0"/>
        <v>0</v>
      </c>
      <c r="AN42">
        <f t="shared" si="1"/>
        <v>0</v>
      </c>
    </row>
    <row r="43" spans="1:40" x14ac:dyDescent="0.35">
      <c r="A43">
        <v>43.931199999999997</v>
      </c>
      <c r="B43">
        <v>72.290000000000006</v>
      </c>
      <c r="C43">
        <v>0.624282</v>
      </c>
      <c r="D43">
        <v>0.14000000000000001</v>
      </c>
      <c r="E43">
        <v>1</v>
      </c>
      <c r="F43">
        <v>2.6055899999999999</v>
      </c>
      <c r="G43">
        <v>2.6862599999999999</v>
      </c>
      <c r="H43">
        <v>0</v>
      </c>
      <c r="I43">
        <v>0.48808200000000002</v>
      </c>
      <c r="J43">
        <v>3.6288</v>
      </c>
      <c r="K43" s="2">
        <v>2178090</v>
      </c>
      <c r="L43" s="1">
        <v>0</v>
      </c>
      <c r="M43" s="1">
        <v>0</v>
      </c>
      <c r="N43" s="1">
        <v>0</v>
      </c>
      <c r="O43" s="1">
        <v>0</v>
      </c>
      <c r="P43" s="2">
        <v>3895290</v>
      </c>
      <c r="Q43" s="1">
        <v>167158</v>
      </c>
      <c r="R43" s="1">
        <v>108995</v>
      </c>
      <c r="S43">
        <v>88.599299999999999</v>
      </c>
      <c r="T43">
        <v>98.274000000000001</v>
      </c>
      <c r="U43">
        <v>0.810388</v>
      </c>
      <c r="V43">
        <v>0</v>
      </c>
      <c r="W43">
        <v>1</v>
      </c>
      <c r="X43">
        <v>1.71469</v>
      </c>
      <c r="Y43">
        <v>1.63402</v>
      </c>
      <c r="Z43">
        <v>0</v>
      </c>
      <c r="AA43">
        <v>1.32477</v>
      </c>
      <c r="AB43">
        <v>2.1168</v>
      </c>
      <c r="AC43" s="2">
        <v>26639900</v>
      </c>
      <c r="AD43" s="1">
        <v>0</v>
      </c>
      <c r="AE43" s="1">
        <v>0</v>
      </c>
      <c r="AF43" s="1">
        <v>0</v>
      </c>
      <c r="AG43" s="1">
        <v>0</v>
      </c>
      <c r="AH43" s="2">
        <v>4436320</v>
      </c>
      <c r="AI43" s="1">
        <v>346536</v>
      </c>
      <c r="AJ43" s="1">
        <v>0</v>
      </c>
      <c r="AK43" s="8">
        <f t="shared" si="3"/>
        <v>42</v>
      </c>
      <c r="AL43" s="8">
        <f t="shared" si="2"/>
        <v>1</v>
      </c>
      <c r="AM43">
        <f t="shared" si="0"/>
        <v>0</v>
      </c>
      <c r="AN43">
        <f t="shared" si="1"/>
        <v>0</v>
      </c>
    </row>
    <row r="44" spans="1:40" x14ac:dyDescent="0.35">
      <c r="A44">
        <v>41.664400000000001</v>
      </c>
      <c r="B44">
        <v>72.290000000000006</v>
      </c>
      <c r="C44">
        <v>0.89789300000000005</v>
      </c>
      <c r="D44">
        <v>0.14000000000000001</v>
      </c>
      <c r="E44">
        <v>1</v>
      </c>
      <c r="F44">
        <v>2.6066799999999999</v>
      </c>
      <c r="G44">
        <v>2.6869499999999999</v>
      </c>
      <c r="H44">
        <v>0</v>
      </c>
      <c r="I44">
        <v>0.48828700000000003</v>
      </c>
      <c r="J44">
        <v>3.6288</v>
      </c>
      <c r="K44" s="2">
        <v>2345880</v>
      </c>
      <c r="L44" s="1">
        <v>0</v>
      </c>
      <c r="M44" s="1">
        <v>0</v>
      </c>
      <c r="N44" s="1">
        <v>0</v>
      </c>
      <c r="O44" s="1">
        <v>0</v>
      </c>
      <c r="P44" s="2">
        <v>3896930</v>
      </c>
      <c r="Q44" s="1">
        <v>167789</v>
      </c>
      <c r="R44" s="1">
        <v>108435</v>
      </c>
      <c r="S44">
        <v>87.722999999999999</v>
      </c>
      <c r="T44">
        <v>98.274000000000001</v>
      </c>
      <c r="U44">
        <v>0.931531</v>
      </c>
      <c r="V44">
        <v>0</v>
      </c>
      <c r="W44">
        <v>1</v>
      </c>
      <c r="X44">
        <v>1.71469</v>
      </c>
      <c r="Y44">
        <v>1.63443</v>
      </c>
      <c r="Z44">
        <v>0</v>
      </c>
      <c r="AA44">
        <v>1.32477</v>
      </c>
      <c r="AB44">
        <v>2.1168</v>
      </c>
      <c r="AC44" s="2">
        <v>26985400</v>
      </c>
      <c r="AD44" s="1">
        <v>0</v>
      </c>
      <c r="AE44" s="1">
        <v>0</v>
      </c>
      <c r="AF44" s="1">
        <v>0</v>
      </c>
      <c r="AG44" s="1">
        <v>0</v>
      </c>
      <c r="AH44" s="2">
        <v>4436320</v>
      </c>
      <c r="AI44" s="1">
        <v>345498</v>
      </c>
      <c r="AJ44" s="1">
        <v>0</v>
      </c>
      <c r="AK44" s="8">
        <f t="shared" si="3"/>
        <v>43</v>
      </c>
      <c r="AL44" s="8">
        <f t="shared" si="2"/>
        <v>1</v>
      </c>
      <c r="AM44">
        <f t="shared" si="0"/>
        <v>0</v>
      </c>
      <c r="AN44">
        <f t="shared" si="1"/>
        <v>0</v>
      </c>
    </row>
    <row r="45" spans="1:40" x14ac:dyDescent="0.35">
      <c r="A45">
        <v>39.530200000000001</v>
      </c>
      <c r="B45">
        <v>72.290000000000006</v>
      </c>
      <c r="C45">
        <v>1.00481</v>
      </c>
      <c r="D45">
        <v>0.16</v>
      </c>
      <c r="E45">
        <v>1</v>
      </c>
      <c r="F45">
        <v>2.5383499999999999</v>
      </c>
      <c r="G45">
        <v>2.6181999999999999</v>
      </c>
      <c r="H45">
        <v>0</v>
      </c>
      <c r="I45">
        <v>0.48849199999999998</v>
      </c>
      <c r="J45">
        <v>3.6288</v>
      </c>
      <c r="K45" s="2">
        <v>2507160</v>
      </c>
      <c r="L45" s="1">
        <v>0</v>
      </c>
      <c r="M45" s="1">
        <v>0</v>
      </c>
      <c r="N45" s="1">
        <v>0</v>
      </c>
      <c r="O45" s="1">
        <v>0</v>
      </c>
      <c r="P45" s="2">
        <v>3794770</v>
      </c>
      <c r="Q45" s="1">
        <v>161282</v>
      </c>
      <c r="R45" s="1">
        <v>107874</v>
      </c>
      <c r="S45">
        <v>87.054100000000005</v>
      </c>
      <c r="T45">
        <v>98.274000000000001</v>
      </c>
      <c r="U45">
        <v>1.0762400000000001</v>
      </c>
      <c r="V45">
        <v>0</v>
      </c>
      <c r="W45">
        <v>1</v>
      </c>
      <c r="X45">
        <v>1.63948</v>
      </c>
      <c r="Y45">
        <v>1.5596300000000001</v>
      </c>
      <c r="Z45">
        <v>0</v>
      </c>
      <c r="AA45">
        <v>1.32477</v>
      </c>
      <c r="AB45">
        <v>2.1168</v>
      </c>
      <c r="AC45" s="2">
        <v>27323500</v>
      </c>
      <c r="AD45" s="1">
        <v>0</v>
      </c>
      <c r="AE45" s="1">
        <v>0</v>
      </c>
      <c r="AF45" s="1">
        <v>0</v>
      </c>
      <c r="AG45" s="1">
        <v>0</v>
      </c>
      <c r="AH45" s="2">
        <v>4241710</v>
      </c>
      <c r="AI45" s="1">
        <v>338116</v>
      </c>
      <c r="AJ45" s="1">
        <v>0</v>
      </c>
      <c r="AK45" s="8">
        <f t="shared" si="3"/>
        <v>44</v>
      </c>
      <c r="AL45" s="8">
        <f t="shared" si="2"/>
        <v>1</v>
      </c>
      <c r="AM45">
        <f t="shared" si="0"/>
        <v>0</v>
      </c>
      <c r="AN45">
        <f t="shared" si="1"/>
        <v>0</v>
      </c>
    </row>
    <row r="46" spans="1:40" x14ac:dyDescent="0.35">
      <c r="A46">
        <v>37.094700000000003</v>
      </c>
      <c r="B46">
        <v>72.290000000000006</v>
      </c>
      <c r="C46">
        <v>0.61544200000000004</v>
      </c>
      <c r="D46">
        <v>0.15</v>
      </c>
      <c r="E46">
        <v>1</v>
      </c>
      <c r="F46">
        <v>2.46421</v>
      </c>
      <c r="G46">
        <v>2.6188699999999998</v>
      </c>
      <c r="H46">
        <v>0</v>
      </c>
      <c r="I46">
        <v>0.47568700000000003</v>
      </c>
      <c r="J46">
        <v>3.6288</v>
      </c>
      <c r="K46" s="2">
        <v>2567450</v>
      </c>
      <c r="L46" s="1">
        <v>0</v>
      </c>
      <c r="M46" s="1">
        <v>0</v>
      </c>
      <c r="N46" s="1">
        <v>0</v>
      </c>
      <c r="O46" s="1">
        <v>0</v>
      </c>
      <c r="P46" s="2">
        <v>3683940</v>
      </c>
      <c r="Q46" s="1">
        <v>60290.6</v>
      </c>
      <c r="R46" s="1">
        <v>208934</v>
      </c>
      <c r="S46">
        <v>86.825400000000002</v>
      </c>
      <c r="T46">
        <v>98.274000000000001</v>
      </c>
      <c r="U46">
        <v>0.93325199999999997</v>
      </c>
      <c r="V46">
        <v>0</v>
      </c>
      <c r="W46">
        <v>1</v>
      </c>
      <c r="X46">
        <v>1.71468</v>
      </c>
      <c r="Y46">
        <v>1.56002</v>
      </c>
      <c r="Z46">
        <v>0</v>
      </c>
      <c r="AA46">
        <v>1.2666599999999999</v>
      </c>
      <c r="AB46">
        <v>2.1168</v>
      </c>
      <c r="AC46" s="2">
        <v>27855200</v>
      </c>
      <c r="AD46" s="1">
        <v>0</v>
      </c>
      <c r="AE46" s="1">
        <v>0</v>
      </c>
      <c r="AF46" s="1">
        <v>0</v>
      </c>
      <c r="AG46" s="1">
        <v>0</v>
      </c>
      <c r="AH46" s="2">
        <v>4436270</v>
      </c>
      <c r="AI46" s="1">
        <v>531686</v>
      </c>
      <c r="AJ46" s="1">
        <v>0</v>
      </c>
      <c r="AK46" s="8">
        <f t="shared" si="3"/>
        <v>45</v>
      </c>
      <c r="AL46" s="8">
        <f t="shared" si="2"/>
        <v>1</v>
      </c>
      <c r="AM46">
        <f t="shared" si="0"/>
        <v>0</v>
      </c>
      <c r="AN46">
        <f t="shared" si="1"/>
        <v>0</v>
      </c>
    </row>
    <row r="47" spans="1:40" x14ac:dyDescent="0.35">
      <c r="A47">
        <v>35.944699999999997</v>
      </c>
      <c r="B47">
        <v>72.290000000000006</v>
      </c>
      <c r="C47">
        <v>1.8956500000000001</v>
      </c>
      <c r="D47">
        <v>0.18</v>
      </c>
      <c r="E47">
        <v>1</v>
      </c>
      <c r="F47">
        <v>2.4652699999999999</v>
      </c>
      <c r="G47">
        <v>2.6195300000000001</v>
      </c>
      <c r="H47">
        <v>0</v>
      </c>
      <c r="I47">
        <v>0.46179300000000001</v>
      </c>
      <c r="J47">
        <v>3.6288</v>
      </c>
      <c r="K47" s="2">
        <v>2628350</v>
      </c>
      <c r="L47" s="1">
        <v>0</v>
      </c>
      <c r="M47" s="1">
        <v>0</v>
      </c>
      <c r="N47" s="1">
        <v>0</v>
      </c>
      <c r="O47" s="1">
        <v>0</v>
      </c>
      <c r="P47" s="2">
        <v>3685520</v>
      </c>
      <c r="Q47" s="1">
        <v>60893.8</v>
      </c>
      <c r="R47" s="1">
        <v>208399</v>
      </c>
      <c r="S47">
        <v>86.472800000000007</v>
      </c>
      <c r="T47">
        <v>98.274000000000001</v>
      </c>
      <c r="U47">
        <v>2.9068200000000002</v>
      </c>
      <c r="V47">
        <v>0</v>
      </c>
      <c r="W47">
        <v>1</v>
      </c>
      <c r="X47">
        <v>1.71468</v>
      </c>
      <c r="Y47">
        <v>1.5604199999999999</v>
      </c>
      <c r="Z47">
        <v>0</v>
      </c>
      <c r="AA47">
        <v>1.3247599999999999</v>
      </c>
      <c r="AB47">
        <v>2.1168</v>
      </c>
      <c r="AC47" s="2">
        <v>28385900</v>
      </c>
      <c r="AD47" s="1">
        <v>0</v>
      </c>
      <c r="AE47" s="1">
        <v>0</v>
      </c>
      <c r="AF47" s="1">
        <v>0</v>
      </c>
      <c r="AG47" s="1">
        <v>0</v>
      </c>
      <c r="AH47" s="2">
        <v>4436280</v>
      </c>
      <c r="AI47" s="1">
        <v>530695</v>
      </c>
      <c r="AJ47" s="1">
        <v>0</v>
      </c>
      <c r="AK47" s="8">
        <f t="shared" si="3"/>
        <v>46</v>
      </c>
      <c r="AL47" s="8">
        <f t="shared" si="2"/>
        <v>1</v>
      </c>
      <c r="AM47">
        <f t="shared" si="0"/>
        <v>0</v>
      </c>
      <c r="AN47">
        <f t="shared" si="1"/>
        <v>0</v>
      </c>
    </row>
    <row r="48" spans="1:40" x14ac:dyDescent="0.35">
      <c r="A48">
        <v>34.433500000000002</v>
      </c>
      <c r="B48">
        <v>72.290000000000006</v>
      </c>
      <c r="C48">
        <v>1.55644</v>
      </c>
      <c r="D48">
        <v>0.16</v>
      </c>
      <c r="E48">
        <v>1</v>
      </c>
      <c r="F48">
        <v>2.4663300000000001</v>
      </c>
      <c r="G48">
        <v>2.6202000000000001</v>
      </c>
      <c r="H48">
        <v>0</v>
      </c>
      <c r="I48">
        <v>0.46199200000000001</v>
      </c>
      <c r="J48">
        <v>3.6288</v>
      </c>
      <c r="K48" s="2">
        <v>2689840</v>
      </c>
      <c r="L48" s="1">
        <v>0</v>
      </c>
      <c r="M48" s="1">
        <v>0</v>
      </c>
      <c r="N48" s="1">
        <v>0</v>
      </c>
      <c r="O48" s="1">
        <v>0</v>
      </c>
      <c r="P48" s="2">
        <v>3687110</v>
      </c>
      <c r="Q48" s="1">
        <v>61497.2</v>
      </c>
      <c r="R48" s="1">
        <v>207864</v>
      </c>
      <c r="S48">
        <v>86.264600000000002</v>
      </c>
      <c r="T48">
        <v>98.274000000000001</v>
      </c>
      <c r="U48">
        <v>1.59592</v>
      </c>
      <c r="V48">
        <v>0</v>
      </c>
      <c r="W48">
        <v>1</v>
      </c>
      <c r="X48">
        <v>1.71468</v>
      </c>
      <c r="Y48">
        <v>1.5608200000000001</v>
      </c>
      <c r="Z48">
        <v>0</v>
      </c>
      <c r="AA48">
        <v>1.3247599999999999</v>
      </c>
      <c r="AB48">
        <v>2.1168</v>
      </c>
      <c r="AC48" s="2">
        <v>28915600</v>
      </c>
      <c r="AD48" s="1">
        <v>0</v>
      </c>
      <c r="AE48" s="1">
        <v>0</v>
      </c>
      <c r="AF48" s="1">
        <v>0</v>
      </c>
      <c r="AG48" s="1">
        <v>0</v>
      </c>
      <c r="AH48" s="2">
        <v>4436280</v>
      </c>
      <c r="AI48" s="1">
        <v>529704</v>
      </c>
      <c r="AJ48" s="1">
        <v>0</v>
      </c>
      <c r="AK48" s="8">
        <f t="shared" si="3"/>
        <v>47</v>
      </c>
      <c r="AL48" s="8">
        <f t="shared" si="2"/>
        <v>1</v>
      </c>
      <c r="AM48">
        <f t="shared" si="0"/>
        <v>0</v>
      </c>
      <c r="AN48">
        <f t="shared" si="1"/>
        <v>0</v>
      </c>
    </row>
    <row r="49" spans="1:40" x14ac:dyDescent="0.35">
      <c r="A49">
        <v>32.941400000000002</v>
      </c>
      <c r="B49">
        <v>72.290000000000006</v>
      </c>
      <c r="C49">
        <v>1.3624799999999999</v>
      </c>
      <c r="D49">
        <v>0.16</v>
      </c>
      <c r="E49">
        <v>1</v>
      </c>
      <c r="F49">
        <v>2.2700100000000001</v>
      </c>
      <c r="G49">
        <v>2.4234800000000001</v>
      </c>
      <c r="H49">
        <v>0</v>
      </c>
      <c r="I49">
        <v>0.46219100000000002</v>
      </c>
      <c r="J49">
        <v>3.6288</v>
      </c>
      <c r="K49" s="2">
        <v>2731650</v>
      </c>
      <c r="L49" s="1">
        <v>0</v>
      </c>
      <c r="M49" s="1">
        <v>0</v>
      </c>
      <c r="N49" s="1">
        <v>0</v>
      </c>
      <c r="O49" s="1">
        <v>0</v>
      </c>
      <c r="P49" s="2">
        <v>3393610</v>
      </c>
      <c r="Q49" s="1">
        <v>41809.599999999999</v>
      </c>
      <c r="R49" s="1">
        <v>207329</v>
      </c>
      <c r="S49">
        <v>86.326700000000002</v>
      </c>
      <c r="T49">
        <v>98.274000000000001</v>
      </c>
      <c r="U49">
        <v>1.5216700000000001</v>
      </c>
      <c r="V49">
        <v>0</v>
      </c>
      <c r="W49">
        <v>1</v>
      </c>
      <c r="X49">
        <v>1.55786</v>
      </c>
      <c r="Y49">
        <v>1.40439</v>
      </c>
      <c r="Z49">
        <v>0</v>
      </c>
      <c r="AA49">
        <v>1.3247599999999999</v>
      </c>
      <c r="AB49">
        <v>2.1168</v>
      </c>
      <c r="AC49" s="2">
        <v>29431100</v>
      </c>
      <c r="AD49" s="1">
        <v>0</v>
      </c>
      <c r="AE49" s="1">
        <v>0</v>
      </c>
      <c r="AF49" s="1">
        <v>0</v>
      </c>
      <c r="AG49" s="1">
        <v>0</v>
      </c>
      <c r="AH49" s="2">
        <v>4030550</v>
      </c>
      <c r="AI49" s="1">
        <v>515488</v>
      </c>
      <c r="AJ49" s="1">
        <v>0</v>
      </c>
      <c r="AK49" s="8">
        <f t="shared" si="3"/>
        <v>48</v>
      </c>
      <c r="AL49" s="8">
        <f t="shared" si="2"/>
        <v>1</v>
      </c>
      <c r="AM49">
        <f t="shared" si="0"/>
        <v>0</v>
      </c>
      <c r="AN49">
        <f t="shared" si="1"/>
        <v>0</v>
      </c>
    </row>
    <row r="50" spans="1:40" x14ac:dyDescent="0.35">
      <c r="A50">
        <v>33.0974</v>
      </c>
      <c r="B50">
        <v>72.290000000000006</v>
      </c>
      <c r="C50">
        <v>2.8492700000000002</v>
      </c>
      <c r="D50">
        <v>0.19</v>
      </c>
      <c r="E50">
        <v>1</v>
      </c>
      <c r="F50">
        <v>2.1216900000000001</v>
      </c>
      <c r="G50">
        <v>2.4240900000000001</v>
      </c>
      <c r="H50">
        <v>0</v>
      </c>
      <c r="I50">
        <v>0.42540099999999997</v>
      </c>
      <c r="J50">
        <v>3.6288</v>
      </c>
      <c r="K50" s="2">
        <v>2572320</v>
      </c>
      <c r="L50" s="1">
        <v>0</v>
      </c>
      <c r="M50" s="1">
        <v>0</v>
      </c>
      <c r="N50" s="1">
        <v>0</v>
      </c>
      <c r="O50" s="1">
        <v>0</v>
      </c>
      <c r="P50" s="2">
        <v>3171880</v>
      </c>
      <c r="Q50" s="1">
        <v>-159337</v>
      </c>
      <c r="R50" s="1">
        <v>408539</v>
      </c>
      <c r="S50">
        <v>85.913300000000007</v>
      </c>
      <c r="T50">
        <v>98.274000000000001</v>
      </c>
      <c r="U50">
        <v>2.3281800000000001</v>
      </c>
      <c r="V50">
        <v>0</v>
      </c>
      <c r="W50">
        <v>1</v>
      </c>
      <c r="X50">
        <v>1.7071499999999999</v>
      </c>
      <c r="Y50">
        <v>1.4047499999999999</v>
      </c>
      <c r="Z50">
        <v>0</v>
      </c>
      <c r="AA50">
        <v>1.2036</v>
      </c>
      <c r="AB50">
        <v>2.1168</v>
      </c>
      <c r="AC50" s="2">
        <v>30331900</v>
      </c>
      <c r="AD50" s="1">
        <v>0</v>
      </c>
      <c r="AE50" s="1">
        <v>0</v>
      </c>
      <c r="AF50" s="1">
        <v>0</v>
      </c>
      <c r="AG50" s="1">
        <v>0</v>
      </c>
      <c r="AH50" s="2">
        <v>4416800</v>
      </c>
      <c r="AI50" s="1">
        <v>900849</v>
      </c>
      <c r="AJ50" s="1">
        <v>0</v>
      </c>
      <c r="AK50" s="8">
        <f t="shared" si="3"/>
        <v>49</v>
      </c>
      <c r="AL50" s="8">
        <f t="shared" si="2"/>
        <v>1</v>
      </c>
      <c r="AM50">
        <f t="shared" si="0"/>
        <v>0</v>
      </c>
      <c r="AN50">
        <f t="shared" si="1"/>
        <v>0</v>
      </c>
    </row>
    <row r="51" spans="1:40" x14ac:dyDescent="0.35">
      <c r="A51">
        <v>32.721699999999998</v>
      </c>
      <c r="B51">
        <v>72.290000000000006</v>
      </c>
      <c r="C51">
        <v>2.3186499999999999</v>
      </c>
      <c r="D51">
        <v>0.19</v>
      </c>
      <c r="E51">
        <v>1</v>
      </c>
      <c r="F51">
        <v>2.1223100000000001</v>
      </c>
      <c r="G51">
        <v>2.4247100000000001</v>
      </c>
      <c r="H51">
        <v>0</v>
      </c>
      <c r="I51">
        <v>0.39760600000000001</v>
      </c>
      <c r="J51">
        <v>3.6288</v>
      </c>
      <c r="K51" s="2">
        <v>2413040</v>
      </c>
      <c r="L51" s="1">
        <v>0</v>
      </c>
      <c r="M51" s="1">
        <v>0</v>
      </c>
      <c r="N51" s="1">
        <v>0</v>
      </c>
      <c r="O51" s="1">
        <v>0</v>
      </c>
      <c r="P51" s="2">
        <v>3172800</v>
      </c>
      <c r="Q51" s="1">
        <v>-159274</v>
      </c>
      <c r="R51" s="1">
        <v>408539</v>
      </c>
      <c r="S51">
        <v>85.290499999999994</v>
      </c>
      <c r="T51">
        <v>98.274000000000001</v>
      </c>
      <c r="U51">
        <v>1.68059</v>
      </c>
      <c r="V51">
        <v>0</v>
      </c>
      <c r="W51">
        <v>1</v>
      </c>
      <c r="X51">
        <v>1.7075100000000001</v>
      </c>
      <c r="Y51">
        <v>1.4051100000000001</v>
      </c>
      <c r="Z51">
        <v>0</v>
      </c>
      <c r="AA51">
        <v>1.31894</v>
      </c>
      <c r="AB51">
        <v>2.1168</v>
      </c>
      <c r="AC51" s="2">
        <v>31232800</v>
      </c>
      <c r="AD51" s="1">
        <v>0</v>
      </c>
      <c r="AE51" s="1">
        <v>0</v>
      </c>
      <c r="AF51" s="1">
        <v>0</v>
      </c>
      <c r="AG51" s="1">
        <v>0</v>
      </c>
      <c r="AH51" s="2">
        <v>4417720</v>
      </c>
      <c r="AI51" s="1">
        <v>900879</v>
      </c>
      <c r="AJ51" s="1">
        <v>0</v>
      </c>
      <c r="AK51" s="8">
        <f t="shared" si="3"/>
        <v>50</v>
      </c>
      <c r="AL51" s="8">
        <f t="shared" si="2"/>
        <v>1</v>
      </c>
      <c r="AM51">
        <f t="shared" si="0"/>
        <v>0</v>
      </c>
      <c r="AN51">
        <f t="shared" si="1"/>
        <v>0</v>
      </c>
    </row>
    <row r="52" spans="1:40" x14ac:dyDescent="0.35">
      <c r="A52">
        <v>31.995799999999999</v>
      </c>
      <c r="B52">
        <v>72.290000000000006</v>
      </c>
      <c r="C52">
        <v>1.96811</v>
      </c>
      <c r="D52">
        <v>0.2</v>
      </c>
      <c r="E52">
        <v>1</v>
      </c>
      <c r="F52">
        <v>2.1229300000000002</v>
      </c>
      <c r="G52">
        <v>2.4253300000000002</v>
      </c>
      <c r="H52">
        <v>0</v>
      </c>
      <c r="I52">
        <v>0.39772099999999999</v>
      </c>
      <c r="J52">
        <v>3.6288</v>
      </c>
      <c r="K52" s="2">
        <v>2253830</v>
      </c>
      <c r="L52" s="1">
        <v>0</v>
      </c>
      <c r="M52" s="1">
        <v>0</v>
      </c>
      <c r="N52" s="1">
        <v>0</v>
      </c>
      <c r="O52" s="1">
        <v>0</v>
      </c>
      <c r="P52" s="2">
        <v>3173720</v>
      </c>
      <c r="Q52" s="1">
        <v>-159210</v>
      </c>
      <c r="R52" s="1">
        <v>408539</v>
      </c>
      <c r="S52">
        <v>85.228099999999998</v>
      </c>
      <c r="T52">
        <v>98.274000000000001</v>
      </c>
      <c r="U52">
        <v>1.63968</v>
      </c>
      <c r="V52">
        <v>0</v>
      </c>
      <c r="W52">
        <v>1</v>
      </c>
      <c r="X52">
        <v>1.7078599999999999</v>
      </c>
      <c r="Y52">
        <v>1.4054599999999999</v>
      </c>
      <c r="Z52">
        <v>0</v>
      </c>
      <c r="AA52">
        <v>1.3192200000000001</v>
      </c>
      <c r="AB52">
        <v>2.1168</v>
      </c>
      <c r="AC52" s="2">
        <v>32133700</v>
      </c>
      <c r="AD52" s="1">
        <v>0</v>
      </c>
      <c r="AE52" s="1">
        <v>0</v>
      </c>
      <c r="AF52" s="1">
        <v>0</v>
      </c>
      <c r="AG52" s="1">
        <v>0</v>
      </c>
      <c r="AH52" s="2">
        <v>4418650</v>
      </c>
      <c r="AI52" s="1">
        <v>900909</v>
      </c>
      <c r="AJ52" s="1">
        <v>0</v>
      </c>
      <c r="AK52" s="8">
        <f t="shared" si="3"/>
        <v>51</v>
      </c>
      <c r="AL52" s="8">
        <f t="shared" si="2"/>
        <v>1</v>
      </c>
      <c r="AM52">
        <f t="shared" si="0"/>
        <v>0</v>
      </c>
      <c r="AN52">
        <f t="shared" si="1"/>
        <v>0</v>
      </c>
    </row>
    <row r="53" spans="1:40" x14ac:dyDescent="0.35">
      <c r="A53">
        <v>33.015700000000002</v>
      </c>
      <c r="B53">
        <v>72.290000000000006</v>
      </c>
      <c r="C53">
        <v>3.7126299999999999</v>
      </c>
      <c r="D53">
        <v>0.21</v>
      </c>
      <c r="E53">
        <v>1</v>
      </c>
      <c r="F53">
        <v>2.1235400000000002</v>
      </c>
      <c r="G53">
        <v>2.4259400000000002</v>
      </c>
      <c r="H53">
        <v>0</v>
      </c>
      <c r="I53">
        <v>0.39783600000000002</v>
      </c>
      <c r="J53">
        <v>3.6288</v>
      </c>
      <c r="K53" s="2">
        <v>2094690</v>
      </c>
      <c r="L53" s="1">
        <v>0</v>
      </c>
      <c r="M53" s="1">
        <v>0</v>
      </c>
      <c r="N53" s="1">
        <v>0</v>
      </c>
      <c r="O53" s="1">
        <v>0</v>
      </c>
      <c r="P53" s="2">
        <v>3174640</v>
      </c>
      <c r="Q53" s="1">
        <v>-159147</v>
      </c>
      <c r="R53" s="1">
        <v>408539</v>
      </c>
      <c r="S53">
        <v>85.330299999999994</v>
      </c>
      <c r="T53">
        <v>98.274000000000001</v>
      </c>
      <c r="U53">
        <v>2.4207900000000002</v>
      </c>
      <c r="V53">
        <v>0</v>
      </c>
      <c r="W53">
        <v>1</v>
      </c>
      <c r="X53">
        <v>1.7082200000000001</v>
      </c>
      <c r="Y53">
        <v>1.4058200000000001</v>
      </c>
      <c r="Z53">
        <v>0</v>
      </c>
      <c r="AA53">
        <v>1.3194900000000001</v>
      </c>
      <c r="AB53">
        <v>2.1168</v>
      </c>
      <c r="AC53" s="2">
        <v>33034700</v>
      </c>
      <c r="AD53" s="1">
        <v>0</v>
      </c>
      <c r="AE53" s="1">
        <v>0</v>
      </c>
      <c r="AF53" s="1">
        <v>0</v>
      </c>
      <c r="AG53" s="1">
        <v>0</v>
      </c>
      <c r="AH53" s="2">
        <v>4419570</v>
      </c>
      <c r="AI53" s="1">
        <v>900939</v>
      </c>
      <c r="AJ53" s="1">
        <v>0</v>
      </c>
      <c r="AK53" s="8">
        <f t="shared" si="3"/>
        <v>52</v>
      </c>
      <c r="AL53" s="8">
        <f t="shared" si="2"/>
        <v>1</v>
      </c>
      <c r="AM53">
        <f t="shared" si="0"/>
        <v>33034700</v>
      </c>
      <c r="AN53">
        <f t="shared" si="1"/>
        <v>2094690</v>
      </c>
    </row>
    <row r="54" spans="1:40" x14ac:dyDescent="0.35">
      <c r="A54">
        <v>31.863600000000002</v>
      </c>
      <c r="B54">
        <v>72.290000000000006</v>
      </c>
      <c r="C54">
        <v>1.6184499999999999</v>
      </c>
      <c r="D54">
        <v>0.24</v>
      </c>
      <c r="E54">
        <v>1</v>
      </c>
      <c r="F54">
        <v>2.20017</v>
      </c>
      <c r="G54">
        <v>2.50257</v>
      </c>
      <c r="H54">
        <v>0</v>
      </c>
      <c r="I54">
        <v>0.39795199999999997</v>
      </c>
      <c r="J54">
        <v>3.6288</v>
      </c>
      <c r="K54" s="2">
        <v>1943420</v>
      </c>
      <c r="L54" s="1">
        <v>0</v>
      </c>
      <c r="M54" s="1">
        <v>0</v>
      </c>
      <c r="N54" s="2">
        <v>206348000</v>
      </c>
      <c r="O54" s="1">
        <v>0</v>
      </c>
      <c r="P54" s="2">
        <v>3289190</v>
      </c>
      <c r="Q54" s="1">
        <v>-151270</v>
      </c>
      <c r="R54" s="1">
        <v>408539</v>
      </c>
      <c r="S54">
        <v>85.375600000000006</v>
      </c>
      <c r="T54">
        <v>98.274000000000001</v>
      </c>
      <c r="U54">
        <v>2.51858</v>
      </c>
      <c r="V54">
        <v>0</v>
      </c>
      <c r="W54">
        <v>1</v>
      </c>
      <c r="X54">
        <v>1.75404</v>
      </c>
      <c r="Y54">
        <v>1.45164</v>
      </c>
      <c r="Z54">
        <v>0</v>
      </c>
      <c r="AA54">
        <v>1.3197700000000001</v>
      </c>
      <c r="AB54">
        <v>2.1168</v>
      </c>
      <c r="AC54" s="2">
        <v>33939500</v>
      </c>
      <c r="AD54" s="1">
        <v>0</v>
      </c>
      <c r="AE54" s="1">
        <v>0</v>
      </c>
      <c r="AF54" s="2">
        <v>56061500</v>
      </c>
      <c r="AG54" s="1">
        <v>0</v>
      </c>
      <c r="AH54" s="2">
        <v>4538110</v>
      </c>
      <c r="AI54" s="1">
        <v>904803</v>
      </c>
      <c r="AJ54" s="1">
        <v>0</v>
      </c>
      <c r="AK54" s="8">
        <f t="shared" si="3"/>
        <v>1</v>
      </c>
      <c r="AL54" s="8">
        <f t="shared" si="2"/>
        <v>2</v>
      </c>
      <c r="AM54">
        <f t="shared" si="0"/>
        <v>0</v>
      </c>
      <c r="AN54">
        <f t="shared" si="1"/>
        <v>0</v>
      </c>
    </row>
    <row r="55" spans="1:40" x14ac:dyDescent="0.35">
      <c r="A55">
        <v>31.184799999999999</v>
      </c>
      <c r="B55">
        <v>72.290000000000006</v>
      </c>
      <c r="C55">
        <v>2.1320899999999998</v>
      </c>
      <c r="D55">
        <v>0.25</v>
      </c>
      <c r="E55">
        <v>1</v>
      </c>
      <c r="F55">
        <v>2.2405400000000002</v>
      </c>
      <c r="G55">
        <v>2.50318</v>
      </c>
      <c r="H55">
        <v>0</v>
      </c>
      <c r="I55">
        <v>0.41231099999999998</v>
      </c>
      <c r="J55">
        <v>3.6288</v>
      </c>
      <c r="K55" s="2">
        <v>1845920</v>
      </c>
      <c r="L55" s="1">
        <v>0</v>
      </c>
      <c r="M55" s="1">
        <v>0</v>
      </c>
      <c r="N55" s="1">
        <v>0</v>
      </c>
      <c r="O55" s="1">
        <v>0</v>
      </c>
      <c r="P55" s="2">
        <v>3349550</v>
      </c>
      <c r="Q55" s="1">
        <v>-97493.9</v>
      </c>
      <c r="R55" s="1">
        <v>354826</v>
      </c>
      <c r="S55">
        <v>85.6066</v>
      </c>
      <c r="T55">
        <v>98.274000000000001</v>
      </c>
      <c r="U55">
        <v>2.7696200000000002</v>
      </c>
      <c r="V55">
        <v>0</v>
      </c>
      <c r="W55">
        <v>1</v>
      </c>
      <c r="X55">
        <v>1.7146399999999999</v>
      </c>
      <c r="Y55">
        <v>1.452</v>
      </c>
      <c r="Z55">
        <v>0</v>
      </c>
      <c r="AA55">
        <v>1.35517</v>
      </c>
      <c r="AB55">
        <v>2.1168</v>
      </c>
      <c r="AC55" s="2">
        <v>34741400</v>
      </c>
      <c r="AD55" s="1">
        <v>0</v>
      </c>
      <c r="AE55" s="1">
        <v>0</v>
      </c>
      <c r="AF55" s="1">
        <v>0</v>
      </c>
      <c r="AG55" s="1">
        <v>0</v>
      </c>
      <c r="AH55" s="2">
        <v>4436170</v>
      </c>
      <c r="AI55" s="1">
        <v>801969</v>
      </c>
      <c r="AJ55" s="1">
        <v>0</v>
      </c>
      <c r="AK55" s="8">
        <f t="shared" si="3"/>
        <v>2</v>
      </c>
      <c r="AL55" s="8">
        <f t="shared" si="2"/>
        <v>2</v>
      </c>
      <c r="AM55">
        <f t="shared" si="0"/>
        <v>0</v>
      </c>
      <c r="AN55">
        <f t="shared" si="1"/>
        <v>0</v>
      </c>
    </row>
    <row r="56" spans="1:40" x14ac:dyDescent="0.35">
      <c r="A56">
        <v>32.779400000000003</v>
      </c>
      <c r="B56">
        <v>72.290000000000006</v>
      </c>
      <c r="C56">
        <v>4.4047599999999996</v>
      </c>
      <c r="D56">
        <v>0.26</v>
      </c>
      <c r="E56">
        <v>1</v>
      </c>
      <c r="F56">
        <v>2.2415099999999999</v>
      </c>
      <c r="G56">
        <v>2.5038</v>
      </c>
      <c r="H56">
        <v>0</v>
      </c>
      <c r="I56">
        <v>0.419877</v>
      </c>
      <c r="J56">
        <v>3.6288</v>
      </c>
      <c r="K56" s="2">
        <v>1748970</v>
      </c>
      <c r="L56" s="1">
        <v>0</v>
      </c>
      <c r="M56" s="1">
        <v>0</v>
      </c>
      <c r="N56" s="1">
        <v>0</v>
      </c>
      <c r="O56" s="1">
        <v>0</v>
      </c>
      <c r="P56" s="2">
        <v>3351000</v>
      </c>
      <c r="Q56" s="1">
        <v>-96948</v>
      </c>
      <c r="R56" s="1">
        <v>354343</v>
      </c>
      <c r="S56">
        <v>86.470799999999997</v>
      </c>
      <c r="T56">
        <v>98.274000000000001</v>
      </c>
      <c r="U56">
        <v>4.08819</v>
      </c>
      <c r="V56">
        <v>0</v>
      </c>
      <c r="W56">
        <v>1</v>
      </c>
      <c r="X56">
        <v>1.7146399999999999</v>
      </c>
      <c r="Y56">
        <v>1.45235</v>
      </c>
      <c r="Z56">
        <v>0</v>
      </c>
      <c r="AA56">
        <v>1.32473</v>
      </c>
      <c r="AB56">
        <v>2.1168</v>
      </c>
      <c r="AC56" s="2">
        <v>35542500</v>
      </c>
      <c r="AD56" s="1">
        <v>0</v>
      </c>
      <c r="AE56" s="1">
        <v>0</v>
      </c>
      <c r="AF56" s="1">
        <v>0</v>
      </c>
      <c r="AG56" s="1">
        <v>0</v>
      </c>
      <c r="AH56" s="2">
        <v>4436170</v>
      </c>
      <c r="AI56" s="1">
        <v>801075</v>
      </c>
      <c r="AJ56" s="1">
        <v>0</v>
      </c>
      <c r="AK56" s="8">
        <f t="shared" si="3"/>
        <v>3</v>
      </c>
      <c r="AL56" s="8">
        <f t="shared" si="2"/>
        <v>2</v>
      </c>
      <c r="AM56">
        <f t="shared" si="0"/>
        <v>0</v>
      </c>
      <c r="AN56">
        <f t="shared" si="1"/>
        <v>0</v>
      </c>
    </row>
    <row r="57" spans="1:40" x14ac:dyDescent="0.35">
      <c r="A57">
        <v>35.276000000000003</v>
      </c>
      <c r="B57">
        <v>72.290000000000006</v>
      </c>
      <c r="C57">
        <v>5.3058500000000004</v>
      </c>
      <c r="D57">
        <v>0.28000000000000003</v>
      </c>
      <c r="E57">
        <v>1</v>
      </c>
      <c r="F57">
        <v>2.24248</v>
      </c>
      <c r="G57">
        <v>2.50441</v>
      </c>
      <c r="H57">
        <v>0</v>
      </c>
      <c r="I57">
        <v>0.42005900000000002</v>
      </c>
      <c r="J57">
        <v>3.6288</v>
      </c>
      <c r="K57" s="2">
        <v>1652570</v>
      </c>
      <c r="L57" s="1">
        <v>0</v>
      </c>
      <c r="M57" s="1">
        <v>0</v>
      </c>
      <c r="N57" s="1">
        <v>0</v>
      </c>
      <c r="O57" s="1">
        <v>0</v>
      </c>
      <c r="P57" s="2">
        <v>3352460</v>
      </c>
      <c r="Q57" s="1">
        <v>-96402.2</v>
      </c>
      <c r="R57" s="1">
        <v>353861</v>
      </c>
      <c r="S57">
        <v>87.356200000000001</v>
      </c>
      <c r="T57">
        <v>98.274000000000001</v>
      </c>
      <c r="U57">
        <v>4.22743</v>
      </c>
      <c r="V57">
        <v>0</v>
      </c>
      <c r="W57">
        <v>1</v>
      </c>
      <c r="X57">
        <v>1.7146399999999999</v>
      </c>
      <c r="Y57">
        <v>1.4527099999999999</v>
      </c>
      <c r="Z57">
        <v>0</v>
      </c>
      <c r="AA57">
        <v>1.32473</v>
      </c>
      <c r="AB57">
        <v>2.1168</v>
      </c>
      <c r="AC57" s="2">
        <v>36342700</v>
      </c>
      <c r="AD57" s="1">
        <v>0</v>
      </c>
      <c r="AE57" s="1">
        <v>0</v>
      </c>
      <c r="AF57" s="1">
        <v>0</v>
      </c>
      <c r="AG57" s="1">
        <v>0</v>
      </c>
      <c r="AH57" s="2">
        <v>4436180</v>
      </c>
      <c r="AI57" s="1">
        <v>800182</v>
      </c>
      <c r="AJ57" s="1">
        <v>0</v>
      </c>
      <c r="AK57" s="8">
        <f t="shared" si="3"/>
        <v>4</v>
      </c>
      <c r="AL57" s="8">
        <f t="shared" si="2"/>
        <v>2</v>
      </c>
      <c r="AM57">
        <f t="shared" si="0"/>
        <v>0</v>
      </c>
      <c r="AN57">
        <f t="shared" si="1"/>
        <v>0</v>
      </c>
    </row>
    <row r="58" spans="1:40" x14ac:dyDescent="0.35">
      <c r="A58">
        <v>39.814599999999999</v>
      </c>
      <c r="B58">
        <v>72.290000000000006</v>
      </c>
      <c r="C58">
        <v>7.5802899999999998</v>
      </c>
      <c r="D58">
        <v>0.24</v>
      </c>
      <c r="E58">
        <v>1</v>
      </c>
      <c r="F58">
        <v>2.4877899999999999</v>
      </c>
      <c r="G58">
        <v>2.7493599999999998</v>
      </c>
      <c r="H58">
        <v>0</v>
      </c>
      <c r="I58">
        <v>0.420242</v>
      </c>
      <c r="J58">
        <v>3.6288</v>
      </c>
      <c r="K58" s="2">
        <v>1581830</v>
      </c>
      <c r="L58" s="1">
        <v>0</v>
      </c>
      <c r="M58" s="1">
        <v>0</v>
      </c>
      <c r="N58" s="1">
        <v>0</v>
      </c>
      <c r="O58" s="1">
        <v>0</v>
      </c>
      <c r="P58" s="2">
        <v>3719190</v>
      </c>
      <c r="Q58" s="1">
        <v>-70738.100000000006</v>
      </c>
      <c r="R58" s="1">
        <v>353378</v>
      </c>
      <c r="S58">
        <v>88.122100000000003</v>
      </c>
      <c r="T58">
        <v>98.274000000000001</v>
      </c>
      <c r="U58">
        <v>4.6214899999999997</v>
      </c>
      <c r="V58">
        <v>0</v>
      </c>
      <c r="W58">
        <v>1</v>
      </c>
      <c r="X58">
        <v>1.8854900000000001</v>
      </c>
      <c r="Y58">
        <v>1.62392</v>
      </c>
      <c r="Z58">
        <v>0</v>
      </c>
      <c r="AA58">
        <v>1.32473</v>
      </c>
      <c r="AB58">
        <v>2.1168</v>
      </c>
      <c r="AC58" s="2">
        <v>37156400</v>
      </c>
      <c r="AD58" s="1">
        <v>0</v>
      </c>
      <c r="AE58" s="1">
        <v>0</v>
      </c>
      <c r="AF58" s="1">
        <v>0</v>
      </c>
      <c r="AG58" s="1">
        <v>0</v>
      </c>
      <c r="AH58" s="2">
        <v>4878200</v>
      </c>
      <c r="AI58" s="1">
        <v>813696</v>
      </c>
      <c r="AJ58" s="1">
        <v>0</v>
      </c>
      <c r="AK58" s="8">
        <f t="shared" si="3"/>
        <v>5</v>
      </c>
      <c r="AL58" s="8">
        <f t="shared" si="2"/>
        <v>2</v>
      </c>
      <c r="AM58">
        <f t="shared" si="0"/>
        <v>0</v>
      </c>
      <c r="AN58">
        <f t="shared" si="1"/>
        <v>0</v>
      </c>
    </row>
    <row r="59" spans="1:40" x14ac:dyDescent="0.35">
      <c r="A59">
        <v>40.434399999999997</v>
      </c>
      <c r="B59">
        <v>72.290000000000006</v>
      </c>
      <c r="C59">
        <v>3.8687200000000002</v>
      </c>
      <c r="D59">
        <v>0.22</v>
      </c>
      <c r="E59">
        <v>1</v>
      </c>
      <c r="F59">
        <v>2.6596799999999998</v>
      </c>
      <c r="G59">
        <v>2.7500399999999998</v>
      </c>
      <c r="H59">
        <v>0</v>
      </c>
      <c r="I59">
        <v>0.46621200000000002</v>
      </c>
      <c r="J59">
        <v>3.6288</v>
      </c>
      <c r="K59" s="2">
        <v>1742460</v>
      </c>
      <c r="L59" s="1">
        <v>0</v>
      </c>
      <c r="M59" s="1">
        <v>0</v>
      </c>
      <c r="N59" s="1">
        <v>0</v>
      </c>
      <c r="O59" s="1">
        <v>0</v>
      </c>
      <c r="P59" s="2">
        <v>3976150</v>
      </c>
      <c r="Q59" s="1">
        <v>160630</v>
      </c>
      <c r="R59" s="1">
        <v>122079</v>
      </c>
      <c r="S59">
        <v>88.402100000000004</v>
      </c>
      <c r="T59">
        <v>98.274000000000001</v>
      </c>
      <c r="U59">
        <v>3.1243099999999999</v>
      </c>
      <c r="V59">
        <v>0</v>
      </c>
      <c r="W59">
        <v>1</v>
      </c>
      <c r="X59">
        <v>1.71468</v>
      </c>
      <c r="Y59">
        <v>1.62432</v>
      </c>
      <c r="Z59">
        <v>0</v>
      </c>
      <c r="AA59">
        <v>1.4567300000000001</v>
      </c>
      <c r="AB59">
        <v>2.1168</v>
      </c>
      <c r="AC59" s="2">
        <v>37527200</v>
      </c>
      <c r="AD59" s="1">
        <v>0</v>
      </c>
      <c r="AE59" s="1">
        <v>0</v>
      </c>
      <c r="AF59" s="1">
        <v>0</v>
      </c>
      <c r="AG59" s="1">
        <v>0</v>
      </c>
      <c r="AH59" s="2">
        <v>4436280</v>
      </c>
      <c r="AI59" s="1">
        <v>370776</v>
      </c>
      <c r="AJ59" s="1">
        <v>0</v>
      </c>
      <c r="AK59" s="8">
        <f t="shared" si="3"/>
        <v>6</v>
      </c>
      <c r="AL59" s="8">
        <f t="shared" si="2"/>
        <v>2</v>
      </c>
      <c r="AM59">
        <f t="shared" si="0"/>
        <v>0</v>
      </c>
      <c r="AN59">
        <f t="shared" si="1"/>
        <v>0</v>
      </c>
    </row>
    <row r="60" spans="1:40" x14ac:dyDescent="0.35">
      <c r="A60">
        <v>41.233499999999999</v>
      </c>
      <c r="B60">
        <v>72.290000000000006</v>
      </c>
      <c r="C60">
        <v>4.0654700000000004</v>
      </c>
      <c r="D60">
        <v>0.23</v>
      </c>
      <c r="E60">
        <v>1</v>
      </c>
      <c r="F60">
        <v>2.6607500000000002</v>
      </c>
      <c r="G60">
        <v>2.7507199999999998</v>
      </c>
      <c r="H60">
        <v>0</v>
      </c>
      <c r="I60">
        <v>0.498423</v>
      </c>
      <c r="J60">
        <v>3.6288</v>
      </c>
      <c r="K60" s="2">
        <v>1903700</v>
      </c>
      <c r="L60" s="1">
        <v>0</v>
      </c>
      <c r="M60" s="1">
        <v>0</v>
      </c>
      <c r="N60" s="1">
        <v>0</v>
      </c>
      <c r="O60" s="1">
        <v>0</v>
      </c>
      <c r="P60" s="2">
        <v>3977760</v>
      </c>
      <c r="Q60" s="1">
        <v>161239</v>
      </c>
      <c r="R60" s="1">
        <v>121540</v>
      </c>
      <c r="S60">
        <v>89.091899999999995</v>
      </c>
      <c r="T60">
        <v>98.274000000000001</v>
      </c>
      <c r="U60">
        <v>2.9147599999999998</v>
      </c>
      <c r="V60">
        <v>0</v>
      </c>
      <c r="W60">
        <v>1</v>
      </c>
      <c r="X60">
        <v>1.71468</v>
      </c>
      <c r="Y60">
        <v>1.6247199999999999</v>
      </c>
      <c r="Z60">
        <v>0</v>
      </c>
      <c r="AA60">
        <v>1.3247599999999999</v>
      </c>
      <c r="AB60">
        <v>2.1168</v>
      </c>
      <c r="AC60" s="2">
        <v>37896900</v>
      </c>
      <c r="AD60" s="1">
        <v>0</v>
      </c>
      <c r="AE60" s="1">
        <v>0</v>
      </c>
      <c r="AF60" s="1">
        <v>0</v>
      </c>
      <c r="AG60" s="1">
        <v>0</v>
      </c>
      <c r="AH60" s="2">
        <v>4436280</v>
      </c>
      <c r="AI60" s="1">
        <v>369776</v>
      </c>
      <c r="AJ60" s="1">
        <v>0</v>
      </c>
      <c r="AK60" s="8">
        <f t="shared" si="3"/>
        <v>7</v>
      </c>
      <c r="AL60" s="8">
        <f t="shared" si="2"/>
        <v>2</v>
      </c>
      <c r="AM60">
        <f t="shared" si="0"/>
        <v>0</v>
      </c>
      <c r="AN60">
        <f t="shared" si="1"/>
        <v>0</v>
      </c>
    </row>
    <row r="61" spans="1:40" x14ac:dyDescent="0.35">
      <c r="A61">
        <v>42.119599999999998</v>
      </c>
      <c r="B61">
        <v>72.290000000000006</v>
      </c>
      <c r="C61">
        <v>4.1757799999999996</v>
      </c>
      <c r="D61">
        <v>0.26</v>
      </c>
      <c r="E61">
        <v>1</v>
      </c>
      <c r="F61">
        <v>2.6618300000000001</v>
      </c>
      <c r="G61">
        <v>2.7513899999999998</v>
      </c>
      <c r="H61">
        <v>0</v>
      </c>
      <c r="I61">
        <v>0.49862499999999998</v>
      </c>
      <c r="J61">
        <v>3.6288</v>
      </c>
      <c r="K61" s="2">
        <v>2065550</v>
      </c>
      <c r="L61" s="1">
        <v>0</v>
      </c>
      <c r="M61" s="1">
        <v>0</v>
      </c>
      <c r="N61" s="1">
        <v>0</v>
      </c>
      <c r="O61" s="1">
        <v>0</v>
      </c>
      <c r="P61" s="2">
        <v>3979370</v>
      </c>
      <c r="Q61" s="1">
        <v>161849</v>
      </c>
      <c r="R61" s="1">
        <v>121000</v>
      </c>
      <c r="S61">
        <v>90.009600000000006</v>
      </c>
      <c r="T61">
        <v>98.274000000000001</v>
      </c>
      <c r="U61">
        <v>4.0993000000000004</v>
      </c>
      <c r="V61">
        <v>0</v>
      </c>
      <c r="W61">
        <v>1</v>
      </c>
      <c r="X61">
        <v>1.71468</v>
      </c>
      <c r="Y61">
        <v>1.6251199999999999</v>
      </c>
      <c r="Z61">
        <v>0</v>
      </c>
      <c r="AA61">
        <v>1.3247599999999999</v>
      </c>
      <c r="AB61">
        <v>2.1168</v>
      </c>
      <c r="AC61" s="2">
        <v>38265700</v>
      </c>
      <c r="AD61" s="1">
        <v>0</v>
      </c>
      <c r="AE61" s="1">
        <v>0</v>
      </c>
      <c r="AF61" s="1">
        <v>0</v>
      </c>
      <c r="AG61" s="1">
        <v>0</v>
      </c>
      <c r="AH61" s="2">
        <v>4436280</v>
      </c>
      <c r="AI61" s="1">
        <v>368776</v>
      </c>
      <c r="AJ61" s="1">
        <v>0</v>
      </c>
      <c r="AK61" s="8">
        <f t="shared" si="3"/>
        <v>8</v>
      </c>
      <c r="AL61" s="8">
        <f t="shared" si="2"/>
        <v>2</v>
      </c>
      <c r="AM61">
        <f t="shared" si="0"/>
        <v>0</v>
      </c>
      <c r="AN61">
        <f t="shared" si="1"/>
        <v>0</v>
      </c>
    </row>
    <row r="62" spans="1:40" x14ac:dyDescent="0.35">
      <c r="A62">
        <v>44.0458</v>
      </c>
      <c r="B62">
        <v>72.290000000000006</v>
      </c>
      <c r="C62">
        <v>4.8479000000000001</v>
      </c>
      <c r="D62">
        <v>0.28000000000000003</v>
      </c>
      <c r="E62">
        <v>1</v>
      </c>
      <c r="F62">
        <v>2.31406</v>
      </c>
      <c r="G62">
        <v>2.4032300000000002</v>
      </c>
      <c r="H62">
        <v>0</v>
      </c>
      <c r="I62">
        <v>0.49882700000000002</v>
      </c>
      <c r="J62">
        <v>3.6288</v>
      </c>
      <c r="K62" s="2">
        <v>2192150</v>
      </c>
      <c r="L62" s="1">
        <v>0</v>
      </c>
      <c r="M62" s="1">
        <v>0</v>
      </c>
      <c r="N62" s="1">
        <v>0</v>
      </c>
      <c r="O62" s="1">
        <v>0</v>
      </c>
      <c r="P62" s="2">
        <v>3459470</v>
      </c>
      <c r="Q62" s="1">
        <v>126597</v>
      </c>
      <c r="R62" s="1">
        <v>120460</v>
      </c>
      <c r="S62">
        <v>90.557400000000001</v>
      </c>
      <c r="T62">
        <v>98.274000000000001</v>
      </c>
      <c r="U62">
        <v>3.8481900000000002</v>
      </c>
      <c r="V62">
        <v>0</v>
      </c>
      <c r="W62">
        <v>1</v>
      </c>
      <c r="X62">
        <v>1.4851700000000001</v>
      </c>
      <c r="Y62">
        <v>1.39601</v>
      </c>
      <c r="Z62">
        <v>0</v>
      </c>
      <c r="AA62">
        <v>1.3247599999999999</v>
      </c>
      <c r="AB62">
        <v>2.1168</v>
      </c>
      <c r="AC62" s="2">
        <v>38614100</v>
      </c>
      <c r="AD62" s="1">
        <v>0</v>
      </c>
      <c r="AE62" s="1">
        <v>0</v>
      </c>
      <c r="AF62" s="1">
        <v>0</v>
      </c>
      <c r="AG62" s="1">
        <v>0</v>
      </c>
      <c r="AH62" s="2">
        <v>3842490</v>
      </c>
      <c r="AI62" s="1">
        <v>348420</v>
      </c>
      <c r="AJ62" s="1">
        <v>0</v>
      </c>
      <c r="AK62" s="8">
        <f t="shared" si="3"/>
        <v>9</v>
      </c>
      <c r="AL62" s="8">
        <f t="shared" si="2"/>
        <v>2</v>
      </c>
      <c r="AM62">
        <f t="shared" si="0"/>
        <v>0</v>
      </c>
      <c r="AN62">
        <f t="shared" si="1"/>
        <v>0</v>
      </c>
    </row>
    <row r="63" spans="1:40" x14ac:dyDescent="0.35">
      <c r="A63">
        <v>45.059899999999999</v>
      </c>
      <c r="B63">
        <v>72.290000000000006</v>
      </c>
      <c r="C63">
        <v>3.6970200000000002</v>
      </c>
      <c r="D63">
        <v>0.26</v>
      </c>
      <c r="E63">
        <v>1</v>
      </c>
      <c r="F63">
        <v>2.1014200000000001</v>
      </c>
      <c r="G63">
        <v>2.4038200000000001</v>
      </c>
      <c r="H63">
        <v>0</v>
      </c>
      <c r="I63">
        <v>0.43365500000000001</v>
      </c>
      <c r="J63">
        <v>3.6288</v>
      </c>
      <c r="K63" s="2">
        <v>2030730</v>
      </c>
      <c r="L63" s="1">
        <v>0</v>
      </c>
      <c r="M63" s="1">
        <v>0</v>
      </c>
      <c r="N63" s="1">
        <v>0</v>
      </c>
      <c r="O63" s="1">
        <v>0</v>
      </c>
      <c r="P63" s="2">
        <v>3141570</v>
      </c>
      <c r="Q63" s="1">
        <v>-161421</v>
      </c>
      <c r="R63" s="1">
        <v>408539</v>
      </c>
      <c r="S63">
        <v>91.365399999999994</v>
      </c>
      <c r="T63">
        <v>98.274000000000001</v>
      </c>
      <c r="U63">
        <v>3.1749499999999999</v>
      </c>
      <c r="V63">
        <v>0</v>
      </c>
      <c r="W63">
        <v>1</v>
      </c>
      <c r="X63">
        <v>1.69875</v>
      </c>
      <c r="Y63">
        <v>1.39635</v>
      </c>
      <c r="Z63">
        <v>0</v>
      </c>
      <c r="AA63">
        <v>1.14744</v>
      </c>
      <c r="AB63">
        <v>2.1168</v>
      </c>
      <c r="AC63" s="2">
        <v>39514300</v>
      </c>
      <c r="AD63" s="1">
        <v>0</v>
      </c>
      <c r="AE63" s="1">
        <v>0</v>
      </c>
      <c r="AF63" s="1">
        <v>0</v>
      </c>
      <c r="AG63" s="1">
        <v>0</v>
      </c>
      <c r="AH63" s="2">
        <v>4395070</v>
      </c>
      <c r="AI63" s="1">
        <v>900141</v>
      </c>
      <c r="AJ63" s="1">
        <v>0</v>
      </c>
      <c r="AK63" s="8">
        <f t="shared" si="3"/>
        <v>10</v>
      </c>
      <c r="AL63" s="8">
        <f t="shared" si="2"/>
        <v>2</v>
      </c>
      <c r="AM63">
        <f t="shared" si="0"/>
        <v>0</v>
      </c>
      <c r="AN63">
        <f t="shared" si="1"/>
        <v>0</v>
      </c>
    </row>
    <row r="64" spans="1:40" x14ac:dyDescent="0.35">
      <c r="A64">
        <v>47.576999999999998</v>
      </c>
      <c r="B64">
        <v>72.290000000000006</v>
      </c>
      <c r="C64">
        <v>5.2031700000000001</v>
      </c>
      <c r="D64">
        <v>0.27</v>
      </c>
      <c r="E64">
        <v>1</v>
      </c>
      <c r="F64">
        <v>2.1020099999999999</v>
      </c>
      <c r="G64">
        <v>2.4044099999999999</v>
      </c>
      <c r="H64">
        <v>0</v>
      </c>
      <c r="I64">
        <v>0.39380599999999999</v>
      </c>
      <c r="J64">
        <v>3.6288</v>
      </c>
      <c r="K64" s="2">
        <v>1869370</v>
      </c>
      <c r="L64" s="1">
        <v>0</v>
      </c>
      <c r="M64" s="1">
        <v>0</v>
      </c>
      <c r="N64" s="1">
        <v>0</v>
      </c>
      <c r="O64" s="1">
        <v>0</v>
      </c>
      <c r="P64" s="2">
        <v>3142450</v>
      </c>
      <c r="Q64" s="1">
        <v>-161361</v>
      </c>
      <c r="R64" s="1">
        <v>408539</v>
      </c>
      <c r="S64">
        <v>92.988299999999995</v>
      </c>
      <c r="T64">
        <v>98.274000000000001</v>
      </c>
      <c r="U64">
        <v>5.2267900000000003</v>
      </c>
      <c r="V64">
        <v>0</v>
      </c>
      <c r="W64">
        <v>1</v>
      </c>
      <c r="X64">
        <v>1.69909</v>
      </c>
      <c r="Y64">
        <v>1.39669</v>
      </c>
      <c r="Z64">
        <v>0</v>
      </c>
      <c r="AA64">
        <v>1.3124499999999999</v>
      </c>
      <c r="AB64">
        <v>2.1168</v>
      </c>
      <c r="AC64" s="2">
        <v>40414500</v>
      </c>
      <c r="AD64" s="1">
        <v>0</v>
      </c>
      <c r="AE64" s="1">
        <v>0</v>
      </c>
      <c r="AF64" s="1">
        <v>0</v>
      </c>
      <c r="AG64" s="1">
        <v>0</v>
      </c>
      <c r="AH64" s="2">
        <v>4395960</v>
      </c>
      <c r="AI64" s="1">
        <v>900170</v>
      </c>
      <c r="AJ64" s="1">
        <v>0</v>
      </c>
      <c r="AK64" s="8">
        <f t="shared" si="3"/>
        <v>11</v>
      </c>
      <c r="AL64" s="8">
        <f t="shared" si="2"/>
        <v>2</v>
      </c>
      <c r="AM64">
        <f t="shared" si="0"/>
        <v>0</v>
      </c>
      <c r="AN64">
        <f t="shared" si="1"/>
        <v>0</v>
      </c>
    </row>
    <row r="65" spans="1:40" x14ac:dyDescent="0.35">
      <c r="A65">
        <v>49.485300000000002</v>
      </c>
      <c r="B65">
        <v>72.290000000000006</v>
      </c>
      <c r="C65">
        <v>4.6012899999999997</v>
      </c>
      <c r="D65">
        <v>0.31</v>
      </c>
      <c r="E65">
        <v>1</v>
      </c>
      <c r="F65">
        <v>2.1025999999999998</v>
      </c>
      <c r="G65">
        <v>2.4049999999999998</v>
      </c>
      <c r="H65">
        <v>0</v>
      </c>
      <c r="I65">
        <v>0.39391700000000002</v>
      </c>
      <c r="J65">
        <v>3.6288</v>
      </c>
      <c r="K65" s="2">
        <v>1708070</v>
      </c>
      <c r="L65" s="1">
        <v>0</v>
      </c>
      <c r="M65" s="1">
        <v>0</v>
      </c>
      <c r="N65" s="1">
        <v>0</v>
      </c>
      <c r="O65" s="1">
        <v>0</v>
      </c>
      <c r="P65" s="2">
        <v>3143340</v>
      </c>
      <c r="Q65" s="1">
        <v>-161300</v>
      </c>
      <c r="R65" s="1">
        <v>408539</v>
      </c>
      <c r="S65">
        <v>93.559200000000004</v>
      </c>
      <c r="T65">
        <v>98.274000000000001</v>
      </c>
      <c r="U65">
        <v>3.55185</v>
      </c>
      <c r="V65">
        <v>0</v>
      </c>
      <c r="W65">
        <v>1</v>
      </c>
      <c r="X65">
        <v>1.6994400000000001</v>
      </c>
      <c r="Y65">
        <v>1.3970400000000001</v>
      </c>
      <c r="Z65">
        <v>0</v>
      </c>
      <c r="AA65">
        <v>1.3127200000000001</v>
      </c>
      <c r="AB65">
        <v>2.1168</v>
      </c>
      <c r="AC65" s="2">
        <v>41314700</v>
      </c>
      <c r="AD65" s="1">
        <v>0</v>
      </c>
      <c r="AE65" s="1">
        <v>0</v>
      </c>
      <c r="AF65" s="1">
        <v>0</v>
      </c>
      <c r="AG65" s="1">
        <v>0</v>
      </c>
      <c r="AH65" s="2">
        <v>4396850</v>
      </c>
      <c r="AI65" s="1">
        <v>900199</v>
      </c>
      <c r="AJ65" s="1">
        <v>0</v>
      </c>
      <c r="AK65" s="8">
        <f t="shared" si="3"/>
        <v>12</v>
      </c>
      <c r="AL65" s="8">
        <f t="shared" si="2"/>
        <v>2</v>
      </c>
      <c r="AM65">
        <f t="shared" si="0"/>
        <v>0</v>
      </c>
      <c r="AN65">
        <f t="shared" si="1"/>
        <v>0</v>
      </c>
    </row>
    <row r="66" spans="1:40" x14ac:dyDescent="0.35">
      <c r="A66">
        <v>50.591999999999999</v>
      </c>
      <c r="B66">
        <v>72.290000000000006</v>
      </c>
      <c r="C66">
        <v>3.84483</v>
      </c>
      <c r="D66">
        <v>0.26</v>
      </c>
      <c r="E66">
        <v>1</v>
      </c>
      <c r="F66">
        <v>2.1031900000000001</v>
      </c>
      <c r="G66">
        <v>2.4055900000000001</v>
      </c>
      <c r="H66">
        <v>0</v>
      </c>
      <c r="I66">
        <v>0.39402700000000002</v>
      </c>
      <c r="J66">
        <v>3.6288</v>
      </c>
      <c r="K66" s="2">
        <v>1546830</v>
      </c>
      <c r="L66" s="1">
        <v>0</v>
      </c>
      <c r="M66" s="1">
        <v>0</v>
      </c>
      <c r="N66" s="1">
        <v>0</v>
      </c>
      <c r="O66" s="1">
        <v>0</v>
      </c>
      <c r="P66" s="2">
        <v>3144220</v>
      </c>
      <c r="Q66" s="1">
        <v>-161239</v>
      </c>
      <c r="R66" s="1">
        <v>408539</v>
      </c>
      <c r="S66">
        <v>94.374600000000001</v>
      </c>
      <c r="T66">
        <v>98.274000000000001</v>
      </c>
      <c r="U66">
        <v>3.0624500000000001</v>
      </c>
      <c r="V66">
        <v>0</v>
      </c>
      <c r="W66">
        <v>1</v>
      </c>
      <c r="X66">
        <v>1.6997800000000001</v>
      </c>
      <c r="Y66">
        <v>1.3973800000000001</v>
      </c>
      <c r="Z66">
        <v>0</v>
      </c>
      <c r="AA66">
        <v>1.3129900000000001</v>
      </c>
      <c r="AB66">
        <v>2.1168</v>
      </c>
      <c r="AC66" s="2">
        <v>42214900</v>
      </c>
      <c r="AD66" s="1">
        <v>0</v>
      </c>
      <c r="AE66" s="1">
        <v>0</v>
      </c>
      <c r="AF66" s="1">
        <v>0</v>
      </c>
      <c r="AG66" s="1">
        <v>0</v>
      </c>
      <c r="AH66" s="2">
        <v>4397740</v>
      </c>
      <c r="AI66" s="1">
        <v>900228</v>
      </c>
      <c r="AJ66" s="1">
        <v>0</v>
      </c>
      <c r="AK66" s="8">
        <f t="shared" si="3"/>
        <v>13</v>
      </c>
      <c r="AL66" s="8">
        <f t="shared" si="2"/>
        <v>2</v>
      </c>
      <c r="AM66">
        <f t="shared" si="0"/>
        <v>0</v>
      </c>
      <c r="AN66">
        <f t="shared" si="1"/>
        <v>0</v>
      </c>
    </row>
    <row r="67" spans="1:40" x14ac:dyDescent="0.35">
      <c r="A67">
        <v>52.496200000000002</v>
      </c>
      <c r="B67">
        <v>72.290000000000006</v>
      </c>
      <c r="C67">
        <v>4.6961899999999996</v>
      </c>
      <c r="D67">
        <v>0.28999999999999998</v>
      </c>
      <c r="E67">
        <v>1</v>
      </c>
      <c r="F67">
        <v>2.1917</v>
      </c>
      <c r="G67">
        <v>2.4941</v>
      </c>
      <c r="H67">
        <v>0</v>
      </c>
      <c r="I67">
        <v>0.39413799999999999</v>
      </c>
      <c r="J67">
        <v>3.6288</v>
      </c>
      <c r="K67" s="2">
        <v>1394690</v>
      </c>
      <c r="L67" s="1">
        <v>0</v>
      </c>
      <c r="M67" s="1">
        <v>0</v>
      </c>
      <c r="N67" s="1">
        <v>0</v>
      </c>
      <c r="O67" s="1">
        <v>0</v>
      </c>
      <c r="P67" s="2">
        <v>3276540</v>
      </c>
      <c r="Q67" s="1">
        <v>-152140</v>
      </c>
      <c r="R67" s="1">
        <v>408539</v>
      </c>
      <c r="S67">
        <v>95.173699999999997</v>
      </c>
      <c r="T67">
        <v>98.274000000000001</v>
      </c>
      <c r="U67">
        <v>3.8048600000000001</v>
      </c>
      <c r="V67">
        <v>0</v>
      </c>
      <c r="W67">
        <v>1</v>
      </c>
      <c r="X67">
        <v>1.75634</v>
      </c>
      <c r="Y67">
        <v>1.45394</v>
      </c>
      <c r="Z67">
        <v>0</v>
      </c>
      <c r="AA67">
        <v>1.31325</v>
      </c>
      <c r="AB67">
        <v>2.1168</v>
      </c>
      <c r="AC67" s="2">
        <v>43119900</v>
      </c>
      <c r="AD67" s="1">
        <v>0</v>
      </c>
      <c r="AE67" s="1">
        <v>0</v>
      </c>
      <c r="AF67" s="1">
        <v>0</v>
      </c>
      <c r="AG67" s="1">
        <v>0</v>
      </c>
      <c r="AH67" s="2">
        <v>4544070</v>
      </c>
      <c r="AI67" s="1">
        <v>904997</v>
      </c>
      <c r="AJ67" s="1">
        <v>0</v>
      </c>
      <c r="AK67" s="8">
        <f t="shared" si="3"/>
        <v>14</v>
      </c>
      <c r="AL67" s="8">
        <f t="shared" si="2"/>
        <v>2</v>
      </c>
      <c r="AM67">
        <f t="shared" ref="AM67:AM130" si="4">IF(AK67=52,AC67,0)</f>
        <v>0</v>
      </c>
      <c r="AN67">
        <f t="shared" ref="AN67:AN130" si="5">IF(AK67=52,K67,0)</f>
        <v>0</v>
      </c>
    </row>
    <row r="68" spans="1:40" x14ac:dyDescent="0.35">
      <c r="A68">
        <v>55.315800000000003</v>
      </c>
      <c r="B68">
        <v>72.290000000000006</v>
      </c>
      <c r="C68">
        <v>5.6589499999999999</v>
      </c>
      <c r="D68">
        <v>0.32</v>
      </c>
      <c r="E68">
        <v>1</v>
      </c>
      <c r="F68">
        <v>2.2343799999999998</v>
      </c>
      <c r="G68">
        <v>2.49471</v>
      </c>
      <c r="H68">
        <v>0</v>
      </c>
      <c r="I68">
        <v>0.41072500000000001</v>
      </c>
      <c r="J68">
        <v>3.6288</v>
      </c>
      <c r="K68" s="2">
        <v>1299430</v>
      </c>
      <c r="L68" s="1">
        <v>0</v>
      </c>
      <c r="M68" s="1">
        <v>0</v>
      </c>
      <c r="N68" s="1">
        <v>0</v>
      </c>
      <c r="O68" s="1">
        <v>0</v>
      </c>
      <c r="P68" s="2">
        <v>3340330</v>
      </c>
      <c r="Q68" s="1">
        <v>-95253.6</v>
      </c>
      <c r="R68" s="1">
        <v>351715</v>
      </c>
      <c r="S68">
        <v>96.140600000000006</v>
      </c>
      <c r="T68">
        <v>98.274000000000001</v>
      </c>
      <c r="U68">
        <v>4.7560000000000002</v>
      </c>
      <c r="V68">
        <v>0</v>
      </c>
      <c r="W68">
        <v>1</v>
      </c>
      <c r="X68">
        <v>1.7146399999999999</v>
      </c>
      <c r="Y68">
        <v>1.4542999999999999</v>
      </c>
      <c r="Z68">
        <v>0</v>
      </c>
      <c r="AA68">
        <v>1.3569500000000001</v>
      </c>
      <c r="AB68">
        <v>2.1168</v>
      </c>
      <c r="AC68" s="2">
        <v>43916100</v>
      </c>
      <c r="AD68" s="1">
        <v>0</v>
      </c>
      <c r="AE68" s="1">
        <v>0</v>
      </c>
      <c r="AF68" s="1">
        <v>0</v>
      </c>
      <c r="AG68" s="1">
        <v>0</v>
      </c>
      <c r="AH68" s="2">
        <v>4436180</v>
      </c>
      <c r="AI68" s="1">
        <v>796207</v>
      </c>
      <c r="AJ68" s="1">
        <v>0</v>
      </c>
      <c r="AK68" s="8">
        <f t="shared" si="3"/>
        <v>15</v>
      </c>
      <c r="AL68" s="8">
        <f t="shared" ref="AL68:AL131" si="6">IF(AK67=52,AL67+1,AL67)</f>
        <v>2</v>
      </c>
      <c r="AM68">
        <f t="shared" si="4"/>
        <v>0</v>
      </c>
      <c r="AN68">
        <f t="shared" si="5"/>
        <v>0</v>
      </c>
    </row>
    <row r="69" spans="1:40" x14ac:dyDescent="0.35">
      <c r="A69">
        <v>56.4407</v>
      </c>
      <c r="B69">
        <v>72.290000000000006</v>
      </c>
      <c r="C69">
        <v>3.9722599999999999</v>
      </c>
      <c r="D69">
        <v>0.25</v>
      </c>
      <c r="E69">
        <v>1</v>
      </c>
      <c r="F69">
        <v>2.2353499999999999</v>
      </c>
      <c r="G69">
        <v>2.49533</v>
      </c>
      <c r="H69">
        <v>0</v>
      </c>
      <c r="I69">
        <v>0.41872199999999998</v>
      </c>
      <c r="J69">
        <v>3.6288</v>
      </c>
      <c r="K69" s="2">
        <v>1204730</v>
      </c>
      <c r="L69" s="1">
        <v>0</v>
      </c>
      <c r="M69" s="1">
        <v>0</v>
      </c>
      <c r="N69" s="1">
        <v>0</v>
      </c>
      <c r="O69" s="1">
        <v>0</v>
      </c>
      <c r="P69" s="2">
        <v>3341790</v>
      </c>
      <c r="Q69" s="1">
        <v>-94707.4</v>
      </c>
      <c r="R69" s="1">
        <v>351232</v>
      </c>
      <c r="S69">
        <v>96.578199999999995</v>
      </c>
      <c r="T69">
        <v>98.274000000000001</v>
      </c>
      <c r="U69">
        <v>3.33534</v>
      </c>
      <c r="V69">
        <v>0</v>
      </c>
      <c r="W69">
        <v>1</v>
      </c>
      <c r="X69">
        <v>1.7146399999999999</v>
      </c>
      <c r="Y69">
        <v>1.4546600000000001</v>
      </c>
      <c r="Z69">
        <v>0</v>
      </c>
      <c r="AA69">
        <v>1.32473</v>
      </c>
      <c r="AB69">
        <v>2.1168</v>
      </c>
      <c r="AC69" s="2">
        <v>44711400</v>
      </c>
      <c r="AD69" s="1">
        <v>0</v>
      </c>
      <c r="AE69" s="1">
        <v>0</v>
      </c>
      <c r="AF69" s="1">
        <v>0</v>
      </c>
      <c r="AG69" s="1">
        <v>0</v>
      </c>
      <c r="AH69" s="2">
        <v>4436180</v>
      </c>
      <c r="AI69" s="1">
        <v>795312</v>
      </c>
      <c r="AJ69" s="1">
        <v>0</v>
      </c>
      <c r="AK69" s="8">
        <f t="shared" si="3"/>
        <v>16</v>
      </c>
      <c r="AL69" s="8">
        <f t="shared" si="6"/>
        <v>2</v>
      </c>
      <c r="AM69">
        <f t="shared" si="4"/>
        <v>0</v>
      </c>
      <c r="AN69">
        <f t="shared" si="5"/>
        <v>0</v>
      </c>
    </row>
    <row r="70" spans="1:40" x14ac:dyDescent="0.35">
      <c r="A70">
        <v>57.0685</v>
      </c>
      <c r="B70">
        <v>72.290000000000006</v>
      </c>
      <c r="C70">
        <v>3.45038</v>
      </c>
      <c r="D70">
        <v>0.27</v>
      </c>
      <c r="E70">
        <v>1</v>
      </c>
      <c r="F70">
        <v>2.2363200000000001</v>
      </c>
      <c r="G70">
        <v>2.49594</v>
      </c>
      <c r="H70">
        <v>0</v>
      </c>
      <c r="I70">
        <v>0.418904</v>
      </c>
      <c r="J70">
        <v>3.6288</v>
      </c>
      <c r="K70" s="2">
        <v>1110570</v>
      </c>
      <c r="L70" s="1">
        <v>0</v>
      </c>
      <c r="M70" s="1">
        <v>0</v>
      </c>
      <c r="N70" s="1">
        <v>0</v>
      </c>
      <c r="O70" s="1">
        <v>0</v>
      </c>
      <c r="P70" s="2">
        <v>3343240</v>
      </c>
      <c r="Q70" s="1">
        <v>-94160.8</v>
      </c>
      <c r="R70" s="1">
        <v>350749</v>
      </c>
      <c r="S70">
        <v>96.643299999999996</v>
      </c>
      <c r="T70">
        <v>98.274000000000001</v>
      </c>
      <c r="U70">
        <v>2.84842</v>
      </c>
      <c r="V70">
        <v>0</v>
      </c>
      <c r="W70">
        <v>1</v>
      </c>
      <c r="X70">
        <v>1.7146399999999999</v>
      </c>
      <c r="Y70">
        <v>1.4550099999999999</v>
      </c>
      <c r="Z70">
        <v>0</v>
      </c>
      <c r="AA70">
        <v>1.32473</v>
      </c>
      <c r="AB70">
        <v>2.1168</v>
      </c>
      <c r="AC70" s="2">
        <v>45505800</v>
      </c>
      <c r="AD70" s="1">
        <v>0</v>
      </c>
      <c r="AE70" s="1">
        <v>0</v>
      </c>
      <c r="AF70" s="1">
        <v>0</v>
      </c>
      <c r="AG70" s="1">
        <v>0</v>
      </c>
      <c r="AH70" s="2">
        <v>4436180</v>
      </c>
      <c r="AI70" s="1">
        <v>794416</v>
      </c>
      <c r="AJ70" s="1">
        <v>0</v>
      </c>
      <c r="AK70" s="8">
        <f t="shared" si="3"/>
        <v>17</v>
      </c>
      <c r="AL70" s="8">
        <f t="shared" si="6"/>
        <v>2</v>
      </c>
      <c r="AM70">
        <f t="shared" si="4"/>
        <v>0</v>
      </c>
      <c r="AN70">
        <f t="shared" si="5"/>
        <v>0</v>
      </c>
    </row>
    <row r="71" spans="1:40" x14ac:dyDescent="0.35">
      <c r="A71">
        <v>57.009900000000002</v>
      </c>
      <c r="B71">
        <v>72.290000000000006</v>
      </c>
      <c r="C71">
        <v>2.7666599999999999</v>
      </c>
      <c r="D71">
        <v>0.28000000000000003</v>
      </c>
      <c r="E71">
        <v>1</v>
      </c>
      <c r="F71">
        <v>2.2028799999999999</v>
      </c>
      <c r="G71">
        <v>2.4621499999999998</v>
      </c>
      <c r="H71">
        <v>0</v>
      </c>
      <c r="I71">
        <v>0.41908600000000001</v>
      </c>
      <c r="J71">
        <v>3.6288</v>
      </c>
      <c r="K71" s="2">
        <v>1013410</v>
      </c>
      <c r="L71" s="1">
        <v>0</v>
      </c>
      <c r="M71" s="1">
        <v>0</v>
      </c>
      <c r="N71" s="1">
        <v>0</v>
      </c>
      <c r="O71" s="1">
        <v>0</v>
      </c>
      <c r="P71" s="2">
        <v>3293250</v>
      </c>
      <c r="Q71" s="1">
        <v>-97151.7</v>
      </c>
      <c r="R71" s="1">
        <v>350265</v>
      </c>
      <c r="S71">
        <v>96.548400000000001</v>
      </c>
      <c r="T71">
        <v>98.274000000000001</v>
      </c>
      <c r="U71">
        <v>2.38584</v>
      </c>
      <c r="V71">
        <v>0</v>
      </c>
      <c r="W71">
        <v>1</v>
      </c>
      <c r="X71">
        <v>1.69278</v>
      </c>
      <c r="Y71">
        <v>1.4335199999999999</v>
      </c>
      <c r="Z71">
        <v>0</v>
      </c>
      <c r="AA71">
        <v>1.32473</v>
      </c>
      <c r="AB71">
        <v>2.1168</v>
      </c>
      <c r="AC71" s="2">
        <v>46297500</v>
      </c>
      <c r="AD71" s="1">
        <v>0</v>
      </c>
      <c r="AE71" s="1">
        <v>0</v>
      </c>
      <c r="AF71" s="1">
        <v>0</v>
      </c>
      <c r="AG71" s="1">
        <v>0</v>
      </c>
      <c r="AH71" s="2">
        <v>4379630</v>
      </c>
      <c r="AI71" s="1">
        <v>791677</v>
      </c>
      <c r="AJ71" s="1">
        <v>0</v>
      </c>
      <c r="AK71" s="8">
        <f t="shared" si="3"/>
        <v>18</v>
      </c>
      <c r="AL71" s="8">
        <f t="shared" si="6"/>
        <v>2</v>
      </c>
      <c r="AM71">
        <f t="shared" si="4"/>
        <v>0</v>
      </c>
      <c r="AN71">
        <f t="shared" si="5"/>
        <v>0</v>
      </c>
    </row>
    <row r="72" spans="1:40" x14ac:dyDescent="0.35">
      <c r="A72">
        <v>56.678400000000003</v>
      </c>
      <c r="B72">
        <v>72.290000000000006</v>
      </c>
      <c r="C72">
        <v>2.38747</v>
      </c>
      <c r="D72">
        <v>0.28999999999999998</v>
      </c>
      <c r="E72">
        <v>1</v>
      </c>
      <c r="F72">
        <v>2.1819899999999999</v>
      </c>
      <c r="G72">
        <v>2.4627500000000002</v>
      </c>
      <c r="H72">
        <v>0</v>
      </c>
      <c r="I72">
        <v>0.41282000000000002</v>
      </c>
      <c r="J72">
        <v>3.6288</v>
      </c>
      <c r="K72" s="1">
        <v>887283</v>
      </c>
      <c r="L72" s="1">
        <v>0</v>
      </c>
      <c r="M72" s="1">
        <v>0</v>
      </c>
      <c r="N72" s="1">
        <v>0</v>
      </c>
      <c r="O72" s="1">
        <v>0</v>
      </c>
      <c r="P72" s="2">
        <v>3262020</v>
      </c>
      <c r="Q72" s="1">
        <v>-126132</v>
      </c>
      <c r="R72" s="1">
        <v>379307</v>
      </c>
      <c r="S72">
        <v>96.504000000000005</v>
      </c>
      <c r="T72">
        <v>98.274000000000001</v>
      </c>
      <c r="U72">
        <v>2.0732300000000001</v>
      </c>
      <c r="V72">
        <v>0</v>
      </c>
      <c r="W72">
        <v>1</v>
      </c>
      <c r="X72">
        <v>1.7146300000000001</v>
      </c>
      <c r="Y72">
        <v>1.43387</v>
      </c>
      <c r="Z72">
        <v>0</v>
      </c>
      <c r="AA72">
        <v>1.3078399999999999</v>
      </c>
      <c r="AB72">
        <v>2.1168</v>
      </c>
      <c r="AC72" s="2">
        <v>47144800</v>
      </c>
      <c r="AD72" s="1">
        <v>0</v>
      </c>
      <c r="AE72" s="1">
        <v>0</v>
      </c>
      <c r="AF72" s="1">
        <v>0</v>
      </c>
      <c r="AG72" s="1">
        <v>0</v>
      </c>
      <c r="AH72" s="2">
        <v>4436160</v>
      </c>
      <c r="AI72" s="1">
        <v>847325</v>
      </c>
      <c r="AJ72" s="1">
        <v>0</v>
      </c>
      <c r="AK72" s="8">
        <f t="shared" ref="AK72:AK135" si="7">IF(AK71=52, 1, AK71+1)</f>
        <v>19</v>
      </c>
      <c r="AL72" s="8">
        <f t="shared" si="6"/>
        <v>2</v>
      </c>
      <c r="AM72">
        <f t="shared" si="4"/>
        <v>0</v>
      </c>
      <c r="AN72">
        <f t="shared" si="5"/>
        <v>0</v>
      </c>
    </row>
    <row r="73" spans="1:40" x14ac:dyDescent="0.35">
      <c r="A73">
        <v>56.281599999999997</v>
      </c>
      <c r="B73">
        <v>72.290000000000006</v>
      </c>
      <c r="C73">
        <v>2.3225899999999999</v>
      </c>
      <c r="D73">
        <v>0.27</v>
      </c>
      <c r="E73">
        <v>1</v>
      </c>
      <c r="F73">
        <v>2.1829499999999999</v>
      </c>
      <c r="G73">
        <v>2.4633600000000002</v>
      </c>
      <c r="H73">
        <v>0</v>
      </c>
      <c r="I73">
        <v>0.40890500000000002</v>
      </c>
      <c r="J73">
        <v>3.6288</v>
      </c>
      <c r="K73" s="1">
        <v>761690</v>
      </c>
      <c r="L73" s="1">
        <v>0</v>
      </c>
      <c r="M73" s="1">
        <v>0</v>
      </c>
      <c r="N73" s="1">
        <v>0</v>
      </c>
      <c r="O73" s="1">
        <v>0</v>
      </c>
      <c r="P73" s="2">
        <v>3263450</v>
      </c>
      <c r="Q73" s="1">
        <v>-125593</v>
      </c>
      <c r="R73" s="1">
        <v>378831</v>
      </c>
      <c r="S73">
        <v>96.3977</v>
      </c>
      <c r="T73">
        <v>98.274000000000001</v>
      </c>
      <c r="U73">
        <v>2.3107899999999999</v>
      </c>
      <c r="V73">
        <v>0</v>
      </c>
      <c r="W73">
        <v>1</v>
      </c>
      <c r="X73">
        <v>1.7146300000000001</v>
      </c>
      <c r="Y73">
        <v>1.4342200000000001</v>
      </c>
      <c r="Z73">
        <v>0</v>
      </c>
      <c r="AA73">
        <v>1.32473</v>
      </c>
      <c r="AB73">
        <v>2.1168</v>
      </c>
      <c r="AC73" s="2">
        <v>47991300</v>
      </c>
      <c r="AD73" s="1">
        <v>0</v>
      </c>
      <c r="AE73" s="1">
        <v>0</v>
      </c>
      <c r="AF73" s="1">
        <v>0</v>
      </c>
      <c r="AG73" s="1">
        <v>0</v>
      </c>
      <c r="AH73" s="2">
        <v>4436160</v>
      </c>
      <c r="AI73" s="1">
        <v>846442</v>
      </c>
      <c r="AJ73" s="1">
        <v>0</v>
      </c>
      <c r="AK73" s="8">
        <f t="shared" si="7"/>
        <v>20</v>
      </c>
      <c r="AL73" s="8">
        <f t="shared" si="6"/>
        <v>2</v>
      </c>
      <c r="AM73">
        <f t="shared" si="4"/>
        <v>0</v>
      </c>
      <c r="AN73">
        <f t="shared" si="5"/>
        <v>0</v>
      </c>
    </row>
    <row r="74" spans="1:40" x14ac:dyDescent="0.35">
      <c r="A74">
        <v>55.809100000000001</v>
      </c>
      <c r="B74">
        <v>72.290000000000006</v>
      </c>
      <c r="C74">
        <v>2.24716</v>
      </c>
      <c r="D74">
        <v>0.26</v>
      </c>
      <c r="E74">
        <v>1</v>
      </c>
      <c r="F74">
        <v>2.18391</v>
      </c>
      <c r="G74">
        <v>2.4639700000000002</v>
      </c>
      <c r="H74">
        <v>0</v>
      </c>
      <c r="I74">
        <v>0.40908499999999998</v>
      </c>
      <c r="J74">
        <v>3.6288</v>
      </c>
      <c r="K74" s="1">
        <v>636636</v>
      </c>
      <c r="L74" s="1">
        <v>0</v>
      </c>
      <c r="M74" s="1">
        <v>0</v>
      </c>
      <c r="N74" s="1">
        <v>0</v>
      </c>
      <c r="O74" s="1">
        <v>0</v>
      </c>
      <c r="P74" s="2">
        <v>3264890</v>
      </c>
      <c r="Q74" s="1">
        <v>-125054</v>
      </c>
      <c r="R74" s="1">
        <v>378355</v>
      </c>
      <c r="S74">
        <v>96.246399999999994</v>
      </c>
      <c r="T74">
        <v>98.274000000000001</v>
      </c>
      <c r="U74">
        <v>2.14161</v>
      </c>
      <c r="V74">
        <v>0</v>
      </c>
      <c r="W74">
        <v>1</v>
      </c>
      <c r="X74">
        <v>1.7146300000000001</v>
      </c>
      <c r="Y74">
        <v>1.43458</v>
      </c>
      <c r="Z74">
        <v>0</v>
      </c>
      <c r="AA74">
        <v>1.32473</v>
      </c>
      <c r="AB74">
        <v>2.1168</v>
      </c>
      <c r="AC74" s="2">
        <v>48836800</v>
      </c>
      <c r="AD74" s="1">
        <v>0</v>
      </c>
      <c r="AE74" s="1">
        <v>0</v>
      </c>
      <c r="AF74" s="1">
        <v>0</v>
      </c>
      <c r="AG74" s="1">
        <v>0</v>
      </c>
      <c r="AH74" s="2">
        <v>4436160</v>
      </c>
      <c r="AI74" s="1">
        <v>845560</v>
      </c>
      <c r="AJ74" s="1">
        <v>0</v>
      </c>
      <c r="AK74" s="8">
        <f t="shared" si="7"/>
        <v>21</v>
      </c>
      <c r="AL74" s="8">
        <f t="shared" si="6"/>
        <v>2</v>
      </c>
      <c r="AM74">
        <f t="shared" si="4"/>
        <v>0</v>
      </c>
      <c r="AN74">
        <f t="shared" si="5"/>
        <v>0</v>
      </c>
    </row>
    <row r="75" spans="1:40" x14ac:dyDescent="0.35">
      <c r="A75">
        <v>55.0261</v>
      </c>
      <c r="B75">
        <v>72.290000000000006</v>
      </c>
      <c r="C75">
        <v>2.05131</v>
      </c>
      <c r="D75">
        <v>0.25</v>
      </c>
      <c r="E75">
        <v>1</v>
      </c>
      <c r="F75">
        <v>2.3017799999999999</v>
      </c>
      <c r="G75">
        <v>2.58148</v>
      </c>
      <c r="H75">
        <v>0</v>
      </c>
      <c r="I75">
        <v>0.40926400000000002</v>
      </c>
      <c r="J75">
        <v>3.6288</v>
      </c>
      <c r="K75" s="1">
        <v>524139</v>
      </c>
      <c r="L75" s="1">
        <v>0</v>
      </c>
      <c r="M75" s="1">
        <v>0</v>
      </c>
      <c r="N75" s="1">
        <v>0</v>
      </c>
      <c r="O75" s="1">
        <v>0</v>
      </c>
      <c r="P75" s="2">
        <v>3441100</v>
      </c>
      <c r="Q75" s="1">
        <v>-112496</v>
      </c>
      <c r="R75" s="1">
        <v>377878</v>
      </c>
      <c r="S75">
        <v>95.746600000000001</v>
      </c>
      <c r="T75">
        <v>98.274000000000001</v>
      </c>
      <c r="U75">
        <v>1.8573999999999999</v>
      </c>
      <c r="V75">
        <v>0</v>
      </c>
      <c r="W75">
        <v>1</v>
      </c>
      <c r="X75">
        <v>1.7922100000000001</v>
      </c>
      <c r="Y75">
        <v>1.51251</v>
      </c>
      <c r="Z75">
        <v>0</v>
      </c>
      <c r="AA75">
        <v>1.32473</v>
      </c>
      <c r="AB75">
        <v>2.1168</v>
      </c>
      <c r="AC75" s="2">
        <v>49688000</v>
      </c>
      <c r="AD75" s="1">
        <v>0</v>
      </c>
      <c r="AE75" s="1">
        <v>0</v>
      </c>
      <c r="AF75" s="1">
        <v>0</v>
      </c>
      <c r="AG75" s="1">
        <v>0</v>
      </c>
      <c r="AH75" s="2">
        <v>4636880</v>
      </c>
      <c r="AI75" s="1">
        <v>851219</v>
      </c>
      <c r="AJ75" s="1">
        <v>0</v>
      </c>
      <c r="AK75" s="8">
        <f t="shared" si="7"/>
        <v>22</v>
      </c>
      <c r="AL75" s="8">
        <f t="shared" si="6"/>
        <v>2</v>
      </c>
      <c r="AM75">
        <f t="shared" si="4"/>
        <v>0</v>
      </c>
      <c r="AN75">
        <f t="shared" si="5"/>
        <v>0</v>
      </c>
    </row>
    <row r="76" spans="1:40" x14ac:dyDescent="0.35">
      <c r="A76">
        <v>53.782499999999999</v>
      </c>
      <c r="B76">
        <v>72.290000000000006</v>
      </c>
      <c r="C76">
        <v>1.62473</v>
      </c>
      <c r="D76">
        <v>0.24</v>
      </c>
      <c r="E76">
        <v>1</v>
      </c>
      <c r="F76">
        <v>2.38035</v>
      </c>
      <c r="G76">
        <v>2.5821200000000002</v>
      </c>
      <c r="H76">
        <v>0</v>
      </c>
      <c r="I76">
        <v>0.43135299999999999</v>
      </c>
      <c r="J76">
        <v>3.6288</v>
      </c>
      <c r="K76" s="1">
        <v>516995</v>
      </c>
      <c r="L76" s="1">
        <v>0</v>
      </c>
      <c r="M76" s="1">
        <v>0</v>
      </c>
      <c r="N76" s="1">
        <v>0</v>
      </c>
      <c r="O76" s="1">
        <v>0</v>
      </c>
      <c r="P76" s="2">
        <v>3558560</v>
      </c>
      <c r="Q76" s="1">
        <v>-7144.9</v>
      </c>
      <c r="R76" s="1">
        <v>272592</v>
      </c>
      <c r="S76">
        <v>95.3048</v>
      </c>
      <c r="T76">
        <v>98.274000000000001</v>
      </c>
      <c r="U76">
        <v>1.6065100000000001</v>
      </c>
      <c r="V76">
        <v>0</v>
      </c>
      <c r="W76">
        <v>1</v>
      </c>
      <c r="X76">
        <v>1.71465</v>
      </c>
      <c r="Y76">
        <v>1.51288</v>
      </c>
      <c r="Z76">
        <v>0</v>
      </c>
      <c r="AA76">
        <v>1.38466</v>
      </c>
      <c r="AB76">
        <v>2.1168</v>
      </c>
      <c r="AC76" s="2">
        <v>50337700</v>
      </c>
      <c r="AD76" s="1">
        <v>0</v>
      </c>
      <c r="AE76" s="1">
        <v>0</v>
      </c>
      <c r="AF76" s="1">
        <v>0</v>
      </c>
      <c r="AG76" s="1">
        <v>0</v>
      </c>
      <c r="AH76" s="2">
        <v>4436210</v>
      </c>
      <c r="AI76" s="1">
        <v>649620</v>
      </c>
      <c r="AJ76" s="1">
        <v>0</v>
      </c>
      <c r="AK76" s="8">
        <f t="shared" si="7"/>
        <v>23</v>
      </c>
      <c r="AL76" s="8">
        <f t="shared" si="6"/>
        <v>2</v>
      </c>
      <c r="AM76">
        <f t="shared" si="4"/>
        <v>0</v>
      </c>
      <c r="AN76">
        <f t="shared" si="5"/>
        <v>0</v>
      </c>
    </row>
    <row r="77" spans="1:40" x14ac:dyDescent="0.35">
      <c r="A77">
        <v>52.475900000000003</v>
      </c>
      <c r="B77">
        <v>72.290000000000006</v>
      </c>
      <c r="C77">
        <v>1.5548200000000001</v>
      </c>
      <c r="D77">
        <v>0.23</v>
      </c>
      <c r="E77">
        <v>1</v>
      </c>
      <c r="F77">
        <v>2.3813499999999999</v>
      </c>
      <c r="G77">
        <v>2.5827499999999999</v>
      </c>
      <c r="H77">
        <v>0</v>
      </c>
      <c r="I77">
        <v>0.446077</v>
      </c>
      <c r="J77">
        <v>3.6288</v>
      </c>
      <c r="K77" s="1">
        <v>510418</v>
      </c>
      <c r="L77" s="1">
        <v>0</v>
      </c>
      <c r="M77" s="1">
        <v>0</v>
      </c>
      <c r="N77" s="1">
        <v>0</v>
      </c>
      <c r="O77" s="1">
        <v>0</v>
      </c>
      <c r="P77" s="2">
        <v>3560060</v>
      </c>
      <c r="Q77" s="1">
        <v>-6576.97</v>
      </c>
      <c r="R77" s="1">
        <v>272089</v>
      </c>
      <c r="S77">
        <v>94.859200000000001</v>
      </c>
      <c r="T77">
        <v>98.274000000000001</v>
      </c>
      <c r="U77">
        <v>1.64283</v>
      </c>
      <c r="V77">
        <v>0</v>
      </c>
      <c r="W77">
        <v>1</v>
      </c>
      <c r="X77">
        <v>1.71465</v>
      </c>
      <c r="Y77">
        <v>1.51325</v>
      </c>
      <c r="Z77">
        <v>0</v>
      </c>
      <c r="AA77">
        <v>1.32474</v>
      </c>
      <c r="AB77">
        <v>2.1168</v>
      </c>
      <c r="AC77" s="2">
        <v>50986300</v>
      </c>
      <c r="AD77" s="1">
        <v>0</v>
      </c>
      <c r="AE77" s="1">
        <v>0</v>
      </c>
      <c r="AF77" s="1">
        <v>0</v>
      </c>
      <c r="AG77" s="1">
        <v>0</v>
      </c>
      <c r="AH77" s="2">
        <v>4436210</v>
      </c>
      <c r="AI77" s="1">
        <v>648689</v>
      </c>
      <c r="AJ77" s="1">
        <v>0</v>
      </c>
      <c r="AK77" s="8">
        <f t="shared" si="7"/>
        <v>24</v>
      </c>
      <c r="AL77" s="8">
        <f t="shared" si="6"/>
        <v>2</v>
      </c>
      <c r="AM77">
        <f t="shared" si="4"/>
        <v>0</v>
      </c>
      <c r="AN77">
        <f t="shared" si="5"/>
        <v>0</v>
      </c>
    </row>
    <row r="78" spans="1:40" x14ac:dyDescent="0.35">
      <c r="A78">
        <v>51.100499999999997</v>
      </c>
      <c r="B78">
        <v>72.290000000000006</v>
      </c>
      <c r="C78">
        <v>1.4853499999999999</v>
      </c>
      <c r="D78">
        <v>0.33</v>
      </c>
      <c r="E78">
        <v>1</v>
      </c>
      <c r="F78">
        <v>2.3823599999999998</v>
      </c>
      <c r="G78">
        <v>2.5833900000000001</v>
      </c>
      <c r="H78">
        <v>0</v>
      </c>
      <c r="I78">
        <v>0.446266</v>
      </c>
      <c r="J78">
        <v>3.6288</v>
      </c>
      <c r="K78" s="1">
        <v>504409</v>
      </c>
      <c r="L78" s="1">
        <v>0</v>
      </c>
      <c r="M78" s="1">
        <v>0</v>
      </c>
      <c r="N78" s="1">
        <v>0</v>
      </c>
      <c r="O78" s="1">
        <v>0</v>
      </c>
      <c r="P78" s="2">
        <v>3561570</v>
      </c>
      <c r="Q78" s="1">
        <v>-6008.85</v>
      </c>
      <c r="R78" s="1">
        <v>271586</v>
      </c>
      <c r="S78">
        <v>94.377600000000001</v>
      </c>
      <c r="T78">
        <v>98.274000000000001</v>
      </c>
      <c r="U78">
        <v>1.6023799999999999</v>
      </c>
      <c r="V78">
        <v>0</v>
      </c>
      <c r="W78">
        <v>1</v>
      </c>
      <c r="X78">
        <v>1.71465</v>
      </c>
      <c r="Y78">
        <v>1.51362</v>
      </c>
      <c r="Z78">
        <v>0</v>
      </c>
      <c r="AA78">
        <v>1.32474</v>
      </c>
      <c r="AB78">
        <v>2.1168</v>
      </c>
      <c r="AC78" s="2">
        <v>51634100</v>
      </c>
      <c r="AD78" s="1">
        <v>0</v>
      </c>
      <c r="AE78" s="1">
        <v>0</v>
      </c>
      <c r="AF78" s="1">
        <v>0</v>
      </c>
      <c r="AG78" s="1">
        <v>0</v>
      </c>
      <c r="AH78" s="2">
        <v>4436210</v>
      </c>
      <c r="AI78" s="1">
        <v>647757</v>
      </c>
      <c r="AJ78" s="1">
        <v>0</v>
      </c>
      <c r="AK78" s="8">
        <f t="shared" si="7"/>
        <v>25</v>
      </c>
      <c r="AL78" s="8">
        <f t="shared" si="6"/>
        <v>2</v>
      </c>
      <c r="AM78">
        <f t="shared" si="4"/>
        <v>0</v>
      </c>
      <c r="AN78">
        <f t="shared" si="5"/>
        <v>0</v>
      </c>
    </row>
    <row r="79" spans="1:40" x14ac:dyDescent="0.35">
      <c r="A79">
        <v>49.628999999999998</v>
      </c>
      <c r="B79">
        <v>72.290000000000006</v>
      </c>
      <c r="C79">
        <v>1.3886499999999999</v>
      </c>
      <c r="D79">
        <v>0.3</v>
      </c>
      <c r="E79">
        <v>1</v>
      </c>
      <c r="F79">
        <v>2.3833700000000002</v>
      </c>
      <c r="G79">
        <v>2.5840200000000002</v>
      </c>
      <c r="H79">
        <v>0</v>
      </c>
      <c r="I79">
        <v>0.44645400000000002</v>
      </c>
      <c r="J79">
        <v>3.6288</v>
      </c>
      <c r="K79" s="1">
        <v>498968</v>
      </c>
      <c r="L79" s="1">
        <v>0</v>
      </c>
      <c r="M79" s="1">
        <v>0</v>
      </c>
      <c r="N79" s="1">
        <v>0</v>
      </c>
      <c r="O79" s="1">
        <v>0</v>
      </c>
      <c r="P79" s="2">
        <v>3563080</v>
      </c>
      <c r="Q79" s="1">
        <v>-5440.55</v>
      </c>
      <c r="R79" s="1">
        <v>271083</v>
      </c>
      <c r="S79">
        <v>94.438999999999993</v>
      </c>
      <c r="T79">
        <v>98.274000000000001</v>
      </c>
      <c r="U79">
        <v>1.5068699999999999</v>
      </c>
      <c r="V79">
        <v>0</v>
      </c>
      <c r="W79">
        <v>1</v>
      </c>
      <c r="X79">
        <v>1.71465</v>
      </c>
      <c r="Y79">
        <v>1.514</v>
      </c>
      <c r="Z79">
        <v>0</v>
      </c>
      <c r="AA79">
        <v>1.32474</v>
      </c>
      <c r="AB79">
        <v>2.1168</v>
      </c>
      <c r="AC79" s="2">
        <v>52280900</v>
      </c>
      <c r="AD79" s="1">
        <v>0</v>
      </c>
      <c r="AE79" s="1">
        <v>0</v>
      </c>
      <c r="AF79" s="1">
        <v>0</v>
      </c>
      <c r="AG79" s="1">
        <v>0</v>
      </c>
      <c r="AH79" s="2">
        <v>4436210</v>
      </c>
      <c r="AI79" s="1">
        <v>646825</v>
      </c>
      <c r="AJ79" s="1">
        <v>0</v>
      </c>
      <c r="AK79" s="8">
        <f t="shared" si="7"/>
        <v>26</v>
      </c>
      <c r="AL79" s="8">
        <f t="shared" si="6"/>
        <v>2</v>
      </c>
      <c r="AM79">
        <f t="shared" si="4"/>
        <v>0</v>
      </c>
      <c r="AN79">
        <f t="shared" si="5"/>
        <v>0</v>
      </c>
    </row>
    <row r="80" spans="1:40" x14ac:dyDescent="0.35">
      <c r="A80">
        <v>48.712800000000001</v>
      </c>
      <c r="B80">
        <v>72.290000000000006</v>
      </c>
      <c r="C80">
        <v>1.9051499999999999</v>
      </c>
      <c r="D80">
        <v>0.28000000000000003</v>
      </c>
      <c r="E80">
        <v>1</v>
      </c>
      <c r="F80">
        <v>2.3612299999999999</v>
      </c>
      <c r="G80">
        <v>2.5615100000000002</v>
      </c>
      <c r="H80">
        <v>0</v>
      </c>
      <c r="I80">
        <v>0.44664300000000001</v>
      </c>
      <c r="J80">
        <v>3.6288</v>
      </c>
      <c r="K80" s="1">
        <v>491716</v>
      </c>
      <c r="L80" s="1">
        <v>0</v>
      </c>
      <c r="M80" s="1">
        <v>0</v>
      </c>
      <c r="N80" s="1">
        <v>0</v>
      </c>
      <c r="O80" s="1">
        <v>0</v>
      </c>
      <c r="P80" s="2">
        <v>3529980</v>
      </c>
      <c r="Q80" s="1">
        <v>-7252.03</v>
      </c>
      <c r="R80" s="1">
        <v>270580</v>
      </c>
      <c r="S80">
        <v>94.453400000000002</v>
      </c>
      <c r="T80">
        <v>98.274000000000001</v>
      </c>
      <c r="U80">
        <v>2.4471799999999999</v>
      </c>
      <c r="V80">
        <v>0</v>
      </c>
      <c r="W80">
        <v>1</v>
      </c>
      <c r="X80">
        <v>1.7573399999999999</v>
      </c>
      <c r="Y80">
        <v>1.5570600000000001</v>
      </c>
      <c r="Z80">
        <v>0</v>
      </c>
      <c r="AA80">
        <v>1.32474</v>
      </c>
      <c r="AB80">
        <v>2.1168</v>
      </c>
      <c r="AC80" s="2">
        <v>52930400</v>
      </c>
      <c r="AD80" s="1">
        <v>0</v>
      </c>
      <c r="AE80" s="1">
        <v>0</v>
      </c>
      <c r="AF80" s="1">
        <v>0</v>
      </c>
      <c r="AG80" s="1">
        <v>0</v>
      </c>
      <c r="AH80" s="2">
        <v>4546670</v>
      </c>
      <c r="AI80" s="1">
        <v>649494</v>
      </c>
      <c r="AJ80" s="1">
        <v>0</v>
      </c>
      <c r="AK80" s="8">
        <f t="shared" si="7"/>
        <v>27</v>
      </c>
      <c r="AL80" s="8">
        <f t="shared" si="6"/>
        <v>2</v>
      </c>
      <c r="AM80">
        <f t="shared" si="4"/>
        <v>0</v>
      </c>
      <c r="AN80">
        <f t="shared" si="5"/>
        <v>0</v>
      </c>
    </row>
    <row r="81" spans="1:40" x14ac:dyDescent="0.35">
      <c r="A81">
        <v>47.641100000000002</v>
      </c>
      <c r="B81">
        <v>72.290000000000006</v>
      </c>
      <c r="C81">
        <v>1.79226</v>
      </c>
      <c r="D81">
        <v>0.25</v>
      </c>
      <c r="E81">
        <v>1</v>
      </c>
      <c r="F81">
        <v>2.4049200000000002</v>
      </c>
      <c r="G81">
        <v>2.5621399999999999</v>
      </c>
      <c r="H81">
        <v>0</v>
      </c>
      <c r="I81">
        <v>0.442494</v>
      </c>
      <c r="J81">
        <v>3.6288</v>
      </c>
      <c r="K81" s="1">
        <v>542708</v>
      </c>
      <c r="L81" s="1">
        <v>0</v>
      </c>
      <c r="M81" s="1">
        <v>0</v>
      </c>
      <c r="N81" s="1">
        <v>0</v>
      </c>
      <c r="O81" s="1">
        <v>0</v>
      </c>
      <c r="P81" s="2">
        <v>3595300</v>
      </c>
      <c r="Q81" s="1">
        <v>50991.7</v>
      </c>
      <c r="R81" s="1">
        <v>212401</v>
      </c>
      <c r="S81">
        <v>94.467500000000001</v>
      </c>
      <c r="T81">
        <v>98.274000000000001</v>
      </c>
      <c r="U81">
        <v>2.33358</v>
      </c>
      <c r="V81">
        <v>0</v>
      </c>
      <c r="W81">
        <v>1</v>
      </c>
      <c r="X81">
        <v>1.7146600000000001</v>
      </c>
      <c r="Y81">
        <v>1.5574399999999999</v>
      </c>
      <c r="Z81">
        <v>0</v>
      </c>
      <c r="AA81">
        <v>1.35772</v>
      </c>
      <c r="AB81">
        <v>2.1168</v>
      </c>
      <c r="AC81" s="2">
        <v>53468500</v>
      </c>
      <c r="AD81" s="1">
        <v>0</v>
      </c>
      <c r="AE81" s="1">
        <v>0</v>
      </c>
      <c r="AF81" s="1">
        <v>0</v>
      </c>
      <c r="AG81" s="1">
        <v>0</v>
      </c>
      <c r="AH81" s="2">
        <v>4436240</v>
      </c>
      <c r="AI81" s="1">
        <v>538109</v>
      </c>
      <c r="AJ81" s="1">
        <v>0</v>
      </c>
      <c r="AK81" s="8">
        <f t="shared" si="7"/>
        <v>28</v>
      </c>
      <c r="AL81" s="8">
        <f t="shared" si="6"/>
        <v>2</v>
      </c>
      <c r="AM81">
        <f t="shared" si="4"/>
        <v>0</v>
      </c>
      <c r="AN81">
        <f t="shared" si="5"/>
        <v>0</v>
      </c>
    </row>
    <row r="82" spans="1:40" x14ac:dyDescent="0.35">
      <c r="A82">
        <v>46.409100000000002</v>
      </c>
      <c r="B82">
        <v>72.290000000000006</v>
      </c>
      <c r="C82">
        <v>1.6319699999999999</v>
      </c>
      <c r="D82">
        <v>0.37</v>
      </c>
      <c r="E82">
        <v>1</v>
      </c>
      <c r="F82">
        <v>2.4059300000000001</v>
      </c>
      <c r="G82">
        <v>2.56277</v>
      </c>
      <c r="H82">
        <v>0</v>
      </c>
      <c r="I82">
        <v>0.45068200000000003</v>
      </c>
      <c r="J82">
        <v>3.6288</v>
      </c>
      <c r="K82" s="1">
        <v>594282</v>
      </c>
      <c r="L82" s="1">
        <v>0</v>
      </c>
      <c r="M82" s="1">
        <v>0</v>
      </c>
      <c r="N82" s="1">
        <v>0</v>
      </c>
      <c r="O82" s="1">
        <v>0</v>
      </c>
      <c r="P82" s="2">
        <v>3596810</v>
      </c>
      <c r="Q82" s="1">
        <v>51573.9</v>
      </c>
      <c r="R82" s="1">
        <v>211884</v>
      </c>
      <c r="S82">
        <v>94.324600000000004</v>
      </c>
      <c r="T82">
        <v>98.274000000000001</v>
      </c>
      <c r="U82">
        <v>2.3132299999999999</v>
      </c>
      <c r="V82">
        <v>0</v>
      </c>
      <c r="W82">
        <v>1</v>
      </c>
      <c r="X82">
        <v>1.7146600000000001</v>
      </c>
      <c r="Y82">
        <v>1.55783</v>
      </c>
      <c r="Z82">
        <v>0</v>
      </c>
      <c r="AA82">
        <v>1.3247500000000001</v>
      </c>
      <c r="AB82">
        <v>2.1168</v>
      </c>
      <c r="AC82" s="2">
        <v>54005700</v>
      </c>
      <c r="AD82" s="1">
        <v>0</v>
      </c>
      <c r="AE82" s="1">
        <v>0</v>
      </c>
      <c r="AF82" s="1">
        <v>0</v>
      </c>
      <c r="AG82" s="1">
        <v>0</v>
      </c>
      <c r="AH82" s="2">
        <v>4436240</v>
      </c>
      <c r="AI82" s="1">
        <v>537151</v>
      </c>
      <c r="AJ82" s="1">
        <v>0</v>
      </c>
      <c r="AK82" s="8">
        <f t="shared" si="7"/>
        <v>29</v>
      </c>
      <c r="AL82" s="8">
        <f t="shared" si="6"/>
        <v>2</v>
      </c>
      <c r="AM82">
        <f t="shared" si="4"/>
        <v>0</v>
      </c>
      <c r="AN82">
        <f t="shared" si="5"/>
        <v>0</v>
      </c>
    </row>
    <row r="83" spans="1:40" x14ac:dyDescent="0.35">
      <c r="A83">
        <v>45.021999999999998</v>
      </c>
      <c r="B83">
        <v>72.290000000000006</v>
      </c>
      <c r="C83">
        <v>1.47654</v>
      </c>
      <c r="D83">
        <v>0.32</v>
      </c>
      <c r="E83">
        <v>1</v>
      </c>
      <c r="F83">
        <v>2.4069500000000001</v>
      </c>
      <c r="G83">
        <v>2.5634000000000001</v>
      </c>
      <c r="H83">
        <v>0</v>
      </c>
      <c r="I83">
        <v>0.450872</v>
      </c>
      <c r="J83">
        <v>3.6288</v>
      </c>
      <c r="K83" s="1">
        <v>646438</v>
      </c>
      <c r="L83" s="1">
        <v>0</v>
      </c>
      <c r="M83" s="1">
        <v>0</v>
      </c>
      <c r="N83" s="1">
        <v>0</v>
      </c>
      <c r="O83" s="1">
        <v>0</v>
      </c>
      <c r="P83" s="2">
        <v>3598330</v>
      </c>
      <c r="Q83" s="1">
        <v>52156.3</v>
      </c>
      <c r="R83" s="1">
        <v>211366</v>
      </c>
      <c r="S83">
        <v>94.128299999999996</v>
      </c>
      <c r="T83">
        <v>98.274000000000001</v>
      </c>
      <c r="U83">
        <v>2.09585</v>
      </c>
      <c r="V83">
        <v>0</v>
      </c>
      <c r="W83">
        <v>1</v>
      </c>
      <c r="X83">
        <v>1.7146600000000001</v>
      </c>
      <c r="Y83">
        <v>1.5582100000000001</v>
      </c>
      <c r="Z83">
        <v>0</v>
      </c>
      <c r="AA83">
        <v>1.3247500000000001</v>
      </c>
      <c r="AB83">
        <v>2.1168</v>
      </c>
      <c r="AC83" s="2">
        <v>54541900</v>
      </c>
      <c r="AD83" s="1">
        <v>0</v>
      </c>
      <c r="AE83" s="1">
        <v>0</v>
      </c>
      <c r="AF83" s="1">
        <v>0</v>
      </c>
      <c r="AG83" s="1">
        <v>0</v>
      </c>
      <c r="AH83" s="2">
        <v>4436240</v>
      </c>
      <c r="AI83" s="1">
        <v>536192</v>
      </c>
      <c r="AJ83" s="1">
        <v>0</v>
      </c>
      <c r="AK83" s="8">
        <f t="shared" si="7"/>
        <v>30</v>
      </c>
      <c r="AL83" s="8">
        <f t="shared" si="6"/>
        <v>2</v>
      </c>
      <c r="AM83">
        <f t="shared" si="4"/>
        <v>0</v>
      </c>
      <c r="AN83">
        <f t="shared" si="5"/>
        <v>0</v>
      </c>
    </row>
    <row r="84" spans="1:40" x14ac:dyDescent="0.35">
      <c r="A84">
        <v>43.450600000000001</v>
      </c>
      <c r="B84">
        <v>72.290000000000006</v>
      </c>
      <c r="C84">
        <v>1.3364799999999999</v>
      </c>
      <c r="D84">
        <v>0.27</v>
      </c>
      <c r="E84">
        <v>1</v>
      </c>
      <c r="F84">
        <v>2.4678</v>
      </c>
      <c r="G84">
        <v>2.6238700000000001</v>
      </c>
      <c r="H84">
        <v>0</v>
      </c>
      <c r="I84">
        <v>0.45106200000000002</v>
      </c>
      <c r="J84">
        <v>3.6288</v>
      </c>
      <c r="K84" s="1">
        <v>705329</v>
      </c>
      <c r="L84" s="1">
        <v>0</v>
      </c>
      <c r="M84" s="1">
        <v>0</v>
      </c>
      <c r="N84" s="1">
        <v>0</v>
      </c>
      <c r="O84" s="1">
        <v>0</v>
      </c>
      <c r="P84" s="2">
        <v>3689300</v>
      </c>
      <c r="Q84" s="1">
        <v>58890.6</v>
      </c>
      <c r="R84" s="1">
        <v>210849</v>
      </c>
      <c r="S84">
        <v>93.8065</v>
      </c>
      <c r="T84">
        <v>98.274000000000001</v>
      </c>
      <c r="U84">
        <v>1.9136200000000001</v>
      </c>
      <c r="V84">
        <v>0</v>
      </c>
      <c r="W84">
        <v>1</v>
      </c>
      <c r="X84">
        <v>1.75275</v>
      </c>
      <c r="Y84">
        <v>1.5966800000000001</v>
      </c>
      <c r="Z84">
        <v>0</v>
      </c>
      <c r="AA84">
        <v>1.3247500000000001</v>
      </c>
      <c r="AB84">
        <v>2.1168</v>
      </c>
      <c r="AC84" s="2">
        <v>55080300</v>
      </c>
      <c r="AD84" s="1">
        <v>0</v>
      </c>
      <c r="AE84" s="1">
        <v>0</v>
      </c>
      <c r="AF84" s="1">
        <v>0</v>
      </c>
      <c r="AG84" s="1">
        <v>0</v>
      </c>
      <c r="AH84" s="2">
        <v>4534780</v>
      </c>
      <c r="AI84" s="1">
        <v>538444</v>
      </c>
      <c r="AJ84" s="1">
        <v>0</v>
      </c>
      <c r="AK84" s="8">
        <f t="shared" si="7"/>
        <v>31</v>
      </c>
      <c r="AL84" s="8">
        <f t="shared" si="6"/>
        <v>2</v>
      </c>
      <c r="AM84">
        <f t="shared" si="4"/>
        <v>0</v>
      </c>
      <c r="AN84">
        <f t="shared" si="5"/>
        <v>0</v>
      </c>
    </row>
    <row r="85" spans="1:40" x14ac:dyDescent="0.35">
      <c r="A85">
        <v>41.787300000000002</v>
      </c>
      <c r="B85">
        <v>72.290000000000006</v>
      </c>
      <c r="C85">
        <v>1.28376</v>
      </c>
      <c r="D85">
        <v>0.26</v>
      </c>
      <c r="E85">
        <v>1</v>
      </c>
      <c r="F85">
        <v>2.50692</v>
      </c>
      <c r="G85">
        <v>2.62452</v>
      </c>
      <c r="H85">
        <v>0</v>
      </c>
      <c r="I85">
        <v>0.46246599999999999</v>
      </c>
      <c r="J85">
        <v>3.6288</v>
      </c>
      <c r="K85" s="1">
        <v>816256</v>
      </c>
      <c r="L85" s="1">
        <v>0</v>
      </c>
      <c r="M85" s="1">
        <v>0</v>
      </c>
      <c r="N85" s="1">
        <v>0</v>
      </c>
      <c r="O85" s="1">
        <v>0</v>
      </c>
      <c r="P85" s="2">
        <v>3747780</v>
      </c>
      <c r="Q85" s="1">
        <v>110927</v>
      </c>
      <c r="R85" s="1">
        <v>158878</v>
      </c>
      <c r="S85">
        <v>93.449200000000005</v>
      </c>
      <c r="T85">
        <v>98.274000000000001</v>
      </c>
      <c r="U85">
        <v>1.8303100000000001</v>
      </c>
      <c r="V85">
        <v>0</v>
      </c>
      <c r="W85">
        <v>1</v>
      </c>
      <c r="X85">
        <v>1.7146699999999999</v>
      </c>
      <c r="Y85">
        <v>1.59707</v>
      </c>
      <c r="Z85">
        <v>0</v>
      </c>
      <c r="AA85">
        <v>1.3541700000000001</v>
      </c>
      <c r="AB85">
        <v>2.1168</v>
      </c>
      <c r="AC85" s="2">
        <v>55519300</v>
      </c>
      <c r="AD85" s="1">
        <v>0</v>
      </c>
      <c r="AE85" s="1">
        <v>0</v>
      </c>
      <c r="AF85" s="1">
        <v>0</v>
      </c>
      <c r="AG85" s="1">
        <v>0</v>
      </c>
      <c r="AH85" s="2">
        <v>4436270</v>
      </c>
      <c r="AI85" s="1">
        <v>438951</v>
      </c>
      <c r="AJ85" s="1">
        <v>0</v>
      </c>
      <c r="AK85" s="8">
        <f t="shared" si="7"/>
        <v>32</v>
      </c>
      <c r="AL85" s="8">
        <f t="shared" si="6"/>
        <v>2</v>
      </c>
      <c r="AM85">
        <f t="shared" si="4"/>
        <v>0</v>
      </c>
      <c r="AN85">
        <f t="shared" si="5"/>
        <v>0</v>
      </c>
    </row>
    <row r="86" spans="1:40" x14ac:dyDescent="0.35">
      <c r="A86">
        <v>39.957099999999997</v>
      </c>
      <c r="B86">
        <v>72.290000000000006</v>
      </c>
      <c r="C86">
        <v>1.1164000000000001</v>
      </c>
      <c r="D86">
        <v>0.33</v>
      </c>
      <c r="E86">
        <v>1</v>
      </c>
      <c r="F86">
        <v>2.5079500000000001</v>
      </c>
      <c r="G86">
        <v>2.6251600000000002</v>
      </c>
      <c r="H86">
        <v>0</v>
      </c>
      <c r="I86">
        <v>0.46979599999999999</v>
      </c>
      <c r="J86">
        <v>3.6288</v>
      </c>
      <c r="K86" s="1">
        <v>927780</v>
      </c>
      <c r="L86" s="1">
        <v>0</v>
      </c>
      <c r="M86" s="1">
        <v>0</v>
      </c>
      <c r="N86" s="1">
        <v>0</v>
      </c>
      <c r="O86" s="1">
        <v>0</v>
      </c>
      <c r="P86" s="2">
        <v>3749330</v>
      </c>
      <c r="Q86" s="1">
        <v>111524</v>
      </c>
      <c r="R86" s="1">
        <v>158348</v>
      </c>
      <c r="S86">
        <v>93.030900000000003</v>
      </c>
      <c r="T86">
        <v>98.274000000000001</v>
      </c>
      <c r="U86">
        <v>1.70526</v>
      </c>
      <c r="V86">
        <v>0</v>
      </c>
      <c r="W86">
        <v>1</v>
      </c>
      <c r="X86">
        <v>1.7146699999999999</v>
      </c>
      <c r="Y86">
        <v>1.5974600000000001</v>
      </c>
      <c r="Z86">
        <v>0</v>
      </c>
      <c r="AA86">
        <v>1.3247599999999999</v>
      </c>
      <c r="AB86">
        <v>2.1168</v>
      </c>
      <c r="AC86" s="2">
        <v>55957200</v>
      </c>
      <c r="AD86" s="1">
        <v>0</v>
      </c>
      <c r="AE86" s="1">
        <v>0</v>
      </c>
      <c r="AF86" s="1">
        <v>0</v>
      </c>
      <c r="AG86" s="1">
        <v>0</v>
      </c>
      <c r="AH86" s="2">
        <v>4436270</v>
      </c>
      <c r="AI86" s="1">
        <v>437968</v>
      </c>
      <c r="AJ86" s="1">
        <v>0</v>
      </c>
      <c r="AK86" s="8">
        <f t="shared" si="7"/>
        <v>33</v>
      </c>
      <c r="AL86" s="8">
        <f t="shared" si="6"/>
        <v>2</v>
      </c>
      <c r="AM86">
        <f t="shared" si="4"/>
        <v>0</v>
      </c>
      <c r="AN86">
        <f t="shared" si="5"/>
        <v>0</v>
      </c>
    </row>
    <row r="87" spans="1:40" x14ac:dyDescent="0.35">
      <c r="A87">
        <v>38.039099999999998</v>
      </c>
      <c r="B87">
        <v>72.290000000000006</v>
      </c>
      <c r="C87">
        <v>1.0280100000000001</v>
      </c>
      <c r="D87">
        <v>0.28999999999999998</v>
      </c>
      <c r="E87">
        <v>1</v>
      </c>
      <c r="F87">
        <v>2.5089899999999998</v>
      </c>
      <c r="G87">
        <v>2.62581</v>
      </c>
      <c r="H87">
        <v>0</v>
      </c>
      <c r="I87">
        <v>0.46999099999999999</v>
      </c>
      <c r="J87">
        <v>3.6288</v>
      </c>
      <c r="K87" s="2">
        <v>1039900</v>
      </c>
      <c r="L87" s="1">
        <v>0</v>
      </c>
      <c r="M87" s="1">
        <v>0</v>
      </c>
      <c r="N87" s="1">
        <v>0</v>
      </c>
      <c r="O87" s="1">
        <v>0</v>
      </c>
      <c r="P87" s="2">
        <v>3750880</v>
      </c>
      <c r="Q87" s="1">
        <v>112121</v>
      </c>
      <c r="R87" s="1">
        <v>157817</v>
      </c>
      <c r="S87">
        <v>92.619600000000005</v>
      </c>
      <c r="T87">
        <v>98.274000000000001</v>
      </c>
      <c r="U87">
        <v>1.6456999999999999</v>
      </c>
      <c r="V87">
        <v>0</v>
      </c>
      <c r="W87">
        <v>1</v>
      </c>
      <c r="X87">
        <v>1.7146699999999999</v>
      </c>
      <c r="Y87">
        <v>1.5978600000000001</v>
      </c>
      <c r="Z87">
        <v>0</v>
      </c>
      <c r="AA87">
        <v>1.3247599999999999</v>
      </c>
      <c r="AB87">
        <v>2.1168</v>
      </c>
      <c r="AC87" s="2">
        <v>56394200</v>
      </c>
      <c r="AD87" s="1">
        <v>0</v>
      </c>
      <c r="AE87" s="1">
        <v>0</v>
      </c>
      <c r="AF87" s="1">
        <v>0</v>
      </c>
      <c r="AG87" s="1">
        <v>0</v>
      </c>
      <c r="AH87" s="2">
        <v>4436270</v>
      </c>
      <c r="AI87" s="1">
        <v>436984</v>
      </c>
      <c r="AJ87" s="1">
        <v>0</v>
      </c>
      <c r="AK87" s="8">
        <f t="shared" si="7"/>
        <v>34</v>
      </c>
      <c r="AL87" s="8">
        <f t="shared" si="6"/>
        <v>2</v>
      </c>
      <c r="AM87">
        <f t="shared" si="4"/>
        <v>0</v>
      </c>
      <c r="AN87">
        <f t="shared" si="5"/>
        <v>0</v>
      </c>
    </row>
    <row r="88" spans="1:40" x14ac:dyDescent="0.35">
      <c r="A88">
        <v>35.820099999999996</v>
      </c>
      <c r="B88">
        <v>72.290000000000006</v>
      </c>
      <c r="C88">
        <v>0.88929800000000003</v>
      </c>
      <c r="D88">
        <v>0.39</v>
      </c>
      <c r="E88">
        <v>1</v>
      </c>
      <c r="F88">
        <v>2.6854399999999998</v>
      </c>
      <c r="G88">
        <v>2.80186</v>
      </c>
      <c r="H88">
        <v>0</v>
      </c>
      <c r="I88">
        <v>0.47018500000000002</v>
      </c>
      <c r="J88">
        <v>3.6288</v>
      </c>
      <c r="K88" s="2">
        <v>1170650</v>
      </c>
      <c r="L88" s="1">
        <v>0</v>
      </c>
      <c r="M88" s="1">
        <v>0</v>
      </c>
      <c r="N88" s="1">
        <v>0</v>
      </c>
      <c r="O88" s="1">
        <v>0</v>
      </c>
      <c r="P88" s="2">
        <v>4014670</v>
      </c>
      <c r="Q88" s="1">
        <v>130751</v>
      </c>
      <c r="R88" s="1">
        <v>157286</v>
      </c>
      <c r="S88">
        <v>92.199100000000001</v>
      </c>
      <c r="T88">
        <v>98.274000000000001</v>
      </c>
      <c r="U88">
        <v>1.6549199999999999</v>
      </c>
      <c r="V88">
        <v>0</v>
      </c>
      <c r="W88">
        <v>1</v>
      </c>
      <c r="X88">
        <v>1.8522799999999999</v>
      </c>
      <c r="Y88">
        <v>1.7358499999999999</v>
      </c>
      <c r="Z88">
        <v>0</v>
      </c>
      <c r="AA88">
        <v>1.3247599999999999</v>
      </c>
      <c r="AB88">
        <v>2.1168</v>
      </c>
      <c r="AC88" s="2">
        <v>56841800</v>
      </c>
      <c r="AD88" s="1">
        <v>0</v>
      </c>
      <c r="AE88" s="1">
        <v>0</v>
      </c>
      <c r="AF88" s="1">
        <v>0</v>
      </c>
      <c r="AG88" s="1">
        <v>0</v>
      </c>
      <c r="AH88" s="2">
        <v>4792280</v>
      </c>
      <c r="AI88" s="1">
        <v>447605</v>
      </c>
      <c r="AJ88" s="1">
        <v>0</v>
      </c>
      <c r="AK88" s="8">
        <f t="shared" si="7"/>
        <v>35</v>
      </c>
      <c r="AL88" s="8">
        <f t="shared" si="6"/>
        <v>2</v>
      </c>
      <c r="AM88">
        <f t="shared" si="4"/>
        <v>0</v>
      </c>
      <c r="AN88">
        <f t="shared" si="5"/>
        <v>0</v>
      </c>
    </row>
    <row r="89" spans="1:40" x14ac:dyDescent="0.35">
      <c r="A89">
        <v>33.552599999999998</v>
      </c>
      <c r="B89">
        <v>72.290000000000006</v>
      </c>
      <c r="C89">
        <v>0.96731699999999998</v>
      </c>
      <c r="D89">
        <v>0.32</v>
      </c>
      <c r="E89">
        <v>1</v>
      </c>
      <c r="F89">
        <v>2.8025500000000001</v>
      </c>
      <c r="G89">
        <v>2.8025500000000001</v>
      </c>
      <c r="H89">
        <v>0</v>
      </c>
      <c r="I89">
        <v>0.50325200000000003</v>
      </c>
      <c r="J89">
        <v>3.6288</v>
      </c>
      <c r="K89" s="2">
        <v>1458760</v>
      </c>
      <c r="L89" s="1">
        <v>0</v>
      </c>
      <c r="M89" s="1">
        <v>0</v>
      </c>
      <c r="N89" s="1">
        <v>0</v>
      </c>
      <c r="O89" s="1">
        <v>0</v>
      </c>
      <c r="P89" s="2">
        <v>4189750</v>
      </c>
      <c r="Q89" s="1">
        <v>288108</v>
      </c>
      <c r="R89" s="1">
        <v>0</v>
      </c>
      <c r="S89">
        <v>91.882599999999996</v>
      </c>
      <c r="T89">
        <v>98.274000000000001</v>
      </c>
      <c r="U89">
        <v>1.7962400000000001</v>
      </c>
      <c r="V89">
        <v>0</v>
      </c>
      <c r="W89">
        <v>1</v>
      </c>
      <c r="X89">
        <v>1.73628</v>
      </c>
      <c r="Y89">
        <v>1.73628</v>
      </c>
      <c r="Z89">
        <v>0</v>
      </c>
      <c r="AA89">
        <v>1.4310700000000001</v>
      </c>
      <c r="AB89">
        <v>2.1168</v>
      </c>
      <c r="AC89" s="2">
        <v>56988300</v>
      </c>
      <c r="AD89" s="1">
        <v>0</v>
      </c>
      <c r="AE89" s="1">
        <v>0</v>
      </c>
      <c r="AF89" s="1">
        <v>0</v>
      </c>
      <c r="AG89" s="1">
        <v>0</v>
      </c>
      <c r="AH89" s="2">
        <v>4492170</v>
      </c>
      <c r="AI89" s="1">
        <v>146427</v>
      </c>
      <c r="AJ89" s="1">
        <v>0</v>
      </c>
      <c r="AK89" s="8">
        <f t="shared" si="7"/>
        <v>36</v>
      </c>
      <c r="AL89" s="8">
        <f t="shared" si="6"/>
        <v>2</v>
      </c>
      <c r="AM89">
        <f t="shared" si="4"/>
        <v>0</v>
      </c>
      <c r="AN89">
        <f t="shared" si="5"/>
        <v>0</v>
      </c>
    </row>
    <row r="90" spans="1:40" x14ac:dyDescent="0.35">
      <c r="A90">
        <v>31.478000000000002</v>
      </c>
      <c r="B90">
        <v>72.290000000000006</v>
      </c>
      <c r="C90">
        <v>0.90344199999999997</v>
      </c>
      <c r="D90">
        <v>0.45</v>
      </c>
      <c r="E90">
        <v>1</v>
      </c>
      <c r="F90">
        <v>2.5475699999999999</v>
      </c>
      <c r="G90">
        <v>2.8032400000000002</v>
      </c>
      <c r="H90">
        <v>0</v>
      </c>
      <c r="I90">
        <v>0.52519899999999997</v>
      </c>
      <c r="J90">
        <v>3.6288</v>
      </c>
      <c r="K90" s="2">
        <v>2485420</v>
      </c>
      <c r="L90" s="1">
        <v>0</v>
      </c>
      <c r="M90" s="1">
        <v>0</v>
      </c>
      <c r="N90" s="1">
        <v>0</v>
      </c>
      <c r="O90" s="1">
        <v>0</v>
      </c>
      <c r="P90" s="2">
        <v>4929260</v>
      </c>
      <c r="Q90" s="2">
        <v>1026660</v>
      </c>
      <c r="R90" s="1">
        <v>0</v>
      </c>
      <c r="S90">
        <v>91.658900000000003</v>
      </c>
      <c r="T90">
        <v>98.274000000000001</v>
      </c>
      <c r="U90">
        <v>1.7092499999999999</v>
      </c>
      <c r="V90">
        <v>0</v>
      </c>
      <c r="W90">
        <v>1</v>
      </c>
      <c r="X90">
        <v>1.73671</v>
      </c>
      <c r="Y90">
        <v>1.73671</v>
      </c>
      <c r="Z90">
        <v>0</v>
      </c>
      <c r="AA90">
        <v>1.34145</v>
      </c>
      <c r="AB90">
        <v>2.1168</v>
      </c>
      <c r="AC90" s="2">
        <v>57134700</v>
      </c>
      <c r="AD90" s="1">
        <v>0</v>
      </c>
      <c r="AE90" s="1">
        <v>0</v>
      </c>
      <c r="AF90" s="1">
        <v>0</v>
      </c>
      <c r="AG90" s="1">
        <v>0</v>
      </c>
      <c r="AH90" s="2">
        <v>4493270</v>
      </c>
      <c r="AI90" s="1">
        <v>146463</v>
      </c>
      <c r="AJ90" s="1">
        <v>0</v>
      </c>
      <c r="AK90" s="8">
        <f t="shared" si="7"/>
        <v>37</v>
      </c>
      <c r="AL90" s="8">
        <f t="shared" si="6"/>
        <v>2</v>
      </c>
      <c r="AM90">
        <f t="shared" si="4"/>
        <v>0</v>
      </c>
      <c r="AN90">
        <f t="shared" si="5"/>
        <v>0</v>
      </c>
    </row>
    <row r="91" spans="1:40" x14ac:dyDescent="0.35">
      <c r="A91">
        <v>29.368400000000001</v>
      </c>
      <c r="B91">
        <v>72.290000000000006</v>
      </c>
      <c r="C91">
        <v>1.123</v>
      </c>
      <c r="D91">
        <v>0.36</v>
      </c>
      <c r="E91">
        <v>1</v>
      </c>
      <c r="F91">
        <v>2.8039299999999998</v>
      </c>
      <c r="G91">
        <v>2.8039299999999998</v>
      </c>
      <c r="H91">
        <v>0</v>
      </c>
      <c r="I91">
        <v>0.47741499999999998</v>
      </c>
      <c r="J91">
        <v>3.6288</v>
      </c>
      <c r="K91" s="2">
        <v>2773670</v>
      </c>
      <c r="L91" s="1">
        <v>0</v>
      </c>
      <c r="M91" s="1">
        <v>0</v>
      </c>
      <c r="N91" s="1">
        <v>0</v>
      </c>
      <c r="O91" s="1">
        <v>0</v>
      </c>
      <c r="P91" s="2">
        <v>4191810</v>
      </c>
      <c r="Q91" s="1">
        <v>288250</v>
      </c>
      <c r="R91" s="1">
        <v>0</v>
      </c>
      <c r="S91">
        <v>91.340100000000007</v>
      </c>
      <c r="T91">
        <v>98.274000000000001</v>
      </c>
      <c r="U91">
        <v>1.95584</v>
      </c>
      <c r="V91">
        <v>0</v>
      </c>
      <c r="W91">
        <v>1</v>
      </c>
      <c r="X91">
        <v>1.7371300000000001</v>
      </c>
      <c r="Y91">
        <v>1.7371300000000001</v>
      </c>
      <c r="Z91">
        <v>0</v>
      </c>
      <c r="AA91">
        <v>1.34178</v>
      </c>
      <c r="AB91">
        <v>2.1168</v>
      </c>
      <c r="AC91" s="2">
        <v>57281200</v>
      </c>
      <c r="AD91" s="1">
        <v>0</v>
      </c>
      <c r="AE91" s="1">
        <v>0</v>
      </c>
      <c r="AF91" s="1">
        <v>0</v>
      </c>
      <c r="AG91" s="1">
        <v>0</v>
      </c>
      <c r="AH91" s="2">
        <v>4494380</v>
      </c>
      <c r="AI91" s="1">
        <v>146499</v>
      </c>
      <c r="AJ91" s="1">
        <v>0</v>
      </c>
      <c r="AK91" s="8">
        <f t="shared" si="7"/>
        <v>38</v>
      </c>
      <c r="AL91" s="8">
        <f t="shared" si="6"/>
        <v>2</v>
      </c>
      <c r="AM91">
        <f t="shared" si="4"/>
        <v>0</v>
      </c>
      <c r="AN91">
        <f t="shared" si="5"/>
        <v>0</v>
      </c>
    </row>
    <row r="92" spans="1:40" x14ac:dyDescent="0.35">
      <c r="A92">
        <v>27.042100000000001</v>
      </c>
      <c r="B92">
        <v>72.290000000000006</v>
      </c>
      <c r="C92">
        <v>0.90522999999999998</v>
      </c>
      <c r="D92">
        <v>0.3</v>
      </c>
      <c r="E92">
        <v>1</v>
      </c>
      <c r="F92">
        <v>2.8046199999999999</v>
      </c>
      <c r="G92">
        <v>2.8046199999999999</v>
      </c>
      <c r="H92">
        <v>0</v>
      </c>
      <c r="I92">
        <v>0.52545699999999995</v>
      </c>
      <c r="J92">
        <v>3.6288</v>
      </c>
      <c r="K92" s="2">
        <v>3061990</v>
      </c>
      <c r="L92" s="1">
        <v>0</v>
      </c>
      <c r="M92" s="1">
        <v>0</v>
      </c>
      <c r="N92" s="1">
        <v>0</v>
      </c>
      <c r="O92" s="1">
        <v>0</v>
      </c>
      <c r="P92" s="2">
        <v>4192840</v>
      </c>
      <c r="Q92" s="1">
        <v>288321</v>
      </c>
      <c r="R92" s="1">
        <v>0</v>
      </c>
      <c r="S92">
        <v>91.165199999999999</v>
      </c>
      <c r="T92">
        <v>98.274000000000001</v>
      </c>
      <c r="U92">
        <v>1.7144299999999999</v>
      </c>
      <c r="V92">
        <v>0</v>
      </c>
      <c r="W92">
        <v>1</v>
      </c>
      <c r="X92">
        <v>1.73756</v>
      </c>
      <c r="Y92">
        <v>1.73756</v>
      </c>
      <c r="Z92">
        <v>0</v>
      </c>
      <c r="AA92">
        <v>1.3421099999999999</v>
      </c>
      <c r="AB92">
        <v>2.1168</v>
      </c>
      <c r="AC92" s="2">
        <v>57427800</v>
      </c>
      <c r="AD92" s="1">
        <v>0</v>
      </c>
      <c r="AE92" s="1">
        <v>0</v>
      </c>
      <c r="AF92" s="1">
        <v>0</v>
      </c>
      <c r="AG92" s="1">
        <v>0</v>
      </c>
      <c r="AH92" s="2">
        <v>4495490</v>
      </c>
      <c r="AI92" s="1">
        <v>146535</v>
      </c>
      <c r="AJ92" s="1">
        <v>0</v>
      </c>
      <c r="AK92" s="8">
        <f t="shared" si="7"/>
        <v>39</v>
      </c>
      <c r="AL92" s="8">
        <f t="shared" si="6"/>
        <v>2</v>
      </c>
      <c r="AM92">
        <f t="shared" si="4"/>
        <v>0</v>
      </c>
      <c r="AN92">
        <f t="shared" si="5"/>
        <v>0</v>
      </c>
    </row>
    <row r="93" spans="1:40" x14ac:dyDescent="0.35">
      <c r="A93">
        <v>25.230599999999999</v>
      </c>
      <c r="B93">
        <v>72.290000000000006</v>
      </c>
      <c r="C93">
        <v>1.3501000000000001</v>
      </c>
      <c r="D93">
        <v>0.41</v>
      </c>
      <c r="E93">
        <v>1</v>
      </c>
      <c r="F93">
        <v>2.7197200000000001</v>
      </c>
      <c r="G93">
        <v>2.7197200000000001</v>
      </c>
      <c r="H93">
        <v>0</v>
      </c>
      <c r="I93">
        <v>0.525586</v>
      </c>
      <c r="J93">
        <v>3.6288</v>
      </c>
      <c r="K93" s="2">
        <v>3341580</v>
      </c>
      <c r="L93" s="1">
        <v>0</v>
      </c>
      <c r="M93" s="1">
        <v>0</v>
      </c>
      <c r="N93" s="1">
        <v>0</v>
      </c>
      <c r="O93" s="1">
        <v>0</v>
      </c>
      <c r="P93" s="2">
        <v>4065910</v>
      </c>
      <c r="Q93" s="1">
        <v>279592</v>
      </c>
      <c r="R93" s="1">
        <v>0</v>
      </c>
      <c r="S93">
        <v>91.137500000000003</v>
      </c>
      <c r="T93">
        <v>98.274000000000001</v>
      </c>
      <c r="U93">
        <v>1.93214</v>
      </c>
      <c r="V93">
        <v>0</v>
      </c>
      <c r="W93">
        <v>1</v>
      </c>
      <c r="X93">
        <v>1.6543699999999999</v>
      </c>
      <c r="Y93">
        <v>1.6543699999999999</v>
      </c>
      <c r="Z93">
        <v>0</v>
      </c>
      <c r="AA93">
        <v>1.3424400000000001</v>
      </c>
      <c r="AB93">
        <v>2.1168</v>
      </c>
      <c r="AC93" s="2">
        <v>57567300</v>
      </c>
      <c r="AD93" s="1">
        <v>0</v>
      </c>
      <c r="AE93" s="1">
        <v>0</v>
      </c>
      <c r="AF93" s="1">
        <v>0</v>
      </c>
      <c r="AG93" s="1">
        <v>0</v>
      </c>
      <c r="AH93" s="2">
        <v>4280240</v>
      </c>
      <c r="AI93" s="1">
        <v>139519</v>
      </c>
      <c r="AJ93" s="1">
        <v>0</v>
      </c>
      <c r="AK93" s="8">
        <f t="shared" si="7"/>
        <v>40</v>
      </c>
      <c r="AL93" s="8">
        <f t="shared" si="6"/>
        <v>2</v>
      </c>
      <c r="AM93">
        <f t="shared" si="4"/>
        <v>0</v>
      </c>
      <c r="AN93">
        <f t="shared" si="5"/>
        <v>0</v>
      </c>
    </row>
    <row r="94" spans="1:40" x14ac:dyDescent="0.35">
      <c r="A94">
        <v>23.793099999999999</v>
      </c>
      <c r="B94">
        <v>72.290000000000006</v>
      </c>
      <c r="C94">
        <v>1.67113</v>
      </c>
      <c r="D94">
        <v>0.32</v>
      </c>
      <c r="E94">
        <v>1</v>
      </c>
      <c r="F94">
        <v>2.6604700000000001</v>
      </c>
      <c r="G94">
        <v>2.7203900000000001</v>
      </c>
      <c r="H94">
        <v>0</v>
      </c>
      <c r="I94">
        <v>0.50967499999999999</v>
      </c>
      <c r="J94">
        <v>3.6288</v>
      </c>
      <c r="K94" s="2">
        <v>3540300</v>
      </c>
      <c r="L94" s="1">
        <v>0</v>
      </c>
      <c r="M94" s="1">
        <v>0</v>
      </c>
      <c r="N94" s="1">
        <v>0</v>
      </c>
      <c r="O94" s="1">
        <v>0</v>
      </c>
      <c r="P94" s="2">
        <v>3977340</v>
      </c>
      <c r="Q94" s="1">
        <v>198719</v>
      </c>
      <c r="R94" s="1">
        <v>80942.399999999994</v>
      </c>
      <c r="S94">
        <v>91.416700000000006</v>
      </c>
      <c r="T94">
        <v>98.274000000000001</v>
      </c>
      <c r="U94">
        <v>3.2326600000000001</v>
      </c>
      <c r="V94">
        <v>0</v>
      </c>
      <c r="W94">
        <v>1</v>
      </c>
      <c r="X94">
        <v>1.71469</v>
      </c>
      <c r="Y94">
        <v>1.6547700000000001</v>
      </c>
      <c r="Z94">
        <v>0</v>
      </c>
      <c r="AA94">
        <v>1.27816</v>
      </c>
      <c r="AB94">
        <v>2.1168</v>
      </c>
      <c r="AC94" s="2">
        <v>57861800</v>
      </c>
      <c r="AD94" s="1">
        <v>0</v>
      </c>
      <c r="AE94" s="1">
        <v>0</v>
      </c>
      <c r="AF94" s="1">
        <v>0</v>
      </c>
      <c r="AG94" s="1">
        <v>0</v>
      </c>
      <c r="AH94" s="2">
        <v>4436300</v>
      </c>
      <c r="AI94" s="1">
        <v>294564</v>
      </c>
      <c r="AJ94" s="1">
        <v>0</v>
      </c>
      <c r="AK94" s="8">
        <f t="shared" si="7"/>
        <v>41</v>
      </c>
      <c r="AL94" s="8">
        <f t="shared" si="6"/>
        <v>2</v>
      </c>
      <c r="AM94">
        <f t="shared" si="4"/>
        <v>0</v>
      </c>
      <c r="AN94">
        <f t="shared" si="5"/>
        <v>0</v>
      </c>
    </row>
    <row r="95" spans="1:40" x14ac:dyDescent="0.35">
      <c r="A95">
        <v>22.552099999999999</v>
      </c>
      <c r="B95">
        <v>72.290000000000006</v>
      </c>
      <c r="C95">
        <v>1.6187199999999999</v>
      </c>
      <c r="D95">
        <v>0.45</v>
      </c>
      <c r="E95">
        <v>1</v>
      </c>
      <c r="F95">
        <v>2.4133800000000001</v>
      </c>
      <c r="G95">
        <v>2.72106</v>
      </c>
      <c r="H95">
        <v>0</v>
      </c>
      <c r="I95">
        <v>0.49857299999999999</v>
      </c>
      <c r="J95">
        <v>3.6288</v>
      </c>
      <c r="K95" s="2">
        <v>4430290</v>
      </c>
      <c r="L95" s="1">
        <v>0</v>
      </c>
      <c r="M95" s="1">
        <v>0</v>
      </c>
      <c r="N95" s="1">
        <v>0</v>
      </c>
      <c r="O95" s="1">
        <v>0</v>
      </c>
      <c r="P95" s="2">
        <v>4669610</v>
      </c>
      <c r="Q95" s="1">
        <v>889992</v>
      </c>
      <c r="R95" s="1">
        <v>0</v>
      </c>
      <c r="S95">
        <v>91.695700000000002</v>
      </c>
      <c r="T95">
        <v>98.274000000000001</v>
      </c>
      <c r="U95">
        <v>3.1980200000000001</v>
      </c>
      <c r="V95">
        <v>0</v>
      </c>
      <c r="W95">
        <v>1</v>
      </c>
      <c r="X95">
        <v>1.71469</v>
      </c>
      <c r="Y95">
        <v>1.6551800000000001</v>
      </c>
      <c r="Z95">
        <v>0</v>
      </c>
      <c r="AA95">
        <v>1.32477</v>
      </c>
      <c r="AB95">
        <v>2.1168</v>
      </c>
      <c r="AC95" s="2">
        <v>58155400</v>
      </c>
      <c r="AD95" s="1">
        <v>0</v>
      </c>
      <c r="AE95" s="1">
        <v>0</v>
      </c>
      <c r="AF95" s="1">
        <v>0</v>
      </c>
      <c r="AG95" s="1">
        <v>0</v>
      </c>
      <c r="AH95" s="2">
        <v>4436300</v>
      </c>
      <c r="AI95" s="1">
        <v>293546</v>
      </c>
      <c r="AJ95" s="1">
        <v>0</v>
      </c>
      <c r="AK95" s="8">
        <f t="shared" si="7"/>
        <v>42</v>
      </c>
      <c r="AL95" s="8">
        <f t="shared" si="6"/>
        <v>2</v>
      </c>
      <c r="AM95">
        <f t="shared" si="4"/>
        <v>0</v>
      </c>
      <c r="AN95">
        <f t="shared" si="5"/>
        <v>0</v>
      </c>
    </row>
    <row r="96" spans="1:40" x14ac:dyDescent="0.35">
      <c r="A96">
        <v>20.9986</v>
      </c>
      <c r="B96">
        <v>72.290000000000006</v>
      </c>
      <c r="C96">
        <v>1.55409</v>
      </c>
      <c r="D96">
        <v>0.39</v>
      </c>
      <c r="E96">
        <v>1</v>
      </c>
      <c r="F96">
        <v>2.6626300000000001</v>
      </c>
      <c r="G96">
        <v>2.72173</v>
      </c>
      <c r="H96">
        <v>0</v>
      </c>
      <c r="I96">
        <v>0.45226699999999997</v>
      </c>
      <c r="J96">
        <v>3.6288</v>
      </c>
      <c r="K96" s="2">
        <v>4630250</v>
      </c>
      <c r="L96" s="1">
        <v>0</v>
      </c>
      <c r="M96" s="1">
        <v>0</v>
      </c>
      <c r="N96" s="1">
        <v>0</v>
      </c>
      <c r="O96" s="1">
        <v>0</v>
      </c>
      <c r="P96" s="2">
        <v>3980560</v>
      </c>
      <c r="Q96" s="1">
        <v>199956</v>
      </c>
      <c r="R96" s="1">
        <v>79842.7</v>
      </c>
      <c r="S96">
        <v>91.993399999999994</v>
      </c>
      <c r="T96">
        <v>98.274000000000001</v>
      </c>
      <c r="U96">
        <v>3.3816899999999999</v>
      </c>
      <c r="V96">
        <v>0</v>
      </c>
      <c r="W96">
        <v>1</v>
      </c>
      <c r="X96">
        <v>1.71469</v>
      </c>
      <c r="Y96">
        <v>1.6555899999999999</v>
      </c>
      <c r="Z96">
        <v>0</v>
      </c>
      <c r="AA96">
        <v>1.32477</v>
      </c>
      <c r="AB96">
        <v>2.1168</v>
      </c>
      <c r="AC96" s="2">
        <v>58447900</v>
      </c>
      <c r="AD96" s="1">
        <v>0</v>
      </c>
      <c r="AE96" s="1">
        <v>0</v>
      </c>
      <c r="AF96" s="1">
        <v>0</v>
      </c>
      <c r="AG96" s="1">
        <v>0</v>
      </c>
      <c r="AH96" s="2">
        <v>4436300</v>
      </c>
      <c r="AI96" s="1">
        <v>292527</v>
      </c>
      <c r="AJ96" s="1">
        <v>0</v>
      </c>
      <c r="AK96" s="8">
        <f t="shared" si="7"/>
        <v>43</v>
      </c>
      <c r="AL96" s="8">
        <f t="shared" si="6"/>
        <v>2</v>
      </c>
      <c r="AM96">
        <f t="shared" si="4"/>
        <v>0</v>
      </c>
      <c r="AN96">
        <f t="shared" si="5"/>
        <v>0</v>
      </c>
    </row>
    <row r="97" spans="1:40" x14ac:dyDescent="0.35">
      <c r="A97">
        <v>19.873899999999999</v>
      </c>
      <c r="B97">
        <v>72.290000000000006</v>
      </c>
      <c r="C97">
        <v>1.94421</v>
      </c>
      <c r="D97">
        <v>0.36</v>
      </c>
      <c r="E97">
        <v>1</v>
      </c>
      <c r="F97">
        <v>2.5933799999999998</v>
      </c>
      <c r="G97">
        <v>2.6520700000000001</v>
      </c>
      <c r="H97">
        <v>0</v>
      </c>
      <c r="I97">
        <v>0.49897599999999998</v>
      </c>
      <c r="J97">
        <v>3.6288</v>
      </c>
      <c r="K97" s="2">
        <v>4823600</v>
      </c>
      <c r="L97" s="1">
        <v>0</v>
      </c>
      <c r="M97" s="1">
        <v>0</v>
      </c>
      <c r="N97" s="1">
        <v>0</v>
      </c>
      <c r="O97" s="1">
        <v>0</v>
      </c>
      <c r="P97" s="2">
        <v>3877030</v>
      </c>
      <c r="Q97" s="1">
        <v>193345</v>
      </c>
      <c r="R97" s="1">
        <v>79292.600000000006</v>
      </c>
      <c r="S97">
        <v>92.480599999999995</v>
      </c>
      <c r="T97">
        <v>98.274000000000001</v>
      </c>
      <c r="U97">
        <v>3.8936299999999999</v>
      </c>
      <c r="V97">
        <v>0</v>
      </c>
      <c r="W97">
        <v>1</v>
      </c>
      <c r="X97">
        <v>1.6385000000000001</v>
      </c>
      <c r="Y97">
        <v>1.5798000000000001</v>
      </c>
      <c r="Z97">
        <v>0</v>
      </c>
      <c r="AA97">
        <v>1.32477</v>
      </c>
      <c r="AB97">
        <v>2.1168</v>
      </c>
      <c r="AC97" s="2">
        <v>58733000</v>
      </c>
      <c r="AD97" s="1">
        <v>0</v>
      </c>
      <c r="AE97" s="1">
        <v>0</v>
      </c>
      <c r="AF97" s="1">
        <v>0</v>
      </c>
      <c r="AG97" s="1">
        <v>0</v>
      </c>
      <c r="AH97" s="2">
        <v>4239180</v>
      </c>
      <c r="AI97" s="1">
        <v>285082</v>
      </c>
      <c r="AJ97" s="1">
        <v>0</v>
      </c>
      <c r="AK97" s="8">
        <f t="shared" si="7"/>
        <v>44</v>
      </c>
      <c r="AL97" s="8">
        <f t="shared" si="6"/>
        <v>2</v>
      </c>
      <c r="AM97">
        <f t="shared" si="4"/>
        <v>0</v>
      </c>
      <c r="AN97">
        <f t="shared" si="5"/>
        <v>0</v>
      </c>
    </row>
    <row r="98" spans="1:40" x14ac:dyDescent="0.35">
      <c r="A98">
        <v>18.411799999999999</v>
      </c>
      <c r="B98">
        <v>72.290000000000006</v>
      </c>
      <c r="C98">
        <v>1.54714</v>
      </c>
      <c r="D98">
        <v>0.31</v>
      </c>
      <c r="E98">
        <v>1</v>
      </c>
      <c r="F98">
        <v>2.5182500000000001</v>
      </c>
      <c r="G98">
        <v>2.65272</v>
      </c>
      <c r="H98">
        <v>0</v>
      </c>
      <c r="I98">
        <v>0.48599900000000001</v>
      </c>
      <c r="J98">
        <v>3.6288</v>
      </c>
      <c r="K98" s="2">
        <v>4914620</v>
      </c>
      <c r="L98" s="1">
        <v>0</v>
      </c>
      <c r="M98" s="1">
        <v>0</v>
      </c>
      <c r="N98" s="1">
        <v>0</v>
      </c>
      <c r="O98" s="1">
        <v>0</v>
      </c>
      <c r="P98" s="2">
        <v>3764710</v>
      </c>
      <c r="Q98" s="1">
        <v>91028</v>
      </c>
      <c r="R98" s="1">
        <v>181677</v>
      </c>
      <c r="S98">
        <v>92.860399999999998</v>
      </c>
      <c r="T98">
        <v>98.274000000000001</v>
      </c>
      <c r="U98">
        <v>3.4771700000000001</v>
      </c>
      <c r="V98">
        <v>0</v>
      </c>
      <c r="W98">
        <v>1</v>
      </c>
      <c r="X98">
        <v>1.7146699999999999</v>
      </c>
      <c r="Y98">
        <v>1.58019</v>
      </c>
      <c r="Z98">
        <v>0</v>
      </c>
      <c r="AA98">
        <v>1.2659</v>
      </c>
      <c r="AB98">
        <v>2.1168</v>
      </c>
      <c r="AC98" s="2">
        <v>59214200</v>
      </c>
      <c r="AD98" s="1">
        <v>0</v>
      </c>
      <c r="AE98" s="1">
        <v>0</v>
      </c>
      <c r="AF98" s="1">
        <v>0</v>
      </c>
      <c r="AG98" s="1">
        <v>0</v>
      </c>
      <c r="AH98" s="2">
        <v>4436260</v>
      </c>
      <c r="AI98" s="1">
        <v>481189</v>
      </c>
      <c r="AJ98" s="1">
        <v>0</v>
      </c>
      <c r="AK98" s="8">
        <f t="shared" si="7"/>
        <v>45</v>
      </c>
      <c r="AL98" s="8">
        <f t="shared" si="6"/>
        <v>2</v>
      </c>
      <c r="AM98">
        <f t="shared" si="4"/>
        <v>0</v>
      </c>
      <c r="AN98">
        <f t="shared" si="5"/>
        <v>0</v>
      </c>
    </row>
    <row r="99" spans="1:40" x14ac:dyDescent="0.35">
      <c r="A99">
        <v>17.468699999999998</v>
      </c>
      <c r="B99">
        <v>72.290000000000006</v>
      </c>
      <c r="C99">
        <v>1.8226</v>
      </c>
      <c r="D99">
        <v>0.54</v>
      </c>
      <c r="E99">
        <v>1</v>
      </c>
      <c r="F99">
        <v>2.2772899999999998</v>
      </c>
      <c r="G99">
        <v>2.6533699999999998</v>
      </c>
      <c r="H99">
        <v>0</v>
      </c>
      <c r="I99">
        <v>0.47191899999999998</v>
      </c>
      <c r="J99">
        <v>3.6288</v>
      </c>
      <c r="K99" s="2">
        <v>5646260</v>
      </c>
      <c r="L99" s="1">
        <v>0</v>
      </c>
      <c r="M99" s="1">
        <v>0</v>
      </c>
      <c r="N99" s="1">
        <v>0</v>
      </c>
      <c r="O99" s="1">
        <v>0</v>
      </c>
      <c r="P99" s="2">
        <v>4406280</v>
      </c>
      <c r="Q99" s="1">
        <v>731635</v>
      </c>
      <c r="R99" s="1">
        <v>0</v>
      </c>
      <c r="S99">
        <v>93.132900000000006</v>
      </c>
      <c r="T99">
        <v>98.274000000000001</v>
      </c>
      <c r="U99">
        <v>2.7415799999999999</v>
      </c>
      <c r="V99">
        <v>0</v>
      </c>
      <c r="W99">
        <v>1</v>
      </c>
      <c r="X99">
        <v>1.7146699999999999</v>
      </c>
      <c r="Y99">
        <v>1.5805800000000001</v>
      </c>
      <c r="Z99">
        <v>0</v>
      </c>
      <c r="AA99">
        <v>1.3247500000000001</v>
      </c>
      <c r="AB99">
        <v>2.1168</v>
      </c>
      <c r="AC99" s="2">
        <v>59694400</v>
      </c>
      <c r="AD99" s="1">
        <v>0</v>
      </c>
      <c r="AE99" s="1">
        <v>0</v>
      </c>
      <c r="AF99" s="1">
        <v>0</v>
      </c>
      <c r="AG99" s="1">
        <v>0</v>
      </c>
      <c r="AH99" s="2">
        <v>4436260</v>
      </c>
      <c r="AI99" s="1">
        <v>480216</v>
      </c>
      <c r="AJ99" s="1">
        <v>0</v>
      </c>
      <c r="AK99" s="8">
        <f t="shared" si="7"/>
        <v>46</v>
      </c>
      <c r="AL99" s="8">
        <f t="shared" si="6"/>
        <v>2</v>
      </c>
      <c r="AM99">
        <f t="shared" si="4"/>
        <v>0</v>
      </c>
      <c r="AN99">
        <f t="shared" si="5"/>
        <v>0</v>
      </c>
    </row>
    <row r="100" spans="1:40" x14ac:dyDescent="0.35">
      <c r="A100">
        <v>20.102699999999999</v>
      </c>
      <c r="B100">
        <v>72.290000000000006</v>
      </c>
      <c r="C100">
        <v>5.399</v>
      </c>
      <c r="D100">
        <v>0.46</v>
      </c>
      <c r="E100">
        <v>1</v>
      </c>
      <c r="F100">
        <v>2.27827</v>
      </c>
      <c r="G100">
        <v>2.6540300000000001</v>
      </c>
      <c r="H100">
        <v>0</v>
      </c>
      <c r="I100">
        <v>0.42676399999999998</v>
      </c>
      <c r="J100">
        <v>3.6288</v>
      </c>
      <c r="K100" s="2">
        <v>6378830</v>
      </c>
      <c r="L100" s="1">
        <v>0</v>
      </c>
      <c r="M100" s="1">
        <v>0</v>
      </c>
      <c r="N100" s="1">
        <v>0</v>
      </c>
      <c r="O100" s="1">
        <v>0</v>
      </c>
      <c r="P100" s="2">
        <v>4408180</v>
      </c>
      <c r="Q100" s="1">
        <v>732570</v>
      </c>
      <c r="R100" s="1">
        <v>0</v>
      </c>
      <c r="S100">
        <v>95.354200000000006</v>
      </c>
      <c r="T100">
        <v>98.274000000000001</v>
      </c>
      <c r="U100">
        <v>8.2996300000000005</v>
      </c>
      <c r="V100">
        <v>0</v>
      </c>
      <c r="W100">
        <v>1</v>
      </c>
      <c r="X100">
        <v>1.7146699999999999</v>
      </c>
      <c r="Y100">
        <v>1.58097</v>
      </c>
      <c r="Z100">
        <v>0</v>
      </c>
      <c r="AA100">
        <v>1.3247500000000001</v>
      </c>
      <c r="AB100">
        <v>2.1168</v>
      </c>
      <c r="AC100" s="2">
        <v>60173600</v>
      </c>
      <c r="AD100" s="1">
        <v>0</v>
      </c>
      <c r="AE100" s="1">
        <v>0</v>
      </c>
      <c r="AF100" s="1">
        <v>0</v>
      </c>
      <c r="AG100" s="1">
        <v>0</v>
      </c>
      <c r="AH100" s="2">
        <v>4436260</v>
      </c>
      <c r="AI100" s="1">
        <v>479243</v>
      </c>
      <c r="AJ100" s="1">
        <v>0</v>
      </c>
      <c r="AK100" s="8">
        <f t="shared" si="7"/>
        <v>47</v>
      </c>
      <c r="AL100" s="8">
        <f t="shared" si="6"/>
        <v>2</v>
      </c>
      <c r="AM100">
        <f t="shared" si="4"/>
        <v>0</v>
      </c>
      <c r="AN100">
        <f t="shared" si="5"/>
        <v>0</v>
      </c>
    </row>
    <row r="101" spans="1:40" x14ac:dyDescent="0.35">
      <c r="A101">
        <v>21.865200000000002</v>
      </c>
      <c r="B101">
        <v>72.290000000000006</v>
      </c>
      <c r="C101">
        <v>4.5793600000000003</v>
      </c>
      <c r="D101">
        <v>0.28000000000000003</v>
      </c>
      <c r="E101">
        <v>1</v>
      </c>
      <c r="F101">
        <v>2.3214399999999999</v>
      </c>
      <c r="G101">
        <v>2.4547500000000002</v>
      </c>
      <c r="H101">
        <v>0</v>
      </c>
      <c r="I101">
        <v>0.42694799999999999</v>
      </c>
      <c r="J101">
        <v>3.6288</v>
      </c>
      <c r="K101" s="2">
        <v>6451080</v>
      </c>
      <c r="L101" s="1">
        <v>0</v>
      </c>
      <c r="M101" s="1">
        <v>0</v>
      </c>
      <c r="N101" s="1">
        <v>0</v>
      </c>
      <c r="O101" s="1">
        <v>0</v>
      </c>
      <c r="P101" s="2">
        <v>3470500</v>
      </c>
      <c r="Q101" s="1">
        <v>72251.899999999994</v>
      </c>
      <c r="R101" s="1">
        <v>180102</v>
      </c>
      <c r="S101">
        <v>97.659300000000002</v>
      </c>
      <c r="T101">
        <v>98.274000000000001</v>
      </c>
      <c r="U101">
        <v>8.0828600000000002</v>
      </c>
      <c r="V101">
        <v>0</v>
      </c>
      <c r="W101">
        <v>1</v>
      </c>
      <c r="X101">
        <v>1.55583</v>
      </c>
      <c r="Y101">
        <v>1.42252</v>
      </c>
      <c r="Z101">
        <v>0</v>
      </c>
      <c r="AA101">
        <v>1.3247500000000001</v>
      </c>
      <c r="AB101">
        <v>2.1168</v>
      </c>
      <c r="AC101" s="2">
        <v>60638500</v>
      </c>
      <c r="AD101" s="1">
        <v>0</v>
      </c>
      <c r="AE101" s="1">
        <v>0</v>
      </c>
      <c r="AF101" s="1">
        <v>0</v>
      </c>
      <c r="AG101" s="1">
        <v>0</v>
      </c>
      <c r="AH101" s="2">
        <v>4025290</v>
      </c>
      <c r="AI101" s="1">
        <v>464874</v>
      </c>
      <c r="AJ101" s="1">
        <v>0</v>
      </c>
      <c r="AK101" s="8">
        <f t="shared" si="7"/>
        <v>48</v>
      </c>
      <c r="AL101" s="8">
        <f t="shared" si="6"/>
        <v>2</v>
      </c>
      <c r="AM101">
        <f t="shared" si="4"/>
        <v>0</v>
      </c>
      <c r="AN101">
        <f t="shared" si="5"/>
        <v>0</v>
      </c>
    </row>
    <row r="102" spans="1:40" x14ac:dyDescent="0.35">
      <c r="A102">
        <v>23.1114</v>
      </c>
      <c r="B102">
        <v>72.290000000000006</v>
      </c>
      <c r="C102">
        <v>3.9329999999999998</v>
      </c>
      <c r="D102">
        <v>0.28999999999999998</v>
      </c>
      <c r="E102">
        <v>1</v>
      </c>
      <c r="F102">
        <v>2.1635900000000001</v>
      </c>
      <c r="G102">
        <v>2.4553600000000002</v>
      </c>
      <c r="H102">
        <v>0</v>
      </c>
      <c r="I102">
        <v>0.43503799999999998</v>
      </c>
      <c r="J102">
        <v>3.6288</v>
      </c>
      <c r="K102" s="2">
        <v>6309330</v>
      </c>
      <c r="L102" s="1">
        <v>0</v>
      </c>
      <c r="M102" s="1">
        <v>0</v>
      </c>
      <c r="N102" s="1">
        <v>0</v>
      </c>
      <c r="O102" s="1">
        <v>0</v>
      </c>
      <c r="P102" s="2">
        <v>3234520</v>
      </c>
      <c r="Q102" s="1">
        <v>-141754</v>
      </c>
      <c r="R102" s="1">
        <v>394170</v>
      </c>
      <c r="S102">
        <v>99.302199999999999</v>
      </c>
      <c r="T102">
        <v>98.274000000000001</v>
      </c>
      <c r="U102">
        <v>8.8619400000000006</v>
      </c>
      <c r="V102">
        <v>0</v>
      </c>
      <c r="W102">
        <v>1</v>
      </c>
      <c r="X102">
        <v>1.7146300000000001</v>
      </c>
      <c r="Y102">
        <v>1.4228700000000001</v>
      </c>
      <c r="Z102">
        <v>0</v>
      </c>
      <c r="AA102">
        <v>1.2020299999999999</v>
      </c>
      <c r="AB102">
        <v>2.1168</v>
      </c>
      <c r="AC102" s="2">
        <v>61513400</v>
      </c>
      <c r="AD102" s="1">
        <v>0</v>
      </c>
      <c r="AE102" s="1">
        <v>0</v>
      </c>
      <c r="AF102" s="1">
        <v>0</v>
      </c>
      <c r="AG102" s="1">
        <v>0</v>
      </c>
      <c r="AH102" s="2">
        <v>4436160</v>
      </c>
      <c r="AI102" s="1">
        <v>874860</v>
      </c>
      <c r="AJ102" s="1">
        <v>0</v>
      </c>
      <c r="AK102" s="8">
        <f t="shared" si="7"/>
        <v>49</v>
      </c>
      <c r="AL102" s="8">
        <f t="shared" si="6"/>
        <v>2</v>
      </c>
      <c r="AM102">
        <f t="shared" si="4"/>
        <v>0</v>
      </c>
      <c r="AN102">
        <f t="shared" si="5"/>
        <v>0</v>
      </c>
    </row>
    <row r="103" spans="1:40" x14ac:dyDescent="0.35">
      <c r="A103">
        <v>26.439299999999999</v>
      </c>
      <c r="B103">
        <v>72.290000000000006</v>
      </c>
      <c r="C103">
        <v>6.0184899999999999</v>
      </c>
      <c r="D103">
        <v>0.31</v>
      </c>
      <c r="E103">
        <v>1</v>
      </c>
      <c r="F103">
        <v>2.1645500000000002</v>
      </c>
      <c r="G103">
        <v>2.4559600000000001</v>
      </c>
      <c r="H103">
        <v>0</v>
      </c>
      <c r="I103">
        <v>0.40545700000000001</v>
      </c>
      <c r="J103">
        <v>3.6288</v>
      </c>
      <c r="K103" s="2">
        <v>6168110</v>
      </c>
      <c r="L103" s="1">
        <v>0</v>
      </c>
      <c r="M103" s="1">
        <v>0</v>
      </c>
      <c r="N103" s="1">
        <v>0</v>
      </c>
      <c r="O103" s="1">
        <v>0</v>
      </c>
      <c r="P103" s="2">
        <v>3235940</v>
      </c>
      <c r="Q103" s="1">
        <v>-141219</v>
      </c>
      <c r="R103" s="1">
        <v>393697</v>
      </c>
      <c r="S103">
        <v>99.302199999999999</v>
      </c>
      <c r="T103">
        <v>98.274000000000001</v>
      </c>
      <c r="U103">
        <v>9.7989499999999996</v>
      </c>
      <c r="V103">
        <v>0</v>
      </c>
      <c r="W103">
        <v>1</v>
      </c>
      <c r="X103">
        <v>1.7146300000000001</v>
      </c>
      <c r="Y103">
        <v>1.4232199999999999</v>
      </c>
      <c r="Z103">
        <v>0</v>
      </c>
      <c r="AA103">
        <v>1.3247199999999999</v>
      </c>
      <c r="AB103">
        <v>2.1168</v>
      </c>
      <c r="AC103" s="2">
        <v>62387400</v>
      </c>
      <c r="AD103" s="1">
        <v>0</v>
      </c>
      <c r="AE103" s="1">
        <v>0</v>
      </c>
      <c r="AF103" s="1">
        <v>0</v>
      </c>
      <c r="AG103" s="1">
        <v>0</v>
      </c>
      <c r="AH103" s="2">
        <v>4436160</v>
      </c>
      <c r="AI103" s="1">
        <v>873984</v>
      </c>
      <c r="AJ103" s="1">
        <v>0</v>
      </c>
      <c r="AK103" s="8">
        <f t="shared" si="7"/>
        <v>50</v>
      </c>
      <c r="AL103" s="8">
        <f t="shared" si="6"/>
        <v>2</v>
      </c>
      <c r="AM103">
        <f t="shared" si="4"/>
        <v>0</v>
      </c>
      <c r="AN103">
        <f t="shared" si="5"/>
        <v>0</v>
      </c>
    </row>
    <row r="104" spans="1:40" x14ac:dyDescent="0.35">
      <c r="A104">
        <v>31.588799999999999</v>
      </c>
      <c r="B104">
        <v>72.290000000000006</v>
      </c>
      <c r="C104">
        <v>7.8489399999999998</v>
      </c>
      <c r="D104">
        <v>0.27</v>
      </c>
      <c r="E104">
        <v>1</v>
      </c>
      <c r="F104">
        <v>2.1655000000000002</v>
      </c>
      <c r="G104">
        <v>2.4565600000000001</v>
      </c>
      <c r="H104">
        <v>0</v>
      </c>
      <c r="I104">
        <v>0.405636</v>
      </c>
      <c r="J104">
        <v>3.6288</v>
      </c>
      <c r="K104" s="2">
        <v>6027420</v>
      </c>
      <c r="L104" s="1">
        <v>0</v>
      </c>
      <c r="M104" s="1">
        <v>0</v>
      </c>
      <c r="N104" s="1">
        <v>0</v>
      </c>
      <c r="O104" s="1">
        <v>0</v>
      </c>
      <c r="P104" s="2">
        <v>3237370</v>
      </c>
      <c r="Q104" s="1">
        <v>-140684</v>
      </c>
      <c r="R104" s="1">
        <v>393224</v>
      </c>
      <c r="S104">
        <v>99.302199999999999</v>
      </c>
      <c r="T104">
        <v>98.274000000000001</v>
      </c>
      <c r="U104">
        <v>11.748900000000001</v>
      </c>
      <c r="V104">
        <v>0</v>
      </c>
      <c r="W104">
        <v>1</v>
      </c>
      <c r="X104">
        <v>1.7146300000000001</v>
      </c>
      <c r="Y104">
        <v>1.42357</v>
      </c>
      <c r="Z104">
        <v>0</v>
      </c>
      <c r="AA104">
        <v>1.3247199999999999</v>
      </c>
      <c r="AB104">
        <v>2.1168</v>
      </c>
      <c r="AC104" s="2">
        <v>63260500</v>
      </c>
      <c r="AD104" s="1">
        <v>0</v>
      </c>
      <c r="AE104" s="1">
        <v>0</v>
      </c>
      <c r="AF104" s="1">
        <v>0</v>
      </c>
      <c r="AG104" s="1">
        <v>0</v>
      </c>
      <c r="AH104" s="2">
        <v>4436160</v>
      </c>
      <c r="AI104" s="1">
        <v>873108</v>
      </c>
      <c r="AJ104" s="1">
        <v>0</v>
      </c>
      <c r="AK104" s="8">
        <f t="shared" si="7"/>
        <v>51</v>
      </c>
      <c r="AL104" s="8">
        <f t="shared" si="6"/>
        <v>2</v>
      </c>
      <c r="AM104">
        <f t="shared" si="4"/>
        <v>0</v>
      </c>
      <c r="AN104">
        <f t="shared" si="5"/>
        <v>0</v>
      </c>
    </row>
    <row r="105" spans="1:40" x14ac:dyDescent="0.35">
      <c r="A105">
        <v>35.950699999999998</v>
      </c>
      <c r="B105">
        <v>72.290000000000006</v>
      </c>
      <c r="C105">
        <v>7.0583299999999998</v>
      </c>
      <c r="D105">
        <v>0.23</v>
      </c>
      <c r="E105">
        <v>1</v>
      </c>
      <c r="F105">
        <v>2.1664500000000002</v>
      </c>
      <c r="G105">
        <v>2.4571700000000001</v>
      </c>
      <c r="H105">
        <v>0</v>
      </c>
      <c r="I105">
        <v>0.40581499999999998</v>
      </c>
      <c r="J105">
        <v>3.6288</v>
      </c>
      <c r="K105" s="2">
        <v>5887270</v>
      </c>
      <c r="L105" s="1">
        <v>0</v>
      </c>
      <c r="M105" s="1">
        <v>0</v>
      </c>
      <c r="N105" s="1">
        <v>0</v>
      </c>
      <c r="O105" s="1">
        <v>0</v>
      </c>
      <c r="P105" s="2">
        <v>3238800</v>
      </c>
      <c r="Q105" s="1">
        <v>-140149</v>
      </c>
      <c r="R105" s="1">
        <v>392751</v>
      </c>
      <c r="S105">
        <v>99.302199999999999</v>
      </c>
      <c r="T105">
        <v>98.274000000000001</v>
      </c>
      <c r="U105">
        <v>20.5397</v>
      </c>
      <c r="V105">
        <v>0</v>
      </c>
      <c r="W105">
        <v>1</v>
      </c>
      <c r="X105">
        <v>1.7146300000000001</v>
      </c>
      <c r="Y105">
        <v>1.4239200000000001</v>
      </c>
      <c r="Z105">
        <v>0</v>
      </c>
      <c r="AA105">
        <v>1.3247199999999999</v>
      </c>
      <c r="AB105">
        <v>2.1168</v>
      </c>
      <c r="AC105" s="2">
        <v>64132700</v>
      </c>
      <c r="AD105" s="1">
        <v>0</v>
      </c>
      <c r="AE105" s="1">
        <v>0</v>
      </c>
      <c r="AF105" s="1">
        <v>0</v>
      </c>
      <c r="AG105" s="1">
        <v>0</v>
      </c>
      <c r="AH105" s="2">
        <v>4436160</v>
      </c>
      <c r="AI105" s="1">
        <v>872231</v>
      </c>
      <c r="AJ105" s="1">
        <v>0</v>
      </c>
      <c r="AK105" s="8">
        <f t="shared" si="7"/>
        <v>52</v>
      </c>
      <c r="AL105" s="8">
        <f t="shared" si="6"/>
        <v>2</v>
      </c>
      <c r="AM105">
        <f t="shared" si="4"/>
        <v>64132700</v>
      </c>
      <c r="AN105">
        <f t="shared" si="5"/>
        <v>5887270</v>
      </c>
    </row>
    <row r="106" spans="1:40" x14ac:dyDescent="0.35">
      <c r="A106">
        <v>43.919600000000003</v>
      </c>
      <c r="B106">
        <v>72.290000000000006</v>
      </c>
      <c r="C106">
        <v>10.760899999999999</v>
      </c>
      <c r="D106">
        <v>0.22</v>
      </c>
      <c r="E106">
        <v>1</v>
      </c>
      <c r="F106">
        <v>2.2444000000000002</v>
      </c>
      <c r="G106">
        <v>2.5347599999999999</v>
      </c>
      <c r="H106">
        <v>0</v>
      </c>
      <c r="I106">
        <v>0.40599400000000002</v>
      </c>
      <c r="J106">
        <v>3.6288</v>
      </c>
      <c r="K106" s="2">
        <v>5755570</v>
      </c>
      <c r="L106" s="1">
        <v>0</v>
      </c>
      <c r="M106" s="1">
        <v>0</v>
      </c>
      <c r="N106" s="1">
        <v>0</v>
      </c>
      <c r="O106" s="1">
        <v>0</v>
      </c>
      <c r="P106" s="2">
        <v>3355310</v>
      </c>
      <c r="Q106" s="1">
        <v>-131700</v>
      </c>
      <c r="R106" s="1">
        <v>392278</v>
      </c>
      <c r="S106">
        <v>99.302199999999999</v>
      </c>
      <c r="T106">
        <v>98.274000000000001</v>
      </c>
      <c r="U106">
        <v>12.1951</v>
      </c>
      <c r="V106">
        <v>0</v>
      </c>
      <c r="W106">
        <v>1</v>
      </c>
      <c r="X106">
        <v>1.76068</v>
      </c>
      <c r="Y106">
        <v>1.47031</v>
      </c>
      <c r="Z106">
        <v>0</v>
      </c>
      <c r="AA106">
        <v>1.3247199999999999</v>
      </c>
      <c r="AB106">
        <v>2.1168</v>
      </c>
      <c r="AC106" s="2">
        <v>65007900</v>
      </c>
      <c r="AD106" s="1">
        <v>0</v>
      </c>
      <c r="AE106" s="1">
        <v>0</v>
      </c>
      <c r="AF106" s="1">
        <v>0</v>
      </c>
      <c r="AG106" s="1">
        <v>0</v>
      </c>
      <c r="AH106" s="2">
        <v>4555290</v>
      </c>
      <c r="AI106" s="1">
        <v>875238</v>
      </c>
      <c r="AJ106" s="1">
        <v>0</v>
      </c>
      <c r="AK106" s="8">
        <f t="shared" si="7"/>
        <v>1</v>
      </c>
      <c r="AL106" s="8">
        <f t="shared" si="6"/>
        <v>3</v>
      </c>
      <c r="AM106">
        <f t="shared" si="4"/>
        <v>0</v>
      </c>
      <c r="AN106">
        <f t="shared" si="5"/>
        <v>0</v>
      </c>
    </row>
    <row r="107" spans="1:40" x14ac:dyDescent="0.35">
      <c r="A107">
        <v>48.636800000000001</v>
      </c>
      <c r="B107">
        <v>72.290000000000006</v>
      </c>
      <c r="C107">
        <v>7.57918</v>
      </c>
      <c r="D107">
        <v>0.17</v>
      </c>
      <c r="E107">
        <v>1</v>
      </c>
      <c r="F107">
        <v>2.2913899999999998</v>
      </c>
      <c r="G107">
        <v>2.5353599999999998</v>
      </c>
      <c r="H107">
        <v>0</v>
      </c>
      <c r="I107">
        <v>0.42059999999999997</v>
      </c>
      <c r="J107">
        <v>3.6288</v>
      </c>
      <c r="K107" s="2">
        <v>5686620</v>
      </c>
      <c r="L107" s="1">
        <v>0</v>
      </c>
      <c r="M107" s="1">
        <v>0</v>
      </c>
      <c r="N107" s="1">
        <v>0</v>
      </c>
      <c r="O107" s="1">
        <v>0</v>
      </c>
      <c r="P107" s="2">
        <v>3425580</v>
      </c>
      <c r="Q107" s="1">
        <v>-68956.7</v>
      </c>
      <c r="R107" s="1">
        <v>329597</v>
      </c>
      <c r="S107">
        <v>99.302199999999999</v>
      </c>
      <c r="T107">
        <v>98.274000000000001</v>
      </c>
      <c r="U107">
        <v>8.3840900000000005</v>
      </c>
      <c r="V107">
        <v>0</v>
      </c>
      <c r="W107">
        <v>1</v>
      </c>
      <c r="X107">
        <v>1.7146300000000001</v>
      </c>
      <c r="Y107">
        <v>1.4706600000000001</v>
      </c>
      <c r="Z107">
        <v>0</v>
      </c>
      <c r="AA107">
        <v>1.3603000000000001</v>
      </c>
      <c r="AB107">
        <v>2.1168</v>
      </c>
      <c r="AC107" s="2">
        <v>65763200</v>
      </c>
      <c r="AD107" s="1">
        <v>0</v>
      </c>
      <c r="AE107" s="1">
        <v>0</v>
      </c>
      <c r="AF107" s="1">
        <v>0</v>
      </c>
      <c r="AG107" s="1">
        <v>0</v>
      </c>
      <c r="AH107" s="2">
        <v>4436160</v>
      </c>
      <c r="AI107" s="1">
        <v>755229</v>
      </c>
      <c r="AJ107" s="1">
        <v>0</v>
      </c>
      <c r="AK107" s="8">
        <f t="shared" si="7"/>
        <v>2</v>
      </c>
      <c r="AL107" s="8">
        <f t="shared" si="6"/>
        <v>3</v>
      </c>
      <c r="AM107">
        <f t="shared" si="4"/>
        <v>0</v>
      </c>
      <c r="AN107">
        <f t="shared" si="5"/>
        <v>0</v>
      </c>
    </row>
    <row r="108" spans="1:40" x14ac:dyDescent="0.35">
      <c r="A108">
        <v>52.106099999999998</v>
      </c>
      <c r="B108">
        <v>72.290000000000006</v>
      </c>
      <c r="C108">
        <v>6.3434400000000002</v>
      </c>
      <c r="D108">
        <v>0.15</v>
      </c>
      <c r="E108">
        <v>1</v>
      </c>
      <c r="F108">
        <v>2.2923499999999999</v>
      </c>
      <c r="G108">
        <v>2.5359699999999998</v>
      </c>
      <c r="H108">
        <v>0</v>
      </c>
      <c r="I108">
        <v>0.42940699999999998</v>
      </c>
      <c r="J108">
        <v>3.6288</v>
      </c>
      <c r="K108" s="2">
        <v>5618190</v>
      </c>
      <c r="L108" s="1">
        <v>0</v>
      </c>
      <c r="M108" s="1">
        <v>0</v>
      </c>
      <c r="N108" s="1">
        <v>0</v>
      </c>
      <c r="O108" s="1">
        <v>0</v>
      </c>
      <c r="P108" s="2">
        <v>3427000</v>
      </c>
      <c r="Q108" s="1">
        <v>-68422.2</v>
      </c>
      <c r="R108" s="1">
        <v>329124</v>
      </c>
      <c r="S108">
        <v>99.302199999999999</v>
      </c>
      <c r="T108">
        <v>98.274000000000001</v>
      </c>
      <c r="U108">
        <v>6.9242800000000004</v>
      </c>
      <c r="V108">
        <v>0</v>
      </c>
      <c r="W108">
        <v>1</v>
      </c>
      <c r="X108">
        <v>1.7146300000000001</v>
      </c>
      <c r="Y108">
        <v>1.4710099999999999</v>
      </c>
      <c r="Z108">
        <v>0</v>
      </c>
      <c r="AA108">
        <v>1.3247199999999999</v>
      </c>
      <c r="AB108">
        <v>2.1168</v>
      </c>
      <c r="AC108" s="2">
        <v>66517500</v>
      </c>
      <c r="AD108" s="1">
        <v>0</v>
      </c>
      <c r="AE108" s="1">
        <v>0</v>
      </c>
      <c r="AF108" s="1">
        <v>0</v>
      </c>
      <c r="AG108" s="1">
        <v>0</v>
      </c>
      <c r="AH108" s="2">
        <v>4436160</v>
      </c>
      <c r="AI108" s="1">
        <v>754353</v>
      </c>
      <c r="AJ108" s="1">
        <v>0</v>
      </c>
      <c r="AK108" s="8">
        <f t="shared" si="7"/>
        <v>3</v>
      </c>
      <c r="AL108" s="8">
        <f t="shared" si="6"/>
        <v>3</v>
      </c>
      <c r="AM108">
        <f t="shared" si="4"/>
        <v>0</v>
      </c>
      <c r="AN108">
        <f t="shared" si="5"/>
        <v>0</v>
      </c>
    </row>
    <row r="109" spans="1:40" x14ac:dyDescent="0.35">
      <c r="A109">
        <v>54.447200000000002</v>
      </c>
      <c r="B109">
        <v>72.290000000000006</v>
      </c>
      <c r="C109">
        <v>5.2242600000000001</v>
      </c>
      <c r="D109">
        <v>0.15</v>
      </c>
      <c r="E109">
        <v>1</v>
      </c>
      <c r="F109">
        <v>2.2932999999999999</v>
      </c>
      <c r="G109">
        <v>2.5365700000000002</v>
      </c>
      <c r="H109">
        <v>0</v>
      </c>
      <c r="I109">
        <v>0.42958600000000002</v>
      </c>
      <c r="J109">
        <v>3.6288</v>
      </c>
      <c r="K109" s="2">
        <v>5550310</v>
      </c>
      <c r="L109" s="1">
        <v>0</v>
      </c>
      <c r="M109" s="1">
        <v>0</v>
      </c>
      <c r="N109" s="1">
        <v>0</v>
      </c>
      <c r="O109" s="1">
        <v>0</v>
      </c>
      <c r="P109" s="2">
        <v>3428430</v>
      </c>
      <c r="Q109" s="1">
        <v>-67887.5</v>
      </c>
      <c r="R109" s="1">
        <v>328652</v>
      </c>
      <c r="S109">
        <v>99.302199999999999</v>
      </c>
      <c r="T109">
        <v>98.274000000000001</v>
      </c>
      <c r="U109">
        <v>5.4079800000000002</v>
      </c>
      <c r="V109">
        <v>0</v>
      </c>
      <c r="W109">
        <v>1</v>
      </c>
      <c r="X109">
        <v>1.7146300000000001</v>
      </c>
      <c r="Y109">
        <v>1.47136</v>
      </c>
      <c r="Z109">
        <v>0</v>
      </c>
      <c r="AA109">
        <v>1.3247199999999999</v>
      </c>
      <c r="AB109">
        <v>2.1168</v>
      </c>
      <c r="AC109" s="2">
        <v>67271000</v>
      </c>
      <c r="AD109" s="1">
        <v>0</v>
      </c>
      <c r="AE109" s="1">
        <v>0</v>
      </c>
      <c r="AF109" s="1">
        <v>0</v>
      </c>
      <c r="AG109" s="1">
        <v>0</v>
      </c>
      <c r="AH109" s="2">
        <v>4436160</v>
      </c>
      <c r="AI109" s="1">
        <v>753477</v>
      </c>
      <c r="AJ109" s="1">
        <v>0</v>
      </c>
      <c r="AK109" s="8">
        <f t="shared" si="7"/>
        <v>4</v>
      </c>
      <c r="AL109" s="8">
        <f t="shared" si="6"/>
        <v>3</v>
      </c>
      <c r="AM109">
        <f t="shared" si="4"/>
        <v>0</v>
      </c>
      <c r="AN109">
        <f t="shared" si="5"/>
        <v>0</v>
      </c>
    </row>
    <row r="110" spans="1:40" x14ac:dyDescent="0.35">
      <c r="A110">
        <v>61.785200000000003</v>
      </c>
      <c r="B110">
        <v>72.290000000000006</v>
      </c>
      <c r="C110">
        <v>10.5062</v>
      </c>
      <c r="D110">
        <v>0.13</v>
      </c>
      <c r="E110">
        <v>1</v>
      </c>
      <c r="F110">
        <v>2.5417200000000002</v>
      </c>
      <c r="G110">
        <v>2.78464</v>
      </c>
      <c r="H110">
        <v>0</v>
      </c>
      <c r="I110">
        <v>0.42976500000000001</v>
      </c>
      <c r="J110">
        <v>3.6288</v>
      </c>
      <c r="K110" s="2">
        <v>5508390</v>
      </c>
      <c r="L110" s="1">
        <v>0</v>
      </c>
      <c r="M110" s="1">
        <v>0</v>
      </c>
      <c r="N110" s="1">
        <v>0</v>
      </c>
      <c r="O110" s="1">
        <v>0</v>
      </c>
      <c r="P110" s="2">
        <v>3799810</v>
      </c>
      <c r="Q110" s="1">
        <v>-41912.199999999997</v>
      </c>
      <c r="R110" s="1">
        <v>328179</v>
      </c>
      <c r="S110">
        <v>99.302199999999999</v>
      </c>
      <c r="T110">
        <v>98.274000000000001</v>
      </c>
      <c r="U110">
        <v>9.4335000000000004</v>
      </c>
      <c r="V110">
        <v>0</v>
      </c>
      <c r="W110">
        <v>1</v>
      </c>
      <c r="X110">
        <v>1.88767</v>
      </c>
      <c r="Y110">
        <v>1.6447499999999999</v>
      </c>
      <c r="Z110">
        <v>0</v>
      </c>
      <c r="AA110">
        <v>1.3247199999999999</v>
      </c>
      <c r="AB110">
        <v>2.1168</v>
      </c>
      <c r="AC110" s="2">
        <v>68038200</v>
      </c>
      <c r="AD110" s="1">
        <v>0</v>
      </c>
      <c r="AE110" s="1">
        <v>0</v>
      </c>
      <c r="AF110" s="1">
        <v>0</v>
      </c>
      <c r="AG110" s="1">
        <v>0</v>
      </c>
      <c r="AH110" s="2">
        <v>4883860</v>
      </c>
      <c r="AI110" s="1">
        <v>767195</v>
      </c>
      <c r="AJ110" s="1">
        <v>0</v>
      </c>
      <c r="AK110" s="8">
        <f t="shared" si="7"/>
        <v>5</v>
      </c>
      <c r="AL110" s="8">
        <f t="shared" si="6"/>
        <v>3</v>
      </c>
      <c r="AM110">
        <f t="shared" si="4"/>
        <v>0</v>
      </c>
      <c r="AN110">
        <f t="shared" si="5"/>
        <v>0</v>
      </c>
    </row>
    <row r="111" spans="1:40" x14ac:dyDescent="0.35">
      <c r="A111">
        <v>69.284599999999998</v>
      </c>
      <c r="B111">
        <v>72.290000000000006</v>
      </c>
      <c r="C111">
        <v>10.8576</v>
      </c>
      <c r="D111">
        <v>0.09</v>
      </c>
      <c r="E111">
        <v>1</v>
      </c>
      <c r="F111">
        <v>2.7157800000000001</v>
      </c>
      <c r="G111">
        <v>2.7852999999999999</v>
      </c>
      <c r="H111">
        <v>0</v>
      </c>
      <c r="I111">
        <v>0.47631899999999999</v>
      </c>
      <c r="J111">
        <v>3.6288</v>
      </c>
      <c r="K111" s="2">
        <v>5700800</v>
      </c>
      <c r="L111" s="1">
        <v>0</v>
      </c>
      <c r="M111" s="1">
        <v>0</v>
      </c>
      <c r="N111" s="1">
        <v>0</v>
      </c>
      <c r="O111" s="1">
        <v>0</v>
      </c>
      <c r="P111" s="2">
        <v>4060020</v>
      </c>
      <c r="Q111" s="1">
        <v>192406</v>
      </c>
      <c r="R111" s="1">
        <v>93928.4</v>
      </c>
      <c r="S111">
        <v>99.302199999999999</v>
      </c>
      <c r="T111">
        <v>98.274000000000001</v>
      </c>
      <c r="U111">
        <v>14.5649</v>
      </c>
      <c r="V111">
        <v>0</v>
      </c>
      <c r="W111">
        <v>1</v>
      </c>
      <c r="X111">
        <v>1.7146699999999999</v>
      </c>
      <c r="Y111">
        <v>1.6451499999999999</v>
      </c>
      <c r="Z111">
        <v>0</v>
      </c>
      <c r="AA111">
        <v>1.45842</v>
      </c>
      <c r="AB111">
        <v>2.1168</v>
      </c>
      <c r="AC111" s="2">
        <v>68356800</v>
      </c>
      <c r="AD111" s="1">
        <v>0</v>
      </c>
      <c r="AE111" s="1">
        <v>0</v>
      </c>
      <c r="AF111" s="1">
        <v>0</v>
      </c>
      <c r="AG111" s="1">
        <v>0</v>
      </c>
      <c r="AH111" s="2">
        <v>4436260</v>
      </c>
      <c r="AI111" s="1">
        <v>318621</v>
      </c>
      <c r="AJ111" s="1">
        <v>0</v>
      </c>
      <c r="AK111" s="8">
        <f t="shared" si="7"/>
        <v>6</v>
      </c>
      <c r="AL111" s="8">
        <f t="shared" si="6"/>
        <v>3</v>
      </c>
      <c r="AM111">
        <f t="shared" si="4"/>
        <v>0</v>
      </c>
      <c r="AN111">
        <f t="shared" si="5"/>
        <v>0</v>
      </c>
    </row>
    <row r="112" spans="1:40" x14ac:dyDescent="0.35">
      <c r="A112">
        <v>72.290000000000006</v>
      </c>
      <c r="B112">
        <v>72.290000000000006</v>
      </c>
      <c r="C112">
        <v>13.125500000000001</v>
      </c>
      <c r="D112">
        <v>0.04</v>
      </c>
      <c r="E112">
        <v>1</v>
      </c>
      <c r="F112">
        <v>2.7168299999999999</v>
      </c>
      <c r="G112">
        <v>2.7859699999999998</v>
      </c>
      <c r="H112">
        <v>0</v>
      </c>
      <c r="I112">
        <v>0.50893699999999997</v>
      </c>
      <c r="J112">
        <v>3.6288</v>
      </c>
      <c r="K112" s="2">
        <v>5893800</v>
      </c>
      <c r="L112" s="1">
        <v>0</v>
      </c>
      <c r="M112" s="1">
        <v>0</v>
      </c>
      <c r="N112" s="1">
        <v>0</v>
      </c>
      <c r="O112" s="1">
        <v>0</v>
      </c>
      <c r="P112" s="2">
        <v>4061600</v>
      </c>
      <c r="Q112" s="1">
        <v>193003</v>
      </c>
      <c r="R112" s="1">
        <v>93399.8</v>
      </c>
      <c r="S112">
        <v>99.302199999999999</v>
      </c>
      <c r="T112">
        <v>98.274000000000001</v>
      </c>
      <c r="U112">
        <v>15.589399999999999</v>
      </c>
      <c r="V112">
        <v>0</v>
      </c>
      <c r="W112">
        <v>1</v>
      </c>
      <c r="X112">
        <v>1.7146699999999999</v>
      </c>
      <c r="Y112">
        <v>1.64554</v>
      </c>
      <c r="Z112">
        <v>0</v>
      </c>
      <c r="AA112">
        <v>1.3247500000000001</v>
      </c>
      <c r="AB112">
        <v>2.1168</v>
      </c>
      <c r="AC112" s="2">
        <v>68674400</v>
      </c>
      <c r="AD112" s="1">
        <v>0</v>
      </c>
      <c r="AE112" s="1">
        <v>0</v>
      </c>
      <c r="AF112" s="1">
        <v>0</v>
      </c>
      <c r="AG112" s="1">
        <v>0</v>
      </c>
      <c r="AH112" s="2">
        <v>4436260</v>
      </c>
      <c r="AI112" s="1">
        <v>317642</v>
      </c>
      <c r="AJ112" s="1">
        <v>0</v>
      </c>
      <c r="AK112" s="8">
        <f t="shared" si="7"/>
        <v>7</v>
      </c>
      <c r="AL112" s="8">
        <f t="shared" si="6"/>
        <v>3</v>
      </c>
      <c r="AM112">
        <f t="shared" si="4"/>
        <v>0</v>
      </c>
      <c r="AN112">
        <f t="shared" si="5"/>
        <v>0</v>
      </c>
    </row>
    <row r="113" spans="1:40" x14ac:dyDescent="0.35">
      <c r="A113">
        <v>72.290000000000006</v>
      </c>
      <c r="B113">
        <v>72.290000000000006</v>
      </c>
      <c r="C113">
        <v>10.3476</v>
      </c>
      <c r="D113">
        <v>0.04</v>
      </c>
      <c r="E113">
        <v>1</v>
      </c>
      <c r="F113">
        <v>2.7178900000000001</v>
      </c>
      <c r="G113">
        <v>2.7866300000000002</v>
      </c>
      <c r="H113">
        <v>0</v>
      </c>
      <c r="I113">
        <v>0.50913399999999998</v>
      </c>
      <c r="J113">
        <v>3.6288</v>
      </c>
      <c r="K113" s="2">
        <v>6087400</v>
      </c>
      <c r="L113" s="1">
        <v>0</v>
      </c>
      <c r="M113" s="1">
        <v>0</v>
      </c>
      <c r="N113" s="1">
        <v>0</v>
      </c>
      <c r="O113" s="1">
        <v>0</v>
      </c>
      <c r="P113" s="2">
        <v>4063170</v>
      </c>
      <c r="Q113" s="1">
        <v>193600</v>
      </c>
      <c r="R113" s="1">
        <v>92871.1</v>
      </c>
      <c r="S113">
        <v>99.302199999999999</v>
      </c>
      <c r="T113">
        <v>98.274000000000001</v>
      </c>
      <c r="U113">
        <v>15.021100000000001</v>
      </c>
      <c r="V113">
        <v>0</v>
      </c>
      <c r="W113">
        <v>1</v>
      </c>
      <c r="X113">
        <v>1.7146699999999999</v>
      </c>
      <c r="Y113">
        <v>1.6459299999999999</v>
      </c>
      <c r="Z113">
        <v>0</v>
      </c>
      <c r="AA113">
        <v>1.3247599999999999</v>
      </c>
      <c r="AB113">
        <v>2.1168</v>
      </c>
      <c r="AC113" s="2">
        <v>68991100</v>
      </c>
      <c r="AD113" s="1">
        <v>0</v>
      </c>
      <c r="AE113" s="1">
        <v>0</v>
      </c>
      <c r="AF113" s="1">
        <v>0</v>
      </c>
      <c r="AG113" s="1">
        <v>0</v>
      </c>
      <c r="AH113" s="2">
        <v>4436260</v>
      </c>
      <c r="AI113" s="1">
        <v>316662</v>
      </c>
      <c r="AJ113" s="1">
        <v>0</v>
      </c>
      <c r="AK113" s="8">
        <f t="shared" si="7"/>
        <v>8</v>
      </c>
      <c r="AL113" s="8">
        <f t="shared" si="6"/>
        <v>3</v>
      </c>
      <c r="AM113">
        <f t="shared" si="4"/>
        <v>0</v>
      </c>
      <c r="AN113">
        <f t="shared" si="5"/>
        <v>0</v>
      </c>
    </row>
    <row r="114" spans="1:40" x14ac:dyDescent="0.35">
      <c r="A114">
        <v>72.290000000000006</v>
      </c>
      <c r="B114">
        <v>72.290000000000006</v>
      </c>
      <c r="C114">
        <v>7.1820000000000004</v>
      </c>
      <c r="D114">
        <v>0.04</v>
      </c>
      <c r="E114">
        <v>1</v>
      </c>
      <c r="F114">
        <v>2.3656299999999999</v>
      </c>
      <c r="G114">
        <v>2.4339900000000001</v>
      </c>
      <c r="H114">
        <v>0</v>
      </c>
      <c r="I114">
        <v>0.50933200000000001</v>
      </c>
      <c r="J114">
        <v>3.6288</v>
      </c>
      <c r="K114" s="2">
        <v>6245280</v>
      </c>
      <c r="L114" s="1">
        <v>0</v>
      </c>
      <c r="M114" s="1">
        <v>0</v>
      </c>
      <c r="N114" s="1">
        <v>0</v>
      </c>
      <c r="O114" s="1">
        <v>0</v>
      </c>
      <c r="P114" s="2">
        <v>3536560</v>
      </c>
      <c r="Q114" s="1">
        <v>157876</v>
      </c>
      <c r="R114" s="1">
        <v>92342.2</v>
      </c>
      <c r="S114">
        <v>99.302199999999999</v>
      </c>
      <c r="T114">
        <v>98.274000000000001</v>
      </c>
      <c r="U114">
        <v>9.6394199999999994</v>
      </c>
      <c r="V114">
        <v>0</v>
      </c>
      <c r="W114">
        <v>1</v>
      </c>
      <c r="X114">
        <v>1.4822299999999999</v>
      </c>
      <c r="Y114">
        <v>1.41387</v>
      </c>
      <c r="Z114">
        <v>0</v>
      </c>
      <c r="AA114">
        <v>1.3247599999999999</v>
      </c>
      <c r="AB114">
        <v>2.1168</v>
      </c>
      <c r="AC114" s="2">
        <v>69287200</v>
      </c>
      <c r="AD114" s="1">
        <v>0</v>
      </c>
      <c r="AE114" s="1">
        <v>0</v>
      </c>
      <c r="AF114" s="1">
        <v>0</v>
      </c>
      <c r="AG114" s="1">
        <v>0</v>
      </c>
      <c r="AH114" s="2">
        <v>3834870</v>
      </c>
      <c r="AI114" s="1">
        <v>296080</v>
      </c>
      <c r="AJ114" s="1">
        <v>0</v>
      </c>
      <c r="AK114" s="8">
        <f t="shared" si="7"/>
        <v>9</v>
      </c>
      <c r="AL114" s="8">
        <f t="shared" si="6"/>
        <v>3</v>
      </c>
      <c r="AM114">
        <f t="shared" si="4"/>
        <v>0</v>
      </c>
      <c r="AN114">
        <f t="shared" si="5"/>
        <v>0</v>
      </c>
    </row>
    <row r="115" spans="1:40" x14ac:dyDescent="0.35">
      <c r="A115">
        <v>72.290000000000006</v>
      </c>
      <c r="B115">
        <v>72.290000000000006</v>
      </c>
      <c r="C115">
        <v>5.6158099999999997</v>
      </c>
      <c r="D115">
        <v>0.05</v>
      </c>
      <c r="E115">
        <v>1</v>
      </c>
      <c r="F115">
        <v>2.1341600000000001</v>
      </c>
      <c r="G115">
        <v>2.4345599999999998</v>
      </c>
      <c r="H115">
        <v>0</v>
      </c>
      <c r="I115">
        <v>0.44331999999999999</v>
      </c>
      <c r="J115">
        <v>3.6288</v>
      </c>
      <c r="K115" s="2">
        <v>6089710</v>
      </c>
      <c r="L115" s="1">
        <v>0</v>
      </c>
      <c r="M115" s="1">
        <v>0</v>
      </c>
      <c r="N115" s="1">
        <v>0</v>
      </c>
      <c r="O115" s="1">
        <v>0</v>
      </c>
      <c r="P115" s="2">
        <v>3190510</v>
      </c>
      <c r="Q115" s="1">
        <v>-155566</v>
      </c>
      <c r="R115" s="1">
        <v>405844</v>
      </c>
      <c r="S115">
        <v>99.302199999999999</v>
      </c>
      <c r="T115">
        <v>98.274000000000001</v>
      </c>
      <c r="U115">
        <v>7.9489099999999997</v>
      </c>
      <c r="V115">
        <v>0</v>
      </c>
      <c r="W115">
        <v>1</v>
      </c>
      <c r="X115">
        <v>1.71462</v>
      </c>
      <c r="Y115">
        <v>1.41421</v>
      </c>
      <c r="Z115">
        <v>0</v>
      </c>
      <c r="AA115">
        <v>1.14517</v>
      </c>
      <c r="AB115">
        <v>2.1168</v>
      </c>
      <c r="AC115" s="2">
        <v>70183700</v>
      </c>
      <c r="AD115" s="1">
        <v>0</v>
      </c>
      <c r="AE115" s="1">
        <v>0</v>
      </c>
      <c r="AF115" s="1">
        <v>0</v>
      </c>
      <c r="AG115" s="1">
        <v>0</v>
      </c>
      <c r="AH115" s="2">
        <v>4436120</v>
      </c>
      <c r="AI115" s="1">
        <v>896487</v>
      </c>
      <c r="AJ115" s="1">
        <v>0</v>
      </c>
      <c r="AK115" s="8">
        <f t="shared" si="7"/>
        <v>10</v>
      </c>
      <c r="AL115" s="8">
        <f t="shared" si="6"/>
        <v>3</v>
      </c>
      <c r="AM115">
        <f t="shared" si="4"/>
        <v>0</v>
      </c>
      <c r="AN115">
        <f t="shared" si="5"/>
        <v>0</v>
      </c>
    </row>
    <row r="116" spans="1:40" x14ac:dyDescent="0.35">
      <c r="A116">
        <v>72.290000000000006</v>
      </c>
      <c r="B116">
        <v>72.290000000000006</v>
      </c>
      <c r="C116">
        <v>5.60318</v>
      </c>
      <c r="D116">
        <v>0.05</v>
      </c>
      <c r="E116">
        <v>1</v>
      </c>
      <c r="F116">
        <v>2.1350699999999998</v>
      </c>
      <c r="G116">
        <v>2.4351400000000001</v>
      </c>
      <c r="H116">
        <v>0</v>
      </c>
      <c r="I116">
        <v>0.39994099999999999</v>
      </c>
      <c r="J116">
        <v>3.6288</v>
      </c>
      <c r="K116" s="2">
        <v>5934660</v>
      </c>
      <c r="L116" s="1">
        <v>0</v>
      </c>
      <c r="M116" s="1">
        <v>0</v>
      </c>
      <c r="N116" s="1">
        <v>0</v>
      </c>
      <c r="O116" s="1">
        <v>0</v>
      </c>
      <c r="P116" s="2">
        <v>3191880</v>
      </c>
      <c r="Q116" s="1">
        <v>-155052</v>
      </c>
      <c r="R116" s="1">
        <v>405390</v>
      </c>
      <c r="S116">
        <v>99.302199999999999</v>
      </c>
      <c r="T116">
        <v>98.274000000000001</v>
      </c>
      <c r="U116">
        <v>6.9524400000000002</v>
      </c>
      <c r="V116">
        <v>0</v>
      </c>
      <c r="W116">
        <v>1</v>
      </c>
      <c r="X116">
        <v>1.71462</v>
      </c>
      <c r="Y116">
        <v>1.41455</v>
      </c>
      <c r="Z116">
        <v>0</v>
      </c>
      <c r="AA116">
        <v>1.3247100000000001</v>
      </c>
      <c r="AB116">
        <v>2.1168</v>
      </c>
      <c r="AC116" s="2">
        <v>71079300</v>
      </c>
      <c r="AD116" s="1">
        <v>0</v>
      </c>
      <c r="AE116" s="1">
        <v>0</v>
      </c>
      <c r="AF116" s="1">
        <v>0</v>
      </c>
      <c r="AG116" s="1">
        <v>0</v>
      </c>
      <c r="AH116" s="2">
        <v>4436120</v>
      </c>
      <c r="AI116" s="1">
        <v>895645</v>
      </c>
      <c r="AJ116" s="1">
        <v>0</v>
      </c>
      <c r="AK116" s="8">
        <f t="shared" si="7"/>
        <v>11</v>
      </c>
      <c r="AL116" s="8">
        <f t="shared" si="6"/>
        <v>3</v>
      </c>
      <c r="AM116">
        <f t="shared" si="4"/>
        <v>0</v>
      </c>
      <c r="AN116">
        <f t="shared" si="5"/>
        <v>0</v>
      </c>
    </row>
    <row r="117" spans="1:40" x14ac:dyDescent="0.35">
      <c r="A117">
        <v>72.290000000000006</v>
      </c>
      <c r="B117">
        <v>72.290000000000006</v>
      </c>
      <c r="C117">
        <v>6.0346000000000002</v>
      </c>
      <c r="D117">
        <v>0.05</v>
      </c>
      <c r="E117">
        <v>1</v>
      </c>
      <c r="F117">
        <v>2.1359900000000001</v>
      </c>
      <c r="G117">
        <v>2.4357199999999999</v>
      </c>
      <c r="H117">
        <v>0</v>
      </c>
      <c r="I117">
        <v>0.400113</v>
      </c>
      <c r="J117">
        <v>3.6288</v>
      </c>
      <c r="K117" s="2">
        <v>5780120</v>
      </c>
      <c r="L117" s="1">
        <v>0</v>
      </c>
      <c r="M117" s="1">
        <v>0</v>
      </c>
      <c r="N117" s="1">
        <v>0</v>
      </c>
      <c r="O117" s="1">
        <v>0</v>
      </c>
      <c r="P117" s="2">
        <v>3193250</v>
      </c>
      <c r="Q117" s="1">
        <v>-154538</v>
      </c>
      <c r="R117" s="1">
        <v>404935</v>
      </c>
      <c r="S117">
        <v>99.302199999999999</v>
      </c>
      <c r="T117">
        <v>98.274000000000001</v>
      </c>
      <c r="U117">
        <v>8.1857500000000005</v>
      </c>
      <c r="V117">
        <v>0</v>
      </c>
      <c r="W117">
        <v>1</v>
      </c>
      <c r="X117">
        <v>1.71462</v>
      </c>
      <c r="Y117">
        <v>1.4148799999999999</v>
      </c>
      <c r="Z117">
        <v>0</v>
      </c>
      <c r="AA117">
        <v>1.3247100000000001</v>
      </c>
      <c r="AB117">
        <v>2.1168</v>
      </c>
      <c r="AC117" s="2">
        <v>71974100</v>
      </c>
      <c r="AD117" s="1">
        <v>0</v>
      </c>
      <c r="AE117" s="1">
        <v>0</v>
      </c>
      <c r="AF117" s="1">
        <v>0</v>
      </c>
      <c r="AG117" s="1">
        <v>0</v>
      </c>
      <c r="AH117" s="2">
        <v>4436120</v>
      </c>
      <c r="AI117" s="1">
        <v>894803</v>
      </c>
      <c r="AJ117" s="1">
        <v>0</v>
      </c>
      <c r="AK117" s="8">
        <f t="shared" si="7"/>
        <v>12</v>
      </c>
      <c r="AL117" s="8">
        <f t="shared" si="6"/>
        <v>3</v>
      </c>
      <c r="AM117">
        <f t="shared" si="4"/>
        <v>0</v>
      </c>
      <c r="AN117">
        <f t="shared" si="5"/>
        <v>0</v>
      </c>
    </row>
    <row r="118" spans="1:40" x14ac:dyDescent="0.35">
      <c r="A118">
        <v>72.290000000000006</v>
      </c>
      <c r="B118">
        <v>72.290000000000006</v>
      </c>
      <c r="C118">
        <v>7.23489</v>
      </c>
      <c r="D118">
        <v>0.05</v>
      </c>
      <c r="E118">
        <v>1</v>
      </c>
      <c r="F118">
        <v>2.1369099999999999</v>
      </c>
      <c r="G118">
        <v>2.4363000000000001</v>
      </c>
      <c r="H118">
        <v>0</v>
      </c>
      <c r="I118">
        <v>0.400285</v>
      </c>
      <c r="J118">
        <v>3.6288</v>
      </c>
      <c r="K118" s="2">
        <v>5626100</v>
      </c>
      <c r="L118" s="1">
        <v>0</v>
      </c>
      <c r="M118" s="1">
        <v>0</v>
      </c>
      <c r="N118" s="1">
        <v>0</v>
      </c>
      <c r="O118" s="1">
        <v>0</v>
      </c>
      <c r="P118" s="2">
        <v>3194620</v>
      </c>
      <c r="Q118" s="1">
        <v>-154024</v>
      </c>
      <c r="R118" s="1">
        <v>404481</v>
      </c>
      <c r="S118">
        <v>99.302199999999999</v>
      </c>
      <c r="T118">
        <v>98.274000000000001</v>
      </c>
      <c r="U118">
        <v>10.9138</v>
      </c>
      <c r="V118">
        <v>0</v>
      </c>
      <c r="W118">
        <v>1</v>
      </c>
      <c r="X118">
        <v>1.71462</v>
      </c>
      <c r="Y118">
        <v>1.4152199999999999</v>
      </c>
      <c r="Z118">
        <v>0</v>
      </c>
      <c r="AA118">
        <v>1.3247100000000001</v>
      </c>
      <c r="AB118">
        <v>2.1168</v>
      </c>
      <c r="AC118" s="2">
        <v>72868100</v>
      </c>
      <c r="AD118" s="1">
        <v>0</v>
      </c>
      <c r="AE118" s="1">
        <v>0</v>
      </c>
      <c r="AF118" s="1">
        <v>0</v>
      </c>
      <c r="AG118" s="1">
        <v>0</v>
      </c>
      <c r="AH118" s="2">
        <v>4436120</v>
      </c>
      <c r="AI118" s="1">
        <v>893961</v>
      </c>
      <c r="AJ118" s="1">
        <v>0</v>
      </c>
      <c r="AK118" s="8">
        <f t="shared" si="7"/>
        <v>13</v>
      </c>
      <c r="AL118" s="8">
        <f t="shared" si="6"/>
        <v>3</v>
      </c>
      <c r="AM118">
        <f t="shared" si="4"/>
        <v>0</v>
      </c>
      <c r="AN118">
        <f t="shared" si="5"/>
        <v>0</v>
      </c>
    </row>
    <row r="119" spans="1:40" x14ac:dyDescent="0.35">
      <c r="A119">
        <v>72.290000000000006</v>
      </c>
      <c r="B119">
        <v>72.290000000000006</v>
      </c>
      <c r="C119">
        <v>5.99071</v>
      </c>
      <c r="D119">
        <v>0.05</v>
      </c>
      <c r="E119">
        <v>1</v>
      </c>
      <c r="F119">
        <v>2.2268599999999998</v>
      </c>
      <c r="G119">
        <v>2.5259200000000002</v>
      </c>
      <c r="H119">
        <v>0</v>
      </c>
      <c r="I119">
        <v>0.40045599999999998</v>
      </c>
      <c r="J119">
        <v>3.6288</v>
      </c>
      <c r="K119" s="2">
        <v>5481740</v>
      </c>
      <c r="L119" s="1">
        <v>0</v>
      </c>
      <c r="M119" s="1">
        <v>0</v>
      </c>
      <c r="N119" s="1">
        <v>0</v>
      </c>
      <c r="O119" s="1">
        <v>0</v>
      </c>
      <c r="P119" s="2">
        <v>3329100</v>
      </c>
      <c r="Q119" s="1">
        <v>-144356</v>
      </c>
      <c r="R119" s="1">
        <v>404026</v>
      </c>
      <c r="S119">
        <v>99.302199999999999</v>
      </c>
      <c r="T119">
        <v>98.274000000000001</v>
      </c>
      <c r="U119">
        <v>9.6448800000000006</v>
      </c>
      <c r="V119">
        <v>0</v>
      </c>
      <c r="W119">
        <v>1</v>
      </c>
      <c r="X119">
        <v>1.77155</v>
      </c>
      <c r="Y119">
        <v>1.4724900000000001</v>
      </c>
      <c r="Z119">
        <v>0</v>
      </c>
      <c r="AA119">
        <v>1.3247100000000001</v>
      </c>
      <c r="AB119">
        <v>2.1168</v>
      </c>
      <c r="AC119" s="2">
        <v>73766000</v>
      </c>
      <c r="AD119" s="1">
        <v>0</v>
      </c>
      <c r="AE119" s="1">
        <v>0</v>
      </c>
      <c r="AF119" s="1">
        <v>0</v>
      </c>
      <c r="AG119" s="1">
        <v>0</v>
      </c>
      <c r="AH119" s="2">
        <v>4583420</v>
      </c>
      <c r="AI119" s="1">
        <v>897920</v>
      </c>
      <c r="AJ119" s="1">
        <v>0</v>
      </c>
      <c r="AK119" s="8">
        <f t="shared" si="7"/>
        <v>14</v>
      </c>
      <c r="AL119" s="8">
        <f t="shared" si="6"/>
        <v>3</v>
      </c>
      <c r="AM119">
        <f t="shared" si="4"/>
        <v>0</v>
      </c>
      <c r="AN119">
        <f t="shared" si="5"/>
        <v>0</v>
      </c>
    </row>
    <row r="120" spans="1:40" x14ac:dyDescent="0.35">
      <c r="A120">
        <v>72.290000000000006</v>
      </c>
      <c r="B120">
        <v>72.290000000000006</v>
      </c>
      <c r="C120">
        <v>6.0488600000000003</v>
      </c>
      <c r="D120">
        <v>0.05</v>
      </c>
      <c r="E120">
        <v>1</v>
      </c>
      <c r="F120">
        <v>2.2847300000000001</v>
      </c>
      <c r="G120">
        <v>2.5265200000000001</v>
      </c>
      <c r="H120">
        <v>0</v>
      </c>
      <c r="I120">
        <v>0.41731400000000002</v>
      </c>
      <c r="J120">
        <v>3.6288</v>
      </c>
      <c r="K120" s="2">
        <v>5414820</v>
      </c>
      <c r="L120" s="1">
        <v>0</v>
      </c>
      <c r="M120" s="1">
        <v>0</v>
      </c>
      <c r="N120" s="1">
        <v>0</v>
      </c>
      <c r="O120" s="1">
        <v>0</v>
      </c>
      <c r="P120" s="2">
        <v>3415610</v>
      </c>
      <c r="Q120" s="1">
        <v>-66924.600000000006</v>
      </c>
      <c r="R120" s="1">
        <v>326656</v>
      </c>
      <c r="S120">
        <v>99.302199999999999</v>
      </c>
      <c r="T120">
        <v>98.274000000000001</v>
      </c>
      <c r="U120">
        <v>19.7699</v>
      </c>
      <c r="V120">
        <v>0</v>
      </c>
      <c r="W120">
        <v>1</v>
      </c>
      <c r="X120">
        <v>1.7146300000000001</v>
      </c>
      <c r="Y120">
        <v>1.4728399999999999</v>
      </c>
      <c r="Z120">
        <v>0</v>
      </c>
      <c r="AA120">
        <v>1.3687</v>
      </c>
      <c r="AB120">
        <v>2.1168</v>
      </c>
      <c r="AC120" s="2">
        <v>74515800</v>
      </c>
      <c r="AD120" s="1">
        <v>0</v>
      </c>
      <c r="AE120" s="1">
        <v>0</v>
      </c>
      <c r="AF120" s="1">
        <v>0</v>
      </c>
      <c r="AG120" s="1">
        <v>0</v>
      </c>
      <c r="AH120" s="2">
        <v>4436160</v>
      </c>
      <c r="AI120" s="1">
        <v>749780</v>
      </c>
      <c r="AJ120" s="1">
        <v>0</v>
      </c>
      <c r="AK120" s="8">
        <f t="shared" si="7"/>
        <v>15</v>
      </c>
      <c r="AL120" s="8">
        <f t="shared" si="6"/>
        <v>3</v>
      </c>
      <c r="AM120">
        <f t="shared" si="4"/>
        <v>0</v>
      </c>
      <c r="AN120">
        <f t="shared" si="5"/>
        <v>0</v>
      </c>
    </row>
    <row r="121" spans="1:40" x14ac:dyDescent="0.35">
      <c r="A121">
        <v>72.290000000000006</v>
      </c>
      <c r="B121">
        <v>72.290000000000006</v>
      </c>
      <c r="C121">
        <v>4.8774300000000004</v>
      </c>
      <c r="D121">
        <v>0.05</v>
      </c>
      <c r="E121">
        <v>1</v>
      </c>
      <c r="F121">
        <v>2.2856800000000002</v>
      </c>
      <c r="G121">
        <v>2.52712</v>
      </c>
      <c r="H121">
        <v>0</v>
      </c>
      <c r="I121">
        <v>0.42815900000000001</v>
      </c>
      <c r="J121">
        <v>3.6288</v>
      </c>
      <c r="K121" s="2">
        <v>5348430</v>
      </c>
      <c r="L121" s="1">
        <v>0</v>
      </c>
      <c r="M121" s="1">
        <v>0</v>
      </c>
      <c r="N121" s="1">
        <v>0</v>
      </c>
      <c r="O121" s="1">
        <v>0</v>
      </c>
      <c r="P121" s="2">
        <v>3417040</v>
      </c>
      <c r="Q121" s="1">
        <v>-66389.5</v>
      </c>
      <c r="R121" s="1">
        <v>326183</v>
      </c>
      <c r="S121">
        <v>99.302199999999999</v>
      </c>
      <c r="T121">
        <v>98.274000000000001</v>
      </c>
      <c r="U121">
        <v>9.3227499999999992</v>
      </c>
      <c r="V121">
        <v>0</v>
      </c>
      <c r="W121">
        <v>1</v>
      </c>
      <c r="X121">
        <v>1.7146300000000001</v>
      </c>
      <c r="Y121">
        <v>1.47319</v>
      </c>
      <c r="Z121">
        <v>0</v>
      </c>
      <c r="AA121">
        <v>1.3247199999999999</v>
      </c>
      <c r="AB121">
        <v>2.1168</v>
      </c>
      <c r="AC121" s="2">
        <v>75264700</v>
      </c>
      <c r="AD121" s="1">
        <v>0</v>
      </c>
      <c r="AE121" s="1">
        <v>0</v>
      </c>
      <c r="AF121" s="1">
        <v>0</v>
      </c>
      <c r="AG121" s="1">
        <v>0</v>
      </c>
      <c r="AH121" s="2">
        <v>4436160</v>
      </c>
      <c r="AI121" s="1">
        <v>748903</v>
      </c>
      <c r="AJ121" s="1">
        <v>0</v>
      </c>
      <c r="AK121" s="8">
        <f t="shared" si="7"/>
        <v>16</v>
      </c>
      <c r="AL121" s="8">
        <f t="shared" si="6"/>
        <v>3</v>
      </c>
      <c r="AM121">
        <f t="shared" si="4"/>
        <v>0</v>
      </c>
      <c r="AN121">
        <f t="shared" si="5"/>
        <v>0</v>
      </c>
    </row>
    <row r="122" spans="1:40" x14ac:dyDescent="0.35">
      <c r="A122">
        <v>72.290000000000006</v>
      </c>
      <c r="B122">
        <v>72.290000000000006</v>
      </c>
      <c r="C122">
        <v>5.59863</v>
      </c>
      <c r="D122">
        <v>0.05</v>
      </c>
      <c r="E122">
        <v>1</v>
      </c>
      <c r="F122">
        <v>2.2866300000000002</v>
      </c>
      <c r="G122">
        <v>2.52772</v>
      </c>
      <c r="H122">
        <v>0</v>
      </c>
      <c r="I122">
        <v>0.42833700000000002</v>
      </c>
      <c r="J122">
        <v>3.6288</v>
      </c>
      <c r="K122" s="2">
        <v>5282570</v>
      </c>
      <c r="L122" s="1">
        <v>0</v>
      </c>
      <c r="M122" s="1">
        <v>0</v>
      </c>
      <c r="N122" s="1">
        <v>0</v>
      </c>
      <c r="O122" s="1">
        <v>0</v>
      </c>
      <c r="P122" s="2">
        <v>3418460</v>
      </c>
      <c r="Q122" s="1">
        <v>-65854.399999999994</v>
      </c>
      <c r="R122" s="1">
        <v>325709</v>
      </c>
      <c r="S122">
        <v>99.302199999999999</v>
      </c>
      <c r="T122">
        <v>98.274000000000001</v>
      </c>
      <c r="U122">
        <v>11.2637</v>
      </c>
      <c r="V122">
        <v>0</v>
      </c>
      <c r="W122">
        <v>1</v>
      </c>
      <c r="X122">
        <v>1.7146300000000001</v>
      </c>
      <c r="Y122">
        <v>1.4735400000000001</v>
      </c>
      <c r="Z122">
        <v>0</v>
      </c>
      <c r="AA122">
        <v>1.3247199999999999</v>
      </c>
      <c r="AB122">
        <v>2.1168</v>
      </c>
      <c r="AC122" s="2">
        <v>76012700</v>
      </c>
      <c r="AD122" s="1">
        <v>0</v>
      </c>
      <c r="AE122" s="1">
        <v>0</v>
      </c>
      <c r="AF122" s="1">
        <v>0</v>
      </c>
      <c r="AG122" s="1">
        <v>0</v>
      </c>
      <c r="AH122" s="2">
        <v>4436160</v>
      </c>
      <c r="AI122" s="1">
        <v>748026</v>
      </c>
      <c r="AJ122" s="1">
        <v>0</v>
      </c>
      <c r="AK122" s="8">
        <f t="shared" si="7"/>
        <v>17</v>
      </c>
      <c r="AL122" s="8">
        <f t="shared" si="6"/>
        <v>3</v>
      </c>
      <c r="AM122">
        <f t="shared" si="4"/>
        <v>0</v>
      </c>
      <c r="AN122">
        <f t="shared" si="5"/>
        <v>0</v>
      </c>
    </row>
    <row r="123" spans="1:40" x14ac:dyDescent="0.35">
      <c r="A123">
        <v>72.290000000000006</v>
      </c>
      <c r="B123">
        <v>72.290000000000006</v>
      </c>
      <c r="C123">
        <v>4.1139900000000003</v>
      </c>
      <c r="D123">
        <v>0.05</v>
      </c>
      <c r="E123">
        <v>1</v>
      </c>
      <c r="F123">
        <v>2.2527400000000002</v>
      </c>
      <c r="G123">
        <v>2.4934799999999999</v>
      </c>
      <c r="H123">
        <v>0</v>
      </c>
      <c r="I123">
        <v>0.42851499999999998</v>
      </c>
      <c r="J123">
        <v>3.6288</v>
      </c>
      <c r="K123" s="2">
        <v>5213670</v>
      </c>
      <c r="L123" s="1">
        <v>0</v>
      </c>
      <c r="M123" s="1">
        <v>0</v>
      </c>
      <c r="N123" s="1">
        <v>0</v>
      </c>
      <c r="O123" s="1">
        <v>0</v>
      </c>
      <c r="P123" s="2">
        <v>3367790</v>
      </c>
      <c r="Q123" s="1">
        <v>-68901.399999999994</v>
      </c>
      <c r="R123" s="1">
        <v>325236</v>
      </c>
      <c r="S123">
        <v>99.302199999999999</v>
      </c>
      <c r="T123">
        <v>98.274000000000001</v>
      </c>
      <c r="U123">
        <v>7.1934100000000001</v>
      </c>
      <c r="V123">
        <v>0</v>
      </c>
      <c r="W123">
        <v>1</v>
      </c>
      <c r="X123">
        <v>1.6924999999999999</v>
      </c>
      <c r="Y123">
        <v>1.4517599999999999</v>
      </c>
      <c r="Z123">
        <v>0</v>
      </c>
      <c r="AA123">
        <v>1.3247199999999999</v>
      </c>
      <c r="AB123">
        <v>2.1168</v>
      </c>
      <c r="AC123" s="2">
        <v>76758000</v>
      </c>
      <c r="AD123" s="1">
        <v>0</v>
      </c>
      <c r="AE123" s="1">
        <v>0</v>
      </c>
      <c r="AF123" s="1">
        <v>0</v>
      </c>
      <c r="AG123" s="1">
        <v>0</v>
      </c>
      <c r="AH123" s="2">
        <v>4378890</v>
      </c>
      <c r="AI123" s="1">
        <v>745283</v>
      </c>
      <c r="AJ123" s="1">
        <v>0</v>
      </c>
      <c r="AK123" s="8">
        <f t="shared" si="7"/>
        <v>18</v>
      </c>
      <c r="AL123" s="8">
        <f t="shared" si="6"/>
        <v>3</v>
      </c>
      <c r="AM123">
        <f t="shared" si="4"/>
        <v>0</v>
      </c>
      <c r="AN123">
        <f t="shared" si="5"/>
        <v>0</v>
      </c>
    </row>
    <row r="124" spans="1:40" x14ac:dyDescent="0.35">
      <c r="A124">
        <v>72.290000000000006</v>
      </c>
      <c r="B124">
        <v>72.290000000000006</v>
      </c>
      <c r="C124">
        <v>3.6130399999999998</v>
      </c>
      <c r="D124">
        <v>0.05</v>
      </c>
      <c r="E124">
        <v>1</v>
      </c>
      <c r="F124">
        <v>2.2315499999999999</v>
      </c>
      <c r="G124">
        <v>2.4940699999999998</v>
      </c>
      <c r="H124">
        <v>0</v>
      </c>
      <c r="I124">
        <v>0.42216300000000001</v>
      </c>
      <c r="J124">
        <v>3.6288</v>
      </c>
      <c r="K124" s="2">
        <v>5115410</v>
      </c>
      <c r="L124" s="1">
        <v>0</v>
      </c>
      <c r="M124" s="1">
        <v>0</v>
      </c>
      <c r="N124" s="1">
        <v>0</v>
      </c>
      <c r="O124" s="1">
        <v>0</v>
      </c>
      <c r="P124" s="2">
        <v>3336110</v>
      </c>
      <c r="Q124" s="1">
        <v>-98268.3</v>
      </c>
      <c r="R124" s="1">
        <v>354664</v>
      </c>
      <c r="S124">
        <v>99.302199999999999</v>
      </c>
      <c r="T124">
        <v>98.274000000000001</v>
      </c>
      <c r="U124">
        <v>5.9362700000000004</v>
      </c>
      <c r="V124">
        <v>0</v>
      </c>
      <c r="W124">
        <v>1</v>
      </c>
      <c r="X124">
        <v>1.7146300000000001</v>
      </c>
      <c r="Y124">
        <v>1.4520999999999999</v>
      </c>
      <c r="Z124">
        <v>0</v>
      </c>
      <c r="AA124">
        <v>1.30762</v>
      </c>
      <c r="AB124">
        <v>2.1168</v>
      </c>
      <c r="AC124" s="2">
        <v>77559700</v>
      </c>
      <c r="AD124" s="1">
        <v>0</v>
      </c>
      <c r="AE124" s="1">
        <v>0</v>
      </c>
      <c r="AF124" s="1">
        <v>0</v>
      </c>
      <c r="AG124" s="1">
        <v>0</v>
      </c>
      <c r="AH124" s="2">
        <v>4436140</v>
      </c>
      <c r="AI124" s="1">
        <v>801668</v>
      </c>
      <c r="AJ124" s="1">
        <v>0</v>
      </c>
      <c r="AK124" s="8">
        <f t="shared" si="7"/>
        <v>19</v>
      </c>
      <c r="AL124" s="8">
        <f t="shared" si="6"/>
        <v>3</v>
      </c>
      <c r="AM124">
        <f t="shared" si="4"/>
        <v>0</v>
      </c>
      <c r="AN124">
        <f t="shared" si="5"/>
        <v>0</v>
      </c>
    </row>
    <row r="125" spans="1:40" x14ac:dyDescent="0.35">
      <c r="A125">
        <v>72.290000000000006</v>
      </c>
      <c r="B125">
        <v>72.290000000000006</v>
      </c>
      <c r="C125">
        <v>3.3858199999999998</v>
      </c>
      <c r="D125">
        <v>0.05</v>
      </c>
      <c r="E125">
        <v>1</v>
      </c>
      <c r="F125">
        <v>2.2324899999999999</v>
      </c>
      <c r="G125">
        <v>2.4946600000000001</v>
      </c>
      <c r="H125">
        <v>0</v>
      </c>
      <c r="I125">
        <v>0.41819200000000001</v>
      </c>
      <c r="J125">
        <v>3.6288</v>
      </c>
      <c r="K125" s="2">
        <v>5017660</v>
      </c>
      <c r="L125" s="1">
        <v>0</v>
      </c>
      <c r="M125" s="1">
        <v>0</v>
      </c>
      <c r="N125" s="1">
        <v>0</v>
      </c>
      <c r="O125" s="1">
        <v>0</v>
      </c>
      <c r="P125" s="2">
        <v>3337510</v>
      </c>
      <c r="Q125" s="1">
        <v>-97740.7</v>
      </c>
      <c r="R125" s="1">
        <v>354197</v>
      </c>
      <c r="S125">
        <v>99.302199999999999</v>
      </c>
      <c r="T125">
        <v>98.274000000000001</v>
      </c>
      <c r="U125">
        <v>5.2801200000000001</v>
      </c>
      <c r="V125">
        <v>0</v>
      </c>
      <c r="W125">
        <v>1</v>
      </c>
      <c r="X125">
        <v>1.7146300000000001</v>
      </c>
      <c r="Y125">
        <v>1.45245</v>
      </c>
      <c r="Z125">
        <v>0</v>
      </c>
      <c r="AA125">
        <v>1.3247199999999999</v>
      </c>
      <c r="AB125">
        <v>2.1168</v>
      </c>
      <c r="AC125" s="2">
        <v>78360500</v>
      </c>
      <c r="AD125" s="1">
        <v>0</v>
      </c>
      <c r="AE125" s="1">
        <v>0</v>
      </c>
      <c r="AF125" s="1">
        <v>0</v>
      </c>
      <c r="AG125" s="1">
        <v>0</v>
      </c>
      <c r="AH125" s="2">
        <v>4436140</v>
      </c>
      <c r="AI125" s="1">
        <v>800804</v>
      </c>
      <c r="AJ125" s="1">
        <v>0</v>
      </c>
      <c r="AK125" s="8">
        <f t="shared" si="7"/>
        <v>20</v>
      </c>
      <c r="AL125" s="8">
        <f t="shared" si="6"/>
        <v>3</v>
      </c>
      <c r="AM125">
        <f t="shared" si="4"/>
        <v>0</v>
      </c>
      <c r="AN125">
        <f t="shared" si="5"/>
        <v>0</v>
      </c>
    </row>
    <row r="126" spans="1:40" x14ac:dyDescent="0.35">
      <c r="A126">
        <v>72.290000000000006</v>
      </c>
      <c r="B126">
        <v>72.290000000000006</v>
      </c>
      <c r="C126">
        <v>3.0820699999999999</v>
      </c>
      <c r="D126">
        <v>0.05</v>
      </c>
      <c r="E126">
        <v>1</v>
      </c>
      <c r="F126">
        <v>2.2334299999999998</v>
      </c>
      <c r="G126">
        <v>2.49526</v>
      </c>
      <c r="H126">
        <v>0</v>
      </c>
      <c r="I126">
        <v>0.41836800000000002</v>
      </c>
      <c r="J126">
        <v>3.6288</v>
      </c>
      <c r="K126" s="2">
        <v>4920450</v>
      </c>
      <c r="L126" s="1">
        <v>0</v>
      </c>
      <c r="M126" s="1">
        <v>0</v>
      </c>
      <c r="N126" s="1">
        <v>0</v>
      </c>
      <c r="O126" s="1">
        <v>0</v>
      </c>
      <c r="P126" s="2">
        <v>3338920</v>
      </c>
      <c r="Q126" s="1">
        <v>-97213.2</v>
      </c>
      <c r="R126" s="1">
        <v>353731</v>
      </c>
      <c r="S126">
        <v>99.302199999999999</v>
      </c>
      <c r="T126">
        <v>98.274000000000001</v>
      </c>
      <c r="U126">
        <v>4.9374500000000001</v>
      </c>
      <c r="V126">
        <v>0</v>
      </c>
      <c r="W126">
        <v>1</v>
      </c>
      <c r="X126">
        <v>1.7146300000000001</v>
      </c>
      <c r="Y126">
        <v>1.45279</v>
      </c>
      <c r="Z126">
        <v>0</v>
      </c>
      <c r="AA126">
        <v>1.3247199999999999</v>
      </c>
      <c r="AB126">
        <v>2.1168</v>
      </c>
      <c r="AC126" s="2">
        <v>79160400</v>
      </c>
      <c r="AD126" s="1">
        <v>0</v>
      </c>
      <c r="AE126" s="1">
        <v>0</v>
      </c>
      <c r="AF126" s="1">
        <v>0</v>
      </c>
      <c r="AG126" s="1">
        <v>0</v>
      </c>
      <c r="AH126" s="2">
        <v>4436140</v>
      </c>
      <c r="AI126" s="1">
        <v>799939</v>
      </c>
      <c r="AJ126" s="1">
        <v>0</v>
      </c>
      <c r="AK126" s="8">
        <f t="shared" si="7"/>
        <v>21</v>
      </c>
      <c r="AL126" s="8">
        <f t="shared" si="6"/>
        <v>3</v>
      </c>
      <c r="AM126">
        <f t="shared" si="4"/>
        <v>0</v>
      </c>
      <c r="AN126">
        <f t="shared" si="5"/>
        <v>0</v>
      </c>
    </row>
    <row r="127" spans="1:40" x14ac:dyDescent="0.35">
      <c r="A127">
        <v>72.290000000000006</v>
      </c>
      <c r="B127">
        <v>72.290000000000006</v>
      </c>
      <c r="C127">
        <v>3.0029400000000002</v>
      </c>
      <c r="D127">
        <v>0.04</v>
      </c>
      <c r="E127">
        <v>1</v>
      </c>
      <c r="F127">
        <v>2.35276</v>
      </c>
      <c r="G127">
        <v>2.6142500000000002</v>
      </c>
      <c r="H127">
        <v>0</v>
      </c>
      <c r="I127">
        <v>0.41854400000000003</v>
      </c>
      <c r="J127">
        <v>3.6288</v>
      </c>
      <c r="K127" s="2">
        <v>4835940</v>
      </c>
      <c r="L127" s="1">
        <v>0</v>
      </c>
      <c r="M127" s="1">
        <v>0</v>
      </c>
      <c r="N127" s="1">
        <v>0</v>
      </c>
      <c r="O127" s="1">
        <v>0</v>
      </c>
      <c r="P127" s="2">
        <v>3517320</v>
      </c>
      <c r="Q127" s="1">
        <v>-84514</v>
      </c>
      <c r="R127" s="1">
        <v>353264</v>
      </c>
      <c r="S127">
        <v>99.302199999999999</v>
      </c>
      <c r="T127">
        <v>98.274000000000001</v>
      </c>
      <c r="U127">
        <v>4.9561099999999998</v>
      </c>
      <c r="V127">
        <v>0</v>
      </c>
      <c r="W127">
        <v>1</v>
      </c>
      <c r="X127">
        <v>1.7931900000000001</v>
      </c>
      <c r="Y127">
        <v>1.5317000000000001</v>
      </c>
      <c r="Z127">
        <v>0</v>
      </c>
      <c r="AA127">
        <v>1.3247199999999999</v>
      </c>
      <c r="AB127">
        <v>2.1168</v>
      </c>
      <c r="AC127" s="2">
        <v>79966100</v>
      </c>
      <c r="AD127" s="1">
        <v>0</v>
      </c>
      <c r="AE127" s="1">
        <v>0</v>
      </c>
      <c r="AF127" s="1">
        <v>0</v>
      </c>
      <c r="AG127" s="1">
        <v>0</v>
      </c>
      <c r="AH127" s="2">
        <v>4639410</v>
      </c>
      <c r="AI127" s="1">
        <v>805700</v>
      </c>
      <c r="AJ127" s="1">
        <v>0</v>
      </c>
      <c r="AK127" s="8">
        <f t="shared" si="7"/>
        <v>22</v>
      </c>
      <c r="AL127" s="8">
        <f t="shared" si="6"/>
        <v>3</v>
      </c>
      <c r="AM127">
        <f t="shared" si="4"/>
        <v>0</v>
      </c>
      <c r="AN127">
        <f t="shared" si="5"/>
        <v>0</v>
      </c>
    </row>
    <row r="128" spans="1:40" x14ac:dyDescent="0.35">
      <c r="A128">
        <v>72.143199999999993</v>
      </c>
      <c r="B128">
        <v>72.290000000000006</v>
      </c>
      <c r="C128">
        <v>2.8675000000000002</v>
      </c>
      <c r="D128">
        <v>0.04</v>
      </c>
      <c r="E128">
        <v>1</v>
      </c>
      <c r="F128">
        <v>2.4322900000000001</v>
      </c>
      <c r="G128">
        <v>2.6148699999999998</v>
      </c>
      <c r="H128">
        <v>0</v>
      </c>
      <c r="I128">
        <v>0.44090800000000002</v>
      </c>
      <c r="J128">
        <v>3.6288</v>
      </c>
      <c r="K128" s="2">
        <v>4858090</v>
      </c>
      <c r="L128" s="1">
        <v>0</v>
      </c>
      <c r="M128" s="1">
        <v>0</v>
      </c>
      <c r="N128" s="1">
        <v>0</v>
      </c>
      <c r="O128" s="1">
        <v>0</v>
      </c>
      <c r="P128" s="2">
        <v>3636220</v>
      </c>
      <c r="Q128" s="1">
        <v>22156.400000000001</v>
      </c>
      <c r="R128" s="1">
        <v>246657</v>
      </c>
      <c r="S128">
        <v>99.302199999999999</v>
      </c>
      <c r="T128">
        <v>98.274000000000001</v>
      </c>
      <c r="U128">
        <v>3.8821500000000002</v>
      </c>
      <c r="V128">
        <v>0</v>
      </c>
      <c r="W128">
        <v>1</v>
      </c>
      <c r="X128">
        <v>1.7146399999999999</v>
      </c>
      <c r="Y128">
        <v>1.53207</v>
      </c>
      <c r="Z128">
        <v>0</v>
      </c>
      <c r="AA128">
        <v>1.3854200000000001</v>
      </c>
      <c r="AB128">
        <v>2.1168</v>
      </c>
      <c r="AC128" s="2">
        <v>80567700</v>
      </c>
      <c r="AD128" s="1">
        <v>0</v>
      </c>
      <c r="AE128" s="1">
        <v>0</v>
      </c>
      <c r="AF128" s="1">
        <v>0</v>
      </c>
      <c r="AG128" s="1">
        <v>0</v>
      </c>
      <c r="AH128" s="2">
        <v>4436190</v>
      </c>
      <c r="AI128" s="1">
        <v>601572</v>
      </c>
      <c r="AJ128" s="1">
        <v>0</v>
      </c>
      <c r="AK128" s="8">
        <f t="shared" si="7"/>
        <v>23</v>
      </c>
      <c r="AL128" s="8">
        <f t="shared" si="6"/>
        <v>3</v>
      </c>
      <c r="AM128">
        <f t="shared" si="4"/>
        <v>0</v>
      </c>
      <c r="AN128">
        <f t="shared" si="5"/>
        <v>0</v>
      </c>
    </row>
    <row r="129" spans="1:40" x14ac:dyDescent="0.35">
      <c r="A129">
        <v>71.846599999999995</v>
      </c>
      <c r="B129">
        <v>72.290000000000006</v>
      </c>
      <c r="C129">
        <v>2.6612900000000002</v>
      </c>
      <c r="D129">
        <v>0.06</v>
      </c>
      <c r="E129">
        <v>1</v>
      </c>
      <c r="F129">
        <v>2.4332799999999999</v>
      </c>
      <c r="G129">
        <v>2.6154899999999999</v>
      </c>
      <c r="H129">
        <v>0</v>
      </c>
      <c r="I129">
        <v>0.45581199999999999</v>
      </c>
      <c r="J129">
        <v>3.6288</v>
      </c>
      <c r="K129" s="2">
        <v>4880810</v>
      </c>
      <c r="L129" s="1">
        <v>0</v>
      </c>
      <c r="M129" s="1">
        <v>0</v>
      </c>
      <c r="N129" s="1">
        <v>0</v>
      </c>
      <c r="O129" s="1">
        <v>0</v>
      </c>
      <c r="P129" s="2">
        <v>3637690</v>
      </c>
      <c r="Q129" s="1">
        <v>22712.7</v>
      </c>
      <c r="R129" s="1">
        <v>246165</v>
      </c>
      <c r="S129">
        <v>99.302199999999999</v>
      </c>
      <c r="T129">
        <v>98.274000000000001</v>
      </c>
      <c r="U129">
        <v>3.46543</v>
      </c>
      <c r="V129">
        <v>0</v>
      </c>
      <c r="W129">
        <v>1</v>
      </c>
      <c r="X129">
        <v>1.7146399999999999</v>
      </c>
      <c r="Y129">
        <v>1.53243</v>
      </c>
      <c r="Z129">
        <v>0</v>
      </c>
      <c r="AA129">
        <v>1.32473</v>
      </c>
      <c r="AB129">
        <v>2.1168</v>
      </c>
      <c r="AC129" s="2">
        <v>81168300</v>
      </c>
      <c r="AD129" s="1">
        <v>0</v>
      </c>
      <c r="AE129" s="1">
        <v>0</v>
      </c>
      <c r="AF129" s="1">
        <v>0</v>
      </c>
      <c r="AG129" s="1">
        <v>0</v>
      </c>
      <c r="AH129" s="2">
        <v>4436190</v>
      </c>
      <c r="AI129" s="1">
        <v>600660</v>
      </c>
      <c r="AJ129" s="1">
        <v>0</v>
      </c>
      <c r="AK129" s="8">
        <f t="shared" si="7"/>
        <v>24</v>
      </c>
      <c r="AL129" s="8">
        <f t="shared" si="6"/>
        <v>3</v>
      </c>
      <c r="AM129">
        <f t="shared" si="4"/>
        <v>0</v>
      </c>
      <c r="AN129">
        <f t="shared" si="5"/>
        <v>0</v>
      </c>
    </row>
    <row r="130" spans="1:40" x14ac:dyDescent="0.35">
      <c r="A130">
        <v>71.443700000000007</v>
      </c>
      <c r="B130">
        <v>72.290000000000006</v>
      </c>
      <c r="C130">
        <v>2.5557300000000001</v>
      </c>
      <c r="D130">
        <v>0.05</v>
      </c>
      <c r="E130">
        <v>1</v>
      </c>
      <c r="F130">
        <v>2.4342700000000002</v>
      </c>
      <c r="G130">
        <v>2.6161099999999999</v>
      </c>
      <c r="H130">
        <v>0</v>
      </c>
      <c r="I130">
        <v>0.45599699999999999</v>
      </c>
      <c r="J130">
        <v>3.6288</v>
      </c>
      <c r="K130" s="2">
        <v>4904080</v>
      </c>
      <c r="L130" s="1">
        <v>0</v>
      </c>
      <c r="M130" s="1">
        <v>0</v>
      </c>
      <c r="N130" s="1">
        <v>0</v>
      </c>
      <c r="O130" s="1">
        <v>0</v>
      </c>
      <c r="P130" s="2">
        <v>3639170</v>
      </c>
      <c r="Q130" s="1">
        <v>23268.9</v>
      </c>
      <c r="R130" s="1">
        <v>245673</v>
      </c>
      <c r="S130">
        <v>99.302199999999999</v>
      </c>
      <c r="T130">
        <v>98.274000000000001</v>
      </c>
      <c r="U130">
        <v>3.4428299999999998</v>
      </c>
      <c r="V130">
        <v>0</v>
      </c>
      <c r="W130">
        <v>1</v>
      </c>
      <c r="X130">
        <v>1.7146399999999999</v>
      </c>
      <c r="Y130">
        <v>1.5327999999999999</v>
      </c>
      <c r="Z130">
        <v>0</v>
      </c>
      <c r="AA130">
        <v>1.32473</v>
      </c>
      <c r="AB130">
        <v>2.1168</v>
      </c>
      <c r="AC130" s="2">
        <v>81768100</v>
      </c>
      <c r="AD130" s="1">
        <v>0</v>
      </c>
      <c r="AE130" s="1">
        <v>0</v>
      </c>
      <c r="AF130" s="1">
        <v>0</v>
      </c>
      <c r="AG130" s="1">
        <v>0</v>
      </c>
      <c r="AH130" s="2">
        <v>4436190</v>
      </c>
      <c r="AI130" s="1">
        <v>599748</v>
      </c>
      <c r="AJ130" s="1">
        <v>0</v>
      </c>
      <c r="AK130" s="8">
        <f t="shared" si="7"/>
        <v>25</v>
      </c>
      <c r="AL130" s="8">
        <f t="shared" si="6"/>
        <v>3</v>
      </c>
      <c r="AM130">
        <f t="shared" si="4"/>
        <v>0</v>
      </c>
      <c r="AN130">
        <f t="shared" si="5"/>
        <v>0</v>
      </c>
    </row>
    <row r="131" spans="1:40" x14ac:dyDescent="0.35">
      <c r="A131">
        <v>70.905199999999994</v>
      </c>
      <c r="B131">
        <v>72.290000000000006</v>
      </c>
      <c r="C131">
        <v>2.4254799999999999</v>
      </c>
      <c r="D131">
        <v>0.05</v>
      </c>
      <c r="E131">
        <v>1</v>
      </c>
      <c r="F131">
        <v>2.4352499999999999</v>
      </c>
      <c r="G131">
        <v>2.6167400000000001</v>
      </c>
      <c r="H131">
        <v>0</v>
      </c>
      <c r="I131">
        <v>0.45618199999999998</v>
      </c>
      <c r="J131">
        <v>3.6288</v>
      </c>
      <c r="K131" s="2">
        <v>4927900</v>
      </c>
      <c r="L131" s="1">
        <v>0</v>
      </c>
      <c r="M131" s="1">
        <v>0</v>
      </c>
      <c r="N131" s="1">
        <v>0</v>
      </c>
      <c r="O131" s="1">
        <v>0</v>
      </c>
      <c r="P131" s="2">
        <v>3640640</v>
      </c>
      <c r="Q131" s="1">
        <v>23825.4</v>
      </c>
      <c r="R131" s="1">
        <v>245180</v>
      </c>
      <c r="S131">
        <v>99.302199999999999</v>
      </c>
      <c r="T131">
        <v>98.274000000000001</v>
      </c>
      <c r="U131">
        <v>3.55281</v>
      </c>
      <c r="V131">
        <v>0</v>
      </c>
      <c r="W131">
        <v>1</v>
      </c>
      <c r="X131">
        <v>1.7146399999999999</v>
      </c>
      <c r="Y131">
        <v>1.5331600000000001</v>
      </c>
      <c r="Z131">
        <v>0</v>
      </c>
      <c r="AA131">
        <v>1.32473</v>
      </c>
      <c r="AB131">
        <v>2.1168</v>
      </c>
      <c r="AC131" s="2">
        <v>82366900</v>
      </c>
      <c r="AD131" s="1">
        <v>0</v>
      </c>
      <c r="AE131" s="1">
        <v>0</v>
      </c>
      <c r="AF131" s="1">
        <v>0</v>
      </c>
      <c r="AG131" s="1">
        <v>0</v>
      </c>
      <c r="AH131" s="2">
        <v>4436190</v>
      </c>
      <c r="AI131" s="1">
        <v>598835</v>
      </c>
      <c r="AJ131" s="1">
        <v>0</v>
      </c>
      <c r="AK131" s="8">
        <f t="shared" si="7"/>
        <v>26</v>
      </c>
      <c r="AL131" s="8">
        <f t="shared" si="6"/>
        <v>3</v>
      </c>
      <c r="AM131">
        <f t="shared" ref="AM131:AM194" si="8">IF(AK131=52,AC131,0)</f>
        <v>0</v>
      </c>
      <c r="AN131">
        <f t="shared" ref="AN131:AN194" si="9">IF(AK131=52,K131,0)</f>
        <v>0</v>
      </c>
    </row>
    <row r="132" spans="1:40" x14ac:dyDescent="0.35">
      <c r="A132">
        <v>70.433800000000005</v>
      </c>
      <c r="B132">
        <v>72.290000000000006</v>
      </c>
      <c r="C132">
        <v>2.4402900000000001</v>
      </c>
      <c r="D132">
        <v>0.04</v>
      </c>
      <c r="E132">
        <v>1</v>
      </c>
      <c r="F132">
        <v>2.4127999999999998</v>
      </c>
      <c r="G132">
        <v>2.5939199999999998</v>
      </c>
      <c r="H132">
        <v>0</v>
      </c>
      <c r="I132">
        <v>0.45636700000000002</v>
      </c>
      <c r="J132">
        <v>3.6288</v>
      </c>
      <c r="K132" s="2">
        <v>4949870</v>
      </c>
      <c r="L132" s="1">
        <v>0</v>
      </c>
      <c r="M132" s="1">
        <v>0</v>
      </c>
      <c r="N132" s="1">
        <v>0</v>
      </c>
      <c r="O132" s="1">
        <v>0</v>
      </c>
      <c r="P132" s="2">
        <v>3607070</v>
      </c>
      <c r="Q132" s="1">
        <v>21972.2</v>
      </c>
      <c r="R132" s="1">
        <v>244687</v>
      </c>
      <c r="S132">
        <v>99.302199999999999</v>
      </c>
      <c r="T132">
        <v>98.274000000000001</v>
      </c>
      <c r="U132">
        <v>2.8126600000000002</v>
      </c>
      <c r="V132">
        <v>0</v>
      </c>
      <c r="W132">
        <v>1</v>
      </c>
      <c r="X132">
        <v>1.7578800000000001</v>
      </c>
      <c r="Y132">
        <v>1.5767599999999999</v>
      </c>
      <c r="Z132">
        <v>0</v>
      </c>
      <c r="AA132">
        <v>1.32473</v>
      </c>
      <c r="AB132">
        <v>2.1168</v>
      </c>
      <c r="AC132" s="2">
        <v>82968500</v>
      </c>
      <c r="AD132" s="1">
        <v>0</v>
      </c>
      <c r="AE132" s="1">
        <v>0</v>
      </c>
      <c r="AF132" s="1">
        <v>0</v>
      </c>
      <c r="AG132" s="1">
        <v>0</v>
      </c>
      <c r="AH132" s="2">
        <v>4548040</v>
      </c>
      <c r="AI132" s="1">
        <v>601569</v>
      </c>
      <c r="AJ132" s="1">
        <v>0</v>
      </c>
      <c r="AK132" s="8">
        <f t="shared" si="7"/>
        <v>27</v>
      </c>
      <c r="AL132" s="8">
        <f t="shared" ref="AL132:AL195" si="10">IF(AK131=52,AL131+1,AL131)</f>
        <v>3</v>
      </c>
      <c r="AM132">
        <f t="shared" si="8"/>
        <v>0</v>
      </c>
      <c r="AN132">
        <f t="shared" si="9"/>
        <v>0</v>
      </c>
    </row>
    <row r="133" spans="1:40" x14ac:dyDescent="0.35">
      <c r="A133">
        <v>69.7714</v>
      </c>
      <c r="B133">
        <v>72.290000000000006</v>
      </c>
      <c r="C133">
        <v>2.2833199999999998</v>
      </c>
      <c r="D133">
        <v>0.03</v>
      </c>
      <c r="E133">
        <v>1</v>
      </c>
      <c r="F133">
        <v>2.4570099999999999</v>
      </c>
      <c r="G133">
        <v>2.5945299999999998</v>
      </c>
      <c r="H133">
        <v>0</v>
      </c>
      <c r="I133">
        <v>0.45215899999999998</v>
      </c>
      <c r="J133">
        <v>3.6288</v>
      </c>
      <c r="K133" s="2">
        <v>5030810</v>
      </c>
      <c r="L133" s="1">
        <v>0</v>
      </c>
      <c r="M133" s="1">
        <v>0</v>
      </c>
      <c r="N133" s="1">
        <v>0</v>
      </c>
      <c r="O133" s="1">
        <v>0</v>
      </c>
      <c r="P133" s="2">
        <v>3673170</v>
      </c>
      <c r="Q133" s="1">
        <v>80933.8</v>
      </c>
      <c r="R133" s="1">
        <v>185789</v>
      </c>
      <c r="S133">
        <v>99.302199999999999</v>
      </c>
      <c r="T133">
        <v>98.274000000000001</v>
      </c>
      <c r="U133">
        <v>2.6943100000000002</v>
      </c>
      <c r="V133">
        <v>0</v>
      </c>
      <c r="W133">
        <v>1</v>
      </c>
      <c r="X133">
        <v>1.7146600000000001</v>
      </c>
      <c r="Y133">
        <v>1.5771299999999999</v>
      </c>
      <c r="Z133">
        <v>0</v>
      </c>
      <c r="AA133">
        <v>1.3581399999999999</v>
      </c>
      <c r="AB133">
        <v>2.1168</v>
      </c>
      <c r="AC133" s="2">
        <v>83457300</v>
      </c>
      <c r="AD133" s="1">
        <v>0</v>
      </c>
      <c r="AE133" s="1">
        <v>0</v>
      </c>
      <c r="AF133" s="1">
        <v>0</v>
      </c>
      <c r="AG133" s="1">
        <v>0</v>
      </c>
      <c r="AH133" s="2">
        <v>4436220</v>
      </c>
      <c r="AI133" s="1">
        <v>488806</v>
      </c>
      <c r="AJ133" s="1">
        <v>0</v>
      </c>
      <c r="AK133" s="8">
        <f t="shared" si="7"/>
        <v>28</v>
      </c>
      <c r="AL133" s="8">
        <f t="shared" si="10"/>
        <v>3</v>
      </c>
      <c r="AM133">
        <f t="shared" si="8"/>
        <v>0</v>
      </c>
      <c r="AN133">
        <f t="shared" si="9"/>
        <v>0</v>
      </c>
    </row>
    <row r="134" spans="1:40" x14ac:dyDescent="0.35">
      <c r="A134">
        <v>68.898099999999999</v>
      </c>
      <c r="B134">
        <v>72.290000000000006</v>
      </c>
      <c r="C134">
        <v>2.07287</v>
      </c>
      <c r="D134">
        <v>0.03</v>
      </c>
      <c r="E134">
        <v>1</v>
      </c>
      <c r="F134">
        <v>2.4580000000000002</v>
      </c>
      <c r="G134">
        <v>2.5951499999999998</v>
      </c>
      <c r="H134">
        <v>0</v>
      </c>
      <c r="I134">
        <v>0.46044400000000002</v>
      </c>
      <c r="J134">
        <v>3.6288</v>
      </c>
      <c r="K134" s="2">
        <v>5112310</v>
      </c>
      <c r="L134" s="1">
        <v>0</v>
      </c>
      <c r="M134" s="1">
        <v>0</v>
      </c>
      <c r="N134" s="1">
        <v>0</v>
      </c>
      <c r="O134" s="1">
        <v>0</v>
      </c>
      <c r="P134" s="2">
        <v>3674650</v>
      </c>
      <c r="Q134" s="1">
        <v>81504.100000000006</v>
      </c>
      <c r="R134" s="1">
        <v>185282</v>
      </c>
      <c r="S134">
        <v>99.302199999999999</v>
      </c>
      <c r="T134">
        <v>98.274000000000001</v>
      </c>
      <c r="U134">
        <v>2.4767999999999999</v>
      </c>
      <c r="V134">
        <v>0</v>
      </c>
      <c r="W134">
        <v>1</v>
      </c>
      <c r="X134">
        <v>1.7146600000000001</v>
      </c>
      <c r="Y134">
        <v>1.57751</v>
      </c>
      <c r="Z134">
        <v>0</v>
      </c>
      <c r="AA134">
        <v>1.32474</v>
      </c>
      <c r="AB134">
        <v>2.1168</v>
      </c>
      <c r="AC134" s="2">
        <v>83945200</v>
      </c>
      <c r="AD134" s="1">
        <v>0</v>
      </c>
      <c r="AE134" s="1">
        <v>0</v>
      </c>
      <c r="AF134" s="1">
        <v>0</v>
      </c>
      <c r="AG134" s="1">
        <v>0</v>
      </c>
      <c r="AH134" s="2">
        <v>4436220</v>
      </c>
      <c r="AI134" s="1">
        <v>487867</v>
      </c>
      <c r="AJ134" s="1">
        <v>0</v>
      </c>
      <c r="AK134" s="8">
        <f t="shared" si="7"/>
        <v>29</v>
      </c>
      <c r="AL134" s="8">
        <f t="shared" si="10"/>
        <v>3</v>
      </c>
      <c r="AM134">
        <f t="shared" si="8"/>
        <v>0</v>
      </c>
      <c r="AN134">
        <f t="shared" si="9"/>
        <v>0</v>
      </c>
    </row>
    <row r="135" spans="1:40" x14ac:dyDescent="0.35">
      <c r="A135">
        <v>67.859200000000001</v>
      </c>
      <c r="B135">
        <v>72.290000000000006</v>
      </c>
      <c r="C135">
        <v>1.8980300000000001</v>
      </c>
      <c r="D135">
        <v>0.03</v>
      </c>
      <c r="E135">
        <v>1</v>
      </c>
      <c r="F135">
        <v>2.4590000000000001</v>
      </c>
      <c r="G135">
        <v>2.5957699999999999</v>
      </c>
      <c r="H135">
        <v>0</v>
      </c>
      <c r="I135">
        <v>0.46062999999999998</v>
      </c>
      <c r="J135">
        <v>3.6288</v>
      </c>
      <c r="K135" s="2">
        <v>5194390</v>
      </c>
      <c r="L135" s="1">
        <v>0</v>
      </c>
      <c r="M135" s="1">
        <v>0</v>
      </c>
      <c r="N135" s="1">
        <v>0</v>
      </c>
      <c r="O135" s="1">
        <v>0</v>
      </c>
      <c r="P135" s="2">
        <v>3676140</v>
      </c>
      <c r="Q135" s="1">
        <v>82074.3</v>
      </c>
      <c r="R135" s="1">
        <v>184776</v>
      </c>
      <c r="S135">
        <v>99.231499999999997</v>
      </c>
      <c r="T135">
        <v>98.274000000000001</v>
      </c>
      <c r="U135">
        <v>2.3734199999999999</v>
      </c>
      <c r="V135">
        <v>0</v>
      </c>
      <c r="W135">
        <v>1</v>
      </c>
      <c r="X135">
        <v>1.7146600000000001</v>
      </c>
      <c r="Y135">
        <v>1.5778799999999999</v>
      </c>
      <c r="Z135">
        <v>0</v>
      </c>
      <c r="AA135">
        <v>1.32474</v>
      </c>
      <c r="AB135">
        <v>2.1168</v>
      </c>
      <c r="AC135" s="2">
        <v>84432100</v>
      </c>
      <c r="AD135" s="1">
        <v>0</v>
      </c>
      <c r="AE135" s="1">
        <v>0</v>
      </c>
      <c r="AF135" s="1">
        <v>0</v>
      </c>
      <c r="AG135" s="1">
        <v>0</v>
      </c>
      <c r="AH135" s="2">
        <v>4436220</v>
      </c>
      <c r="AI135" s="1">
        <v>486928</v>
      </c>
      <c r="AJ135" s="1">
        <v>0</v>
      </c>
      <c r="AK135" s="8">
        <f t="shared" si="7"/>
        <v>30</v>
      </c>
      <c r="AL135" s="8">
        <f t="shared" si="10"/>
        <v>3</v>
      </c>
      <c r="AM135">
        <f t="shared" si="8"/>
        <v>0</v>
      </c>
      <c r="AN135">
        <f t="shared" si="9"/>
        <v>0</v>
      </c>
    </row>
    <row r="136" spans="1:40" x14ac:dyDescent="0.35">
      <c r="A136">
        <v>66.744100000000003</v>
      </c>
      <c r="B136">
        <v>72.290000000000006</v>
      </c>
      <c r="C136">
        <v>1.85978</v>
      </c>
      <c r="D136">
        <v>0.03</v>
      </c>
      <c r="E136">
        <v>1</v>
      </c>
      <c r="F136">
        <v>2.5205799999999998</v>
      </c>
      <c r="G136">
        <v>2.6569799999999999</v>
      </c>
      <c r="H136">
        <v>0</v>
      </c>
      <c r="I136">
        <v>0.460816</v>
      </c>
      <c r="J136">
        <v>3.6288</v>
      </c>
      <c r="K136" s="2">
        <v>5283260</v>
      </c>
      <c r="L136" s="1">
        <v>0</v>
      </c>
      <c r="M136" s="1">
        <v>0</v>
      </c>
      <c r="N136" s="1">
        <v>0</v>
      </c>
      <c r="O136" s="1">
        <v>0</v>
      </c>
      <c r="P136" s="2">
        <v>3768210</v>
      </c>
      <c r="Q136" s="1">
        <v>88874</v>
      </c>
      <c r="R136" s="1">
        <v>184269</v>
      </c>
      <c r="S136">
        <v>99.152900000000002</v>
      </c>
      <c r="T136">
        <v>98.274000000000001</v>
      </c>
      <c r="U136">
        <v>2.1756099999999998</v>
      </c>
      <c r="V136">
        <v>0</v>
      </c>
      <c r="W136">
        <v>1</v>
      </c>
      <c r="X136">
        <v>1.75322</v>
      </c>
      <c r="Y136">
        <v>1.61683</v>
      </c>
      <c r="Z136">
        <v>0</v>
      </c>
      <c r="AA136">
        <v>1.32474</v>
      </c>
      <c r="AB136">
        <v>2.1168</v>
      </c>
      <c r="AC136" s="2">
        <v>84921300</v>
      </c>
      <c r="AD136" s="1">
        <v>0</v>
      </c>
      <c r="AE136" s="1">
        <v>0</v>
      </c>
      <c r="AF136" s="1">
        <v>0</v>
      </c>
      <c r="AG136" s="1">
        <v>0</v>
      </c>
      <c r="AH136" s="2">
        <v>4536000</v>
      </c>
      <c r="AI136" s="1">
        <v>489241</v>
      </c>
      <c r="AJ136" s="1">
        <v>0</v>
      </c>
      <c r="AK136" s="8">
        <f t="shared" ref="AK136:AK199" si="11">IF(AK135=52, 1, AK135+1)</f>
        <v>31</v>
      </c>
      <c r="AL136" s="8">
        <f t="shared" si="10"/>
        <v>3</v>
      </c>
      <c r="AM136">
        <f t="shared" si="8"/>
        <v>0</v>
      </c>
      <c r="AN136">
        <f t="shared" si="9"/>
        <v>0</v>
      </c>
    </row>
    <row r="137" spans="1:40" x14ac:dyDescent="0.35">
      <c r="A137">
        <v>65.857699999999994</v>
      </c>
      <c r="B137">
        <v>72.290000000000006</v>
      </c>
      <c r="C137">
        <v>2.1276799999999998</v>
      </c>
      <c r="D137">
        <v>0.04</v>
      </c>
      <c r="E137">
        <v>1</v>
      </c>
      <c r="F137">
        <v>2.5601600000000002</v>
      </c>
      <c r="G137">
        <v>2.65761</v>
      </c>
      <c r="H137">
        <v>0</v>
      </c>
      <c r="I137">
        <v>0.472358</v>
      </c>
      <c r="J137">
        <v>3.6288</v>
      </c>
      <c r="K137" s="2">
        <v>5424810</v>
      </c>
      <c r="L137" s="1">
        <v>0</v>
      </c>
      <c r="M137" s="1">
        <v>0</v>
      </c>
      <c r="N137" s="1">
        <v>0</v>
      </c>
      <c r="O137" s="1">
        <v>0</v>
      </c>
      <c r="P137" s="2">
        <v>3827370</v>
      </c>
      <c r="Q137" s="1">
        <v>141548</v>
      </c>
      <c r="R137" s="1">
        <v>131660</v>
      </c>
      <c r="S137">
        <v>99.302199999999999</v>
      </c>
      <c r="T137">
        <v>98.274000000000001</v>
      </c>
      <c r="U137">
        <v>2.48847</v>
      </c>
      <c r="V137">
        <v>0</v>
      </c>
      <c r="W137">
        <v>1</v>
      </c>
      <c r="X137">
        <v>1.7146600000000001</v>
      </c>
      <c r="Y137">
        <v>1.61721</v>
      </c>
      <c r="Z137">
        <v>0</v>
      </c>
      <c r="AA137">
        <v>1.3545400000000001</v>
      </c>
      <c r="AB137">
        <v>2.1168</v>
      </c>
      <c r="AC137" s="2">
        <v>85309900</v>
      </c>
      <c r="AD137" s="1">
        <v>0</v>
      </c>
      <c r="AE137" s="1">
        <v>0</v>
      </c>
      <c r="AF137" s="1">
        <v>0</v>
      </c>
      <c r="AG137" s="1">
        <v>0</v>
      </c>
      <c r="AH137" s="2">
        <v>4436250</v>
      </c>
      <c r="AI137" s="1">
        <v>388524</v>
      </c>
      <c r="AJ137" s="1">
        <v>0</v>
      </c>
      <c r="AK137" s="8">
        <f t="shared" si="11"/>
        <v>32</v>
      </c>
      <c r="AL137" s="8">
        <f t="shared" si="10"/>
        <v>3</v>
      </c>
      <c r="AM137">
        <f t="shared" si="8"/>
        <v>0</v>
      </c>
      <c r="AN137">
        <f t="shared" si="9"/>
        <v>0</v>
      </c>
    </row>
    <row r="138" spans="1:40" x14ac:dyDescent="0.35">
      <c r="A138">
        <v>64.802000000000007</v>
      </c>
      <c r="B138">
        <v>72.290000000000006</v>
      </c>
      <c r="C138">
        <v>1.9586399999999999</v>
      </c>
      <c r="D138">
        <v>0.04</v>
      </c>
      <c r="E138">
        <v>1</v>
      </c>
      <c r="F138">
        <v>2.5611700000000002</v>
      </c>
      <c r="G138">
        <v>2.6582400000000002</v>
      </c>
      <c r="H138">
        <v>0</v>
      </c>
      <c r="I138">
        <v>0.47977399999999998</v>
      </c>
      <c r="J138">
        <v>3.6288</v>
      </c>
      <c r="K138" s="2">
        <v>5566940</v>
      </c>
      <c r="L138" s="1">
        <v>0</v>
      </c>
      <c r="M138" s="1">
        <v>0</v>
      </c>
      <c r="N138" s="1">
        <v>0</v>
      </c>
      <c r="O138" s="1">
        <v>0</v>
      </c>
      <c r="P138" s="2">
        <v>3828890</v>
      </c>
      <c r="Q138" s="1">
        <v>142132</v>
      </c>
      <c r="R138" s="1">
        <v>131140</v>
      </c>
      <c r="S138">
        <v>99.207400000000007</v>
      </c>
      <c r="T138">
        <v>98.274000000000001</v>
      </c>
      <c r="U138">
        <v>2.4188399999999999</v>
      </c>
      <c r="V138">
        <v>0</v>
      </c>
      <c r="W138">
        <v>1</v>
      </c>
      <c r="X138">
        <v>1.7146600000000001</v>
      </c>
      <c r="Y138">
        <v>1.6175900000000001</v>
      </c>
      <c r="Z138">
        <v>0</v>
      </c>
      <c r="AA138">
        <v>1.3247500000000001</v>
      </c>
      <c r="AB138">
        <v>2.1168</v>
      </c>
      <c r="AC138" s="2">
        <v>85697400</v>
      </c>
      <c r="AD138" s="1">
        <v>0</v>
      </c>
      <c r="AE138" s="1">
        <v>0</v>
      </c>
      <c r="AF138" s="1">
        <v>0</v>
      </c>
      <c r="AG138" s="1">
        <v>0</v>
      </c>
      <c r="AH138" s="2">
        <v>4436250</v>
      </c>
      <c r="AI138" s="1">
        <v>387561</v>
      </c>
      <c r="AJ138" s="1">
        <v>0</v>
      </c>
      <c r="AK138" s="8">
        <f t="shared" si="11"/>
        <v>33</v>
      </c>
      <c r="AL138" s="8">
        <f t="shared" si="10"/>
        <v>3</v>
      </c>
      <c r="AM138">
        <f t="shared" si="8"/>
        <v>0</v>
      </c>
      <c r="AN138">
        <f t="shared" si="9"/>
        <v>0</v>
      </c>
    </row>
    <row r="139" spans="1:40" x14ac:dyDescent="0.35">
      <c r="A139">
        <v>63.5807</v>
      </c>
      <c r="B139">
        <v>72.290000000000006</v>
      </c>
      <c r="C139">
        <v>1.79342</v>
      </c>
      <c r="D139">
        <v>0.04</v>
      </c>
      <c r="E139">
        <v>1</v>
      </c>
      <c r="F139">
        <v>2.5621900000000002</v>
      </c>
      <c r="G139">
        <v>2.6588799999999999</v>
      </c>
      <c r="H139">
        <v>0</v>
      </c>
      <c r="I139">
        <v>0.479964</v>
      </c>
      <c r="J139">
        <v>3.6288</v>
      </c>
      <c r="K139" s="2">
        <v>5709660</v>
      </c>
      <c r="L139" s="1">
        <v>0</v>
      </c>
      <c r="M139" s="1">
        <v>0</v>
      </c>
      <c r="N139" s="1">
        <v>0</v>
      </c>
      <c r="O139" s="1">
        <v>0</v>
      </c>
      <c r="P139" s="2">
        <v>3830410</v>
      </c>
      <c r="Q139" s="1">
        <v>142717</v>
      </c>
      <c r="R139" s="1">
        <v>130621</v>
      </c>
      <c r="S139">
        <v>99.205200000000005</v>
      </c>
      <c r="T139">
        <v>98.274000000000001</v>
      </c>
      <c r="U139">
        <v>2.1293700000000002</v>
      </c>
      <c r="V139">
        <v>0</v>
      </c>
      <c r="W139">
        <v>1</v>
      </c>
      <c r="X139">
        <v>1.7146600000000001</v>
      </c>
      <c r="Y139">
        <v>1.61798</v>
      </c>
      <c r="Z139">
        <v>0</v>
      </c>
      <c r="AA139">
        <v>1.3247500000000001</v>
      </c>
      <c r="AB139">
        <v>2.1168</v>
      </c>
      <c r="AC139" s="2">
        <v>86084000</v>
      </c>
      <c r="AD139" s="1">
        <v>0</v>
      </c>
      <c r="AE139" s="1">
        <v>0</v>
      </c>
      <c r="AF139" s="1">
        <v>0</v>
      </c>
      <c r="AG139" s="1">
        <v>0</v>
      </c>
      <c r="AH139" s="2">
        <v>4436250</v>
      </c>
      <c r="AI139" s="1">
        <v>386599</v>
      </c>
      <c r="AJ139" s="1">
        <v>0</v>
      </c>
      <c r="AK139" s="8">
        <f t="shared" si="11"/>
        <v>34</v>
      </c>
      <c r="AL139" s="8">
        <f t="shared" si="10"/>
        <v>3</v>
      </c>
      <c r="AM139">
        <f t="shared" si="8"/>
        <v>0</v>
      </c>
      <c r="AN139">
        <f t="shared" si="9"/>
        <v>0</v>
      </c>
    </row>
    <row r="140" spans="1:40" x14ac:dyDescent="0.35">
      <c r="A140">
        <v>62.292299999999997</v>
      </c>
      <c r="B140">
        <v>72.290000000000006</v>
      </c>
      <c r="C140">
        <v>1.8948700000000001</v>
      </c>
      <c r="D140">
        <v>0.04</v>
      </c>
      <c r="E140">
        <v>1</v>
      </c>
      <c r="F140">
        <v>2.7408299999999999</v>
      </c>
      <c r="G140">
        <v>2.8371300000000002</v>
      </c>
      <c r="H140">
        <v>0</v>
      </c>
      <c r="I140">
        <v>0.480155</v>
      </c>
      <c r="J140">
        <v>3.6288</v>
      </c>
      <c r="K140" s="2">
        <v>5871220</v>
      </c>
      <c r="L140" s="1">
        <v>0</v>
      </c>
      <c r="M140" s="1">
        <v>0</v>
      </c>
      <c r="N140" s="1">
        <v>0</v>
      </c>
      <c r="O140" s="1">
        <v>0</v>
      </c>
      <c r="P140" s="2">
        <v>4097470</v>
      </c>
      <c r="Q140" s="1">
        <v>161561</v>
      </c>
      <c r="R140" s="1">
        <v>130101</v>
      </c>
      <c r="S140">
        <v>99.180300000000003</v>
      </c>
      <c r="T140">
        <v>98.274000000000001</v>
      </c>
      <c r="U140">
        <v>2.5505800000000001</v>
      </c>
      <c r="V140">
        <v>0</v>
      </c>
      <c r="W140">
        <v>1</v>
      </c>
      <c r="X140">
        <v>1.8540000000000001</v>
      </c>
      <c r="Y140">
        <v>1.7577</v>
      </c>
      <c r="Z140">
        <v>0</v>
      </c>
      <c r="AA140">
        <v>1.3247500000000001</v>
      </c>
      <c r="AB140">
        <v>2.1168</v>
      </c>
      <c r="AC140" s="2">
        <v>86481400</v>
      </c>
      <c r="AD140" s="1">
        <v>0</v>
      </c>
      <c r="AE140" s="1">
        <v>0</v>
      </c>
      <c r="AF140" s="1">
        <v>0</v>
      </c>
      <c r="AG140" s="1">
        <v>0</v>
      </c>
      <c r="AH140" s="2">
        <v>4796740</v>
      </c>
      <c r="AI140" s="1">
        <v>397386</v>
      </c>
      <c r="AJ140" s="1">
        <v>0</v>
      </c>
      <c r="AK140" s="8">
        <f t="shared" si="11"/>
        <v>35</v>
      </c>
      <c r="AL140" s="8">
        <f t="shared" si="10"/>
        <v>3</v>
      </c>
      <c r="AM140">
        <f t="shared" si="8"/>
        <v>0</v>
      </c>
      <c r="AN140">
        <f t="shared" si="9"/>
        <v>0</v>
      </c>
    </row>
    <row r="141" spans="1:40" x14ac:dyDescent="0.35">
      <c r="A141">
        <v>61.530700000000003</v>
      </c>
      <c r="B141">
        <v>72.290000000000006</v>
      </c>
      <c r="C141">
        <v>2.4671500000000002</v>
      </c>
      <c r="D141">
        <v>0.05</v>
      </c>
      <c r="E141">
        <v>1</v>
      </c>
      <c r="F141">
        <v>2.8378000000000001</v>
      </c>
      <c r="G141">
        <v>2.8378000000000001</v>
      </c>
      <c r="H141">
        <v>0</v>
      </c>
      <c r="I141">
        <v>0.51363099999999995</v>
      </c>
      <c r="J141">
        <v>3.6288</v>
      </c>
      <c r="K141" s="2">
        <v>6162950</v>
      </c>
      <c r="L141" s="1">
        <v>0</v>
      </c>
      <c r="M141" s="1">
        <v>0</v>
      </c>
      <c r="N141" s="1">
        <v>0</v>
      </c>
      <c r="O141" s="1">
        <v>0</v>
      </c>
      <c r="P141" s="2">
        <v>4242440</v>
      </c>
      <c r="Q141" s="1">
        <v>291732</v>
      </c>
      <c r="R141" s="1">
        <v>0</v>
      </c>
      <c r="S141">
        <v>99.302199999999999</v>
      </c>
      <c r="T141">
        <v>98.274000000000001</v>
      </c>
      <c r="U141">
        <v>3.50651</v>
      </c>
      <c r="V141">
        <v>0</v>
      </c>
      <c r="W141">
        <v>1</v>
      </c>
      <c r="X141">
        <v>1.7581199999999999</v>
      </c>
      <c r="Y141">
        <v>1.7581199999999999</v>
      </c>
      <c r="Z141">
        <v>0</v>
      </c>
      <c r="AA141">
        <v>1.4323999999999999</v>
      </c>
      <c r="AB141">
        <v>2.1168</v>
      </c>
      <c r="AC141" s="2">
        <v>86629700</v>
      </c>
      <c r="AD141" s="1">
        <v>0</v>
      </c>
      <c r="AE141" s="1">
        <v>0</v>
      </c>
      <c r="AF141" s="1">
        <v>0</v>
      </c>
      <c r="AG141" s="1">
        <v>0</v>
      </c>
      <c r="AH141" s="2">
        <v>4548670</v>
      </c>
      <c r="AI141" s="1">
        <v>148269</v>
      </c>
      <c r="AJ141" s="1">
        <v>0</v>
      </c>
      <c r="AK141" s="8">
        <f t="shared" si="11"/>
        <v>36</v>
      </c>
      <c r="AL141" s="8">
        <f t="shared" si="10"/>
        <v>3</v>
      </c>
      <c r="AM141">
        <f t="shared" si="8"/>
        <v>0</v>
      </c>
      <c r="AN141">
        <f t="shared" si="9"/>
        <v>0</v>
      </c>
    </row>
    <row r="142" spans="1:40" x14ac:dyDescent="0.35">
      <c r="A142">
        <v>60.701900000000002</v>
      </c>
      <c r="B142">
        <v>72.290000000000006</v>
      </c>
      <c r="C142">
        <v>2.4003899999999998</v>
      </c>
      <c r="D142">
        <v>0.06</v>
      </c>
      <c r="E142">
        <v>1</v>
      </c>
      <c r="F142">
        <v>2.8384800000000001</v>
      </c>
      <c r="G142">
        <v>2.8384800000000001</v>
      </c>
      <c r="H142">
        <v>0</v>
      </c>
      <c r="I142">
        <v>0.53180400000000005</v>
      </c>
      <c r="J142">
        <v>3.6288</v>
      </c>
      <c r="K142" s="2">
        <v>6454750</v>
      </c>
      <c r="L142" s="1">
        <v>0</v>
      </c>
      <c r="M142" s="1">
        <v>0</v>
      </c>
      <c r="N142" s="1">
        <v>0</v>
      </c>
      <c r="O142" s="1">
        <v>0</v>
      </c>
      <c r="P142" s="2">
        <v>4243450</v>
      </c>
      <c r="Q142" s="1">
        <v>291801</v>
      </c>
      <c r="R142" s="1">
        <v>0</v>
      </c>
      <c r="S142">
        <v>99.302199999999999</v>
      </c>
      <c r="T142">
        <v>98.274000000000001</v>
      </c>
      <c r="U142">
        <v>2.8100700000000001</v>
      </c>
      <c r="V142">
        <v>0</v>
      </c>
      <c r="W142">
        <v>1</v>
      </c>
      <c r="X142">
        <v>1.75854</v>
      </c>
      <c r="Y142">
        <v>1.75854</v>
      </c>
      <c r="Z142">
        <v>0</v>
      </c>
      <c r="AA142">
        <v>1.35832</v>
      </c>
      <c r="AB142">
        <v>2.1168</v>
      </c>
      <c r="AC142" s="2">
        <v>86778000</v>
      </c>
      <c r="AD142" s="1">
        <v>0</v>
      </c>
      <c r="AE142" s="1">
        <v>0</v>
      </c>
      <c r="AF142" s="1">
        <v>0</v>
      </c>
      <c r="AG142" s="1">
        <v>0</v>
      </c>
      <c r="AH142" s="2">
        <v>4549750</v>
      </c>
      <c r="AI142" s="1">
        <v>148304</v>
      </c>
      <c r="AJ142" s="1">
        <v>0</v>
      </c>
      <c r="AK142" s="8">
        <f t="shared" si="11"/>
        <v>37</v>
      </c>
      <c r="AL142" s="8">
        <f t="shared" si="10"/>
        <v>3</v>
      </c>
      <c r="AM142">
        <f t="shared" si="8"/>
        <v>0</v>
      </c>
      <c r="AN142">
        <f t="shared" si="9"/>
        <v>0</v>
      </c>
    </row>
    <row r="143" spans="1:40" x14ac:dyDescent="0.35">
      <c r="A143">
        <v>59.062800000000003</v>
      </c>
      <c r="B143">
        <v>72.290000000000006</v>
      </c>
      <c r="C143">
        <v>1.6389</v>
      </c>
      <c r="D143">
        <v>0.06</v>
      </c>
      <c r="E143">
        <v>1</v>
      </c>
      <c r="F143">
        <v>2.8391500000000001</v>
      </c>
      <c r="G143">
        <v>2.8391500000000001</v>
      </c>
      <c r="H143">
        <v>0</v>
      </c>
      <c r="I143">
        <v>0.53193000000000001</v>
      </c>
      <c r="J143">
        <v>3.6288</v>
      </c>
      <c r="K143" s="2">
        <v>6746620</v>
      </c>
      <c r="L143" s="1">
        <v>0</v>
      </c>
      <c r="M143" s="1">
        <v>0</v>
      </c>
      <c r="N143" s="1">
        <v>0</v>
      </c>
      <c r="O143" s="1">
        <v>0</v>
      </c>
      <c r="P143" s="2">
        <v>4244460</v>
      </c>
      <c r="Q143" s="1">
        <v>291870</v>
      </c>
      <c r="R143" s="1">
        <v>0</v>
      </c>
      <c r="S143">
        <v>99.278700000000001</v>
      </c>
      <c r="T143">
        <v>98.274000000000001</v>
      </c>
      <c r="U143">
        <v>2.3696999999999999</v>
      </c>
      <c r="V143">
        <v>0</v>
      </c>
      <c r="W143">
        <v>1</v>
      </c>
      <c r="X143">
        <v>1.75895</v>
      </c>
      <c r="Y143">
        <v>1.75895</v>
      </c>
      <c r="Z143">
        <v>0</v>
      </c>
      <c r="AA143">
        <v>1.3586400000000001</v>
      </c>
      <c r="AB143">
        <v>2.1168</v>
      </c>
      <c r="AC143" s="2">
        <v>86926300</v>
      </c>
      <c r="AD143" s="1">
        <v>0</v>
      </c>
      <c r="AE143" s="1">
        <v>0</v>
      </c>
      <c r="AF143" s="1">
        <v>0</v>
      </c>
      <c r="AG143" s="1">
        <v>0</v>
      </c>
      <c r="AH143" s="2">
        <v>4550830</v>
      </c>
      <c r="AI143" s="1">
        <v>148340</v>
      </c>
      <c r="AJ143" s="1">
        <v>0</v>
      </c>
      <c r="AK143" s="8">
        <f t="shared" si="11"/>
        <v>38</v>
      </c>
      <c r="AL143" s="8">
        <f t="shared" si="10"/>
        <v>3</v>
      </c>
      <c r="AM143">
        <f t="shared" si="8"/>
        <v>0</v>
      </c>
      <c r="AN143">
        <f t="shared" si="9"/>
        <v>0</v>
      </c>
    </row>
    <row r="144" spans="1:40" x14ac:dyDescent="0.35">
      <c r="A144">
        <v>57.274700000000003</v>
      </c>
      <c r="B144">
        <v>72.290000000000006</v>
      </c>
      <c r="C144">
        <v>1.52074</v>
      </c>
      <c r="D144">
        <v>0.06</v>
      </c>
      <c r="E144">
        <v>1</v>
      </c>
      <c r="F144">
        <v>2.8398300000000001</v>
      </c>
      <c r="G144">
        <v>2.8398300000000001</v>
      </c>
      <c r="H144">
        <v>0</v>
      </c>
      <c r="I144">
        <v>0.532057</v>
      </c>
      <c r="J144">
        <v>3.6288</v>
      </c>
      <c r="K144" s="2">
        <v>7038560</v>
      </c>
      <c r="L144" s="1">
        <v>0</v>
      </c>
      <c r="M144" s="1">
        <v>0</v>
      </c>
      <c r="N144" s="1">
        <v>0</v>
      </c>
      <c r="O144" s="1">
        <v>0</v>
      </c>
      <c r="P144" s="2">
        <v>4245470</v>
      </c>
      <c r="Q144" s="1">
        <v>291940</v>
      </c>
      <c r="R144" s="1">
        <v>0</v>
      </c>
      <c r="S144">
        <v>99.270799999999994</v>
      </c>
      <c r="T144">
        <v>98.274000000000001</v>
      </c>
      <c r="U144">
        <v>2.38239</v>
      </c>
      <c r="V144">
        <v>0</v>
      </c>
      <c r="W144">
        <v>1</v>
      </c>
      <c r="X144">
        <v>1.7593700000000001</v>
      </c>
      <c r="Y144">
        <v>1.7593700000000001</v>
      </c>
      <c r="Z144">
        <v>0</v>
      </c>
      <c r="AA144">
        <v>1.35897</v>
      </c>
      <c r="AB144">
        <v>2.1168</v>
      </c>
      <c r="AC144" s="2">
        <v>87074700</v>
      </c>
      <c r="AD144" s="1">
        <v>0</v>
      </c>
      <c r="AE144" s="1">
        <v>0</v>
      </c>
      <c r="AF144" s="1">
        <v>0</v>
      </c>
      <c r="AG144" s="1">
        <v>0</v>
      </c>
      <c r="AH144" s="2">
        <v>4551910</v>
      </c>
      <c r="AI144" s="1">
        <v>148375</v>
      </c>
      <c r="AJ144" s="1">
        <v>0</v>
      </c>
      <c r="AK144" s="8">
        <f t="shared" si="11"/>
        <v>39</v>
      </c>
      <c r="AL144" s="8">
        <f t="shared" si="10"/>
        <v>3</v>
      </c>
      <c r="AM144">
        <f t="shared" si="8"/>
        <v>0</v>
      </c>
      <c r="AN144">
        <f t="shared" si="9"/>
        <v>0</v>
      </c>
    </row>
    <row r="145" spans="1:40" x14ac:dyDescent="0.35">
      <c r="A145">
        <v>55.7879</v>
      </c>
      <c r="B145">
        <v>72.290000000000006</v>
      </c>
      <c r="C145">
        <v>1.70617</v>
      </c>
      <c r="D145">
        <v>0.11</v>
      </c>
      <c r="E145">
        <v>1</v>
      </c>
      <c r="F145">
        <v>2.7538399999999998</v>
      </c>
      <c r="G145">
        <v>2.7538399999999998</v>
      </c>
      <c r="H145">
        <v>0</v>
      </c>
      <c r="I145">
        <v>0.53218399999999999</v>
      </c>
      <c r="J145">
        <v>3.6288</v>
      </c>
      <c r="K145" s="2">
        <v>7321660</v>
      </c>
      <c r="L145" s="1">
        <v>0</v>
      </c>
      <c r="M145" s="1">
        <v>0</v>
      </c>
      <c r="N145" s="1">
        <v>0</v>
      </c>
      <c r="O145" s="1">
        <v>0</v>
      </c>
      <c r="P145" s="2">
        <v>4116910</v>
      </c>
      <c r="Q145" s="1">
        <v>283100</v>
      </c>
      <c r="R145" s="1">
        <v>0</v>
      </c>
      <c r="S145">
        <v>99.228300000000004</v>
      </c>
      <c r="T145">
        <v>98.274000000000001</v>
      </c>
      <c r="U145">
        <v>2.5968900000000001</v>
      </c>
      <c r="V145">
        <v>0</v>
      </c>
      <c r="W145">
        <v>1</v>
      </c>
      <c r="X145">
        <v>1.6751199999999999</v>
      </c>
      <c r="Y145">
        <v>1.6751199999999999</v>
      </c>
      <c r="Z145">
        <v>0</v>
      </c>
      <c r="AA145">
        <v>1.3592900000000001</v>
      </c>
      <c r="AB145">
        <v>2.1168</v>
      </c>
      <c r="AC145" s="2">
        <v>87216000</v>
      </c>
      <c r="AD145" s="1">
        <v>0</v>
      </c>
      <c r="AE145" s="1">
        <v>0</v>
      </c>
      <c r="AF145" s="1">
        <v>0</v>
      </c>
      <c r="AG145" s="1">
        <v>0</v>
      </c>
      <c r="AH145" s="2">
        <v>4333930</v>
      </c>
      <c r="AI145" s="1">
        <v>141269</v>
      </c>
      <c r="AJ145" s="1">
        <v>0</v>
      </c>
      <c r="AK145" s="8">
        <f t="shared" si="11"/>
        <v>40</v>
      </c>
      <c r="AL145" s="8">
        <f t="shared" si="10"/>
        <v>3</v>
      </c>
      <c r="AM145">
        <f t="shared" si="8"/>
        <v>0</v>
      </c>
      <c r="AN145">
        <f t="shared" si="9"/>
        <v>0</v>
      </c>
    </row>
    <row r="146" spans="1:40" x14ac:dyDescent="0.35">
      <c r="A146">
        <v>55.4373</v>
      </c>
      <c r="B146">
        <v>72.290000000000006</v>
      </c>
      <c r="C146">
        <v>2.7916599999999998</v>
      </c>
      <c r="D146">
        <v>0.11</v>
      </c>
      <c r="E146">
        <v>1</v>
      </c>
      <c r="F146">
        <v>2.7153299999999998</v>
      </c>
      <c r="G146">
        <v>2.7544900000000001</v>
      </c>
      <c r="H146">
        <v>0</v>
      </c>
      <c r="I146">
        <v>0.516069</v>
      </c>
      <c r="J146">
        <v>3.6288</v>
      </c>
      <c r="K146" s="2">
        <v>7551920</v>
      </c>
      <c r="L146" s="1">
        <v>0</v>
      </c>
      <c r="M146" s="1">
        <v>0</v>
      </c>
      <c r="N146" s="1">
        <v>0</v>
      </c>
      <c r="O146" s="1">
        <v>0</v>
      </c>
      <c r="P146" s="2">
        <v>4059350</v>
      </c>
      <c r="Q146" s="1">
        <v>230261</v>
      </c>
      <c r="R146" s="1">
        <v>52905.8</v>
      </c>
      <c r="S146">
        <v>99.302199999999999</v>
      </c>
      <c r="T146">
        <v>98.274000000000001</v>
      </c>
      <c r="U146">
        <v>4.1385500000000004</v>
      </c>
      <c r="V146">
        <v>0</v>
      </c>
      <c r="W146">
        <v>1</v>
      </c>
      <c r="X146">
        <v>1.71468</v>
      </c>
      <c r="Y146">
        <v>1.6755199999999999</v>
      </c>
      <c r="Z146">
        <v>0</v>
      </c>
      <c r="AA146">
        <v>1.2942</v>
      </c>
      <c r="AB146">
        <v>2.1168</v>
      </c>
      <c r="AC146" s="2">
        <v>87458600</v>
      </c>
      <c r="AD146" s="1">
        <v>0</v>
      </c>
      <c r="AE146" s="1">
        <v>0</v>
      </c>
      <c r="AF146" s="1">
        <v>0</v>
      </c>
      <c r="AG146" s="1">
        <v>0</v>
      </c>
      <c r="AH146" s="2">
        <v>4436280</v>
      </c>
      <c r="AI146" s="1">
        <v>242621</v>
      </c>
      <c r="AJ146" s="1">
        <v>0</v>
      </c>
      <c r="AK146" s="8">
        <f t="shared" si="11"/>
        <v>41</v>
      </c>
      <c r="AL146" s="8">
        <f t="shared" si="10"/>
        <v>3</v>
      </c>
      <c r="AM146">
        <f t="shared" si="8"/>
        <v>0</v>
      </c>
      <c r="AN146">
        <f t="shared" si="9"/>
        <v>0</v>
      </c>
    </row>
    <row r="147" spans="1:40" x14ac:dyDescent="0.35">
      <c r="A147">
        <v>54.961599999999997</v>
      </c>
      <c r="B147">
        <v>72.290000000000006</v>
      </c>
      <c r="C147">
        <v>2.6672699999999998</v>
      </c>
      <c r="D147">
        <v>0.11</v>
      </c>
      <c r="E147">
        <v>1</v>
      </c>
      <c r="F147">
        <v>2.71638</v>
      </c>
      <c r="G147">
        <v>2.75515</v>
      </c>
      <c r="H147">
        <v>0</v>
      </c>
      <c r="I147">
        <v>0.508853</v>
      </c>
      <c r="J147">
        <v>3.6288</v>
      </c>
      <c r="K147" s="2">
        <v>7782790</v>
      </c>
      <c r="L147" s="1">
        <v>0</v>
      </c>
      <c r="M147" s="1">
        <v>0</v>
      </c>
      <c r="N147" s="1">
        <v>0</v>
      </c>
      <c r="O147" s="1">
        <v>0</v>
      </c>
      <c r="P147" s="2">
        <v>4060920</v>
      </c>
      <c r="Q147" s="1">
        <v>230867</v>
      </c>
      <c r="R147" s="1">
        <v>52367.4</v>
      </c>
      <c r="S147">
        <v>99.302199999999999</v>
      </c>
      <c r="T147">
        <v>98.274000000000001</v>
      </c>
      <c r="U147">
        <v>3.4643700000000002</v>
      </c>
      <c r="V147">
        <v>0</v>
      </c>
      <c r="W147">
        <v>1</v>
      </c>
      <c r="X147">
        <v>1.71468</v>
      </c>
      <c r="Y147">
        <v>1.6759200000000001</v>
      </c>
      <c r="Z147">
        <v>0</v>
      </c>
      <c r="AA147">
        <v>1.3247599999999999</v>
      </c>
      <c r="AB147">
        <v>2.1168</v>
      </c>
      <c r="AC147" s="2">
        <v>87700200</v>
      </c>
      <c r="AD147" s="1">
        <v>0</v>
      </c>
      <c r="AE147" s="1">
        <v>0</v>
      </c>
      <c r="AF147" s="1">
        <v>0</v>
      </c>
      <c r="AG147" s="1">
        <v>0</v>
      </c>
      <c r="AH147" s="2">
        <v>4436280</v>
      </c>
      <c r="AI147" s="1">
        <v>241624</v>
      </c>
      <c r="AJ147" s="1">
        <v>0</v>
      </c>
      <c r="AK147" s="8">
        <f t="shared" si="11"/>
        <v>42</v>
      </c>
      <c r="AL147" s="8">
        <f t="shared" si="10"/>
        <v>3</v>
      </c>
      <c r="AM147">
        <f t="shared" si="8"/>
        <v>0</v>
      </c>
      <c r="AN147">
        <f t="shared" si="9"/>
        <v>0</v>
      </c>
    </row>
    <row r="148" spans="1:40" x14ac:dyDescent="0.35">
      <c r="A148">
        <v>54.140999999999998</v>
      </c>
      <c r="B148">
        <v>72.290000000000006</v>
      </c>
      <c r="C148">
        <v>2.3232499999999998</v>
      </c>
      <c r="D148">
        <v>0.11</v>
      </c>
      <c r="E148">
        <v>1</v>
      </c>
      <c r="F148">
        <v>2.7174399999999999</v>
      </c>
      <c r="G148">
        <v>2.7557999999999998</v>
      </c>
      <c r="H148">
        <v>0</v>
      </c>
      <c r="I148">
        <v>0.50905</v>
      </c>
      <c r="J148">
        <v>3.6288</v>
      </c>
      <c r="K148" s="2">
        <v>8014260</v>
      </c>
      <c r="L148" s="1">
        <v>0</v>
      </c>
      <c r="M148" s="1">
        <v>0</v>
      </c>
      <c r="N148" s="1">
        <v>0</v>
      </c>
      <c r="O148" s="1">
        <v>0</v>
      </c>
      <c r="P148" s="2">
        <v>4062500</v>
      </c>
      <c r="Q148" s="1">
        <v>231473</v>
      </c>
      <c r="R148" s="1">
        <v>51828.9</v>
      </c>
      <c r="S148">
        <v>99.302199999999999</v>
      </c>
      <c r="T148">
        <v>98.274000000000001</v>
      </c>
      <c r="U148">
        <v>3.3899599999999999</v>
      </c>
      <c r="V148">
        <v>0</v>
      </c>
      <c r="W148">
        <v>1</v>
      </c>
      <c r="X148">
        <v>1.71468</v>
      </c>
      <c r="Y148">
        <v>1.67631</v>
      </c>
      <c r="Z148">
        <v>0</v>
      </c>
      <c r="AA148">
        <v>1.3247599999999999</v>
      </c>
      <c r="AB148">
        <v>2.1168</v>
      </c>
      <c r="AC148" s="2">
        <v>87940800</v>
      </c>
      <c r="AD148" s="1">
        <v>0</v>
      </c>
      <c r="AE148" s="1">
        <v>0</v>
      </c>
      <c r="AF148" s="1">
        <v>0</v>
      </c>
      <c r="AG148" s="1">
        <v>0</v>
      </c>
      <c r="AH148" s="2">
        <v>4436280</v>
      </c>
      <c r="AI148" s="1">
        <v>240626</v>
      </c>
      <c r="AJ148" s="1">
        <v>0</v>
      </c>
      <c r="AK148" s="8">
        <f t="shared" si="11"/>
        <v>43</v>
      </c>
      <c r="AL148" s="8">
        <f t="shared" si="10"/>
        <v>3</v>
      </c>
      <c r="AM148">
        <f t="shared" si="8"/>
        <v>0</v>
      </c>
      <c r="AN148">
        <f t="shared" si="9"/>
        <v>0</v>
      </c>
    </row>
    <row r="149" spans="1:40" x14ac:dyDescent="0.35">
      <c r="A149">
        <v>53.973500000000001</v>
      </c>
      <c r="B149">
        <v>72.290000000000006</v>
      </c>
      <c r="C149">
        <v>3.0072000000000001</v>
      </c>
      <c r="D149">
        <v>0.11</v>
      </c>
      <c r="E149">
        <v>1</v>
      </c>
      <c r="F149">
        <v>2.6472899999999999</v>
      </c>
      <c r="G149">
        <v>2.6852499999999999</v>
      </c>
      <c r="H149">
        <v>0</v>
      </c>
      <c r="I149">
        <v>0.50924800000000003</v>
      </c>
      <c r="J149">
        <v>3.6288</v>
      </c>
      <c r="K149" s="2">
        <v>8239020</v>
      </c>
      <c r="L149" s="1">
        <v>0</v>
      </c>
      <c r="M149" s="1">
        <v>0</v>
      </c>
      <c r="N149" s="1">
        <v>0</v>
      </c>
      <c r="O149" s="1">
        <v>0</v>
      </c>
      <c r="P149" s="2">
        <v>3957630</v>
      </c>
      <c r="Q149" s="1">
        <v>224759</v>
      </c>
      <c r="R149" s="1">
        <v>51290.3</v>
      </c>
      <c r="S149">
        <v>99.302199999999999</v>
      </c>
      <c r="T149">
        <v>98.274000000000001</v>
      </c>
      <c r="U149">
        <v>3.8902000000000001</v>
      </c>
      <c r="V149">
        <v>0</v>
      </c>
      <c r="W149">
        <v>1</v>
      </c>
      <c r="X149">
        <v>1.6375299999999999</v>
      </c>
      <c r="Y149">
        <v>1.5995699999999999</v>
      </c>
      <c r="Z149">
        <v>0</v>
      </c>
      <c r="AA149">
        <v>1.3247599999999999</v>
      </c>
      <c r="AB149">
        <v>2.1168</v>
      </c>
      <c r="AC149" s="2">
        <v>88174000</v>
      </c>
      <c r="AD149" s="1">
        <v>0</v>
      </c>
      <c r="AE149" s="1">
        <v>0</v>
      </c>
      <c r="AF149" s="1">
        <v>0</v>
      </c>
      <c r="AG149" s="1">
        <v>0</v>
      </c>
      <c r="AH149" s="2">
        <v>4236690</v>
      </c>
      <c r="AI149" s="1">
        <v>233123</v>
      </c>
      <c r="AJ149" s="1">
        <v>0</v>
      </c>
      <c r="AK149" s="8">
        <f t="shared" si="11"/>
        <v>44</v>
      </c>
      <c r="AL149" s="8">
        <f t="shared" si="10"/>
        <v>3</v>
      </c>
      <c r="AM149">
        <f t="shared" si="8"/>
        <v>0</v>
      </c>
      <c r="AN149">
        <f t="shared" si="9"/>
        <v>0</v>
      </c>
    </row>
    <row r="150" spans="1:40" x14ac:dyDescent="0.35">
      <c r="A150">
        <v>54.7697</v>
      </c>
      <c r="B150">
        <v>72.290000000000006</v>
      </c>
      <c r="C150">
        <v>3.9148000000000001</v>
      </c>
      <c r="D150">
        <v>0.11</v>
      </c>
      <c r="E150">
        <v>1</v>
      </c>
      <c r="F150">
        <v>2.57118</v>
      </c>
      <c r="G150">
        <v>2.6858900000000001</v>
      </c>
      <c r="H150">
        <v>0</v>
      </c>
      <c r="I150">
        <v>0.49610100000000001</v>
      </c>
      <c r="J150">
        <v>3.6288</v>
      </c>
      <c r="K150" s="2">
        <v>8360160</v>
      </c>
      <c r="L150" s="1">
        <v>0</v>
      </c>
      <c r="M150" s="1">
        <v>0</v>
      </c>
      <c r="N150" s="1">
        <v>0</v>
      </c>
      <c r="O150" s="1">
        <v>0</v>
      </c>
      <c r="P150" s="2">
        <v>3843850</v>
      </c>
      <c r="Q150" s="1">
        <v>121141</v>
      </c>
      <c r="R150" s="1">
        <v>154974</v>
      </c>
      <c r="S150">
        <v>99.302199999999999</v>
      </c>
      <c r="T150">
        <v>98.274000000000001</v>
      </c>
      <c r="U150">
        <v>5.1044499999999999</v>
      </c>
      <c r="V150">
        <v>0</v>
      </c>
      <c r="W150">
        <v>1</v>
      </c>
      <c r="X150">
        <v>1.7146600000000001</v>
      </c>
      <c r="Y150">
        <v>1.59995</v>
      </c>
      <c r="Z150">
        <v>0</v>
      </c>
      <c r="AA150">
        <v>1.2651600000000001</v>
      </c>
      <c r="AB150">
        <v>2.1168</v>
      </c>
      <c r="AC150" s="2">
        <v>88605700</v>
      </c>
      <c r="AD150" s="1">
        <v>0</v>
      </c>
      <c r="AE150" s="1">
        <v>0</v>
      </c>
      <c r="AF150" s="1">
        <v>0</v>
      </c>
      <c r="AG150" s="1">
        <v>0</v>
      </c>
      <c r="AH150" s="2">
        <v>4436240</v>
      </c>
      <c r="AI150" s="1">
        <v>431716</v>
      </c>
      <c r="AJ150" s="1">
        <v>0</v>
      </c>
      <c r="AK150" s="8">
        <f t="shared" si="11"/>
        <v>45</v>
      </c>
      <c r="AL150" s="8">
        <f t="shared" si="10"/>
        <v>3</v>
      </c>
      <c r="AM150">
        <f t="shared" si="8"/>
        <v>0</v>
      </c>
      <c r="AN150">
        <f t="shared" si="9"/>
        <v>0</v>
      </c>
    </row>
    <row r="151" spans="1:40" x14ac:dyDescent="0.35">
      <c r="A151">
        <v>57.711599999999997</v>
      </c>
      <c r="B151">
        <v>72.290000000000006</v>
      </c>
      <c r="C151">
        <v>6.0630699999999997</v>
      </c>
      <c r="D151">
        <v>0.13</v>
      </c>
      <c r="E151">
        <v>1</v>
      </c>
      <c r="F151">
        <v>2.5722</v>
      </c>
      <c r="G151">
        <v>2.6865299999999999</v>
      </c>
      <c r="H151">
        <v>0</v>
      </c>
      <c r="I151">
        <v>0.48183900000000002</v>
      </c>
      <c r="J151">
        <v>3.6288</v>
      </c>
      <c r="K151" s="2">
        <v>8481880</v>
      </c>
      <c r="L151" s="1">
        <v>0</v>
      </c>
      <c r="M151" s="1">
        <v>0</v>
      </c>
      <c r="N151" s="1">
        <v>0</v>
      </c>
      <c r="O151" s="1">
        <v>0</v>
      </c>
      <c r="P151" s="2">
        <v>3845370</v>
      </c>
      <c r="Q151" s="1">
        <v>121721</v>
      </c>
      <c r="R151" s="1">
        <v>154460</v>
      </c>
      <c r="S151">
        <v>99.302199999999999</v>
      </c>
      <c r="T151">
        <v>98.274000000000001</v>
      </c>
      <c r="U151">
        <v>6.8582999999999998</v>
      </c>
      <c r="V151">
        <v>0</v>
      </c>
      <c r="W151">
        <v>1</v>
      </c>
      <c r="X151">
        <v>1.7146600000000001</v>
      </c>
      <c r="Y151">
        <v>1.60033</v>
      </c>
      <c r="Z151">
        <v>0</v>
      </c>
      <c r="AA151">
        <v>1.3247500000000001</v>
      </c>
      <c r="AB151">
        <v>2.1168</v>
      </c>
      <c r="AC151" s="2">
        <v>89036400</v>
      </c>
      <c r="AD151" s="1">
        <v>0</v>
      </c>
      <c r="AE151" s="1">
        <v>0</v>
      </c>
      <c r="AF151" s="1">
        <v>0</v>
      </c>
      <c r="AG151" s="1">
        <v>0</v>
      </c>
      <c r="AH151" s="2">
        <v>4436240</v>
      </c>
      <c r="AI151" s="1">
        <v>430764</v>
      </c>
      <c r="AJ151" s="1">
        <v>0</v>
      </c>
      <c r="AK151" s="8">
        <f t="shared" si="11"/>
        <v>46</v>
      </c>
      <c r="AL151" s="8">
        <f t="shared" si="10"/>
        <v>3</v>
      </c>
      <c r="AM151">
        <f t="shared" si="8"/>
        <v>0</v>
      </c>
      <c r="AN151">
        <f t="shared" si="9"/>
        <v>0</v>
      </c>
    </row>
    <row r="152" spans="1:40" x14ac:dyDescent="0.35">
      <c r="A152">
        <v>60.066000000000003</v>
      </c>
      <c r="B152">
        <v>72.290000000000006</v>
      </c>
      <c r="C152">
        <v>5.4841899999999999</v>
      </c>
      <c r="D152">
        <v>0.13</v>
      </c>
      <c r="E152">
        <v>1</v>
      </c>
      <c r="F152">
        <v>2.5732200000000001</v>
      </c>
      <c r="G152">
        <v>2.6871700000000001</v>
      </c>
      <c r="H152">
        <v>0</v>
      </c>
      <c r="I152">
        <v>0.48203000000000001</v>
      </c>
      <c r="J152">
        <v>3.6288</v>
      </c>
      <c r="K152" s="2">
        <v>8604180</v>
      </c>
      <c r="L152" s="1">
        <v>0</v>
      </c>
      <c r="M152" s="1">
        <v>0</v>
      </c>
      <c r="N152" s="1">
        <v>0</v>
      </c>
      <c r="O152" s="1">
        <v>0</v>
      </c>
      <c r="P152" s="2">
        <v>3846890</v>
      </c>
      <c r="Q152" s="1">
        <v>122300</v>
      </c>
      <c r="R152" s="1">
        <v>153946</v>
      </c>
      <c r="S152">
        <v>99.302199999999999</v>
      </c>
      <c r="T152">
        <v>98.274000000000001</v>
      </c>
      <c r="U152">
        <v>7.3390000000000004</v>
      </c>
      <c r="V152">
        <v>0</v>
      </c>
      <c r="W152">
        <v>1</v>
      </c>
      <c r="X152">
        <v>1.7146600000000001</v>
      </c>
      <c r="Y152">
        <v>1.6007100000000001</v>
      </c>
      <c r="Z152">
        <v>0</v>
      </c>
      <c r="AA152">
        <v>1.3247500000000001</v>
      </c>
      <c r="AB152">
        <v>2.1168</v>
      </c>
      <c r="AC152" s="2">
        <v>89466200</v>
      </c>
      <c r="AD152" s="1">
        <v>0</v>
      </c>
      <c r="AE152" s="1">
        <v>0</v>
      </c>
      <c r="AF152" s="1">
        <v>0</v>
      </c>
      <c r="AG152" s="1">
        <v>0</v>
      </c>
      <c r="AH152" s="2">
        <v>4436240</v>
      </c>
      <c r="AI152" s="1">
        <v>429811</v>
      </c>
      <c r="AJ152" s="1">
        <v>0</v>
      </c>
      <c r="AK152" s="8">
        <f t="shared" si="11"/>
        <v>47</v>
      </c>
      <c r="AL152" s="8">
        <f t="shared" si="10"/>
        <v>3</v>
      </c>
      <c r="AM152">
        <f t="shared" si="8"/>
        <v>0</v>
      </c>
      <c r="AN152">
        <f t="shared" si="9"/>
        <v>0</v>
      </c>
    </row>
    <row r="153" spans="1:40" x14ac:dyDescent="0.35">
      <c r="A153">
        <v>62.030799999999999</v>
      </c>
      <c r="B153">
        <v>72.290000000000006</v>
      </c>
      <c r="C153">
        <v>4.9331300000000002</v>
      </c>
      <c r="D153">
        <v>0.09</v>
      </c>
      <c r="E153">
        <v>1</v>
      </c>
      <c r="F153">
        <v>2.37181</v>
      </c>
      <c r="G153">
        <v>2.4853800000000001</v>
      </c>
      <c r="H153">
        <v>0</v>
      </c>
      <c r="I153">
        <v>0.48222100000000001</v>
      </c>
      <c r="J153">
        <v>3.6288</v>
      </c>
      <c r="K153" s="2">
        <v>8706250</v>
      </c>
      <c r="L153" s="1">
        <v>0</v>
      </c>
      <c r="M153" s="1">
        <v>0</v>
      </c>
      <c r="N153" s="1">
        <v>0</v>
      </c>
      <c r="O153" s="1">
        <v>0</v>
      </c>
      <c r="P153" s="2">
        <v>3545800</v>
      </c>
      <c r="Q153" s="1">
        <v>102071</v>
      </c>
      <c r="R153" s="1">
        <v>153431</v>
      </c>
      <c r="S153">
        <v>99.302199999999999</v>
      </c>
      <c r="T153">
        <v>98.274000000000001</v>
      </c>
      <c r="U153">
        <v>6.1156800000000002</v>
      </c>
      <c r="V153">
        <v>0</v>
      </c>
      <c r="W153">
        <v>1</v>
      </c>
      <c r="X153">
        <v>1.5538400000000001</v>
      </c>
      <c r="Y153">
        <v>1.4402699999999999</v>
      </c>
      <c r="Z153">
        <v>0</v>
      </c>
      <c r="AA153">
        <v>1.3247500000000001</v>
      </c>
      <c r="AB153">
        <v>2.1168</v>
      </c>
      <c r="AC153" s="2">
        <v>89881500</v>
      </c>
      <c r="AD153" s="1">
        <v>0</v>
      </c>
      <c r="AE153" s="1">
        <v>0</v>
      </c>
      <c r="AF153" s="1">
        <v>0</v>
      </c>
      <c r="AG153" s="1">
        <v>0</v>
      </c>
      <c r="AH153" s="2">
        <v>4020150</v>
      </c>
      <c r="AI153" s="1">
        <v>415296</v>
      </c>
      <c r="AJ153" s="1">
        <v>0</v>
      </c>
      <c r="AK153" s="8">
        <f t="shared" si="11"/>
        <v>48</v>
      </c>
      <c r="AL153" s="8">
        <f t="shared" si="10"/>
        <v>3</v>
      </c>
      <c r="AM153">
        <f t="shared" si="8"/>
        <v>0</v>
      </c>
      <c r="AN153">
        <f t="shared" si="9"/>
        <v>0</v>
      </c>
    </row>
    <row r="154" spans="1:40" x14ac:dyDescent="0.35">
      <c r="A154">
        <v>67.495000000000005</v>
      </c>
      <c r="B154">
        <v>72.290000000000006</v>
      </c>
      <c r="C154">
        <v>8.2807399999999998</v>
      </c>
      <c r="D154">
        <v>0.09</v>
      </c>
      <c r="E154">
        <v>1</v>
      </c>
      <c r="F154">
        <v>2.2119599999999999</v>
      </c>
      <c r="G154">
        <v>2.4859800000000001</v>
      </c>
      <c r="H154">
        <v>0</v>
      </c>
      <c r="I154">
        <v>0.44447799999999998</v>
      </c>
      <c r="J154">
        <v>3.6288</v>
      </c>
      <c r="K154" s="2">
        <v>8591630</v>
      </c>
      <c r="L154" s="1">
        <v>0</v>
      </c>
      <c r="M154" s="1">
        <v>0</v>
      </c>
      <c r="N154" s="1">
        <v>0</v>
      </c>
      <c r="O154" s="1">
        <v>0</v>
      </c>
      <c r="P154" s="2">
        <v>3306830</v>
      </c>
      <c r="Q154" s="1">
        <v>-114625</v>
      </c>
      <c r="R154" s="1">
        <v>370188</v>
      </c>
      <c r="S154">
        <v>99.302199999999999</v>
      </c>
      <c r="T154">
        <v>98.274000000000001</v>
      </c>
      <c r="U154">
        <v>10.475099999999999</v>
      </c>
      <c r="V154">
        <v>0</v>
      </c>
      <c r="W154">
        <v>1</v>
      </c>
      <c r="X154">
        <v>1.71462</v>
      </c>
      <c r="Y154">
        <v>1.4406099999999999</v>
      </c>
      <c r="Z154">
        <v>0</v>
      </c>
      <c r="AA154">
        <v>1.2004900000000001</v>
      </c>
      <c r="AB154">
        <v>2.1168</v>
      </c>
      <c r="AC154" s="2">
        <v>90712000</v>
      </c>
      <c r="AD154" s="1">
        <v>0</v>
      </c>
      <c r="AE154" s="1">
        <v>0</v>
      </c>
      <c r="AF154" s="1">
        <v>0</v>
      </c>
      <c r="AG154" s="1">
        <v>0</v>
      </c>
      <c r="AH154" s="2">
        <v>4436140</v>
      </c>
      <c r="AI154" s="1">
        <v>830430</v>
      </c>
      <c r="AJ154" s="1">
        <v>0</v>
      </c>
      <c r="AK154" s="8">
        <f t="shared" si="11"/>
        <v>49</v>
      </c>
      <c r="AL154" s="8">
        <f t="shared" si="10"/>
        <v>3</v>
      </c>
      <c r="AM154">
        <f t="shared" si="8"/>
        <v>0</v>
      </c>
      <c r="AN154">
        <f t="shared" si="9"/>
        <v>0</v>
      </c>
    </row>
    <row r="155" spans="1:40" x14ac:dyDescent="0.35">
      <c r="A155">
        <v>70.378500000000003</v>
      </c>
      <c r="B155">
        <v>72.290000000000006</v>
      </c>
      <c r="C155">
        <v>5.7119499999999999</v>
      </c>
      <c r="D155">
        <v>0.03</v>
      </c>
      <c r="E155">
        <v>1</v>
      </c>
      <c r="F155">
        <v>2.2128999999999999</v>
      </c>
      <c r="G155">
        <v>2.4865699999999999</v>
      </c>
      <c r="H155">
        <v>0</v>
      </c>
      <c r="I155">
        <v>0.414522</v>
      </c>
      <c r="J155">
        <v>3.6288</v>
      </c>
      <c r="K155" s="2">
        <v>8477530</v>
      </c>
      <c r="L155" s="1">
        <v>0</v>
      </c>
      <c r="M155" s="1">
        <v>0</v>
      </c>
      <c r="N155" s="1">
        <v>0</v>
      </c>
      <c r="O155" s="1">
        <v>0</v>
      </c>
      <c r="P155" s="2">
        <v>3308220</v>
      </c>
      <c r="Q155" s="1">
        <v>-114102</v>
      </c>
      <c r="R155" s="1">
        <v>369726</v>
      </c>
      <c r="S155">
        <v>99.302199999999999</v>
      </c>
      <c r="T155">
        <v>98.274000000000001</v>
      </c>
      <c r="U155">
        <v>8.28721</v>
      </c>
      <c r="V155">
        <v>0</v>
      </c>
      <c r="W155">
        <v>1</v>
      </c>
      <c r="X155">
        <v>1.71462</v>
      </c>
      <c r="Y155">
        <v>1.44095</v>
      </c>
      <c r="Z155">
        <v>0</v>
      </c>
      <c r="AA155">
        <v>1.3247199999999999</v>
      </c>
      <c r="AB155">
        <v>2.1168</v>
      </c>
      <c r="AC155" s="2">
        <v>91541500</v>
      </c>
      <c r="AD155" s="1">
        <v>0</v>
      </c>
      <c r="AE155" s="1">
        <v>0</v>
      </c>
      <c r="AF155" s="1">
        <v>0</v>
      </c>
      <c r="AG155" s="1">
        <v>0</v>
      </c>
      <c r="AH155" s="2">
        <v>4436140</v>
      </c>
      <c r="AI155" s="1">
        <v>829572</v>
      </c>
      <c r="AJ155" s="1">
        <v>0</v>
      </c>
      <c r="AK155" s="8">
        <f t="shared" si="11"/>
        <v>50</v>
      </c>
      <c r="AL155" s="8">
        <f t="shared" si="10"/>
        <v>3</v>
      </c>
      <c r="AM155">
        <f t="shared" si="8"/>
        <v>0</v>
      </c>
      <c r="AN155">
        <f t="shared" si="9"/>
        <v>0</v>
      </c>
    </row>
    <row r="156" spans="1:40" x14ac:dyDescent="0.35">
      <c r="A156">
        <v>72.290000000000006</v>
      </c>
      <c r="B156">
        <v>72.290000000000006</v>
      </c>
      <c r="C156">
        <v>5.3723299999999998</v>
      </c>
      <c r="D156">
        <v>0.04</v>
      </c>
      <c r="E156">
        <v>1</v>
      </c>
      <c r="F156">
        <v>2.2138300000000002</v>
      </c>
      <c r="G156">
        <v>2.4871599999999998</v>
      </c>
      <c r="H156">
        <v>0</v>
      </c>
      <c r="I156">
        <v>0.41469699999999998</v>
      </c>
      <c r="J156">
        <v>3.6288</v>
      </c>
      <c r="K156" s="2">
        <v>8363950</v>
      </c>
      <c r="L156" s="1">
        <v>0</v>
      </c>
      <c r="M156" s="1">
        <v>0</v>
      </c>
      <c r="N156" s="1">
        <v>0</v>
      </c>
      <c r="O156" s="1">
        <v>0</v>
      </c>
      <c r="P156" s="2">
        <v>3309620</v>
      </c>
      <c r="Q156" s="1">
        <v>-113578</v>
      </c>
      <c r="R156" s="1">
        <v>369263</v>
      </c>
      <c r="S156">
        <v>99.302199999999999</v>
      </c>
      <c r="T156">
        <v>98.274000000000001</v>
      </c>
      <c r="U156">
        <v>10.291499999999999</v>
      </c>
      <c r="V156">
        <v>0</v>
      </c>
      <c r="W156">
        <v>1</v>
      </c>
      <c r="X156">
        <v>1.71462</v>
      </c>
      <c r="Y156">
        <v>1.44129</v>
      </c>
      <c r="Z156">
        <v>0</v>
      </c>
      <c r="AA156">
        <v>1.3247199999999999</v>
      </c>
      <c r="AB156">
        <v>2.1168</v>
      </c>
      <c r="AC156" s="2">
        <v>92370300</v>
      </c>
      <c r="AD156" s="1">
        <v>0</v>
      </c>
      <c r="AE156" s="1">
        <v>0</v>
      </c>
      <c r="AF156" s="1">
        <v>0</v>
      </c>
      <c r="AG156" s="1">
        <v>0</v>
      </c>
      <c r="AH156" s="2">
        <v>4436140</v>
      </c>
      <c r="AI156" s="1">
        <v>828715</v>
      </c>
      <c r="AJ156" s="1">
        <v>0</v>
      </c>
      <c r="AK156" s="8">
        <f t="shared" si="11"/>
        <v>51</v>
      </c>
      <c r="AL156" s="8">
        <f t="shared" si="10"/>
        <v>3</v>
      </c>
      <c r="AM156">
        <f t="shared" si="8"/>
        <v>0</v>
      </c>
      <c r="AN156">
        <f t="shared" si="9"/>
        <v>0</v>
      </c>
    </row>
    <row r="157" spans="1:40" x14ac:dyDescent="0.35">
      <c r="A157">
        <v>72.290000000000006</v>
      </c>
      <c r="B157">
        <v>72.290000000000006</v>
      </c>
      <c r="C157">
        <v>8.1997900000000001</v>
      </c>
      <c r="D157">
        <v>0.04</v>
      </c>
      <c r="E157">
        <v>1</v>
      </c>
      <c r="F157">
        <v>2.2147700000000001</v>
      </c>
      <c r="G157">
        <v>2.4877500000000001</v>
      </c>
      <c r="H157">
        <v>0</v>
      </c>
      <c r="I157">
        <v>0.41487200000000002</v>
      </c>
      <c r="J157">
        <v>3.6288</v>
      </c>
      <c r="K157" s="2">
        <v>8250890</v>
      </c>
      <c r="L157" s="1">
        <v>0</v>
      </c>
      <c r="M157" s="1">
        <v>0</v>
      </c>
      <c r="N157" s="1">
        <v>0</v>
      </c>
      <c r="O157" s="1">
        <v>0</v>
      </c>
      <c r="P157" s="2">
        <v>3311020</v>
      </c>
      <c r="Q157" s="1">
        <v>-113054</v>
      </c>
      <c r="R157" s="1">
        <v>368799</v>
      </c>
      <c r="S157">
        <v>99.302199999999999</v>
      </c>
      <c r="T157">
        <v>98.274000000000001</v>
      </c>
      <c r="U157">
        <v>14.8012</v>
      </c>
      <c r="V157">
        <v>0</v>
      </c>
      <c r="W157">
        <v>1</v>
      </c>
      <c r="X157">
        <v>1.71462</v>
      </c>
      <c r="Y157">
        <v>1.44164</v>
      </c>
      <c r="Z157">
        <v>0</v>
      </c>
      <c r="AA157">
        <v>1.3247199999999999</v>
      </c>
      <c r="AB157">
        <v>2.1168</v>
      </c>
      <c r="AC157" s="2">
        <v>93198100</v>
      </c>
      <c r="AD157" s="1">
        <v>0</v>
      </c>
      <c r="AE157" s="1">
        <v>0</v>
      </c>
      <c r="AF157" s="1">
        <v>0</v>
      </c>
      <c r="AG157" s="1">
        <v>0</v>
      </c>
      <c r="AH157" s="2">
        <v>4436140</v>
      </c>
      <c r="AI157" s="1">
        <v>827857</v>
      </c>
      <c r="AJ157" s="1">
        <v>0</v>
      </c>
      <c r="AK157" s="8">
        <f t="shared" si="11"/>
        <v>52</v>
      </c>
      <c r="AL157" s="8">
        <f t="shared" si="10"/>
        <v>3</v>
      </c>
      <c r="AM157">
        <f t="shared" si="8"/>
        <v>93198100</v>
      </c>
      <c r="AN157">
        <f t="shared" si="9"/>
        <v>8250890</v>
      </c>
    </row>
    <row r="158" spans="1:40" x14ac:dyDescent="0.35">
      <c r="A158">
        <v>72.290000000000006</v>
      </c>
      <c r="B158">
        <v>72.290000000000006</v>
      </c>
      <c r="C158">
        <v>8.0923200000000008</v>
      </c>
      <c r="D158">
        <v>0.05</v>
      </c>
      <c r="E158">
        <v>1</v>
      </c>
      <c r="F158">
        <v>2.2936399999999999</v>
      </c>
      <c r="G158">
        <v>2.5662799999999999</v>
      </c>
      <c r="H158">
        <v>0</v>
      </c>
      <c r="I158">
        <v>0.415047</v>
      </c>
      <c r="J158">
        <v>3.6288</v>
      </c>
      <c r="K158" s="2">
        <v>8146380</v>
      </c>
      <c r="L158" s="1">
        <v>0</v>
      </c>
      <c r="M158" s="1">
        <v>0</v>
      </c>
      <c r="N158" s="1">
        <v>0</v>
      </c>
      <c r="O158" s="1">
        <v>0</v>
      </c>
      <c r="P158" s="2">
        <v>3428940</v>
      </c>
      <c r="Q158" s="1">
        <v>-104517</v>
      </c>
      <c r="R158" s="1">
        <v>368336</v>
      </c>
      <c r="S158">
        <v>99.302199999999999</v>
      </c>
      <c r="T158">
        <v>98.274000000000001</v>
      </c>
      <c r="U158">
        <v>9.5694800000000004</v>
      </c>
      <c r="V158">
        <v>0</v>
      </c>
      <c r="W158">
        <v>1</v>
      </c>
      <c r="X158">
        <v>1.7612399999999999</v>
      </c>
      <c r="Y158">
        <v>1.4885999999999999</v>
      </c>
      <c r="Z158">
        <v>0</v>
      </c>
      <c r="AA158">
        <v>1.3247199999999999</v>
      </c>
      <c r="AB158">
        <v>2.1168</v>
      </c>
      <c r="AC158" s="2">
        <v>94029000</v>
      </c>
      <c r="AD158" s="1">
        <v>0</v>
      </c>
      <c r="AE158" s="1">
        <v>0</v>
      </c>
      <c r="AF158" s="1">
        <v>0</v>
      </c>
      <c r="AG158" s="1">
        <v>0</v>
      </c>
      <c r="AH158" s="2">
        <v>4556750</v>
      </c>
      <c r="AI158" s="1">
        <v>830930</v>
      </c>
      <c r="AJ158" s="1">
        <v>0</v>
      </c>
      <c r="AK158" s="8">
        <f t="shared" si="11"/>
        <v>1</v>
      </c>
      <c r="AL158" s="8">
        <f t="shared" si="10"/>
        <v>4</v>
      </c>
      <c r="AM158">
        <f t="shared" si="8"/>
        <v>0</v>
      </c>
      <c r="AN158">
        <f t="shared" si="9"/>
        <v>0</v>
      </c>
    </row>
    <row r="159" spans="1:40" x14ac:dyDescent="0.35">
      <c r="A159">
        <v>72.290000000000006</v>
      </c>
      <c r="B159">
        <v>72.290000000000006</v>
      </c>
      <c r="C159">
        <v>5.2112499999999997</v>
      </c>
      <c r="D159">
        <v>0.05</v>
      </c>
      <c r="E159">
        <v>1</v>
      </c>
      <c r="F159">
        <v>2.3411900000000001</v>
      </c>
      <c r="G159">
        <v>2.5668700000000002</v>
      </c>
      <c r="H159">
        <v>0</v>
      </c>
      <c r="I159">
        <v>0.42982900000000002</v>
      </c>
      <c r="J159">
        <v>3.6288</v>
      </c>
      <c r="K159" s="2">
        <v>8105360</v>
      </c>
      <c r="L159" s="1">
        <v>0</v>
      </c>
      <c r="M159" s="1">
        <v>0</v>
      </c>
      <c r="N159" s="1">
        <v>0</v>
      </c>
      <c r="O159" s="1">
        <v>0</v>
      </c>
      <c r="P159" s="2">
        <v>3500030</v>
      </c>
      <c r="Q159" s="1">
        <v>-41011.800000000003</v>
      </c>
      <c r="R159" s="1">
        <v>304891</v>
      </c>
      <c r="S159">
        <v>99.302199999999999</v>
      </c>
      <c r="T159">
        <v>98.274000000000001</v>
      </c>
      <c r="U159">
        <v>7.4806499999999998</v>
      </c>
      <c r="V159">
        <v>0</v>
      </c>
      <c r="W159">
        <v>1</v>
      </c>
      <c r="X159">
        <v>1.71462</v>
      </c>
      <c r="Y159">
        <v>1.4889399999999999</v>
      </c>
      <c r="Z159">
        <v>0</v>
      </c>
      <c r="AA159">
        <v>1.3607400000000001</v>
      </c>
      <c r="AB159">
        <v>2.1168</v>
      </c>
      <c r="AC159" s="2">
        <v>94738500</v>
      </c>
      <c r="AD159" s="1">
        <v>0</v>
      </c>
      <c r="AE159" s="1">
        <v>0</v>
      </c>
      <c r="AF159" s="1">
        <v>0</v>
      </c>
      <c r="AG159" s="1">
        <v>0</v>
      </c>
      <c r="AH159" s="2">
        <v>4436140</v>
      </c>
      <c r="AI159" s="1">
        <v>709457</v>
      </c>
      <c r="AJ159" s="1">
        <v>0</v>
      </c>
      <c r="AK159" s="8">
        <f t="shared" si="11"/>
        <v>2</v>
      </c>
      <c r="AL159" s="8">
        <f t="shared" si="10"/>
        <v>4</v>
      </c>
      <c r="AM159">
        <f t="shared" si="8"/>
        <v>0</v>
      </c>
      <c r="AN159">
        <f t="shared" si="9"/>
        <v>0</v>
      </c>
    </row>
    <row r="160" spans="1:40" x14ac:dyDescent="0.35">
      <c r="A160">
        <v>72.290000000000006</v>
      </c>
      <c r="B160">
        <v>72.290000000000006</v>
      </c>
      <c r="C160">
        <v>8.0519200000000009</v>
      </c>
      <c r="D160">
        <v>0.05</v>
      </c>
      <c r="E160">
        <v>1</v>
      </c>
      <c r="F160">
        <v>2.34213</v>
      </c>
      <c r="G160">
        <v>2.5674600000000001</v>
      </c>
      <c r="H160">
        <v>0</v>
      </c>
      <c r="I160">
        <v>0.43874000000000002</v>
      </c>
      <c r="J160">
        <v>3.6288</v>
      </c>
      <c r="K160" s="2">
        <v>8064880</v>
      </c>
      <c r="L160" s="1">
        <v>0</v>
      </c>
      <c r="M160" s="1">
        <v>0</v>
      </c>
      <c r="N160" s="1">
        <v>0</v>
      </c>
      <c r="O160" s="1">
        <v>0</v>
      </c>
      <c r="P160" s="2">
        <v>3501420</v>
      </c>
      <c r="Q160" s="1">
        <v>-40489.300000000003</v>
      </c>
      <c r="R160" s="1">
        <v>304430</v>
      </c>
      <c r="S160">
        <v>99.302199999999999</v>
      </c>
      <c r="T160">
        <v>98.274000000000001</v>
      </c>
      <c r="U160">
        <v>8.5141500000000008</v>
      </c>
      <c r="V160">
        <v>0</v>
      </c>
      <c r="W160">
        <v>1</v>
      </c>
      <c r="X160">
        <v>1.71462</v>
      </c>
      <c r="Y160">
        <v>1.4892799999999999</v>
      </c>
      <c r="Z160">
        <v>0</v>
      </c>
      <c r="AA160">
        <v>1.3247199999999999</v>
      </c>
      <c r="AB160">
        <v>2.1168</v>
      </c>
      <c r="AC160" s="2">
        <v>95447100</v>
      </c>
      <c r="AD160" s="1">
        <v>0</v>
      </c>
      <c r="AE160" s="1">
        <v>0</v>
      </c>
      <c r="AF160" s="1">
        <v>0</v>
      </c>
      <c r="AG160" s="1">
        <v>0</v>
      </c>
      <c r="AH160" s="2">
        <v>4436140</v>
      </c>
      <c r="AI160" s="1">
        <v>708602</v>
      </c>
      <c r="AJ160" s="1">
        <v>0</v>
      </c>
      <c r="AK160" s="8">
        <f t="shared" si="11"/>
        <v>3</v>
      </c>
      <c r="AL160" s="8">
        <f t="shared" si="10"/>
        <v>4</v>
      </c>
      <c r="AM160">
        <f t="shared" si="8"/>
        <v>0</v>
      </c>
      <c r="AN160">
        <f t="shared" si="9"/>
        <v>0</v>
      </c>
    </row>
    <row r="161" spans="1:40" x14ac:dyDescent="0.35">
      <c r="A161">
        <v>72.290000000000006</v>
      </c>
      <c r="B161">
        <v>72.290000000000006</v>
      </c>
      <c r="C161">
        <v>12.143700000000001</v>
      </c>
      <c r="D161">
        <v>0.05</v>
      </c>
      <c r="E161">
        <v>1</v>
      </c>
      <c r="F161">
        <v>2.3430599999999999</v>
      </c>
      <c r="G161">
        <v>2.5680499999999999</v>
      </c>
      <c r="H161">
        <v>0</v>
      </c>
      <c r="I161">
        <v>0.43891400000000003</v>
      </c>
      <c r="J161">
        <v>3.6288</v>
      </c>
      <c r="K161" s="2">
        <v>8024910</v>
      </c>
      <c r="L161" s="1">
        <v>0</v>
      </c>
      <c r="M161" s="1">
        <v>0</v>
      </c>
      <c r="N161" s="1">
        <v>0</v>
      </c>
      <c r="O161" s="1">
        <v>0</v>
      </c>
      <c r="P161" s="2">
        <v>3502810</v>
      </c>
      <c r="Q161" s="1">
        <v>-39966.6</v>
      </c>
      <c r="R161" s="1">
        <v>303967</v>
      </c>
      <c r="S161">
        <v>99.302199999999999</v>
      </c>
      <c r="T161">
        <v>98.274000000000001</v>
      </c>
      <c r="U161">
        <v>11.221500000000001</v>
      </c>
      <c r="V161">
        <v>0</v>
      </c>
      <c r="W161">
        <v>1</v>
      </c>
      <c r="X161">
        <v>1.71462</v>
      </c>
      <c r="Y161">
        <v>1.48963</v>
      </c>
      <c r="Z161">
        <v>0</v>
      </c>
      <c r="AA161">
        <v>1.3247199999999999</v>
      </c>
      <c r="AB161">
        <v>2.1168</v>
      </c>
      <c r="AC161" s="2">
        <v>96154900</v>
      </c>
      <c r="AD161" s="1">
        <v>0</v>
      </c>
      <c r="AE161" s="1">
        <v>0</v>
      </c>
      <c r="AF161" s="1">
        <v>0</v>
      </c>
      <c r="AG161" s="1">
        <v>0</v>
      </c>
      <c r="AH161" s="2">
        <v>4436140</v>
      </c>
      <c r="AI161" s="1">
        <v>707746</v>
      </c>
      <c r="AJ161" s="1">
        <v>0</v>
      </c>
      <c r="AK161" s="8">
        <f t="shared" si="11"/>
        <v>4</v>
      </c>
      <c r="AL161" s="8">
        <f t="shared" si="10"/>
        <v>4</v>
      </c>
      <c r="AM161">
        <f t="shared" si="8"/>
        <v>0</v>
      </c>
      <c r="AN161">
        <f t="shared" si="9"/>
        <v>0</v>
      </c>
    </row>
    <row r="162" spans="1:40" x14ac:dyDescent="0.35">
      <c r="A162">
        <v>72.290000000000006</v>
      </c>
      <c r="B162">
        <v>72.290000000000006</v>
      </c>
      <c r="C162">
        <v>16.480499999999999</v>
      </c>
      <c r="D162">
        <v>0.05</v>
      </c>
      <c r="E162">
        <v>1</v>
      </c>
      <c r="F162">
        <v>2.5945299999999998</v>
      </c>
      <c r="G162">
        <v>2.8191799999999998</v>
      </c>
      <c r="H162">
        <v>0</v>
      </c>
      <c r="I162">
        <v>0.43908900000000001</v>
      </c>
      <c r="J162">
        <v>3.6288</v>
      </c>
      <c r="K162" s="2">
        <v>8011220</v>
      </c>
      <c r="L162" s="1">
        <v>0</v>
      </c>
      <c r="M162" s="1">
        <v>0</v>
      </c>
      <c r="N162" s="1">
        <v>0</v>
      </c>
      <c r="O162" s="1">
        <v>0</v>
      </c>
      <c r="P162" s="2">
        <v>3878750</v>
      </c>
      <c r="Q162" s="1">
        <v>-13688</v>
      </c>
      <c r="R162" s="1">
        <v>303505</v>
      </c>
      <c r="S162">
        <v>99.302199999999999</v>
      </c>
      <c r="T162">
        <v>98.274000000000001</v>
      </c>
      <c r="U162">
        <v>13.3973</v>
      </c>
      <c r="V162">
        <v>0</v>
      </c>
      <c r="W162">
        <v>1</v>
      </c>
      <c r="X162">
        <v>1.88981</v>
      </c>
      <c r="Y162">
        <v>1.66516</v>
      </c>
      <c r="Z162">
        <v>0</v>
      </c>
      <c r="AA162">
        <v>1.3247199999999999</v>
      </c>
      <c r="AB162">
        <v>2.1168</v>
      </c>
      <c r="AC162" s="2">
        <v>96876500</v>
      </c>
      <c r="AD162" s="1">
        <v>0</v>
      </c>
      <c r="AE162" s="1">
        <v>0</v>
      </c>
      <c r="AF162" s="1">
        <v>0</v>
      </c>
      <c r="AG162" s="1">
        <v>0</v>
      </c>
      <c r="AH162" s="2">
        <v>4889390</v>
      </c>
      <c r="AI162" s="1">
        <v>721664</v>
      </c>
      <c r="AJ162" s="1">
        <v>0</v>
      </c>
      <c r="AK162" s="8">
        <f t="shared" si="11"/>
        <v>5</v>
      </c>
      <c r="AL162" s="8">
        <f t="shared" si="10"/>
        <v>4</v>
      </c>
      <c r="AM162">
        <f t="shared" si="8"/>
        <v>0</v>
      </c>
      <c r="AN162">
        <f t="shared" si="9"/>
        <v>0</v>
      </c>
    </row>
    <row r="163" spans="1:40" x14ac:dyDescent="0.35">
      <c r="A163">
        <v>72.290000000000006</v>
      </c>
      <c r="B163">
        <v>72.290000000000006</v>
      </c>
      <c r="C163">
        <v>11.214700000000001</v>
      </c>
      <c r="D163">
        <v>0.05</v>
      </c>
      <c r="E163">
        <v>1</v>
      </c>
      <c r="F163">
        <v>2.7707099999999998</v>
      </c>
      <c r="G163">
        <v>2.8198300000000001</v>
      </c>
      <c r="H163">
        <v>0</v>
      </c>
      <c r="I163">
        <v>0.48621500000000001</v>
      </c>
      <c r="J163">
        <v>3.6288</v>
      </c>
      <c r="K163" s="2">
        <v>8234740</v>
      </c>
      <c r="L163" s="1">
        <v>0</v>
      </c>
      <c r="M163" s="1">
        <v>0</v>
      </c>
      <c r="N163" s="1">
        <v>0</v>
      </c>
      <c r="O163" s="1">
        <v>0</v>
      </c>
      <c r="P163" s="2">
        <v>4142140</v>
      </c>
      <c r="Q163" s="1">
        <v>223518</v>
      </c>
      <c r="R163" s="1">
        <v>66365.899999999994</v>
      </c>
      <c r="S163">
        <v>99.302199999999999</v>
      </c>
      <c r="T163">
        <v>98.274000000000001</v>
      </c>
      <c r="U163">
        <v>9.7781800000000008</v>
      </c>
      <c r="V163">
        <v>0</v>
      </c>
      <c r="W163">
        <v>1</v>
      </c>
      <c r="X163">
        <v>1.7146600000000001</v>
      </c>
      <c r="Y163">
        <v>1.66554</v>
      </c>
      <c r="Z163">
        <v>0</v>
      </c>
      <c r="AA163">
        <v>1.46007</v>
      </c>
      <c r="AB163">
        <v>2.1168</v>
      </c>
      <c r="AC163" s="2">
        <v>97144100</v>
      </c>
      <c r="AD163" s="1">
        <v>0</v>
      </c>
      <c r="AE163" s="1">
        <v>0</v>
      </c>
      <c r="AF163" s="1">
        <v>0</v>
      </c>
      <c r="AG163" s="1">
        <v>0</v>
      </c>
      <c r="AH163" s="2">
        <v>4436240</v>
      </c>
      <c r="AI163" s="1">
        <v>267557</v>
      </c>
      <c r="AJ163" s="1">
        <v>0</v>
      </c>
      <c r="AK163" s="8">
        <f t="shared" si="11"/>
        <v>6</v>
      </c>
      <c r="AL163" s="8">
        <f t="shared" si="10"/>
        <v>4</v>
      </c>
      <c r="AM163">
        <f t="shared" si="8"/>
        <v>0</v>
      </c>
      <c r="AN163">
        <f t="shared" si="9"/>
        <v>0</v>
      </c>
    </row>
    <row r="164" spans="1:40" x14ac:dyDescent="0.35">
      <c r="A164">
        <v>72.290000000000006</v>
      </c>
      <c r="B164">
        <v>72.290000000000006</v>
      </c>
      <c r="C164">
        <v>7.2092200000000002</v>
      </c>
      <c r="D164">
        <v>0.05</v>
      </c>
      <c r="E164">
        <v>1</v>
      </c>
      <c r="F164">
        <v>2.7717399999999999</v>
      </c>
      <c r="G164">
        <v>2.8204799999999999</v>
      </c>
      <c r="H164">
        <v>0</v>
      </c>
      <c r="I164">
        <v>0.51922999999999997</v>
      </c>
      <c r="J164">
        <v>3.6288</v>
      </c>
      <c r="K164" s="2">
        <v>8458840</v>
      </c>
      <c r="L164" s="1">
        <v>0</v>
      </c>
      <c r="M164" s="1">
        <v>0</v>
      </c>
      <c r="N164" s="1">
        <v>0</v>
      </c>
      <c r="O164" s="1">
        <v>0</v>
      </c>
      <c r="P164" s="2">
        <v>4143680</v>
      </c>
      <c r="Q164" s="1">
        <v>224102</v>
      </c>
      <c r="R164" s="1">
        <v>65849.100000000006</v>
      </c>
      <c r="S164">
        <v>99.302199999999999</v>
      </c>
      <c r="T164">
        <v>98.274000000000001</v>
      </c>
      <c r="U164">
        <v>6.1602499999999996</v>
      </c>
      <c r="V164">
        <v>0</v>
      </c>
      <c r="W164">
        <v>1</v>
      </c>
      <c r="X164">
        <v>1.7146600000000001</v>
      </c>
      <c r="Y164">
        <v>1.6659200000000001</v>
      </c>
      <c r="Z164">
        <v>0</v>
      </c>
      <c r="AA164">
        <v>1.3247500000000001</v>
      </c>
      <c r="AB164">
        <v>2.1168</v>
      </c>
      <c r="AC164" s="2">
        <v>97410700</v>
      </c>
      <c r="AD164" s="1">
        <v>0</v>
      </c>
      <c r="AE164" s="1">
        <v>0</v>
      </c>
      <c r="AF164" s="1">
        <v>0</v>
      </c>
      <c r="AG164" s="1">
        <v>0</v>
      </c>
      <c r="AH164" s="2">
        <v>4436240</v>
      </c>
      <c r="AI164" s="1">
        <v>266599</v>
      </c>
      <c r="AJ164" s="1">
        <v>0</v>
      </c>
      <c r="AK164" s="8">
        <f t="shared" si="11"/>
        <v>7</v>
      </c>
      <c r="AL164" s="8">
        <f t="shared" si="10"/>
        <v>4</v>
      </c>
      <c r="AM164">
        <f t="shared" si="8"/>
        <v>0</v>
      </c>
      <c r="AN164">
        <f t="shared" si="9"/>
        <v>0</v>
      </c>
    </row>
    <row r="165" spans="1:40" x14ac:dyDescent="0.35">
      <c r="A165">
        <v>72.290000000000006</v>
      </c>
      <c r="B165">
        <v>72.290000000000006</v>
      </c>
      <c r="C165">
        <v>5.8888699999999998</v>
      </c>
      <c r="D165">
        <v>0.05</v>
      </c>
      <c r="E165">
        <v>1</v>
      </c>
      <c r="F165">
        <v>2.77277</v>
      </c>
      <c r="G165">
        <v>2.8211300000000001</v>
      </c>
      <c r="H165">
        <v>0</v>
      </c>
      <c r="I165">
        <v>0.51942299999999997</v>
      </c>
      <c r="J165">
        <v>3.6288</v>
      </c>
      <c r="K165" s="2">
        <v>8683530</v>
      </c>
      <c r="L165" s="1">
        <v>0</v>
      </c>
      <c r="M165" s="1">
        <v>0</v>
      </c>
      <c r="N165" s="1">
        <v>0</v>
      </c>
      <c r="O165" s="1">
        <v>0</v>
      </c>
      <c r="P165" s="2">
        <v>4145220</v>
      </c>
      <c r="Q165" s="1">
        <v>224685</v>
      </c>
      <c r="R165" s="1">
        <v>65332.4</v>
      </c>
      <c r="S165">
        <v>99.302199999999999</v>
      </c>
      <c r="T165">
        <v>98.274000000000001</v>
      </c>
      <c r="U165">
        <v>6.5852700000000004</v>
      </c>
      <c r="V165">
        <v>0</v>
      </c>
      <c r="W165">
        <v>1</v>
      </c>
      <c r="X165">
        <v>1.7146600000000001</v>
      </c>
      <c r="Y165">
        <v>1.6662999999999999</v>
      </c>
      <c r="Z165">
        <v>0</v>
      </c>
      <c r="AA165">
        <v>1.3247500000000001</v>
      </c>
      <c r="AB165">
        <v>2.1168</v>
      </c>
      <c r="AC165" s="2">
        <v>97676300</v>
      </c>
      <c r="AD165" s="1">
        <v>0</v>
      </c>
      <c r="AE165" s="1">
        <v>0</v>
      </c>
      <c r="AF165" s="1">
        <v>0</v>
      </c>
      <c r="AG165" s="1">
        <v>0</v>
      </c>
      <c r="AH165" s="2">
        <v>4436240</v>
      </c>
      <c r="AI165" s="1">
        <v>265642</v>
      </c>
      <c r="AJ165" s="1">
        <v>0</v>
      </c>
      <c r="AK165" s="8">
        <f t="shared" si="11"/>
        <v>8</v>
      </c>
      <c r="AL165" s="8">
        <f t="shared" si="10"/>
        <v>4</v>
      </c>
      <c r="AM165">
        <f t="shared" si="8"/>
        <v>0</v>
      </c>
      <c r="AN165">
        <f t="shared" si="9"/>
        <v>0</v>
      </c>
    </row>
    <row r="166" spans="1:40" x14ac:dyDescent="0.35">
      <c r="A166">
        <v>72.290000000000006</v>
      </c>
      <c r="B166">
        <v>72.290000000000006</v>
      </c>
      <c r="C166">
        <v>5.98895</v>
      </c>
      <c r="D166">
        <v>0.05</v>
      </c>
      <c r="E166">
        <v>1</v>
      </c>
      <c r="F166">
        <v>2.4161199999999998</v>
      </c>
      <c r="G166">
        <v>2.4641000000000002</v>
      </c>
      <c r="H166">
        <v>0</v>
      </c>
      <c r="I166">
        <v>0.51961599999999997</v>
      </c>
      <c r="J166">
        <v>3.6288</v>
      </c>
      <c r="K166" s="2">
        <v>8872020</v>
      </c>
      <c r="L166" s="1">
        <v>0</v>
      </c>
      <c r="M166" s="1">
        <v>0</v>
      </c>
      <c r="N166" s="1">
        <v>0</v>
      </c>
      <c r="O166" s="1">
        <v>0</v>
      </c>
      <c r="P166" s="2">
        <v>3612040</v>
      </c>
      <c r="Q166" s="1">
        <v>188498</v>
      </c>
      <c r="R166" s="1">
        <v>64815.5</v>
      </c>
      <c r="S166">
        <v>99.302199999999999</v>
      </c>
      <c r="T166">
        <v>98.274000000000001</v>
      </c>
      <c r="U166">
        <v>5.9005099999999997</v>
      </c>
      <c r="V166">
        <v>0</v>
      </c>
      <c r="W166">
        <v>1</v>
      </c>
      <c r="X166">
        <v>1.4793400000000001</v>
      </c>
      <c r="Y166">
        <v>1.43137</v>
      </c>
      <c r="Z166">
        <v>0</v>
      </c>
      <c r="AA166">
        <v>1.3247500000000001</v>
      </c>
      <c r="AB166">
        <v>2.1168</v>
      </c>
      <c r="AC166" s="2">
        <v>97921200</v>
      </c>
      <c r="AD166" s="1">
        <v>0</v>
      </c>
      <c r="AE166" s="1">
        <v>0</v>
      </c>
      <c r="AF166" s="1">
        <v>0</v>
      </c>
      <c r="AG166" s="1">
        <v>0</v>
      </c>
      <c r="AH166" s="2">
        <v>3827410</v>
      </c>
      <c r="AI166" s="1">
        <v>244839</v>
      </c>
      <c r="AJ166" s="1">
        <v>0</v>
      </c>
      <c r="AK166" s="8">
        <f t="shared" si="11"/>
        <v>9</v>
      </c>
      <c r="AL166" s="8">
        <f t="shared" si="10"/>
        <v>4</v>
      </c>
      <c r="AM166">
        <f t="shared" si="8"/>
        <v>0</v>
      </c>
      <c r="AN166">
        <f t="shared" si="9"/>
        <v>0</v>
      </c>
    </row>
    <row r="167" spans="1:40" x14ac:dyDescent="0.35">
      <c r="A167">
        <v>72.290000000000006</v>
      </c>
      <c r="B167">
        <v>72.290000000000006</v>
      </c>
      <c r="C167">
        <v>11.6015</v>
      </c>
      <c r="D167">
        <v>0.05</v>
      </c>
      <c r="E167">
        <v>1</v>
      </c>
      <c r="F167">
        <v>2.1817500000000001</v>
      </c>
      <c r="G167">
        <v>2.4646599999999999</v>
      </c>
      <c r="H167">
        <v>0</v>
      </c>
      <c r="I167">
        <v>0.45278099999999999</v>
      </c>
      <c r="J167">
        <v>3.6288</v>
      </c>
      <c r="K167" s="2">
        <v>8743180</v>
      </c>
      <c r="L167" s="1">
        <v>0</v>
      </c>
      <c r="M167" s="1">
        <v>0</v>
      </c>
      <c r="N167" s="1">
        <v>0</v>
      </c>
      <c r="O167" s="1">
        <v>0</v>
      </c>
      <c r="P167" s="2">
        <v>3261660</v>
      </c>
      <c r="Q167" s="1">
        <v>-128842</v>
      </c>
      <c r="R167" s="1">
        <v>382214</v>
      </c>
      <c r="S167">
        <v>99.302199999999999</v>
      </c>
      <c r="T167">
        <v>98.274000000000001</v>
      </c>
      <c r="U167">
        <v>11.3475</v>
      </c>
      <c r="V167">
        <v>0</v>
      </c>
      <c r="W167">
        <v>1</v>
      </c>
      <c r="X167">
        <v>1.71461</v>
      </c>
      <c r="Y167">
        <v>1.4316899999999999</v>
      </c>
      <c r="Z167">
        <v>0</v>
      </c>
      <c r="AA167">
        <v>1.1429400000000001</v>
      </c>
      <c r="AB167">
        <v>2.1168</v>
      </c>
      <c r="AC167" s="2">
        <v>98773900</v>
      </c>
      <c r="AD167" s="1">
        <v>0</v>
      </c>
      <c r="AE167" s="1">
        <v>0</v>
      </c>
      <c r="AF167" s="1">
        <v>0</v>
      </c>
      <c r="AG167" s="1">
        <v>0</v>
      </c>
      <c r="AH167" s="2">
        <v>4436100</v>
      </c>
      <c r="AI167" s="1">
        <v>852708</v>
      </c>
      <c r="AJ167" s="1">
        <v>0</v>
      </c>
      <c r="AK167" s="8">
        <f t="shared" si="11"/>
        <v>10</v>
      </c>
      <c r="AL167" s="8">
        <f t="shared" si="10"/>
        <v>4</v>
      </c>
      <c r="AM167">
        <f t="shared" si="8"/>
        <v>0</v>
      </c>
      <c r="AN167">
        <f t="shared" si="9"/>
        <v>0</v>
      </c>
    </row>
    <row r="168" spans="1:40" x14ac:dyDescent="0.35">
      <c r="A168">
        <v>72.290000000000006</v>
      </c>
      <c r="B168">
        <v>72.290000000000006</v>
      </c>
      <c r="C168">
        <v>8.7588899999999992</v>
      </c>
      <c r="D168">
        <v>0.05</v>
      </c>
      <c r="E168">
        <v>1</v>
      </c>
      <c r="F168">
        <v>2.1826400000000001</v>
      </c>
      <c r="G168">
        <v>2.46523</v>
      </c>
      <c r="H168">
        <v>0</v>
      </c>
      <c r="I168">
        <v>0.40885899999999997</v>
      </c>
      <c r="J168">
        <v>3.6288</v>
      </c>
      <c r="K168" s="2">
        <v>8614840</v>
      </c>
      <c r="L168" s="1">
        <v>0</v>
      </c>
      <c r="M168" s="1">
        <v>0</v>
      </c>
      <c r="N168" s="1">
        <v>0</v>
      </c>
      <c r="O168" s="1">
        <v>0</v>
      </c>
      <c r="P168" s="2">
        <v>3262990</v>
      </c>
      <c r="Q168" s="1">
        <v>-128340</v>
      </c>
      <c r="R168" s="1">
        <v>381770</v>
      </c>
      <c r="S168">
        <v>99.302199999999999</v>
      </c>
      <c r="T168">
        <v>98.274000000000001</v>
      </c>
      <c r="U168">
        <v>8.98902</v>
      </c>
      <c r="V168">
        <v>0</v>
      </c>
      <c r="W168">
        <v>1</v>
      </c>
      <c r="X168">
        <v>1.71461</v>
      </c>
      <c r="Y168">
        <v>1.4320200000000001</v>
      </c>
      <c r="Z168">
        <v>0</v>
      </c>
      <c r="AA168">
        <v>1.3247100000000001</v>
      </c>
      <c r="AB168">
        <v>2.1168</v>
      </c>
      <c r="AC168" s="2">
        <v>99625700</v>
      </c>
      <c r="AD168" s="1">
        <v>0</v>
      </c>
      <c r="AE168" s="1">
        <v>0</v>
      </c>
      <c r="AF168" s="1">
        <v>0</v>
      </c>
      <c r="AG168" s="1">
        <v>0</v>
      </c>
      <c r="AH168" s="2">
        <v>4436100</v>
      </c>
      <c r="AI168" s="1">
        <v>851885</v>
      </c>
      <c r="AJ168" s="1">
        <v>0</v>
      </c>
      <c r="AK168" s="8">
        <f t="shared" si="11"/>
        <v>11</v>
      </c>
      <c r="AL168" s="8">
        <f t="shared" si="10"/>
        <v>4</v>
      </c>
      <c r="AM168">
        <f t="shared" si="8"/>
        <v>0</v>
      </c>
      <c r="AN168">
        <f t="shared" si="9"/>
        <v>0</v>
      </c>
    </row>
    <row r="169" spans="1:40" x14ac:dyDescent="0.35">
      <c r="A169">
        <v>72.290000000000006</v>
      </c>
      <c r="B169">
        <v>72.290000000000006</v>
      </c>
      <c r="C169">
        <v>8.8773400000000002</v>
      </c>
      <c r="D169">
        <v>0.05</v>
      </c>
      <c r="E169">
        <v>1</v>
      </c>
      <c r="F169">
        <v>2.1835399999999998</v>
      </c>
      <c r="G169">
        <v>2.4657900000000001</v>
      </c>
      <c r="H169">
        <v>0</v>
      </c>
      <c r="I169">
        <v>0.40902699999999997</v>
      </c>
      <c r="J169">
        <v>3.6288</v>
      </c>
      <c r="K169" s="2">
        <v>8487000</v>
      </c>
      <c r="L169" s="1">
        <v>0</v>
      </c>
      <c r="M169" s="1">
        <v>0</v>
      </c>
      <c r="N169" s="1">
        <v>0</v>
      </c>
      <c r="O169" s="1">
        <v>0</v>
      </c>
      <c r="P169" s="2">
        <v>3264330</v>
      </c>
      <c r="Q169" s="1">
        <v>-127837</v>
      </c>
      <c r="R169" s="1">
        <v>381326</v>
      </c>
      <c r="S169">
        <v>99.302199999999999</v>
      </c>
      <c r="T169">
        <v>98.274000000000001</v>
      </c>
      <c r="U169">
        <v>6.5747999999999998</v>
      </c>
      <c r="V169">
        <v>0</v>
      </c>
      <c r="W169">
        <v>1</v>
      </c>
      <c r="X169">
        <v>1.71461</v>
      </c>
      <c r="Y169">
        <v>1.43235</v>
      </c>
      <c r="Z169">
        <v>0</v>
      </c>
      <c r="AA169">
        <v>1.3247100000000001</v>
      </c>
      <c r="AB169">
        <v>2.1168</v>
      </c>
      <c r="AC169" s="2">
        <v>100477000</v>
      </c>
      <c r="AD169" s="1">
        <v>0</v>
      </c>
      <c r="AE169" s="1">
        <v>0</v>
      </c>
      <c r="AF169" s="1">
        <v>0</v>
      </c>
      <c r="AG169" s="1">
        <v>0</v>
      </c>
      <c r="AH169" s="2">
        <v>4436100</v>
      </c>
      <c r="AI169" s="1">
        <v>851062</v>
      </c>
      <c r="AJ169" s="1">
        <v>0</v>
      </c>
      <c r="AK169" s="8">
        <f t="shared" si="11"/>
        <v>12</v>
      </c>
      <c r="AL169" s="8">
        <f t="shared" si="10"/>
        <v>4</v>
      </c>
      <c r="AM169">
        <f t="shared" si="8"/>
        <v>0</v>
      </c>
      <c r="AN169">
        <f t="shared" si="9"/>
        <v>0</v>
      </c>
    </row>
    <row r="170" spans="1:40" x14ac:dyDescent="0.35">
      <c r="A170">
        <v>72.290000000000006</v>
      </c>
      <c r="B170">
        <v>72.290000000000006</v>
      </c>
      <c r="C170">
        <v>6.1588599999999998</v>
      </c>
      <c r="D170">
        <v>0.05</v>
      </c>
      <c r="E170">
        <v>1</v>
      </c>
      <c r="F170">
        <v>2.1844299999999999</v>
      </c>
      <c r="G170">
        <v>2.4663599999999999</v>
      </c>
      <c r="H170">
        <v>0</v>
      </c>
      <c r="I170">
        <v>0.40919499999999998</v>
      </c>
      <c r="J170">
        <v>3.6288</v>
      </c>
      <c r="K170" s="2">
        <v>8359670</v>
      </c>
      <c r="L170" s="1">
        <v>0</v>
      </c>
      <c r="M170" s="1">
        <v>0</v>
      </c>
      <c r="N170" s="1">
        <v>0</v>
      </c>
      <c r="O170" s="1">
        <v>0</v>
      </c>
      <c r="P170" s="2">
        <v>3265670</v>
      </c>
      <c r="Q170" s="1">
        <v>-127335</v>
      </c>
      <c r="R170" s="1">
        <v>380882</v>
      </c>
      <c r="S170">
        <v>99.302199999999999</v>
      </c>
      <c r="T170">
        <v>98.274000000000001</v>
      </c>
      <c r="U170">
        <v>4.5642500000000004</v>
      </c>
      <c r="V170">
        <v>0</v>
      </c>
      <c r="W170">
        <v>1</v>
      </c>
      <c r="X170">
        <v>1.71461</v>
      </c>
      <c r="Y170">
        <v>1.43268</v>
      </c>
      <c r="Z170">
        <v>0</v>
      </c>
      <c r="AA170">
        <v>1.3247100000000001</v>
      </c>
      <c r="AB170">
        <v>2.1168</v>
      </c>
      <c r="AC170" s="2">
        <v>101327000</v>
      </c>
      <c r="AD170" s="1">
        <v>0</v>
      </c>
      <c r="AE170" s="1">
        <v>0</v>
      </c>
      <c r="AF170" s="1">
        <v>0</v>
      </c>
      <c r="AG170" s="1">
        <v>0</v>
      </c>
      <c r="AH170" s="2">
        <v>4436100</v>
      </c>
      <c r="AI170" s="1">
        <v>850239</v>
      </c>
      <c r="AJ170" s="1">
        <v>0</v>
      </c>
      <c r="AK170" s="8">
        <f t="shared" si="11"/>
        <v>13</v>
      </c>
      <c r="AL170" s="8">
        <f t="shared" si="10"/>
        <v>4</v>
      </c>
      <c r="AM170">
        <f t="shared" si="8"/>
        <v>0</v>
      </c>
      <c r="AN170">
        <f t="shared" si="9"/>
        <v>0</v>
      </c>
    </row>
    <row r="171" spans="1:40" x14ac:dyDescent="0.35">
      <c r="A171">
        <v>72.290000000000006</v>
      </c>
      <c r="B171">
        <v>72.290000000000006</v>
      </c>
      <c r="C171">
        <v>7.7290799999999997</v>
      </c>
      <c r="D171">
        <v>0.05</v>
      </c>
      <c r="E171">
        <v>1</v>
      </c>
      <c r="F171">
        <v>2.2754599999999998</v>
      </c>
      <c r="G171">
        <v>2.5570599999999999</v>
      </c>
      <c r="H171">
        <v>0</v>
      </c>
      <c r="I171">
        <v>0.40936299999999998</v>
      </c>
      <c r="J171">
        <v>3.6288</v>
      </c>
      <c r="K171" s="2">
        <v>8242100</v>
      </c>
      <c r="L171" s="1">
        <v>0</v>
      </c>
      <c r="M171" s="1">
        <v>0</v>
      </c>
      <c r="N171" s="1">
        <v>0</v>
      </c>
      <c r="O171" s="1">
        <v>0</v>
      </c>
      <c r="P171" s="2">
        <v>3401760</v>
      </c>
      <c r="Q171" s="1">
        <v>-117566</v>
      </c>
      <c r="R171" s="1">
        <v>380437</v>
      </c>
      <c r="S171">
        <v>99.302199999999999</v>
      </c>
      <c r="T171">
        <v>98.274000000000001</v>
      </c>
      <c r="U171">
        <v>7.9395699999999998</v>
      </c>
      <c r="V171">
        <v>0</v>
      </c>
      <c r="W171">
        <v>1</v>
      </c>
      <c r="X171">
        <v>1.77224</v>
      </c>
      <c r="Y171">
        <v>1.49064</v>
      </c>
      <c r="Z171">
        <v>0</v>
      </c>
      <c r="AA171">
        <v>1.3247100000000001</v>
      </c>
      <c r="AB171">
        <v>2.1168</v>
      </c>
      <c r="AC171" s="2">
        <v>102181000</v>
      </c>
      <c r="AD171" s="1">
        <v>0</v>
      </c>
      <c r="AE171" s="1">
        <v>0</v>
      </c>
      <c r="AF171" s="1">
        <v>0</v>
      </c>
      <c r="AG171" s="1">
        <v>0</v>
      </c>
      <c r="AH171" s="2">
        <v>4585220</v>
      </c>
      <c r="AI171" s="1">
        <v>854276</v>
      </c>
      <c r="AJ171" s="1">
        <v>0</v>
      </c>
      <c r="AK171" s="8">
        <f t="shared" si="11"/>
        <v>14</v>
      </c>
      <c r="AL171" s="8">
        <f t="shared" si="10"/>
        <v>4</v>
      </c>
      <c r="AM171">
        <f t="shared" si="8"/>
        <v>0</v>
      </c>
      <c r="AN171">
        <f t="shared" si="9"/>
        <v>0</v>
      </c>
    </row>
    <row r="172" spans="1:40" x14ac:dyDescent="0.35">
      <c r="A172">
        <v>72.290000000000006</v>
      </c>
      <c r="B172">
        <v>72.290000000000006</v>
      </c>
      <c r="C172">
        <v>9.1717899999999997</v>
      </c>
      <c r="D172">
        <v>0.05</v>
      </c>
      <c r="E172">
        <v>1</v>
      </c>
      <c r="F172">
        <v>2.3340100000000001</v>
      </c>
      <c r="G172">
        <v>2.5576500000000002</v>
      </c>
      <c r="H172">
        <v>0</v>
      </c>
      <c r="I172">
        <v>0.42642200000000002</v>
      </c>
      <c r="J172">
        <v>3.6288</v>
      </c>
      <c r="K172" s="2">
        <v>8202910</v>
      </c>
      <c r="L172" s="1">
        <v>0</v>
      </c>
      <c r="M172" s="1">
        <v>0</v>
      </c>
      <c r="N172" s="1">
        <v>0</v>
      </c>
      <c r="O172" s="1">
        <v>0</v>
      </c>
      <c r="P172" s="2">
        <v>3489290</v>
      </c>
      <c r="Q172" s="1">
        <v>-39197.699999999997</v>
      </c>
      <c r="R172" s="1">
        <v>302129</v>
      </c>
      <c r="S172">
        <v>99.302199999999999</v>
      </c>
      <c r="T172">
        <v>98.274000000000001</v>
      </c>
      <c r="U172">
        <v>9.2325999999999997</v>
      </c>
      <c r="V172">
        <v>0</v>
      </c>
      <c r="W172">
        <v>1</v>
      </c>
      <c r="X172">
        <v>1.71462</v>
      </c>
      <c r="Y172">
        <v>1.49099</v>
      </c>
      <c r="Z172">
        <v>0</v>
      </c>
      <c r="AA172">
        <v>1.36924</v>
      </c>
      <c r="AB172">
        <v>2.1168</v>
      </c>
      <c r="AC172" s="2">
        <v>102886000</v>
      </c>
      <c r="AD172" s="1">
        <v>0</v>
      </c>
      <c r="AE172" s="1">
        <v>0</v>
      </c>
      <c r="AF172" s="1">
        <v>0</v>
      </c>
      <c r="AG172" s="1">
        <v>0</v>
      </c>
      <c r="AH172" s="2">
        <v>4436140</v>
      </c>
      <c r="AI172" s="1">
        <v>704340</v>
      </c>
      <c r="AJ172" s="1">
        <v>0</v>
      </c>
      <c r="AK172" s="8">
        <f t="shared" si="11"/>
        <v>15</v>
      </c>
      <c r="AL172" s="8">
        <f t="shared" si="10"/>
        <v>4</v>
      </c>
      <c r="AM172">
        <f t="shared" si="8"/>
        <v>0</v>
      </c>
      <c r="AN172">
        <f t="shared" si="9"/>
        <v>0</v>
      </c>
    </row>
    <row r="173" spans="1:40" x14ac:dyDescent="0.35">
      <c r="A173">
        <v>72.290000000000006</v>
      </c>
      <c r="B173">
        <v>72.290000000000006</v>
      </c>
      <c r="C173">
        <v>7.6414799999999996</v>
      </c>
      <c r="D173">
        <v>0.05</v>
      </c>
      <c r="E173">
        <v>1</v>
      </c>
      <c r="F173">
        <v>2.33494</v>
      </c>
      <c r="G173">
        <v>2.5582400000000001</v>
      </c>
      <c r="H173">
        <v>0</v>
      </c>
      <c r="I173">
        <v>0.43739400000000001</v>
      </c>
      <c r="J173">
        <v>3.6288</v>
      </c>
      <c r="K173" s="2">
        <v>8164230</v>
      </c>
      <c r="L173" s="1">
        <v>0</v>
      </c>
      <c r="M173" s="1">
        <v>0</v>
      </c>
      <c r="N173" s="1">
        <v>0</v>
      </c>
      <c r="O173" s="1">
        <v>0</v>
      </c>
      <c r="P173" s="2">
        <v>3490680</v>
      </c>
      <c r="Q173" s="1">
        <v>-38674.699999999997</v>
      </c>
      <c r="R173" s="1">
        <v>301667</v>
      </c>
      <c r="S173">
        <v>99.302199999999999</v>
      </c>
      <c r="T173">
        <v>98.274000000000001</v>
      </c>
      <c r="U173">
        <v>8.5619599999999991</v>
      </c>
      <c r="V173">
        <v>0</v>
      </c>
      <c r="W173">
        <v>1</v>
      </c>
      <c r="X173">
        <v>1.71462</v>
      </c>
      <c r="Y173">
        <v>1.49133</v>
      </c>
      <c r="Z173">
        <v>0</v>
      </c>
      <c r="AA173">
        <v>1.3247199999999999</v>
      </c>
      <c r="AB173">
        <v>2.1168</v>
      </c>
      <c r="AC173" s="2">
        <v>103589000</v>
      </c>
      <c r="AD173" s="1">
        <v>0</v>
      </c>
      <c r="AE173" s="1">
        <v>0</v>
      </c>
      <c r="AF173" s="1">
        <v>0</v>
      </c>
      <c r="AG173" s="1">
        <v>0</v>
      </c>
      <c r="AH173" s="2">
        <v>4436140</v>
      </c>
      <c r="AI173" s="1">
        <v>703483</v>
      </c>
      <c r="AJ173" s="1">
        <v>0</v>
      </c>
      <c r="AK173" s="8">
        <f t="shared" si="11"/>
        <v>16</v>
      </c>
      <c r="AL173" s="8">
        <f t="shared" si="10"/>
        <v>4</v>
      </c>
      <c r="AM173">
        <f t="shared" si="8"/>
        <v>0</v>
      </c>
      <c r="AN173">
        <f t="shared" si="9"/>
        <v>0</v>
      </c>
    </row>
    <row r="174" spans="1:40" x14ac:dyDescent="0.35">
      <c r="A174">
        <v>72.290000000000006</v>
      </c>
      <c r="B174">
        <v>72.290000000000006</v>
      </c>
      <c r="C174">
        <v>6.1142300000000001</v>
      </c>
      <c r="D174">
        <v>0.05</v>
      </c>
      <c r="E174">
        <v>1</v>
      </c>
      <c r="F174">
        <v>2.3358699999999999</v>
      </c>
      <c r="G174">
        <v>2.5588299999999999</v>
      </c>
      <c r="H174">
        <v>0</v>
      </c>
      <c r="I174">
        <v>0.43756899999999999</v>
      </c>
      <c r="J174">
        <v>3.6288</v>
      </c>
      <c r="K174" s="2">
        <v>8126080</v>
      </c>
      <c r="L174" s="1">
        <v>0</v>
      </c>
      <c r="M174" s="1">
        <v>0</v>
      </c>
      <c r="N174" s="1">
        <v>0</v>
      </c>
      <c r="O174" s="1">
        <v>0</v>
      </c>
      <c r="P174" s="2">
        <v>3492070</v>
      </c>
      <c r="Q174" s="1">
        <v>-38151.800000000003</v>
      </c>
      <c r="R174" s="1">
        <v>301204</v>
      </c>
      <c r="S174">
        <v>99.302199999999999</v>
      </c>
      <c r="T174">
        <v>98.274000000000001</v>
      </c>
      <c r="U174">
        <v>5.9106699999999996</v>
      </c>
      <c r="V174">
        <v>0</v>
      </c>
      <c r="W174">
        <v>1</v>
      </c>
      <c r="X174">
        <v>1.71462</v>
      </c>
      <c r="Y174">
        <v>1.4916700000000001</v>
      </c>
      <c r="Z174">
        <v>0</v>
      </c>
      <c r="AA174">
        <v>1.3247199999999999</v>
      </c>
      <c r="AB174">
        <v>2.1168</v>
      </c>
      <c r="AC174" s="2">
        <v>104292000</v>
      </c>
      <c r="AD174" s="1">
        <v>0</v>
      </c>
      <c r="AE174" s="1">
        <v>0</v>
      </c>
      <c r="AF174" s="1">
        <v>0</v>
      </c>
      <c r="AG174" s="1">
        <v>0</v>
      </c>
      <c r="AH174" s="2">
        <v>4436140</v>
      </c>
      <c r="AI174" s="1">
        <v>702626</v>
      </c>
      <c r="AJ174" s="1">
        <v>0</v>
      </c>
      <c r="AK174" s="8">
        <f t="shared" si="11"/>
        <v>17</v>
      </c>
      <c r="AL174" s="8">
        <f t="shared" si="10"/>
        <v>4</v>
      </c>
      <c r="AM174">
        <f t="shared" si="8"/>
        <v>0</v>
      </c>
      <c r="AN174">
        <f t="shared" si="9"/>
        <v>0</v>
      </c>
    </row>
    <row r="175" spans="1:40" x14ac:dyDescent="0.35">
      <c r="A175">
        <v>72.290000000000006</v>
      </c>
      <c r="B175">
        <v>72.290000000000006</v>
      </c>
      <c r="C175">
        <v>5.76816</v>
      </c>
      <c r="D175">
        <v>0.05</v>
      </c>
      <c r="E175">
        <v>1</v>
      </c>
      <c r="F175">
        <v>2.3015300000000001</v>
      </c>
      <c r="G175">
        <v>2.5241400000000001</v>
      </c>
      <c r="H175">
        <v>0</v>
      </c>
      <c r="I175">
        <v>0.43774299999999999</v>
      </c>
      <c r="J175">
        <v>3.6288</v>
      </c>
      <c r="K175" s="2">
        <v>8084820</v>
      </c>
      <c r="L175" s="1">
        <v>0</v>
      </c>
      <c r="M175" s="1">
        <v>0</v>
      </c>
      <c r="N175" s="1">
        <v>0</v>
      </c>
      <c r="O175" s="1">
        <v>0</v>
      </c>
      <c r="P175" s="2">
        <v>3440730</v>
      </c>
      <c r="Q175" s="1">
        <v>-41255.1</v>
      </c>
      <c r="R175" s="1">
        <v>300741</v>
      </c>
      <c r="S175">
        <v>99.302199999999999</v>
      </c>
      <c r="T175">
        <v>98.274000000000001</v>
      </c>
      <c r="U175">
        <v>5.1135299999999999</v>
      </c>
      <c r="V175">
        <v>0</v>
      </c>
      <c r="W175">
        <v>1</v>
      </c>
      <c r="X175">
        <v>1.6922200000000001</v>
      </c>
      <c r="Y175">
        <v>1.4696100000000001</v>
      </c>
      <c r="Z175">
        <v>0</v>
      </c>
      <c r="AA175">
        <v>1.3247199999999999</v>
      </c>
      <c r="AB175">
        <v>2.1168</v>
      </c>
      <c r="AC175" s="2">
        <v>104992000</v>
      </c>
      <c r="AD175" s="1">
        <v>0</v>
      </c>
      <c r="AE175" s="1">
        <v>0</v>
      </c>
      <c r="AF175" s="1">
        <v>0</v>
      </c>
      <c r="AG175" s="1">
        <v>0</v>
      </c>
      <c r="AH175" s="2">
        <v>4378170</v>
      </c>
      <c r="AI175" s="1">
        <v>699879</v>
      </c>
      <c r="AJ175" s="1">
        <v>0</v>
      </c>
      <c r="AK175" s="8">
        <f t="shared" si="11"/>
        <v>18</v>
      </c>
      <c r="AL175" s="8">
        <f t="shared" si="10"/>
        <v>4</v>
      </c>
      <c r="AM175">
        <f t="shared" si="8"/>
        <v>0</v>
      </c>
      <c r="AN175">
        <f t="shared" si="9"/>
        <v>0</v>
      </c>
    </row>
    <row r="176" spans="1:40" x14ac:dyDescent="0.35">
      <c r="A176">
        <v>72.290000000000006</v>
      </c>
      <c r="B176">
        <v>72.290000000000006</v>
      </c>
      <c r="C176">
        <v>5.2395399999999999</v>
      </c>
      <c r="D176">
        <v>0.05</v>
      </c>
      <c r="E176">
        <v>1</v>
      </c>
      <c r="F176">
        <v>2.2800500000000001</v>
      </c>
      <c r="G176">
        <v>2.5247199999999999</v>
      </c>
      <c r="H176">
        <v>0</v>
      </c>
      <c r="I176">
        <v>0.431307</v>
      </c>
      <c r="J176">
        <v>3.6288</v>
      </c>
      <c r="K176" s="2">
        <v>8013820</v>
      </c>
      <c r="L176" s="1">
        <v>0</v>
      </c>
      <c r="M176" s="1">
        <v>0</v>
      </c>
      <c r="N176" s="1">
        <v>0</v>
      </c>
      <c r="O176" s="1">
        <v>0</v>
      </c>
      <c r="P176" s="2">
        <v>3408610</v>
      </c>
      <c r="Q176" s="1">
        <v>-71001.7</v>
      </c>
      <c r="R176" s="1">
        <v>330548</v>
      </c>
      <c r="S176">
        <v>99.302199999999999</v>
      </c>
      <c r="T176">
        <v>98.274000000000001</v>
      </c>
      <c r="U176">
        <v>4.3103100000000003</v>
      </c>
      <c r="V176">
        <v>0</v>
      </c>
      <c r="W176">
        <v>1</v>
      </c>
      <c r="X176">
        <v>1.71462</v>
      </c>
      <c r="Y176">
        <v>1.4699500000000001</v>
      </c>
      <c r="Z176">
        <v>0</v>
      </c>
      <c r="AA176">
        <v>1.30741</v>
      </c>
      <c r="AB176">
        <v>2.1168</v>
      </c>
      <c r="AC176" s="2">
        <v>105749000</v>
      </c>
      <c r="AD176" s="1">
        <v>0</v>
      </c>
      <c r="AE176" s="1">
        <v>0</v>
      </c>
      <c r="AF176" s="1">
        <v>0</v>
      </c>
      <c r="AG176" s="1">
        <v>0</v>
      </c>
      <c r="AH176" s="2">
        <v>4436120</v>
      </c>
      <c r="AI176" s="1">
        <v>756989</v>
      </c>
      <c r="AJ176" s="1">
        <v>0</v>
      </c>
      <c r="AK176" s="8">
        <f t="shared" si="11"/>
        <v>19</v>
      </c>
      <c r="AL176" s="8">
        <f t="shared" si="10"/>
        <v>4</v>
      </c>
      <c r="AM176">
        <f t="shared" si="8"/>
        <v>0</v>
      </c>
      <c r="AN176">
        <f t="shared" si="9"/>
        <v>0</v>
      </c>
    </row>
    <row r="177" spans="1:40" x14ac:dyDescent="0.35">
      <c r="A177">
        <v>72.290000000000006</v>
      </c>
      <c r="B177">
        <v>72.290000000000006</v>
      </c>
      <c r="C177">
        <v>4.5310699999999997</v>
      </c>
      <c r="D177">
        <v>0.05</v>
      </c>
      <c r="E177">
        <v>1</v>
      </c>
      <c r="F177">
        <v>2.2809599999999999</v>
      </c>
      <c r="G177">
        <v>2.5253000000000001</v>
      </c>
      <c r="H177">
        <v>0</v>
      </c>
      <c r="I177">
        <v>0.42728100000000002</v>
      </c>
      <c r="J177">
        <v>3.6288</v>
      </c>
      <c r="K177" s="2">
        <v>7943340</v>
      </c>
      <c r="L177" s="1">
        <v>0</v>
      </c>
      <c r="M177" s="1">
        <v>0</v>
      </c>
      <c r="N177" s="1">
        <v>0</v>
      </c>
      <c r="O177" s="1">
        <v>0</v>
      </c>
      <c r="P177" s="2">
        <v>3409980</v>
      </c>
      <c r="Q177" s="1">
        <v>-70486.100000000006</v>
      </c>
      <c r="R177" s="1">
        <v>330092</v>
      </c>
      <c r="S177">
        <v>99.302199999999999</v>
      </c>
      <c r="T177">
        <v>98.274000000000001</v>
      </c>
      <c r="U177">
        <v>3.9217300000000002</v>
      </c>
      <c r="V177">
        <v>0</v>
      </c>
      <c r="W177">
        <v>1</v>
      </c>
      <c r="X177">
        <v>1.71462</v>
      </c>
      <c r="Y177">
        <v>1.47028</v>
      </c>
      <c r="Z177">
        <v>0</v>
      </c>
      <c r="AA177">
        <v>1.3247100000000001</v>
      </c>
      <c r="AB177">
        <v>2.1168</v>
      </c>
      <c r="AC177" s="2">
        <v>106505000</v>
      </c>
      <c r="AD177" s="1">
        <v>0</v>
      </c>
      <c r="AE177" s="1">
        <v>0</v>
      </c>
      <c r="AF177" s="1">
        <v>0</v>
      </c>
      <c r="AG177" s="1">
        <v>0</v>
      </c>
      <c r="AH177" s="2">
        <v>4436120</v>
      </c>
      <c r="AI177" s="1">
        <v>756144</v>
      </c>
      <c r="AJ177" s="1">
        <v>0</v>
      </c>
      <c r="AK177" s="8">
        <f t="shared" si="11"/>
        <v>20</v>
      </c>
      <c r="AL177" s="8">
        <f t="shared" si="10"/>
        <v>4</v>
      </c>
      <c r="AM177">
        <f t="shared" si="8"/>
        <v>0</v>
      </c>
      <c r="AN177">
        <f t="shared" si="9"/>
        <v>0</v>
      </c>
    </row>
    <row r="178" spans="1:40" x14ac:dyDescent="0.35">
      <c r="A178">
        <v>72.290000000000006</v>
      </c>
      <c r="B178">
        <v>72.290000000000006</v>
      </c>
      <c r="C178">
        <v>4.0420800000000003</v>
      </c>
      <c r="D178">
        <v>0.05</v>
      </c>
      <c r="E178">
        <v>1</v>
      </c>
      <c r="F178">
        <v>2.2818800000000001</v>
      </c>
      <c r="G178">
        <v>2.5258799999999999</v>
      </c>
      <c r="H178">
        <v>0</v>
      </c>
      <c r="I178">
        <v>0.42745300000000003</v>
      </c>
      <c r="J178">
        <v>3.6288</v>
      </c>
      <c r="K178" s="2">
        <v>7873370</v>
      </c>
      <c r="L178" s="1">
        <v>0</v>
      </c>
      <c r="M178" s="1">
        <v>0</v>
      </c>
      <c r="N178" s="1">
        <v>0</v>
      </c>
      <c r="O178" s="1">
        <v>0</v>
      </c>
      <c r="P178" s="2">
        <v>3411360</v>
      </c>
      <c r="Q178" s="1">
        <v>-69970.399999999994</v>
      </c>
      <c r="R178" s="1">
        <v>329636</v>
      </c>
      <c r="S178">
        <v>99.302199999999999</v>
      </c>
      <c r="T178">
        <v>98.274000000000001</v>
      </c>
      <c r="U178">
        <v>3.43282</v>
      </c>
      <c r="V178">
        <v>0</v>
      </c>
      <c r="W178">
        <v>1</v>
      </c>
      <c r="X178">
        <v>1.71462</v>
      </c>
      <c r="Y178">
        <v>1.47062</v>
      </c>
      <c r="Z178">
        <v>0</v>
      </c>
      <c r="AA178">
        <v>1.3247100000000001</v>
      </c>
      <c r="AB178">
        <v>2.1168</v>
      </c>
      <c r="AC178" s="2">
        <v>107260000</v>
      </c>
      <c r="AD178" s="1">
        <v>0</v>
      </c>
      <c r="AE178" s="1">
        <v>0</v>
      </c>
      <c r="AF178" s="1">
        <v>0</v>
      </c>
      <c r="AG178" s="1">
        <v>0</v>
      </c>
      <c r="AH178" s="2">
        <v>4436120</v>
      </c>
      <c r="AI178" s="1">
        <v>755299</v>
      </c>
      <c r="AJ178" s="1">
        <v>0</v>
      </c>
      <c r="AK178" s="8">
        <f t="shared" si="11"/>
        <v>21</v>
      </c>
      <c r="AL178" s="8">
        <f t="shared" si="10"/>
        <v>4</v>
      </c>
      <c r="AM178">
        <f t="shared" si="8"/>
        <v>0</v>
      </c>
      <c r="AN178">
        <f t="shared" si="9"/>
        <v>0</v>
      </c>
    </row>
    <row r="179" spans="1:40" x14ac:dyDescent="0.35">
      <c r="A179">
        <v>72.290000000000006</v>
      </c>
      <c r="B179">
        <v>72.290000000000006</v>
      </c>
      <c r="C179">
        <v>3.72451</v>
      </c>
      <c r="D179">
        <v>0.05</v>
      </c>
      <c r="E179">
        <v>1</v>
      </c>
      <c r="F179">
        <v>2.40265</v>
      </c>
      <c r="G179">
        <v>2.6463100000000002</v>
      </c>
      <c r="H179">
        <v>0</v>
      </c>
      <c r="I179">
        <v>0.42762499999999998</v>
      </c>
      <c r="J179">
        <v>3.6288</v>
      </c>
      <c r="K179" s="2">
        <v>7816230</v>
      </c>
      <c r="L179" s="1">
        <v>0</v>
      </c>
      <c r="M179" s="1">
        <v>0</v>
      </c>
      <c r="N179" s="1">
        <v>0</v>
      </c>
      <c r="O179" s="1">
        <v>0</v>
      </c>
      <c r="P179" s="2">
        <v>3591900</v>
      </c>
      <c r="Q179" s="1">
        <v>-57134</v>
      </c>
      <c r="R179" s="1">
        <v>329179</v>
      </c>
      <c r="S179">
        <v>99.302199999999999</v>
      </c>
      <c r="T179">
        <v>98.274000000000001</v>
      </c>
      <c r="U179">
        <v>3.1865199999999998</v>
      </c>
      <c r="V179">
        <v>0</v>
      </c>
      <c r="W179">
        <v>1</v>
      </c>
      <c r="X179">
        <v>1.7941499999999999</v>
      </c>
      <c r="Y179">
        <v>1.5504899999999999</v>
      </c>
      <c r="Z179">
        <v>0</v>
      </c>
      <c r="AA179">
        <v>1.3247100000000001</v>
      </c>
      <c r="AB179">
        <v>2.1168</v>
      </c>
      <c r="AC179" s="2">
        <v>108021000</v>
      </c>
      <c r="AD179" s="1">
        <v>0</v>
      </c>
      <c r="AE179" s="1">
        <v>0</v>
      </c>
      <c r="AF179" s="1">
        <v>0</v>
      </c>
      <c r="AG179" s="1">
        <v>0</v>
      </c>
      <c r="AH179" s="2">
        <v>4641880</v>
      </c>
      <c r="AI179" s="1">
        <v>761161</v>
      </c>
      <c r="AJ179" s="1">
        <v>0</v>
      </c>
      <c r="AK179" s="8">
        <f t="shared" si="11"/>
        <v>22</v>
      </c>
      <c r="AL179" s="8">
        <f t="shared" si="10"/>
        <v>4</v>
      </c>
      <c r="AM179">
        <f t="shared" si="8"/>
        <v>0</v>
      </c>
      <c r="AN179">
        <f t="shared" si="9"/>
        <v>0</v>
      </c>
    </row>
    <row r="180" spans="1:40" x14ac:dyDescent="0.35">
      <c r="A180">
        <v>72.290000000000006</v>
      </c>
      <c r="B180">
        <v>72.290000000000006</v>
      </c>
      <c r="C180">
        <v>4.1029499999999999</v>
      </c>
      <c r="D180">
        <v>0.04</v>
      </c>
      <c r="E180">
        <v>1</v>
      </c>
      <c r="F180">
        <v>2.48312</v>
      </c>
      <c r="G180">
        <v>2.6469100000000001</v>
      </c>
      <c r="H180">
        <v>0</v>
      </c>
      <c r="I180">
        <v>0.45025599999999999</v>
      </c>
      <c r="J180">
        <v>3.6288</v>
      </c>
      <c r="K180" s="2">
        <v>7867060</v>
      </c>
      <c r="L180" s="1">
        <v>0</v>
      </c>
      <c r="M180" s="1">
        <v>0</v>
      </c>
      <c r="N180" s="1">
        <v>0</v>
      </c>
      <c r="O180" s="1">
        <v>0</v>
      </c>
      <c r="P180" s="2">
        <v>3712200</v>
      </c>
      <c r="Q180" s="1">
        <v>50825.9</v>
      </c>
      <c r="R180" s="1">
        <v>221282</v>
      </c>
      <c r="S180">
        <v>99.302199999999999</v>
      </c>
      <c r="T180">
        <v>98.274000000000001</v>
      </c>
      <c r="U180">
        <v>3.5247099999999998</v>
      </c>
      <c r="V180">
        <v>0</v>
      </c>
      <c r="W180">
        <v>1</v>
      </c>
      <c r="X180">
        <v>1.7146399999999999</v>
      </c>
      <c r="Y180">
        <v>1.55084</v>
      </c>
      <c r="Z180">
        <v>0</v>
      </c>
      <c r="AA180">
        <v>1.3861600000000001</v>
      </c>
      <c r="AB180">
        <v>2.1168</v>
      </c>
      <c r="AC180" s="2">
        <v>108576000</v>
      </c>
      <c r="AD180" s="1">
        <v>0</v>
      </c>
      <c r="AE180" s="1">
        <v>0</v>
      </c>
      <c r="AF180" s="1">
        <v>0</v>
      </c>
      <c r="AG180" s="1">
        <v>0</v>
      </c>
      <c r="AH180" s="2">
        <v>4436170</v>
      </c>
      <c r="AI180" s="1">
        <v>554560</v>
      </c>
      <c r="AJ180" s="1">
        <v>0</v>
      </c>
      <c r="AK180" s="8">
        <f t="shared" si="11"/>
        <v>23</v>
      </c>
      <c r="AL180" s="8">
        <f t="shared" si="10"/>
        <v>4</v>
      </c>
      <c r="AM180">
        <f t="shared" si="8"/>
        <v>0</v>
      </c>
      <c r="AN180">
        <f t="shared" si="9"/>
        <v>0</v>
      </c>
    </row>
    <row r="181" spans="1:40" x14ac:dyDescent="0.35">
      <c r="A181">
        <v>72.290000000000006</v>
      </c>
      <c r="B181">
        <v>72.290000000000006</v>
      </c>
      <c r="C181">
        <v>3.8922699999999999</v>
      </c>
      <c r="D181">
        <v>0.04</v>
      </c>
      <c r="E181">
        <v>1</v>
      </c>
      <c r="F181">
        <v>2.4840800000000001</v>
      </c>
      <c r="G181">
        <v>2.6475200000000001</v>
      </c>
      <c r="H181">
        <v>0</v>
      </c>
      <c r="I181">
        <v>0.465337</v>
      </c>
      <c r="J181">
        <v>3.6288</v>
      </c>
      <c r="K181" s="2">
        <v>7918430</v>
      </c>
      <c r="L181" s="1">
        <v>0</v>
      </c>
      <c r="M181" s="1">
        <v>0</v>
      </c>
      <c r="N181" s="1">
        <v>0</v>
      </c>
      <c r="O181" s="1">
        <v>0</v>
      </c>
      <c r="P181" s="2">
        <v>3713640</v>
      </c>
      <c r="Q181" s="1">
        <v>51369.5</v>
      </c>
      <c r="R181" s="1">
        <v>220801</v>
      </c>
      <c r="S181">
        <v>99.302199999999999</v>
      </c>
      <c r="T181">
        <v>98.274000000000001</v>
      </c>
      <c r="U181">
        <v>3.0326900000000001</v>
      </c>
      <c r="V181">
        <v>0</v>
      </c>
      <c r="W181">
        <v>1</v>
      </c>
      <c r="X181">
        <v>1.7146399999999999</v>
      </c>
      <c r="Y181">
        <v>1.5511999999999999</v>
      </c>
      <c r="Z181">
        <v>0</v>
      </c>
      <c r="AA181">
        <v>1.32473</v>
      </c>
      <c r="AB181">
        <v>2.1168</v>
      </c>
      <c r="AC181" s="2">
        <v>109129000</v>
      </c>
      <c r="AD181" s="1">
        <v>0</v>
      </c>
      <c r="AE181" s="1">
        <v>0</v>
      </c>
      <c r="AF181" s="1">
        <v>0</v>
      </c>
      <c r="AG181" s="1">
        <v>0</v>
      </c>
      <c r="AH181" s="2">
        <v>4436170</v>
      </c>
      <c r="AI181" s="1">
        <v>553668</v>
      </c>
      <c r="AJ181" s="1">
        <v>0</v>
      </c>
      <c r="AK181" s="8">
        <f t="shared" si="11"/>
        <v>24</v>
      </c>
      <c r="AL181" s="8">
        <f t="shared" si="10"/>
        <v>4</v>
      </c>
      <c r="AM181">
        <f t="shared" si="8"/>
        <v>0</v>
      </c>
      <c r="AN181">
        <f t="shared" si="9"/>
        <v>0</v>
      </c>
    </row>
    <row r="182" spans="1:40" x14ac:dyDescent="0.35">
      <c r="A182">
        <v>72.290000000000006</v>
      </c>
      <c r="B182">
        <v>72.290000000000006</v>
      </c>
      <c r="C182">
        <v>3.61991</v>
      </c>
      <c r="D182">
        <v>0.02</v>
      </c>
      <c r="E182">
        <v>1</v>
      </c>
      <c r="F182">
        <v>2.4850500000000002</v>
      </c>
      <c r="G182">
        <v>2.6481300000000001</v>
      </c>
      <c r="H182">
        <v>0</v>
      </c>
      <c r="I182">
        <v>0.46551700000000001</v>
      </c>
      <c r="J182">
        <v>3.6288</v>
      </c>
      <c r="K182" s="2">
        <v>7970340</v>
      </c>
      <c r="L182" s="1">
        <v>0</v>
      </c>
      <c r="M182" s="1">
        <v>0</v>
      </c>
      <c r="N182" s="1">
        <v>0</v>
      </c>
      <c r="O182" s="1">
        <v>0</v>
      </c>
      <c r="P182" s="2">
        <v>3715080</v>
      </c>
      <c r="Q182" s="1">
        <v>51913.2</v>
      </c>
      <c r="R182" s="1">
        <v>220320</v>
      </c>
      <c r="S182">
        <v>99.302199999999999</v>
      </c>
      <c r="T182">
        <v>98.274000000000001</v>
      </c>
      <c r="U182">
        <v>2.7108400000000001</v>
      </c>
      <c r="V182">
        <v>0</v>
      </c>
      <c r="W182">
        <v>1</v>
      </c>
      <c r="X182">
        <v>1.7146399999999999</v>
      </c>
      <c r="Y182">
        <v>1.5515600000000001</v>
      </c>
      <c r="Z182">
        <v>0</v>
      </c>
      <c r="AA182">
        <v>1.32473</v>
      </c>
      <c r="AB182">
        <v>2.1168</v>
      </c>
      <c r="AC182" s="2">
        <v>109682000</v>
      </c>
      <c r="AD182" s="1">
        <v>0</v>
      </c>
      <c r="AE182" s="1">
        <v>0</v>
      </c>
      <c r="AF182" s="1">
        <v>0</v>
      </c>
      <c r="AG182" s="1">
        <v>0</v>
      </c>
      <c r="AH182" s="2">
        <v>4436170</v>
      </c>
      <c r="AI182" s="1">
        <v>552777</v>
      </c>
      <c r="AJ182" s="1">
        <v>0</v>
      </c>
      <c r="AK182" s="8">
        <f t="shared" si="11"/>
        <v>25</v>
      </c>
      <c r="AL182" s="8">
        <f t="shared" si="10"/>
        <v>4</v>
      </c>
      <c r="AM182">
        <f t="shared" si="8"/>
        <v>0</v>
      </c>
      <c r="AN182">
        <f t="shared" si="9"/>
        <v>0</v>
      </c>
    </row>
    <row r="183" spans="1:40" x14ac:dyDescent="0.35">
      <c r="A183">
        <v>72.290000000000006</v>
      </c>
      <c r="B183">
        <v>72.290000000000006</v>
      </c>
      <c r="C183">
        <v>3.4229400000000001</v>
      </c>
      <c r="D183">
        <v>0.02</v>
      </c>
      <c r="E183">
        <v>1</v>
      </c>
      <c r="F183">
        <v>2.4860099999999998</v>
      </c>
      <c r="G183">
        <v>2.6487400000000001</v>
      </c>
      <c r="H183">
        <v>0</v>
      </c>
      <c r="I183">
        <v>0.465698</v>
      </c>
      <c r="J183">
        <v>3.6288</v>
      </c>
      <c r="K183" s="2">
        <v>8022800</v>
      </c>
      <c r="L183" s="1">
        <v>0</v>
      </c>
      <c r="M183" s="1">
        <v>0</v>
      </c>
      <c r="N183" s="1">
        <v>0</v>
      </c>
      <c r="O183" s="1">
        <v>0</v>
      </c>
      <c r="P183" s="2">
        <v>3716530</v>
      </c>
      <c r="Q183" s="1">
        <v>52457.1</v>
      </c>
      <c r="R183" s="1">
        <v>219838</v>
      </c>
      <c r="S183">
        <v>99.302199999999999</v>
      </c>
      <c r="T183">
        <v>98.274000000000001</v>
      </c>
      <c r="U183">
        <v>2.45953</v>
      </c>
      <c r="V183">
        <v>0</v>
      </c>
      <c r="W183">
        <v>1</v>
      </c>
      <c r="X183">
        <v>1.7146399999999999</v>
      </c>
      <c r="Y183">
        <v>1.5519099999999999</v>
      </c>
      <c r="Z183">
        <v>0</v>
      </c>
      <c r="AA183">
        <v>1.32473</v>
      </c>
      <c r="AB183">
        <v>2.1168</v>
      </c>
      <c r="AC183" s="2">
        <v>110234000</v>
      </c>
      <c r="AD183" s="1">
        <v>0</v>
      </c>
      <c r="AE183" s="1">
        <v>0</v>
      </c>
      <c r="AF183" s="1">
        <v>0</v>
      </c>
      <c r="AG183" s="1">
        <v>0</v>
      </c>
      <c r="AH183" s="2">
        <v>4436170</v>
      </c>
      <c r="AI183" s="1">
        <v>551885</v>
      </c>
      <c r="AJ183" s="1">
        <v>0</v>
      </c>
      <c r="AK183" s="8">
        <f t="shared" si="11"/>
        <v>26</v>
      </c>
      <c r="AL183" s="8">
        <f t="shared" si="10"/>
        <v>4</v>
      </c>
      <c r="AM183">
        <f t="shared" si="8"/>
        <v>0</v>
      </c>
      <c r="AN183">
        <f t="shared" si="9"/>
        <v>0</v>
      </c>
    </row>
    <row r="184" spans="1:40" x14ac:dyDescent="0.35">
      <c r="A184">
        <v>71.949100000000001</v>
      </c>
      <c r="B184">
        <v>72.290000000000006</v>
      </c>
      <c r="C184">
        <v>2.59334</v>
      </c>
      <c r="D184">
        <v>0.02</v>
      </c>
      <c r="E184">
        <v>1</v>
      </c>
      <c r="F184">
        <v>2.4632499999999999</v>
      </c>
      <c r="G184">
        <v>2.6256200000000001</v>
      </c>
      <c r="H184">
        <v>0</v>
      </c>
      <c r="I184">
        <v>0.46587899999999999</v>
      </c>
      <c r="J184">
        <v>3.6288</v>
      </c>
      <c r="K184" s="2">
        <v>8073360</v>
      </c>
      <c r="L184" s="1">
        <v>0</v>
      </c>
      <c r="M184" s="1">
        <v>0</v>
      </c>
      <c r="N184" s="1">
        <v>0</v>
      </c>
      <c r="O184" s="1">
        <v>0</v>
      </c>
      <c r="P184" s="2">
        <v>3682490</v>
      </c>
      <c r="Q184" s="1">
        <v>50561.7</v>
      </c>
      <c r="R184" s="1">
        <v>219357</v>
      </c>
      <c r="S184">
        <v>99.150599999999997</v>
      </c>
      <c r="T184">
        <v>98.274000000000001</v>
      </c>
      <c r="U184">
        <v>2.1806299999999998</v>
      </c>
      <c r="V184">
        <v>0</v>
      </c>
      <c r="W184">
        <v>1</v>
      </c>
      <c r="X184">
        <v>1.7584</v>
      </c>
      <c r="Y184">
        <v>1.5960300000000001</v>
      </c>
      <c r="Z184">
        <v>0</v>
      </c>
      <c r="AA184">
        <v>1.32473</v>
      </c>
      <c r="AB184">
        <v>2.1168</v>
      </c>
      <c r="AC184" s="2">
        <v>110789000</v>
      </c>
      <c r="AD184" s="1">
        <v>0</v>
      </c>
      <c r="AE184" s="1">
        <v>0</v>
      </c>
      <c r="AF184" s="1">
        <v>0</v>
      </c>
      <c r="AG184" s="1">
        <v>0</v>
      </c>
      <c r="AH184" s="2">
        <v>4549390</v>
      </c>
      <c r="AI184" s="1">
        <v>554684</v>
      </c>
      <c r="AJ184" s="1">
        <v>0</v>
      </c>
      <c r="AK184" s="8">
        <f t="shared" si="11"/>
        <v>27</v>
      </c>
      <c r="AL184" s="8">
        <f t="shared" si="10"/>
        <v>4</v>
      </c>
      <c r="AM184">
        <f t="shared" si="8"/>
        <v>0</v>
      </c>
      <c r="AN184">
        <f t="shared" si="9"/>
        <v>0</v>
      </c>
    </row>
    <row r="185" spans="1:40" x14ac:dyDescent="0.35">
      <c r="A185">
        <v>71.211399999999998</v>
      </c>
      <c r="B185">
        <v>72.290000000000006</v>
      </c>
      <c r="C185">
        <v>2.2478799999999999</v>
      </c>
      <c r="D185">
        <v>0.03</v>
      </c>
      <c r="E185">
        <v>1</v>
      </c>
      <c r="F185">
        <v>2.5079699999999998</v>
      </c>
      <c r="G185">
        <v>2.62622</v>
      </c>
      <c r="H185">
        <v>0</v>
      </c>
      <c r="I185">
        <v>0.461613</v>
      </c>
      <c r="J185">
        <v>3.6288</v>
      </c>
      <c r="K185" s="2">
        <v>8183580</v>
      </c>
      <c r="L185" s="1">
        <v>0</v>
      </c>
      <c r="M185" s="1">
        <v>0</v>
      </c>
      <c r="N185" s="1">
        <v>0</v>
      </c>
      <c r="O185" s="1">
        <v>0</v>
      </c>
      <c r="P185" s="2">
        <v>3749350</v>
      </c>
      <c r="Q185" s="1">
        <v>110224</v>
      </c>
      <c r="R185" s="1">
        <v>159756</v>
      </c>
      <c r="S185">
        <v>98.990700000000004</v>
      </c>
      <c r="T185">
        <v>98.274000000000001</v>
      </c>
      <c r="U185">
        <v>1.99749</v>
      </c>
      <c r="V185">
        <v>0</v>
      </c>
      <c r="W185">
        <v>1</v>
      </c>
      <c r="X185">
        <v>1.71465</v>
      </c>
      <c r="Y185">
        <v>1.5964</v>
      </c>
      <c r="Z185">
        <v>0</v>
      </c>
      <c r="AA185">
        <v>1.3585400000000001</v>
      </c>
      <c r="AB185">
        <v>2.1168</v>
      </c>
      <c r="AC185" s="2">
        <v>111229000</v>
      </c>
      <c r="AD185" s="1">
        <v>0</v>
      </c>
      <c r="AE185" s="1">
        <v>0</v>
      </c>
      <c r="AF185" s="1">
        <v>0</v>
      </c>
      <c r="AG185" s="1">
        <v>0</v>
      </c>
      <c r="AH185" s="2">
        <v>4436200</v>
      </c>
      <c r="AI185" s="1">
        <v>440575</v>
      </c>
      <c r="AJ185" s="1">
        <v>0</v>
      </c>
      <c r="AK185" s="8">
        <f t="shared" si="11"/>
        <v>28</v>
      </c>
      <c r="AL185" s="8">
        <f t="shared" si="10"/>
        <v>4</v>
      </c>
      <c r="AM185">
        <f t="shared" si="8"/>
        <v>0</v>
      </c>
      <c r="AN185">
        <f t="shared" si="9"/>
        <v>0</v>
      </c>
    </row>
    <row r="186" spans="1:40" x14ac:dyDescent="0.35">
      <c r="A186">
        <v>70.291200000000003</v>
      </c>
      <c r="B186">
        <v>72.290000000000006</v>
      </c>
      <c r="C186">
        <v>2.06575</v>
      </c>
      <c r="D186">
        <v>0.03</v>
      </c>
      <c r="E186">
        <v>1</v>
      </c>
      <c r="F186">
        <v>2.5089399999999999</v>
      </c>
      <c r="G186">
        <v>2.6268199999999999</v>
      </c>
      <c r="H186">
        <v>0</v>
      </c>
      <c r="I186">
        <v>0.46999299999999999</v>
      </c>
      <c r="J186">
        <v>3.6288</v>
      </c>
      <c r="K186" s="2">
        <v>8294370</v>
      </c>
      <c r="L186" s="1">
        <v>0</v>
      </c>
      <c r="M186" s="1">
        <v>0</v>
      </c>
      <c r="N186" s="1">
        <v>0</v>
      </c>
      <c r="O186" s="1">
        <v>0</v>
      </c>
      <c r="P186" s="2">
        <v>3750800</v>
      </c>
      <c r="Q186" s="1">
        <v>110782</v>
      </c>
      <c r="R186" s="1">
        <v>159261</v>
      </c>
      <c r="S186">
        <v>98.647800000000004</v>
      </c>
      <c r="T186">
        <v>98.274000000000001</v>
      </c>
      <c r="U186">
        <v>1.9841299999999999</v>
      </c>
      <c r="V186">
        <v>0</v>
      </c>
      <c r="W186">
        <v>1</v>
      </c>
      <c r="X186">
        <v>1.71465</v>
      </c>
      <c r="Y186">
        <v>1.59676</v>
      </c>
      <c r="Z186">
        <v>0</v>
      </c>
      <c r="AA186">
        <v>1.32474</v>
      </c>
      <c r="AB186">
        <v>2.1168</v>
      </c>
      <c r="AC186" s="2">
        <v>111669000</v>
      </c>
      <c r="AD186" s="1">
        <v>0</v>
      </c>
      <c r="AE186" s="1">
        <v>0</v>
      </c>
      <c r="AF186" s="1">
        <v>0</v>
      </c>
      <c r="AG186" s="1">
        <v>0</v>
      </c>
      <c r="AH186" s="2">
        <v>4436200</v>
      </c>
      <c r="AI186" s="1">
        <v>439658</v>
      </c>
      <c r="AJ186" s="1">
        <v>0</v>
      </c>
      <c r="AK186" s="8">
        <f t="shared" si="11"/>
        <v>29</v>
      </c>
      <c r="AL186" s="8">
        <f t="shared" si="10"/>
        <v>4</v>
      </c>
      <c r="AM186">
        <f t="shared" si="8"/>
        <v>0</v>
      </c>
      <c r="AN186">
        <f t="shared" si="9"/>
        <v>0</v>
      </c>
    </row>
    <row r="187" spans="1:40" x14ac:dyDescent="0.35">
      <c r="A187">
        <v>69.185500000000005</v>
      </c>
      <c r="B187">
        <v>72.290000000000006</v>
      </c>
      <c r="C187">
        <v>1.8803300000000001</v>
      </c>
      <c r="D187">
        <v>0.03</v>
      </c>
      <c r="E187">
        <v>1</v>
      </c>
      <c r="F187">
        <v>2.5099100000000001</v>
      </c>
      <c r="G187">
        <v>2.6274299999999999</v>
      </c>
      <c r="H187">
        <v>0</v>
      </c>
      <c r="I187">
        <v>0.47017500000000001</v>
      </c>
      <c r="J187">
        <v>3.6288</v>
      </c>
      <c r="K187" s="2">
        <v>8405700</v>
      </c>
      <c r="L187" s="1">
        <v>0</v>
      </c>
      <c r="M187" s="1">
        <v>0</v>
      </c>
      <c r="N187" s="1">
        <v>0</v>
      </c>
      <c r="O187" s="1">
        <v>0</v>
      </c>
      <c r="P187" s="2">
        <v>3752250</v>
      </c>
      <c r="Q187" s="1">
        <v>111339</v>
      </c>
      <c r="R187" s="1">
        <v>158766</v>
      </c>
      <c r="S187">
        <v>98.324799999999996</v>
      </c>
      <c r="T187">
        <v>98.274000000000001</v>
      </c>
      <c r="U187">
        <v>1.7699499999999999</v>
      </c>
      <c r="V187">
        <v>0</v>
      </c>
      <c r="W187">
        <v>1</v>
      </c>
      <c r="X187">
        <v>1.71465</v>
      </c>
      <c r="Y187">
        <v>1.5971299999999999</v>
      </c>
      <c r="Z187">
        <v>0</v>
      </c>
      <c r="AA187">
        <v>1.32474</v>
      </c>
      <c r="AB187">
        <v>2.1168</v>
      </c>
      <c r="AC187" s="2">
        <v>112108000</v>
      </c>
      <c r="AD187" s="1">
        <v>0</v>
      </c>
      <c r="AE187" s="1">
        <v>0</v>
      </c>
      <c r="AF187" s="1">
        <v>0</v>
      </c>
      <c r="AG187" s="1">
        <v>0</v>
      </c>
      <c r="AH187" s="2">
        <v>4436200</v>
      </c>
      <c r="AI187" s="1">
        <v>438740</v>
      </c>
      <c r="AJ187" s="1">
        <v>0</v>
      </c>
      <c r="AK187" s="8">
        <f t="shared" si="11"/>
        <v>30</v>
      </c>
      <c r="AL187" s="8">
        <f t="shared" si="10"/>
        <v>4</v>
      </c>
      <c r="AM187">
        <f t="shared" si="8"/>
        <v>0</v>
      </c>
      <c r="AN187">
        <f t="shared" si="9"/>
        <v>0</v>
      </c>
    </row>
    <row r="188" spans="1:40" x14ac:dyDescent="0.35">
      <c r="A188">
        <v>67.963999999999999</v>
      </c>
      <c r="B188">
        <v>72.290000000000006</v>
      </c>
      <c r="C188">
        <v>1.81413</v>
      </c>
      <c r="D188">
        <v>0.04</v>
      </c>
      <c r="E188">
        <v>1</v>
      </c>
      <c r="F188">
        <v>2.5722100000000001</v>
      </c>
      <c r="G188">
        <v>2.6893600000000002</v>
      </c>
      <c r="H188">
        <v>0</v>
      </c>
      <c r="I188">
        <v>0.47035700000000003</v>
      </c>
      <c r="J188">
        <v>3.6288</v>
      </c>
      <c r="K188" s="2">
        <v>8523910</v>
      </c>
      <c r="L188" s="1">
        <v>0</v>
      </c>
      <c r="M188" s="1">
        <v>0</v>
      </c>
      <c r="N188" s="1">
        <v>0</v>
      </c>
      <c r="O188" s="1">
        <v>0</v>
      </c>
      <c r="P188" s="2">
        <v>3845390</v>
      </c>
      <c r="Q188" s="1">
        <v>118202</v>
      </c>
      <c r="R188" s="1">
        <v>158270</v>
      </c>
      <c r="S188">
        <v>98.151300000000006</v>
      </c>
      <c r="T188">
        <v>98.274000000000001</v>
      </c>
      <c r="U188">
        <v>1.78653</v>
      </c>
      <c r="V188">
        <v>0</v>
      </c>
      <c r="W188">
        <v>1</v>
      </c>
      <c r="X188">
        <v>1.7536799999999999</v>
      </c>
      <c r="Y188">
        <v>1.63653</v>
      </c>
      <c r="Z188">
        <v>0</v>
      </c>
      <c r="AA188">
        <v>1.32474</v>
      </c>
      <c r="AB188">
        <v>2.1168</v>
      </c>
      <c r="AC188" s="2">
        <v>112549000</v>
      </c>
      <c r="AD188" s="1">
        <v>0</v>
      </c>
      <c r="AE188" s="1">
        <v>0</v>
      </c>
      <c r="AF188" s="1">
        <v>0</v>
      </c>
      <c r="AG188" s="1">
        <v>0</v>
      </c>
      <c r="AH188" s="2">
        <v>4537190</v>
      </c>
      <c r="AI188" s="1">
        <v>441114</v>
      </c>
      <c r="AJ188" s="1">
        <v>0</v>
      </c>
      <c r="AK188" s="8">
        <f t="shared" si="11"/>
        <v>31</v>
      </c>
      <c r="AL188" s="8">
        <f t="shared" si="10"/>
        <v>4</v>
      </c>
      <c r="AM188">
        <f t="shared" si="8"/>
        <v>0</v>
      </c>
      <c r="AN188">
        <f t="shared" si="9"/>
        <v>0</v>
      </c>
    </row>
    <row r="189" spans="1:40" x14ac:dyDescent="0.35">
      <c r="A189">
        <v>66.759500000000003</v>
      </c>
      <c r="B189">
        <v>72.290000000000006</v>
      </c>
      <c r="C189">
        <v>1.8571200000000001</v>
      </c>
      <c r="D189">
        <v>0.04</v>
      </c>
      <c r="E189">
        <v>1</v>
      </c>
      <c r="F189">
        <v>2.6122299999999998</v>
      </c>
      <c r="G189">
        <v>2.6899799999999998</v>
      </c>
      <c r="H189">
        <v>0</v>
      </c>
      <c r="I189">
        <v>0.48203200000000002</v>
      </c>
      <c r="J189">
        <v>3.6288</v>
      </c>
      <c r="K189" s="2">
        <v>8695400</v>
      </c>
      <c r="L189" s="1">
        <v>0</v>
      </c>
      <c r="M189" s="1">
        <v>0</v>
      </c>
      <c r="N189" s="1">
        <v>0</v>
      </c>
      <c r="O189" s="1">
        <v>0</v>
      </c>
      <c r="P189" s="2">
        <v>3905220</v>
      </c>
      <c r="Q189" s="1">
        <v>171497</v>
      </c>
      <c r="R189" s="1">
        <v>105038</v>
      </c>
      <c r="S189">
        <v>97.9619</v>
      </c>
      <c r="T189">
        <v>98.274000000000001</v>
      </c>
      <c r="U189">
        <v>2.0036399999999999</v>
      </c>
      <c r="V189">
        <v>0</v>
      </c>
      <c r="W189">
        <v>1</v>
      </c>
      <c r="X189">
        <v>1.7146600000000001</v>
      </c>
      <c r="Y189">
        <v>1.6369100000000001</v>
      </c>
      <c r="Z189">
        <v>0</v>
      </c>
      <c r="AA189">
        <v>1.3549</v>
      </c>
      <c r="AB189">
        <v>2.1168</v>
      </c>
      <c r="AC189" s="2">
        <v>112888000</v>
      </c>
      <c r="AD189" s="1">
        <v>0</v>
      </c>
      <c r="AE189" s="1">
        <v>0</v>
      </c>
      <c r="AF189" s="1">
        <v>0</v>
      </c>
      <c r="AG189" s="1">
        <v>0</v>
      </c>
      <c r="AH189" s="2">
        <v>4436220</v>
      </c>
      <c r="AI189" s="1">
        <v>339202</v>
      </c>
      <c r="AJ189" s="1">
        <v>0</v>
      </c>
      <c r="AK189" s="8">
        <f t="shared" si="11"/>
        <v>32</v>
      </c>
      <c r="AL189" s="8">
        <f t="shared" si="10"/>
        <v>4</v>
      </c>
      <c r="AM189">
        <f t="shared" si="8"/>
        <v>0</v>
      </c>
      <c r="AN189">
        <f t="shared" si="9"/>
        <v>0</v>
      </c>
    </row>
    <row r="190" spans="1:40" x14ac:dyDescent="0.35">
      <c r="A190">
        <v>65.429699999999997</v>
      </c>
      <c r="B190">
        <v>72.290000000000006</v>
      </c>
      <c r="C190">
        <v>1.7320500000000001</v>
      </c>
      <c r="D190">
        <v>0.04</v>
      </c>
      <c r="E190">
        <v>1</v>
      </c>
      <c r="F190">
        <v>2.6132300000000002</v>
      </c>
      <c r="G190">
        <v>2.6905999999999999</v>
      </c>
      <c r="H190">
        <v>0</v>
      </c>
      <c r="I190">
        <v>0.48953200000000002</v>
      </c>
      <c r="J190">
        <v>3.6288</v>
      </c>
      <c r="K190" s="2">
        <v>8867470</v>
      </c>
      <c r="L190" s="1">
        <v>0</v>
      </c>
      <c r="M190" s="1">
        <v>0</v>
      </c>
      <c r="N190" s="1">
        <v>0</v>
      </c>
      <c r="O190" s="1">
        <v>0</v>
      </c>
      <c r="P190" s="2">
        <v>3906710</v>
      </c>
      <c r="Q190" s="1">
        <v>172069</v>
      </c>
      <c r="R190" s="1">
        <v>104530</v>
      </c>
      <c r="S190">
        <v>97.509299999999996</v>
      </c>
      <c r="T190">
        <v>98.274000000000001</v>
      </c>
      <c r="U190">
        <v>1.90585</v>
      </c>
      <c r="V190">
        <v>0</v>
      </c>
      <c r="W190">
        <v>1</v>
      </c>
      <c r="X190">
        <v>1.7146600000000001</v>
      </c>
      <c r="Y190">
        <v>1.6372800000000001</v>
      </c>
      <c r="Z190">
        <v>0</v>
      </c>
      <c r="AA190">
        <v>1.32474</v>
      </c>
      <c r="AB190">
        <v>2.1168</v>
      </c>
      <c r="AC190" s="2">
        <v>113226000</v>
      </c>
      <c r="AD190" s="1">
        <v>0</v>
      </c>
      <c r="AE190" s="1">
        <v>0</v>
      </c>
      <c r="AF190" s="1">
        <v>0</v>
      </c>
      <c r="AG190" s="1">
        <v>0</v>
      </c>
      <c r="AH190" s="2">
        <v>4436220</v>
      </c>
      <c r="AI190" s="1">
        <v>338261</v>
      </c>
      <c r="AJ190" s="1">
        <v>0</v>
      </c>
      <c r="AK190" s="8">
        <f t="shared" si="11"/>
        <v>33</v>
      </c>
      <c r="AL190" s="8">
        <f t="shared" si="10"/>
        <v>4</v>
      </c>
      <c r="AM190">
        <f t="shared" si="8"/>
        <v>0</v>
      </c>
      <c r="AN190">
        <f t="shared" si="9"/>
        <v>0</v>
      </c>
    </row>
    <row r="191" spans="1:40" x14ac:dyDescent="0.35">
      <c r="A191">
        <v>63.943199999999997</v>
      </c>
      <c r="B191">
        <v>72.290000000000006</v>
      </c>
      <c r="C191">
        <v>1.5754699999999999</v>
      </c>
      <c r="D191">
        <v>0.04</v>
      </c>
      <c r="E191">
        <v>1</v>
      </c>
      <c r="F191">
        <v>2.61422</v>
      </c>
      <c r="G191">
        <v>2.6912199999999999</v>
      </c>
      <c r="H191">
        <v>0</v>
      </c>
      <c r="I191">
        <v>0.48971799999999999</v>
      </c>
      <c r="J191">
        <v>3.6288</v>
      </c>
      <c r="K191" s="2">
        <v>9040110</v>
      </c>
      <c r="L191" s="1">
        <v>0</v>
      </c>
      <c r="M191" s="1">
        <v>0</v>
      </c>
      <c r="N191" s="1">
        <v>0</v>
      </c>
      <c r="O191" s="1">
        <v>0</v>
      </c>
      <c r="P191" s="2">
        <v>3908190</v>
      </c>
      <c r="Q191" s="1">
        <v>172640</v>
      </c>
      <c r="R191" s="1">
        <v>104022</v>
      </c>
      <c r="S191">
        <v>97.320599999999999</v>
      </c>
      <c r="T191">
        <v>98.274000000000001</v>
      </c>
      <c r="U191">
        <v>1.66845</v>
      </c>
      <c r="V191">
        <v>0</v>
      </c>
      <c r="W191">
        <v>1</v>
      </c>
      <c r="X191">
        <v>1.7146600000000001</v>
      </c>
      <c r="Y191">
        <v>1.6376599999999999</v>
      </c>
      <c r="Z191">
        <v>0</v>
      </c>
      <c r="AA191">
        <v>1.32474</v>
      </c>
      <c r="AB191">
        <v>2.1168</v>
      </c>
      <c r="AC191" s="2">
        <v>113564000</v>
      </c>
      <c r="AD191" s="1">
        <v>0</v>
      </c>
      <c r="AE191" s="1">
        <v>0</v>
      </c>
      <c r="AF191" s="1">
        <v>0</v>
      </c>
      <c r="AG191" s="1">
        <v>0</v>
      </c>
      <c r="AH191" s="2">
        <v>4436220</v>
      </c>
      <c r="AI191" s="1">
        <v>337320</v>
      </c>
      <c r="AJ191" s="1">
        <v>0</v>
      </c>
      <c r="AK191" s="8">
        <f t="shared" si="11"/>
        <v>34</v>
      </c>
      <c r="AL191" s="8">
        <f t="shared" si="10"/>
        <v>4</v>
      </c>
      <c r="AM191">
        <f t="shared" si="8"/>
        <v>0</v>
      </c>
      <c r="AN191">
        <f t="shared" si="9"/>
        <v>0</v>
      </c>
    </row>
    <row r="192" spans="1:40" x14ac:dyDescent="0.35">
      <c r="A192">
        <v>62.493400000000001</v>
      </c>
      <c r="B192">
        <v>72.290000000000006</v>
      </c>
      <c r="C192">
        <v>1.7824800000000001</v>
      </c>
      <c r="D192">
        <v>0.04</v>
      </c>
      <c r="E192">
        <v>1</v>
      </c>
      <c r="F192">
        <v>2.7949899999999999</v>
      </c>
      <c r="G192">
        <v>2.87161</v>
      </c>
      <c r="H192">
        <v>0</v>
      </c>
      <c r="I192">
        <v>0.48990499999999998</v>
      </c>
      <c r="J192">
        <v>3.6288</v>
      </c>
      <c r="K192" s="2">
        <v>9231800</v>
      </c>
      <c r="L192" s="1">
        <v>0</v>
      </c>
      <c r="M192" s="1">
        <v>0</v>
      </c>
      <c r="N192" s="1">
        <v>0</v>
      </c>
      <c r="O192" s="1">
        <v>0</v>
      </c>
      <c r="P192" s="2">
        <v>4178440</v>
      </c>
      <c r="Q192" s="1">
        <v>191693</v>
      </c>
      <c r="R192" s="1">
        <v>103514</v>
      </c>
      <c r="S192">
        <v>97.026799999999994</v>
      </c>
      <c r="T192">
        <v>98.274000000000001</v>
      </c>
      <c r="U192">
        <v>2.2092700000000001</v>
      </c>
      <c r="V192">
        <v>0</v>
      </c>
      <c r="W192">
        <v>1</v>
      </c>
      <c r="X192">
        <v>1.85568</v>
      </c>
      <c r="Y192">
        <v>1.7790600000000001</v>
      </c>
      <c r="Z192">
        <v>0</v>
      </c>
      <c r="AA192">
        <v>1.32474</v>
      </c>
      <c r="AB192">
        <v>2.1168</v>
      </c>
      <c r="AC192" s="2">
        <v>113912000</v>
      </c>
      <c r="AD192" s="1">
        <v>0</v>
      </c>
      <c r="AE192" s="1">
        <v>0</v>
      </c>
      <c r="AF192" s="1">
        <v>0</v>
      </c>
      <c r="AG192" s="1">
        <v>0</v>
      </c>
      <c r="AH192" s="2">
        <v>4801100</v>
      </c>
      <c r="AI192" s="1">
        <v>348273</v>
      </c>
      <c r="AJ192" s="1">
        <v>0</v>
      </c>
      <c r="AK192" s="8">
        <f t="shared" si="11"/>
        <v>35</v>
      </c>
      <c r="AL192" s="8">
        <f t="shared" si="10"/>
        <v>4</v>
      </c>
      <c r="AM192">
        <f t="shared" si="8"/>
        <v>0</v>
      </c>
      <c r="AN192">
        <f t="shared" si="9"/>
        <v>0</v>
      </c>
    </row>
    <row r="193" spans="1:40" x14ac:dyDescent="0.35">
      <c r="A193">
        <v>60.7</v>
      </c>
      <c r="B193">
        <v>72.290000000000006</v>
      </c>
      <c r="C193">
        <v>1.51051</v>
      </c>
      <c r="D193">
        <v>7.0000000000000007E-2</v>
      </c>
      <c r="E193">
        <v>1</v>
      </c>
      <c r="F193">
        <v>2.8722699999999999</v>
      </c>
      <c r="G193">
        <v>2.8722699999999999</v>
      </c>
      <c r="H193">
        <v>0</v>
      </c>
      <c r="I193">
        <v>0.52378100000000005</v>
      </c>
      <c r="J193">
        <v>3.6288</v>
      </c>
      <c r="K193" s="2">
        <v>9527080</v>
      </c>
      <c r="L193" s="1">
        <v>0</v>
      </c>
      <c r="M193" s="1">
        <v>0</v>
      </c>
      <c r="N193" s="1">
        <v>0</v>
      </c>
      <c r="O193" s="1">
        <v>0</v>
      </c>
      <c r="P193" s="2">
        <v>4293970</v>
      </c>
      <c r="Q193" s="1">
        <v>295275</v>
      </c>
      <c r="R193" s="1">
        <v>0</v>
      </c>
      <c r="S193">
        <v>96.619500000000002</v>
      </c>
      <c r="T193">
        <v>98.274000000000001</v>
      </c>
      <c r="U193">
        <v>1.8958699999999999</v>
      </c>
      <c r="V193">
        <v>0</v>
      </c>
      <c r="W193">
        <v>1</v>
      </c>
      <c r="X193">
        <v>1.7794700000000001</v>
      </c>
      <c r="Y193">
        <v>1.7794700000000001</v>
      </c>
      <c r="Z193">
        <v>0</v>
      </c>
      <c r="AA193">
        <v>1.4337</v>
      </c>
      <c r="AB193">
        <v>2.1168</v>
      </c>
      <c r="AC193" s="2">
        <v>114062000</v>
      </c>
      <c r="AD193" s="1">
        <v>0</v>
      </c>
      <c r="AE193" s="1">
        <v>0</v>
      </c>
      <c r="AF193" s="1">
        <v>0</v>
      </c>
      <c r="AG193" s="1">
        <v>0</v>
      </c>
      <c r="AH193" s="2">
        <v>4603920</v>
      </c>
      <c r="AI193" s="1">
        <v>150070</v>
      </c>
      <c r="AJ193" s="1">
        <v>0</v>
      </c>
      <c r="AK193" s="8">
        <f t="shared" si="11"/>
        <v>36</v>
      </c>
      <c r="AL193" s="8">
        <f t="shared" si="10"/>
        <v>4</v>
      </c>
      <c r="AM193">
        <f t="shared" si="8"/>
        <v>0</v>
      </c>
      <c r="AN193">
        <f t="shared" si="9"/>
        <v>0</v>
      </c>
    </row>
    <row r="194" spans="1:40" x14ac:dyDescent="0.35">
      <c r="A194">
        <v>58.667900000000003</v>
      </c>
      <c r="B194">
        <v>72.290000000000006</v>
      </c>
      <c r="C194">
        <v>1.27183</v>
      </c>
      <c r="D194">
        <v>7.0000000000000007E-2</v>
      </c>
      <c r="E194">
        <v>1</v>
      </c>
      <c r="F194">
        <v>2.8729300000000002</v>
      </c>
      <c r="G194">
        <v>2.8729300000000002</v>
      </c>
      <c r="H194">
        <v>0</v>
      </c>
      <c r="I194">
        <v>0.53826300000000005</v>
      </c>
      <c r="J194">
        <v>3.6288</v>
      </c>
      <c r="K194" s="2">
        <v>9822420</v>
      </c>
      <c r="L194" s="1">
        <v>0</v>
      </c>
      <c r="M194" s="1">
        <v>0</v>
      </c>
      <c r="N194" s="1">
        <v>0</v>
      </c>
      <c r="O194" s="1">
        <v>0</v>
      </c>
      <c r="P194" s="2">
        <v>4294960</v>
      </c>
      <c r="Q194" s="1">
        <v>295343</v>
      </c>
      <c r="R194" s="1">
        <v>0</v>
      </c>
      <c r="S194">
        <v>96.268799999999999</v>
      </c>
      <c r="T194">
        <v>98.274000000000001</v>
      </c>
      <c r="U194">
        <v>1.7419500000000001</v>
      </c>
      <c r="V194">
        <v>0</v>
      </c>
      <c r="W194">
        <v>1</v>
      </c>
      <c r="X194">
        <v>1.7798799999999999</v>
      </c>
      <c r="Y194">
        <v>1.7798799999999999</v>
      </c>
      <c r="Z194">
        <v>0</v>
      </c>
      <c r="AA194">
        <v>1.3748199999999999</v>
      </c>
      <c r="AB194">
        <v>2.1168</v>
      </c>
      <c r="AC194" s="2">
        <v>114212000</v>
      </c>
      <c r="AD194" s="1">
        <v>0</v>
      </c>
      <c r="AE194" s="1">
        <v>0</v>
      </c>
      <c r="AF194" s="1">
        <v>0</v>
      </c>
      <c r="AG194" s="1">
        <v>0</v>
      </c>
      <c r="AH194" s="2">
        <v>4604970</v>
      </c>
      <c r="AI194" s="1">
        <v>150104</v>
      </c>
      <c r="AJ194" s="1">
        <v>0</v>
      </c>
      <c r="AK194" s="8">
        <f t="shared" si="11"/>
        <v>37</v>
      </c>
      <c r="AL194" s="8">
        <f t="shared" si="10"/>
        <v>4</v>
      </c>
      <c r="AM194">
        <f t="shared" si="8"/>
        <v>0</v>
      </c>
      <c r="AN194">
        <f t="shared" si="9"/>
        <v>0</v>
      </c>
    </row>
    <row r="195" spans="1:40" x14ac:dyDescent="0.35">
      <c r="A195">
        <v>56.663499999999999</v>
      </c>
      <c r="B195">
        <v>72.290000000000006</v>
      </c>
      <c r="C195">
        <v>1.2989299999999999</v>
      </c>
      <c r="D195">
        <v>7.0000000000000007E-2</v>
      </c>
      <c r="E195">
        <v>1</v>
      </c>
      <c r="F195">
        <v>2.8735900000000001</v>
      </c>
      <c r="G195">
        <v>2.8735900000000001</v>
      </c>
      <c r="H195">
        <v>0</v>
      </c>
      <c r="I195">
        <v>0.53838699999999995</v>
      </c>
      <c r="J195">
        <v>3.6288</v>
      </c>
      <c r="K195" s="2">
        <v>10117800</v>
      </c>
      <c r="L195" s="1">
        <v>0</v>
      </c>
      <c r="M195" s="1">
        <v>0</v>
      </c>
      <c r="N195" s="1">
        <v>0</v>
      </c>
      <c r="O195" s="1">
        <v>0</v>
      </c>
      <c r="P195" s="2">
        <v>4295940</v>
      </c>
      <c r="Q195" s="1">
        <v>295411</v>
      </c>
      <c r="R195" s="1">
        <v>0</v>
      </c>
      <c r="S195">
        <v>96.031599999999997</v>
      </c>
      <c r="T195">
        <v>98.274000000000001</v>
      </c>
      <c r="U195">
        <v>1.87923</v>
      </c>
      <c r="V195">
        <v>0</v>
      </c>
      <c r="W195">
        <v>1</v>
      </c>
      <c r="X195">
        <v>1.7802899999999999</v>
      </c>
      <c r="Y195">
        <v>1.7802899999999999</v>
      </c>
      <c r="Z195">
        <v>0</v>
      </c>
      <c r="AA195">
        <v>1.37514</v>
      </c>
      <c r="AB195">
        <v>2.1168</v>
      </c>
      <c r="AC195" s="2">
        <v>114362000</v>
      </c>
      <c r="AD195" s="1">
        <v>0</v>
      </c>
      <c r="AE195" s="1">
        <v>0</v>
      </c>
      <c r="AF195" s="1">
        <v>0</v>
      </c>
      <c r="AG195" s="1">
        <v>0</v>
      </c>
      <c r="AH195" s="2">
        <v>4606030</v>
      </c>
      <c r="AI195" s="1">
        <v>150139</v>
      </c>
      <c r="AJ195" s="1">
        <v>0</v>
      </c>
      <c r="AK195" s="8">
        <f t="shared" si="11"/>
        <v>38</v>
      </c>
      <c r="AL195" s="8">
        <f t="shared" si="10"/>
        <v>4</v>
      </c>
      <c r="AM195">
        <f t="shared" ref="AM195:AM258" si="12">IF(AK195=52,AC195,0)</f>
        <v>0</v>
      </c>
      <c r="AN195">
        <f t="shared" ref="AN195:AN258" si="13">IF(AK195=52,K195,0)</f>
        <v>0</v>
      </c>
    </row>
    <row r="196" spans="1:40" x14ac:dyDescent="0.35">
      <c r="A196">
        <v>54.670299999999997</v>
      </c>
      <c r="B196">
        <v>72.290000000000006</v>
      </c>
      <c r="C196">
        <v>1.3106100000000001</v>
      </c>
      <c r="D196">
        <v>0.12</v>
      </c>
      <c r="E196">
        <v>1</v>
      </c>
      <c r="F196">
        <v>2.87425</v>
      </c>
      <c r="G196">
        <v>2.87425</v>
      </c>
      <c r="H196">
        <v>0</v>
      </c>
      <c r="I196">
        <v>0.53851099999999996</v>
      </c>
      <c r="J196">
        <v>3.6288</v>
      </c>
      <c r="K196" s="2">
        <v>10413300</v>
      </c>
      <c r="L196" s="1">
        <v>0</v>
      </c>
      <c r="M196" s="1">
        <v>0</v>
      </c>
      <c r="N196" s="1">
        <v>0</v>
      </c>
      <c r="O196" s="1">
        <v>0</v>
      </c>
      <c r="P196" s="2">
        <v>4296930</v>
      </c>
      <c r="Q196" s="1">
        <v>295478</v>
      </c>
      <c r="R196" s="1">
        <v>0</v>
      </c>
      <c r="S196">
        <v>95.780299999999997</v>
      </c>
      <c r="T196">
        <v>98.274000000000001</v>
      </c>
      <c r="U196">
        <v>2.2193000000000001</v>
      </c>
      <c r="V196">
        <v>0</v>
      </c>
      <c r="W196">
        <v>1</v>
      </c>
      <c r="X196">
        <v>1.7806999999999999</v>
      </c>
      <c r="Y196">
        <v>1.7806999999999999</v>
      </c>
      <c r="Z196">
        <v>0</v>
      </c>
      <c r="AA196">
        <v>1.3754500000000001</v>
      </c>
      <c r="AB196">
        <v>2.1168</v>
      </c>
      <c r="AC196" s="2">
        <v>114512000</v>
      </c>
      <c r="AD196" s="1">
        <v>0</v>
      </c>
      <c r="AE196" s="1">
        <v>0</v>
      </c>
      <c r="AF196" s="1">
        <v>0</v>
      </c>
      <c r="AG196" s="1">
        <v>0</v>
      </c>
      <c r="AH196" s="2">
        <v>4607090</v>
      </c>
      <c r="AI196" s="1">
        <v>150173</v>
      </c>
      <c r="AJ196" s="1">
        <v>0</v>
      </c>
      <c r="AK196" s="8">
        <f t="shared" si="11"/>
        <v>39</v>
      </c>
      <c r="AL196" s="8">
        <f t="shared" ref="AL196:AL259" si="14">IF(AK195=52,AL195+1,AL195)</f>
        <v>4</v>
      </c>
      <c r="AM196">
        <f t="shared" si="12"/>
        <v>0</v>
      </c>
      <c r="AN196">
        <f t="shared" si="13"/>
        <v>0</v>
      </c>
    </row>
    <row r="197" spans="1:40" x14ac:dyDescent="0.35">
      <c r="A197">
        <v>53.495899999999999</v>
      </c>
      <c r="B197">
        <v>72.290000000000006</v>
      </c>
      <c r="C197">
        <v>1.9882200000000001</v>
      </c>
      <c r="D197">
        <v>0.12</v>
      </c>
      <c r="E197">
        <v>1</v>
      </c>
      <c r="F197">
        <v>2.7871899999999998</v>
      </c>
      <c r="G197">
        <v>2.7871899999999998</v>
      </c>
      <c r="H197">
        <v>0</v>
      </c>
      <c r="I197">
        <v>0.53863399999999995</v>
      </c>
      <c r="J197">
        <v>3.6288</v>
      </c>
      <c r="K197" s="2">
        <v>10699800</v>
      </c>
      <c r="L197" s="1">
        <v>0</v>
      </c>
      <c r="M197" s="1">
        <v>0</v>
      </c>
      <c r="N197" s="1">
        <v>0</v>
      </c>
      <c r="O197" s="1">
        <v>0</v>
      </c>
      <c r="P197" s="2">
        <v>4166780</v>
      </c>
      <c r="Q197" s="1">
        <v>286529</v>
      </c>
      <c r="R197" s="1">
        <v>0</v>
      </c>
      <c r="S197">
        <v>95.678799999999995</v>
      </c>
      <c r="T197">
        <v>98.274000000000001</v>
      </c>
      <c r="U197">
        <v>2.3462800000000001</v>
      </c>
      <c r="V197">
        <v>0</v>
      </c>
      <c r="W197">
        <v>1</v>
      </c>
      <c r="X197">
        <v>1.6954100000000001</v>
      </c>
      <c r="Y197">
        <v>1.6954100000000001</v>
      </c>
      <c r="Z197">
        <v>0</v>
      </c>
      <c r="AA197">
        <v>1.3757699999999999</v>
      </c>
      <c r="AB197">
        <v>2.1168</v>
      </c>
      <c r="AC197" s="2">
        <v>114655000</v>
      </c>
      <c r="AD197" s="1">
        <v>0</v>
      </c>
      <c r="AE197" s="1">
        <v>0</v>
      </c>
      <c r="AF197" s="1">
        <v>0</v>
      </c>
      <c r="AG197" s="1">
        <v>0</v>
      </c>
      <c r="AH197" s="2">
        <v>4386430</v>
      </c>
      <c r="AI197" s="1">
        <v>142981</v>
      </c>
      <c r="AJ197" s="1">
        <v>0</v>
      </c>
      <c r="AK197" s="8">
        <f t="shared" si="11"/>
        <v>40</v>
      </c>
      <c r="AL197" s="8">
        <f t="shared" si="14"/>
        <v>4</v>
      </c>
      <c r="AM197">
        <f t="shared" si="12"/>
        <v>0</v>
      </c>
      <c r="AN197">
        <f t="shared" si="13"/>
        <v>0</v>
      </c>
    </row>
    <row r="198" spans="1:40" x14ac:dyDescent="0.35">
      <c r="A198">
        <v>52.744999999999997</v>
      </c>
      <c r="B198">
        <v>72.290000000000006</v>
      </c>
      <c r="C198">
        <v>2.4273799999999999</v>
      </c>
      <c r="D198">
        <v>0.12</v>
      </c>
      <c r="E198">
        <v>1</v>
      </c>
      <c r="F198">
        <v>2.7689599999999999</v>
      </c>
      <c r="G198">
        <v>2.78783</v>
      </c>
      <c r="H198">
        <v>0</v>
      </c>
      <c r="I198">
        <v>0.52232000000000001</v>
      </c>
      <c r="J198">
        <v>3.6288</v>
      </c>
      <c r="K198" s="2">
        <v>10960900</v>
      </c>
      <c r="L198" s="1">
        <v>0</v>
      </c>
      <c r="M198" s="1">
        <v>0</v>
      </c>
      <c r="N198" s="1">
        <v>0</v>
      </c>
      <c r="O198" s="1">
        <v>0</v>
      </c>
      <c r="P198" s="2">
        <v>4139530</v>
      </c>
      <c r="Q198" s="1">
        <v>261101</v>
      </c>
      <c r="R198" s="1">
        <v>25493.4</v>
      </c>
      <c r="S198">
        <v>95.759900000000002</v>
      </c>
      <c r="T198">
        <v>98.274000000000001</v>
      </c>
      <c r="U198">
        <v>2.7286199999999998</v>
      </c>
      <c r="V198">
        <v>0</v>
      </c>
      <c r="W198">
        <v>1</v>
      </c>
      <c r="X198">
        <v>1.7146699999999999</v>
      </c>
      <c r="Y198">
        <v>1.6958</v>
      </c>
      <c r="Z198">
        <v>0</v>
      </c>
      <c r="AA198">
        <v>1.3098700000000001</v>
      </c>
      <c r="AB198">
        <v>2.1168</v>
      </c>
      <c r="AC198" s="2">
        <v>114847000</v>
      </c>
      <c r="AD198" s="1">
        <v>0</v>
      </c>
      <c r="AE198" s="1">
        <v>0</v>
      </c>
      <c r="AF198" s="1">
        <v>0</v>
      </c>
      <c r="AG198" s="1">
        <v>0</v>
      </c>
      <c r="AH198" s="2">
        <v>4436260</v>
      </c>
      <c r="AI198" s="1">
        <v>191835</v>
      </c>
      <c r="AJ198" s="1">
        <v>0</v>
      </c>
      <c r="AK198" s="8">
        <f t="shared" si="11"/>
        <v>41</v>
      </c>
      <c r="AL198" s="8">
        <f t="shared" si="14"/>
        <v>4</v>
      </c>
      <c r="AM198">
        <f t="shared" si="12"/>
        <v>0</v>
      </c>
      <c r="AN198">
        <f t="shared" si="13"/>
        <v>0</v>
      </c>
    </row>
    <row r="199" spans="1:40" x14ac:dyDescent="0.35">
      <c r="A199">
        <v>52.279800000000002</v>
      </c>
      <c r="B199">
        <v>72.290000000000006</v>
      </c>
      <c r="C199">
        <v>2.7629800000000002</v>
      </c>
      <c r="D199">
        <v>0.15</v>
      </c>
      <c r="E199">
        <v>1</v>
      </c>
      <c r="F199">
        <v>2.76999</v>
      </c>
      <c r="G199">
        <v>2.7884699999999998</v>
      </c>
      <c r="H199">
        <v>0</v>
      </c>
      <c r="I199">
        <v>0.51890400000000003</v>
      </c>
      <c r="J199">
        <v>3.6288</v>
      </c>
      <c r="K199" s="2">
        <v>11222600</v>
      </c>
      <c r="L199" s="1">
        <v>0</v>
      </c>
      <c r="M199" s="1">
        <v>0</v>
      </c>
      <c r="N199" s="1">
        <v>0</v>
      </c>
      <c r="O199" s="1">
        <v>0</v>
      </c>
      <c r="P199" s="2">
        <v>4141070</v>
      </c>
      <c r="Q199" s="1">
        <v>261693</v>
      </c>
      <c r="R199" s="1">
        <v>24967.3</v>
      </c>
      <c r="S199">
        <v>96.213700000000003</v>
      </c>
      <c r="T199">
        <v>98.274000000000001</v>
      </c>
      <c r="U199">
        <v>3.7883300000000002</v>
      </c>
      <c r="V199">
        <v>0</v>
      </c>
      <c r="W199">
        <v>1</v>
      </c>
      <c r="X199">
        <v>1.7146699999999999</v>
      </c>
      <c r="Y199">
        <v>1.6961900000000001</v>
      </c>
      <c r="Z199">
        <v>0</v>
      </c>
      <c r="AA199">
        <v>1.3247500000000001</v>
      </c>
      <c r="AB199">
        <v>2.1168</v>
      </c>
      <c r="AC199" s="2">
        <v>115038000</v>
      </c>
      <c r="AD199" s="1">
        <v>0</v>
      </c>
      <c r="AE199" s="1">
        <v>0</v>
      </c>
      <c r="AF199" s="1">
        <v>0</v>
      </c>
      <c r="AG199" s="1">
        <v>0</v>
      </c>
      <c r="AH199" s="2">
        <v>4436260</v>
      </c>
      <c r="AI199" s="1">
        <v>190860</v>
      </c>
      <c r="AJ199" s="1">
        <v>0</v>
      </c>
      <c r="AK199" s="8">
        <f t="shared" si="11"/>
        <v>42</v>
      </c>
      <c r="AL199" s="8">
        <f t="shared" si="14"/>
        <v>4</v>
      </c>
      <c r="AM199">
        <f t="shared" si="12"/>
        <v>0</v>
      </c>
      <c r="AN199">
        <f t="shared" si="13"/>
        <v>0</v>
      </c>
    </row>
    <row r="200" spans="1:40" x14ac:dyDescent="0.35">
      <c r="A200">
        <v>51.681100000000001</v>
      </c>
      <c r="B200">
        <v>72.290000000000006</v>
      </c>
      <c r="C200">
        <v>2.6301100000000002</v>
      </c>
      <c r="D200">
        <v>0.15</v>
      </c>
      <c r="E200">
        <v>1</v>
      </c>
      <c r="F200">
        <v>2.77102</v>
      </c>
      <c r="G200">
        <v>2.78911</v>
      </c>
      <c r="H200">
        <v>0</v>
      </c>
      <c r="I200">
        <v>0.51909700000000003</v>
      </c>
      <c r="J200">
        <v>3.6288</v>
      </c>
      <c r="K200" s="2">
        <v>11484900</v>
      </c>
      <c r="L200" s="1">
        <v>0</v>
      </c>
      <c r="M200" s="1">
        <v>0</v>
      </c>
      <c r="N200" s="1">
        <v>0</v>
      </c>
      <c r="O200" s="1">
        <v>0</v>
      </c>
      <c r="P200" s="2">
        <v>4142610</v>
      </c>
      <c r="Q200" s="1">
        <v>262285</v>
      </c>
      <c r="R200" s="1">
        <v>24441.1</v>
      </c>
      <c r="S200">
        <v>96.634399999999999</v>
      </c>
      <c r="T200">
        <v>98.274000000000001</v>
      </c>
      <c r="U200">
        <v>3.6223299999999998</v>
      </c>
      <c r="V200">
        <v>0</v>
      </c>
      <c r="W200">
        <v>1</v>
      </c>
      <c r="X200">
        <v>1.7146699999999999</v>
      </c>
      <c r="Y200">
        <v>1.69658</v>
      </c>
      <c r="Z200">
        <v>0</v>
      </c>
      <c r="AA200">
        <v>1.3247500000000001</v>
      </c>
      <c r="AB200">
        <v>2.1168</v>
      </c>
      <c r="AC200" s="2">
        <v>115228000</v>
      </c>
      <c r="AD200" s="1">
        <v>0</v>
      </c>
      <c r="AE200" s="1">
        <v>0</v>
      </c>
      <c r="AF200" s="1">
        <v>0</v>
      </c>
      <c r="AG200" s="1">
        <v>0</v>
      </c>
      <c r="AH200" s="2">
        <v>4436260</v>
      </c>
      <c r="AI200" s="1">
        <v>189886</v>
      </c>
      <c r="AJ200" s="1">
        <v>0</v>
      </c>
      <c r="AK200" s="8">
        <f t="shared" ref="AK200:AK263" si="15">IF(AK199=52, 1, AK199+1)</f>
        <v>43</v>
      </c>
      <c r="AL200" s="8">
        <f t="shared" si="14"/>
        <v>4</v>
      </c>
      <c r="AM200">
        <f t="shared" si="12"/>
        <v>0</v>
      </c>
      <c r="AN200">
        <f t="shared" si="13"/>
        <v>0</v>
      </c>
    </row>
    <row r="201" spans="1:40" x14ac:dyDescent="0.35">
      <c r="A201">
        <v>51.7607</v>
      </c>
      <c r="B201">
        <v>72.290000000000006</v>
      </c>
      <c r="C201">
        <v>3.24302</v>
      </c>
      <c r="D201">
        <v>0.15</v>
      </c>
      <c r="E201">
        <v>1</v>
      </c>
      <c r="F201">
        <v>2.6999900000000001</v>
      </c>
      <c r="G201">
        <v>2.7176900000000002</v>
      </c>
      <c r="H201">
        <v>0</v>
      </c>
      <c r="I201">
        <v>0.51929000000000003</v>
      </c>
      <c r="J201">
        <v>3.6288</v>
      </c>
      <c r="K201" s="2">
        <v>11740400</v>
      </c>
      <c r="L201" s="1">
        <v>0</v>
      </c>
      <c r="M201" s="1">
        <v>0</v>
      </c>
      <c r="N201" s="1">
        <v>0</v>
      </c>
      <c r="O201" s="1">
        <v>0</v>
      </c>
      <c r="P201" s="2">
        <v>4036410</v>
      </c>
      <c r="Q201" s="1">
        <v>255469</v>
      </c>
      <c r="R201" s="1">
        <v>23914.799999999999</v>
      </c>
      <c r="S201">
        <v>97.471299999999999</v>
      </c>
      <c r="T201">
        <v>98.274000000000001</v>
      </c>
      <c r="U201">
        <v>4.79589</v>
      </c>
      <c r="V201">
        <v>0</v>
      </c>
      <c r="W201">
        <v>1</v>
      </c>
      <c r="X201">
        <v>1.63659</v>
      </c>
      <c r="Y201">
        <v>1.6188899999999999</v>
      </c>
      <c r="Z201">
        <v>0</v>
      </c>
      <c r="AA201">
        <v>1.3247500000000001</v>
      </c>
      <c r="AB201">
        <v>2.1168</v>
      </c>
      <c r="AC201" s="2">
        <v>115410000</v>
      </c>
      <c r="AD201" s="1">
        <v>0</v>
      </c>
      <c r="AE201" s="1">
        <v>0</v>
      </c>
      <c r="AF201" s="1">
        <v>0</v>
      </c>
      <c r="AG201" s="1">
        <v>0</v>
      </c>
      <c r="AH201" s="2">
        <v>4234250</v>
      </c>
      <c r="AI201" s="1">
        <v>182326</v>
      </c>
      <c r="AJ201" s="1">
        <v>0</v>
      </c>
      <c r="AK201" s="8">
        <f t="shared" si="15"/>
        <v>44</v>
      </c>
      <c r="AL201" s="8">
        <f t="shared" si="14"/>
        <v>4</v>
      </c>
      <c r="AM201">
        <f t="shared" si="12"/>
        <v>0</v>
      </c>
      <c r="AN201">
        <f t="shared" si="13"/>
        <v>0</v>
      </c>
    </row>
    <row r="202" spans="1:40" x14ac:dyDescent="0.35">
      <c r="A202">
        <v>52.966900000000003</v>
      </c>
      <c r="B202">
        <v>72.290000000000006</v>
      </c>
      <c r="C202">
        <v>4.3300700000000001</v>
      </c>
      <c r="D202">
        <v>0.15</v>
      </c>
      <c r="E202">
        <v>1</v>
      </c>
      <c r="F202">
        <v>2.6229200000000001</v>
      </c>
      <c r="G202">
        <v>2.7183099999999998</v>
      </c>
      <c r="H202">
        <v>0</v>
      </c>
      <c r="I202">
        <v>0.50597700000000001</v>
      </c>
      <c r="J202">
        <v>3.6288</v>
      </c>
      <c r="K202" s="2">
        <v>11891000</v>
      </c>
      <c r="L202" s="1">
        <v>0</v>
      </c>
      <c r="M202" s="1">
        <v>0</v>
      </c>
      <c r="N202" s="1">
        <v>0</v>
      </c>
      <c r="O202" s="1">
        <v>0</v>
      </c>
      <c r="P202" s="2">
        <v>3921200</v>
      </c>
      <c r="Q202" s="1">
        <v>150578</v>
      </c>
      <c r="R202" s="1">
        <v>128870</v>
      </c>
      <c r="S202">
        <v>98.366699999999994</v>
      </c>
      <c r="T202">
        <v>98.274000000000001</v>
      </c>
      <c r="U202">
        <v>5.5586700000000002</v>
      </c>
      <c r="V202">
        <v>0</v>
      </c>
      <c r="W202">
        <v>1</v>
      </c>
      <c r="X202">
        <v>1.71465</v>
      </c>
      <c r="Y202">
        <v>1.6192599999999999</v>
      </c>
      <c r="Z202">
        <v>0</v>
      </c>
      <c r="AA202">
        <v>1.2644299999999999</v>
      </c>
      <c r="AB202">
        <v>2.1168</v>
      </c>
      <c r="AC202" s="2">
        <v>115794000</v>
      </c>
      <c r="AD202" s="1">
        <v>0</v>
      </c>
      <c r="AE202" s="1">
        <v>0</v>
      </c>
      <c r="AF202" s="1">
        <v>0</v>
      </c>
      <c r="AG202" s="1">
        <v>0</v>
      </c>
      <c r="AH202" s="2">
        <v>4436210</v>
      </c>
      <c r="AI202" s="1">
        <v>383354</v>
      </c>
      <c r="AJ202" s="1">
        <v>0</v>
      </c>
      <c r="AK202" s="8">
        <f t="shared" si="15"/>
        <v>45</v>
      </c>
      <c r="AL202" s="8">
        <f t="shared" si="14"/>
        <v>4</v>
      </c>
      <c r="AM202">
        <f t="shared" si="12"/>
        <v>0</v>
      </c>
      <c r="AN202">
        <f t="shared" si="13"/>
        <v>0</v>
      </c>
    </row>
    <row r="203" spans="1:40" x14ac:dyDescent="0.35">
      <c r="A203">
        <v>54.843699999999998</v>
      </c>
      <c r="B203">
        <v>72.290000000000006</v>
      </c>
      <c r="C203">
        <v>5.0033899999999996</v>
      </c>
      <c r="D203">
        <v>0.15</v>
      </c>
      <c r="E203">
        <v>1</v>
      </c>
      <c r="F203">
        <v>2.62392</v>
      </c>
      <c r="G203">
        <v>2.7189399999999999</v>
      </c>
      <c r="H203">
        <v>0</v>
      </c>
      <c r="I203">
        <v>0.49153599999999997</v>
      </c>
      <c r="J203">
        <v>3.6288</v>
      </c>
      <c r="K203" s="2">
        <v>12042100</v>
      </c>
      <c r="L203" s="1">
        <v>0</v>
      </c>
      <c r="M203" s="1">
        <v>0</v>
      </c>
      <c r="N203" s="1">
        <v>0</v>
      </c>
      <c r="O203" s="1">
        <v>0</v>
      </c>
      <c r="P203" s="2">
        <v>3922690</v>
      </c>
      <c r="Q203" s="1">
        <v>151144</v>
      </c>
      <c r="R203" s="1">
        <v>128367</v>
      </c>
      <c r="S203">
        <v>99.302199999999999</v>
      </c>
      <c r="T203">
        <v>98.274000000000001</v>
      </c>
      <c r="U203">
        <v>5.9444299999999997</v>
      </c>
      <c r="V203">
        <v>0</v>
      </c>
      <c r="W203">
        <v>1</v>
      </c>
      <c r="X203">
        <v>1.71465</v>
      </c>
      <c r="Y203">
        <v>1.6196299999999999</v>
      </c>
      <c r="Z203">
        <v>0</v>
      </c>
      <c r="AA203">
        <v>1.32474</v>
      </c>
      <c r="AB203">
        <v>2.1168</v>
      </c>
      <c r="AC203" s="2">
        <v>116176000</v>
      </c>
      <c r="AD203" s="1">
        <v>0</v>
      </c>
      <c r="AE203" s="1">
        <v>0</v>
      </c>
      <c r="AF203" s="1">
        <v>0</v>
      </c>
      <c r="AG203" s="1">
        <v>0</v>
      </c>
      <c r="AH203" s="2">
        <v>4436210</v>
      </c>
      <c r="AI203" s="1">
        <v>382423</v>
      </c>
      <c r="AJ203" s="1">
        <v>0</v>
      </c>
      <c r="AK203" s="8">
        <f t="shared" si="15"/>
        <v>46</v>
      </c>
      <c r="AL203" s="8">
        <f t="shared" si="14"/>
        <v>4</v>
      </c>
      <c r="AM203">
        <f t="shared" si="12"/>
        <v>0</v>
      </c>
      <c r="AN203">
        <f t="shared" si="13"/>
        <v>0</v>
      </c>
    </row>
    <row r="204" spans="1:40" x14ac:dyDescent="0.35">
      <c r="A204">
        <v>57.424900000000001</v>
      </c>
      <c r="B204">
        <v>72.290000000000006</v>
      </c>
      <c r="C204">
        <v>5.7115200000000002</v>
      </c>
      <c r="D204">
        <v>0.13</v>
      </c>
      <c r="E204">
        <v>1</v>
      </c>
      <c r="F204">
        <v>2.6249199999999999</v>
      </c>
      <c r="G204">
        <v>2.71956</v>
      </c>
      <c r="H204">
        <v>0</v>
      </c>
      <c r="I204">
        <v>0.49172199999999999</v>
      </c>
      <c r="J204">
        <v>3.6288</v>
      </c>
      <c r="K204" s="2">
        <v>12193800</v>
      </c>
      <c r="L204" s="1">
        <v>0</v>
      </c>
      <c r="M204" s="1">
        <v>0</v>
      </c>
      <c r="N204" s="1">
        <v>0</v>
      </c>
      <c r="O204" s="1">
        <v>0</v>
      </c>
      <c r="P204" s="2">
        <v>3924180</v>
      </c>
      <c r="Q204" s="1">
        <v>151711</v>
      </c>
      <c r="R204" s="1">
        <v>127865</v>
      </c>
      <c r="S204">
        <v>99.302199999999999</v>
      </c>
      <c r="T204">
        <v>98.274000000000001</v>
      </c>
      <c r="U204">
        <v>7.1136200000000001</v>
      </c>
      <c r="V204">
        <v>0</v>
      </c>
      <c r="W204">
        <v>1</v>
      </c>
      <c r="X204">
        <v>1.71465</v>
      </c>
      <c r="Y204">
        <v>1.62001</v>
      </c>
      <c r="Z204">
        <v>0</v>
      </c>
      <c r="AA204">
        <v>1.32474</v>
      </c>
      <c r="AB204">
        <v>2.1168</v>
      </c>
      <c r="AC204" s="2">
        <v>116558000</v>
      </c>
      <c r="AD204" s="1">
        <v>0</v>
      </c>
      <c r="AE204" s="1">
        <v>0</v>
      </c>
      <c r="AF204" s="1">
        <v>0</v>
      </c>
      <c r="AG204" s="1">
        <v>0</v>
      </c>
      <c r="AH204" s="2">
        <v>4436210</v>
      </c>
      <c r="AI204" s="1">
        <v>381493</v>
      </c>
      <c r="AJ204" s="1">
        <v>0</v>
      </c>
      <c r="AK204" s="8">
        <f t="shared" si="15"/>
        <v>47</v>
      </c>
      <c r="AL204" s="8">
        <f t="shared" si="14"/>
        <v>4</v>
      </c>
      <c r="AM204">
        <f t="shared" si="12"/>
        <v>0</v>
      </c>
      <c r="AN204">
        <f t="shared" si="13"/>
        <v>0</v>
      </c>
    </row>
    <row r="205" spans="1:40" x14ac:dyDescent="0.35">
      <c r="A205">
        <v>59.462400000000002</v>
      </c>
      <c r="B205">
        <v>72.290000000000006</v>
      </c>
      <c r="C205">
        <v>5.0065600000000003</v>
      </c>
      <c r="D205">
        <v>0.13</v>
      </c>
      <c r="E205">
        <v>1</v>
      </c>
      <c r="F205">
        <v>2.4210500000000001</v>
      </c>
      <c r="G205">
        <v>2.51532</v>
      </c>
      <c r="H205">
        <v>0</v>
      </c>
      <c r="I205">
        <v>0.49190899999999999</v>
      </c>
      <c r="J205">
        <v>3.6288</v>
      </c>
      <c r="K205" s="2">
        <v>12325000</v>
      </c>
      <c r="L205" s="1">
        <v>0</v>
      </c>
      <c r="M205" s="1">
        <v>0</v>
      </c>
      <c r="N205" s="1">
        <v>0</v>
      </c>
      <c r="O205" s="1">
        <v>0</v>
      </c>
      <c r="P205" s="2">
        <v>3619410</v>
      </c>
      <c r="Q205" s="1">
        <v>131218</v>
      </c>
      <c r="R205" s="1">
        <v>127363</v>
      </c>
      <c r="S205">
        <v>99.302199999999999</v>
      </c>
      <c r="T205">
        <v>98.274000000000001</v>
      </c>
      <c r="U205">
        <v>6.1345400000000003</v>
      </c>
      <c r="V205">
        <v>0</v>
      </c>
      <c r="W205">
        <v>1</v>
      </c>
      <c r="X205">
        <v>1.55189</v>
      </c>
      <c r="Y205">
        <v>1.4576199999999999</v>
      </c>
      <c r="Z205">
        <v>0</v>
      </c>
      <c r="AA205">
        <v>1.32474</v>
      </c>
      <c r="AB205">
        <v>2.1168</v>
      </c>
      <c r="AC205" s="2">
        <v>116924000</v>
      </c>
      <c r="AD205" s="1">
        <v>0</v>
      </c>
      <c r="AE205" s="1">
        <v>0</v>
      </c>
      <c r="AF205" s="1">
        <v>0</v>
      </c>
      <c r="AG205" s="1">
        <v>0</v>
      </c>
      <c r="AH205" s="2">
        <v>4015110</v>
      </c>
      <c r="AI205" s="1">
        <v>366835</v>
      </c>
      <c r="AJ205" s="1">
        <v>0</v>
      </c>
      <c r="AK205" s="8">
        <f t="shared" si="15"/>
        <v>48</v>
      </c>
      <c r="AL205" s="8">
        <f t="shared" si="14"/>
        <v>4</v>
      </c>
      <c r="AM205">
        <f t="shared" si="12"/>
        <v>0</v>
      </c>
      <c r="AN205">
        <f t="shared" si="13"/>
        <v>0</v>
      </c>
    </row>
    <row r="206" spans="1:40" x14ac:dyDescent="0.35">
      <c r="A206">
        <v>61.0124</v>
      </c>
      <c r="B206">
        <v>72.290000000000006</v>
      </c>
      <c r="C206">
        <v>4.3893899999999997</v>
      </c>
      <c r="D206">
        <v>0.09</v>
      </c>
      <c r="E206">
        <v>1</v>
      </c>
      <c r="F206">
        <v>2.2592400000000001</v>
      </c>
      <c r="G206">
        <v>2.5158999999999998</v>
      </c>
      <c r="H206">
        <v>0</v>
      </c>
      <c r="I206">
        <v>0.45370500000000002</v>
      </c>
      <c r="J206">
        <v>3.6288</v>
      </c>
      <c r="K206" s="2">
        <v>12236900</v>
      </c>
      <c r="L206" s="1">
        <v>0</v>
      </c>
      <c r="M206" s="1">
        <v>0</v>
      </c>
      <c r="N206" s="1">
        <v>0</v>
      </c>
      <c r="O206" s="1">
        <v>0</v>
      </c>
      <c r="P206" s="2">
        <v>3377510</v>
      </c>
      <c r="Q206" s="1">
        <v>-88109.1</v>
      </c>
      <c r="R206" s="1">
        <v>346749</v>
      </c>
      <c r="S206">
        <v>99.302199999999999</v>
      </c>
      <c r="T206">
        <v>98.274000000000001</v>
      </c>
      <c r="U206">
        <v>6.5836899999999998</v>
      </c>
      <c r="V206">
        <v>0</v>
      </c>
      <c r="W206">
        <v>1</v>
      </c>
      <c r="X206">
        <v>1.71461</v>
      </c>
      <c r="Y206">
        <v>1.4579500000000001</v>
      </c>
      <c r="Z206">
        <v>0</v>
      </c>
      <c r="AA206">
        <v>1.19899</v>
      </c>
      <c r="AB206">
        <v>2.1168</v>
      </c>
      <c r="AC206" s="2">
        <v>117711000</v>
      </c>
      <c r="AD206" s="1">
        <v>0</v>
      </c>
      <c r="AE206" s="1">
        <v>0</v>
      </c>
      <c r="AF206" s="1">
        <v>0</v>
      </c>
      <c r="AG206" s="1">
        <v>0</v>
      </c>
      <c r="AH206" s="2">
        <v>4436120</v>
      </c>
      <c r="AI206" s="1">
        <v>787004</v>
      </c>
      <c r="AJ206" s="1">
        <v>0</v>
      </c>
      <c r="AK206" s="8">
        <f t="shared" si="15"/>
        <v>49</v>
      </c>
      <c r="AL206" s="8">
        <f t="shared" si="14"/>
        <v>4</v>
      </c>
      <c r="AM206">
        <f t="shared" si="12"/>
        <v>0</v>
      </c>
      <c r="AN206">
        <f t="shared" si="13"/>
        <v>0</v>
      </c>
    </row>
    <row r="207" spans="1:40" x14ac:dyDescent="0.35">
      <c r="A207">
        <v>65.315100000000001</v>
      </c>
      <c r="B207">
        <v>72.290000000000006</v>
      </c>
      <c r="C207">
        <v>7.1533199999999999</v>
      </c>
      <c r="D207">
        <v>0.11</v>
      </c>
      <c r="E207">
        <v>1</v>
      </c>
      <c r="F207">
        <v>2.2601499999999999</v>
      </c>
      <c r="G207">
        <v>2.5164800000000001</v>
      </c>
      <c r="H207">
        <v>0</v>
      </c>
      <c r="I207">
        <v>0.42338100000000001</v>
      </c>
      <c r="J207">
        <v>3.6288</v>
      </c>
      <c r="K207" s="2">
        <v>12149300</v>
      </c>
      <c r="L207" s="1">
        <v>0</v>
      </c>
      <c r="M207" s="1">
        <v>0</v>
      </c>
      <c r="N207" s="1">
        <v>0</v>
      </c>
      <c r="O207" s="1">
        <v>0</v>
      </c>
      <c r="P207" s="2">
        <v>3378870</v>
      </c>
      <c r="Q207" s="1">
        <v>-87597.4</v>
      </c>
      <c r="R207" s="1">
        <v>346296</v>
      </c>
      <c r="S207">
        <v>99.302199999999999</v>
      </c>
      <c r="T207">
        <v>98.274000000000001</v>
      </c>
      <c r="U207">
        <v>7.3003999999999998</v>
      </c>
      <c r="V207">
        <v>0</v>
      </c>
      <c r="W207">
        <v>1</v>
      </c>
      <c r="X207">
        <v>1.71461</v>
      </c>
      <c r="Y207">
        <v>1.4582900000000001</v>
      </c>
      <c r="Z207">
        <v>0</v>
      </c>
      <c r="AA207">
        <v>1.3247100000000001</v>
      </c>
      <c r="AB207">
        <v>2.1168</v>
      </c>
      <c r="AC207" s="2">
        <v>118498000</v>
      </c>
      <c r="AD207" s="1">
        <v>0</v>
      </c>
      <c r="AE207" s="1">
        <v>0</v>
      </c>
      <c r="AF207" s="1">
        <v>0</v>
      </c>
      <c r="AG207" s="1">
        <v>0</v>
      </c>
      <c r="AH207" s="2">
        <v>4436120</v>
      </c>
      <c r="AI207" s="1">
        <v>786166</v>
      </c>
      <c r="AJ207" s="1">
        <v>0</v>
      </c>
      <c r="AK207" s="8">
        <f t="shared" si="15"/>
        <v>50</v>
      </c>
      <c r="AL207" s="8">
        <f t="shared" si="14"/>
        <v>4</v>
      </c>
      <c r="AM207">
        <f t="shared" si="12"/>
        <v>0</v>
      </c>
      <c r="AN207">
        <f t="shared" si="13"/>
        <v>0</v>
      </c>
    </row>
    <row r="208" spans="1:40" x14ac:dyDescent="0.35">
      <c r="A208">
        <v>72.290000000000006</v>
      </c>
      <c r="B208">
        <v>72.290000000000006</v>
      </c>
      <c r="C208">
        <v>13.0015</v>
      </c>
      <c r="D208">
        <v>7.0000000000000007E-2</v>
      </c>
      <c r="E208">
        <v>1</v>
      </c>
      <c r="F208">
        <v>2.2610600000000001</v>
      </c>
      <c r="G208">
        <v>2.5170599999999999</v>
      </c>
      <c r="H208">
        <v>0</v>
      </c>
      <c r="I208">
        <v>0.42355199999999998</v>
      </c>
      <c r="J208">
        <v>3.6288</v>
      </c>
      <c r="K208" s="2">
        <v>12062200</v>
      </c>
      <c r="L208" s="1">
        <v>0</v>
      </c>
      <c r="M208" s="1">
        <v>0</v>
      </c>
      <c r="N208" s="1">
        <v>0</v>
      </c>
      <c r="O208" s="1">
        <v>0</v>
      </c>
      <c r="P208" s="2">
        <v>3380230</v>
      </c>
      <c r="Q208" s="1">
        <v>-87085.6</v>
      </c>
      <c r="R208" s="1">
        <v>345844</v>
      </c>
      <c r="S208">
        <v>99.302199999999999</v>
      </c>
      <c r="T208">
        <v>98.274000000000001</v>
      </c>
      <c r="U208">
        <v>20.042200000000001</v>
      </c>
      <c r="V208">
        <v>0</v>
      </c>
      <c r="W208">
        <v>1</v>
      </c>
      <c r="X208">
        <v>1.71461</v>
      </c>
      <c r="Y208">
        <v>1.45862</v>
      </c>
      <c r="Z208">
        <v>0</v>
      </c>
      <c r="AA208">
        <v>1.3247100000000001</v>
      </c>
      <c r="AB208">
        <v>2.1168</v>
      </c>
      <c r="AC208" s="2">
        <v>119283000</v>
      </c>
      <c r="AD208" s="1">
        <v>0</v>
      </c>
      <c r="AE208" s="1">
        <v>0</v>
      </c>
      <c r="AF208" s="1">
        <v>0</v>
      </c>
      <c r="AG208" s="1">
        <v>0</v>
      </c>
      <c r="AH208" s="2">
        <v>4436120</v>
      </c>
      <c r="AI208" s="1">
        <v>785328</v>
      </c>
      <c r="AJ208" s="1">
        <v>0</v>
      </c>
      <c r="AK208" s="8">
        <f t="shared" si="15"/>
        <v>51</v>
      </c>
      <c r="AL208" s="8">
        <f t="shared" si="14"/>
        <v>4</v>
      </c>
      <c r="AM208">
        <f t="shared" si="12"/>
        <v>0</v>
      </c>
      <c r="AN208">
        <f t="shared" si="13"/>
        <v>0</v>
      </c>
    </row>
    <row r="209" spans="1:40" x14ac:dyDescent="0.35">
      <c r="A209">
        <v>72.290000000000006</v>
      </c>
      <c r="B209">
        <v>72.290000000000006</v>
      </c>
      <c r="C209">
        <v>8.0793800000000005</v>
      </c>
      <c r="D209">
        <v>0.06</v>
      </c>
      <c r="E209">
        <v>1</v>
      </c>
      <c r="F209">
        <v>2.2619799999999999</v>
      </c>
      <c r="G209">
        <v>2.5176400000000001</v>
      </c>
      <c r="H209">
        <v>0</v>
      </c>
      <c r="I209">
        <v>0.42372300000000002</v>
      </c>
      <c r="J209">
        <v>3.6288</v>
      </c>
      <c r="K209" s="2">
        <v>11975700</v>
      </c>
      <c r="L209" s="1">
        <v>0</v>
      </c>
      <c r="M209" s="1">
        <v>0</v>
      </c>
      <c r="N209" s="1">
        <v>0</v>
      </c>
      <c r="O209" s="1">
        <v>0</v>
      </c>
      <c r="P209" s="2">
        <v>3381600</v>
      </c>
      <c r="Q209" s="1">
        <v>-86573.8</v>
      </c>
      <c r="R209" s="1">
        <v>345392</v>
      </c>
      <c r="S209">
        <v>99.302199999999999</v>
      </c>
      <c r="T209">
        <v>98.274000000000001</v>
      </c>
      <c r="U209">
        <v>11.7638</v>
      </c>
      <c r="V209">
        <v>0</v>
      </c>
      <c r="W209">
        <v>1</v>
      </c>
      <c r="X209">
        <v>1.71462</v>
      </c>
      <c r="Y209">
        <v>1.45896</v>
      </c>
      <c r="Z209">
        <v>0</v>
      </c>
      <c r="AA209">
        <v>1.3247100000000001</v>
      </c>
      <c r="AB209">
        <v>2.1168</v>
      </c>
      <c r="AC209" s="2">
        <v>120067000</v>
      </c>
      <c r="AD209" s="1">
        <v>0</v>
      </c>
      <c r="AE209" s="1">
        <v>0</v>
      </c>
      <c r="AF209" s="1">
        <v>0</v>
      </c>
      <c r="AG209" s="1">
        <v>0</v>
      </c>
      <c r="AH209" s="2">
        <v>4436120</v>
      </c>
      <c r="AI209" s="1">
        <v>784490</v>
      </c>
      <c r="AJ209" s="1">
        <v>0</v>
      </c>
      <c r="AK209" s="8">
        <f t="shared" si="15"/>
        <v>52</v>
      </c>
      <c r="AL209" s="8">
        <f t="shared" si="14"/>
        <v>4</v>
      </c>
      <c r="AM209">
        <f t="shared" si="12"/>
        <v>120067000</v>
      </c>
      <c r="AN209">
        <f t="shared" si="13"/>
        <v>11975700</v>
      </c>
    </row>
    <row r="210" spans="1:40" x14ac:dyDescent="0.35">
      <c r="A210">
        <v>72.290000000000006</v>
      </c>
      <c r="B210">
        <v>72.290000000000006</v>
      </c>
      <c r="C210">
        <v>4.7595000000000001</v>
      </c>
      <c r="D210">
        <v>7.0000000000000007E-2</v>
      </c>
      <c r="E210">
        <v>1</v>
      </c>
      <c r="F210">
        <v>2.3417699999999999</v>
      </c>
      <c r="G210">
        <v>2.5970900000000001</v>
      </c>
      <c r="H210">
        <v>0</v>
      </c>
      <c r="I210">
        <v>0.42389500000000002</v>
      </c>
      <c r="J210">
        <v>3.6288</v>
      </c>
      <c r="K210" s="2">
        <v>11897700</v>
      </c>
      <c r="L210" s="1">
        <v>0</v>
      </c>
      <c r="M210" s="1">
        <v>0</v>
      </c>
      <c r="N210" s="1">
        <v>0</v>
      </c>
      <c r="O210" s="1">
        <v>0</v>
      </c>
      <c r="P210" s="2">
        <v>3500890</v>
      </c>
      <c r="Q210" s="1">
        <v>-77952.800000000003</v>
      </c>
      <c r="R210" s="1">
        <v>344939</v>
      </c>
      <c r="S210">
        <v>99.302199999999999</v>
      </c>
      <c r="T210">
        <v>98.274000000000001</v>
      </c>
      <c r="U210">
        <v>8.0028900000000007</v>
      </c>
      <c r="V210">
        <v>0</v>
      </c>
      <c r="W210">
        <v>1</v>
      </c>
      <c r="X210">
        <v>1.76179</v>
      </c>
      <c r="Y210">
        <v>1.50647</v>
      </c>
      <c r="Z210">
        <v>0</v>
      </c>
      <c r="AA210">
        <v>1.3247100000000001</v>
      </c>
      <c r="AB210">
        <v>2.1168</v>
      </c>
      <c r="AC210" s="2">
        <v>120855000</v>
      </c>
      <c r="AD210" s="1">
        <v>0</v>
      </c>
      <c r="AE210" s="1">
        <v>0</v>
      </c>
      <c r="AF210" s="1">
        <v>0</v>
      </c>
      <c r="AG210" s="1">
        <v>0</v>
      </c>
      <c r="AH210" s="2">
        <v>4558180</v>
      </c>
      <c r="AI210" s="1">
        <v>787630</v>
      </c>
      <c r="AJ210" s="1">
        <v>0</v>
      </c>
      <c r="AK210" s="8">
        <f t="shared" si="15"/>
        <v>1</v>
      </c>
      <c r="AL210" s="8">
        <f t="shared" si="14"/>
        <v>5</v>
      </c>
      <c r="AM210">
        <f t="shared" si="12"/>
        <v>0</v>
      </c>
      <c r="AN210">
        <f t="shared" si="13"/>
        <v>0</v>
      </c>
    </row>
    <row r="211" spans="1:40" x14ac:dyDescent="0.35">
      <c r="A211">
        <v>72.290000000000006</v>
      </c>
      <c r="B211">
        <v>72.290000000000006</v>
      </c>
      <c r="C211">
        <v>4.7957200000000002</v>
      </c>
      <c r="D211">
        <v>7.0000000000000007E-2</v>
      </c>
      <c r="E211">
        <v>1</v>
      </c>
      <c r="F211">
        <v>2.3898600000000001</v>
      </c>
      <c r="G211">
        <v>2.5976699999999999</v>
      </c>
      <c r="H211">
        <v>0</v>
      </c>
      <c r="I211">
        <v>0.43884800000000002</v>
      </c>
      <c r="J211">
        <v>3.6288</v>
      </c>
      <c r="K211" s="2">
        <v>11884000</v>
      </c>
      <c r="L211" s="1">
        <v>0</v>
      </c>
      <c r="M211" s="1">
        <v>0</v>
      </c>
      <c r="N211" s="1">
        <v>0</v>
      </c>
      <c r="O211" s="1">
        <v>0</v>
      </c>
      <c r="P211" s="2">
        <v>3572780</v>
      </c>
      <c r="Q211" s="1">
        <v>-13703.6</v>
      </c>
      <c r="R211" s="1">
        <v>280749</v>
      </c>
      <c r="S211">
        <v>99.302199999999999</v>
      </c>
      <c r="T211">
        <v>98.274000000000001</v>
      </c>
      <c r="U211">
        <v>7.8692700000000002</v>
      </c>
      <c r="V211">
        <v>0</v>
      </c>
      <c r="W211">
        <v>1</v>
      </c>
      <c r="X211">
        <v>1.71461</v>
      </c>
      <c r="Y211">
        <v>1.5067999999999999</v>
      </c>
      <c r="Z211">
        <v>0</v>
      </c>
      <c r="AA211">
        <v>1.3611599999999999</v>
      </c>
      <c r="AB211">
        <v>2.1168</v>
      </c>
      <c r="AC211" s="2">
        <v>121520000</v>
      </c>
      <c r="AD211" s="1">
        <v>0</v>
      </c>
      <c r="AE211" s="1">
        <v>0</v>
      </c>
      <c r="AF211" s="1">
        <v>0</v>
      </c>
      <c r="AG211" s="1">
        <v>0</v>
      </c>
      <c r="AH211" s="2">
        <v>4436110</v>
      </c>
      <c r="AI211" s="1">
        <v>664729</v>
      </c>
      <c r="AJ211" s="1">
        <v>0</v>
      </c>
      <c r="AK211" s="8">
        <f t="shared" si="15"/>
        <v>2</v>
      </c>
      <c r="AL211" s="8">
        <f t="shared" si="14"/>
        <v>5</v>
      </c>
      <c r="AM211">
        <f t="shared" si="12"/>
        <v>0</v>
      </c>
      <c r="AN211">
        <f t="shared" si="13"/>
        <v>0</v>
      </c>
    </row>
    <row r="212" spans="1:40" x14ac:dyDescent="0.35">
      <c r="A212">
        <v>72.290000000000006</v>
      </c>
      <c r="B212">
        <v>72.290000000000006</v>
      </c>
      <c r="C212">
        <v>4.3751899999999999</v>
      </c>
      <c r="D212">
        <v>7.0000000000000007E-2</v>
      </c>
      <c r="E212">
        <v>1</v>
      </c>
      <c r="F212">
        <v>2.3907699999999998</v>
      </c>
      <c r="G212">
        <v>2.5982400000000001</v>
      </c>
      <c r="H212">
        <v>0</v>
      </c>
      <c r="I212">
        <v>0.44785900000000001</v>
      </c>
      <c r="J212">
        <v>3.6288</v>
      </c>
      <c r="K212" s="2">
        <v>11870800</v>
      </c>
      <c r="L212" s="1">
        <v>0</v>
      </c>
      <c r="M212" s="1">
        <v>0</v>
      </c>
      <c r="N212" s="1">
        <v>0</v>
      </c>
      <c r="O212" s="1">
        <v>0</v>
      </c>
      <c r="P212" s="2">
        <v>3574140</v>
      </c>
      <c r="Q212" s="1">
        <v>-13193.7</v>
      </c>
      <c r="R212" s="1">
        <v>280298</v>
      </c>
      <c r="S212">
        <v>99.302199999999999</v>
      </c>
      <c r="T212">
        <v>98.274000000000001</v>
      </c>
      <c r="U212">
        <v>7.94278</v>
      </c>
      <c r="V212">
        <v>0</v>
      </c>
      <c r="W212">
        <v>1</v>
      </c>
      <c r="X212">
        <v>1.71461</v>
      </c>
      <c r="Y212">
        <v>1.5071399999999999</v>
      </c>
      <c r="Z212">
        <v>0</v>
      </c>
      <c r="AA212">
        <v>1.3247100000000001</v>
      </c>
      <c r="AB212">
        <v>2.1168</v>
      </c>
      <c r="AC212" s="2">
        <v>122184000</v>
      </c>
      <c r="AD212" s="1">
        <v>0</v>
      </c>
      <c r="AE212" s="1">
        <v>0</v>
      </c>
      <c r="AF212" s="1">
        <v>0</v>
      </c>
      <c r="AG212" s="1">
        <v>0</v>
      </c>
      <c r="AH212" s="2">
        <v>4436110</v>
      </c>
      <c r="AI212" s="1">
        <v>663894</v>
      </c>
      <c r="AJ212" s="1">
        <v>0</v>
      </c>
      <c r="AK212" s="8">
        <f t="shared" si="15"/>
        <v>3</v>
      </c>
      <c r="AL212" s="8">
        <f t="shared" si="14"/>
        <v>5</v>
      </c>
      <c r="AM212">
        <f t="shared" si="12"/>
        <v>0</v>
      </c>
      <c r="AN212">
        <f t="shared" si="13"/>
        <v>0</v>
      </c>
    </row>
    <row r="213" spans="1:40" x14ac:dyDescent="0.35">
      <c r="A213">
        <v>72.290000000000006</v>
      </c>
      <c r="B213">
        <v>72.290000000000006</v>
      </c>
      <c r="C213">
        <v>3.1777799999999998</v>
      </c>
      <c r="D213">
        <v>0.06</v>
      </c>
      <c r="E213">
        <v>1</v>
      </c>
      <c r="F213">
        <v>2.39168</v>
      </c>
      <c r="G213">
        <v>2.5988199999999999</v>
      </c>
      <c r="H213">
        <v>0</v>
      </c>
      <c r="I213">
        <v>0.44802999999999998</v>
      </c>
      <c r="J213">
        <v>3.6288</v>
      </c>
      <c r="K213" s="2">
        <v>11858100</v>
      </c>
      <c r="L213" s="1">
        <v>0</v>
      </c>
      <c r="M213" s="1">
        <v>0</v>
      </c>
      <c r="N213" s="1">
        <v>0</v>
      </c>
      <c r="O213" s="1">
        <v>0</v>
      </c>
      <c r="P213" s="2">
        <v>3575490</v>
      </c>
      <c r="Q213" s="1">
        <v>-12683.7</v>
      </c>
      <c r="R213" s="1">
        <v>279847</v>
      </c>
      <c r="S213">
        <v>99.302199999999999</v>
      </c>
      <c r="T213">
        <v>98.274000000000001</v>
      </c>
      <c r="U213">
        <v>6.1091899999999999</v>
      </c>
      <c r="V213">
        <v>0</v>
      </c>
      <c r="W213">
        <v>1</v>
      </c>
      <c r="X213">
        <v>1.71461</v>
      </c>
      <c r="Y213">
        <v>1.5074700000000001</v>
      </c>
      <c r="Z213">
        <v>0</v>
      </c>
      <c r="AA213">
        <v>1.3247100000000001</v>
      </c>
      <c r="AB213">
        <v>2.1168</v>
      </c>
      <c r="AC213" s="2">
        <v>122847000</v>
      </c>
      <c r="AD213" s="1">
        <v>0</v>
      </c>
      <c r="AE213" s="1">
        <v>0</v>
      </c>
      <c r="AF213" s="1">
        <v>0</v>
      </c>
      <c r="AG213" s="1">
        <v>0</v>
      </c>
      <c r="AH213" s="2">
        <v>4436110</v>
      </c>
      <c r="AI213" s="1">
        <v>663059</v>
      </c>
      <c r="AJ213" s="1">
        <v>0</v>
      </c>
      <c r="AK213" s="8">
        <f t="shared" si="15"/>
        <v>4</v>
      </c>
      <c r="AL213" s="8">
        <f t="shared" si="14"/>
        <v>5</v>
      </c>
      <c r="AM213">
        <f t="shared" si="12"/>
        <v>0</v>
      </c>
      <c r="AN213">
        <f t="shared" si="13"/>
        <v>0</v>
      </c>
    </row>
    <row r="214" spans="1:40" x14ac:dyDescent="0.35">
      <c r="A214">
        <v>71.608699999999999</v>
      </c>
      <c r="B214">
        <v>72.290000000000006</v>
      </c>
      <c r="C214">
        <v>2.6647699999999999</v>
      </c>
      <c r="D214">
        <v>0.06</v>
      </c>
      <c r="E214">
        <v>1</v>
      </c>
      <c r="F214">
        <v>2.6461199999999998</v>
      </c>
      <c r="G214">
        <v>2.8529300000000002</v>
      </c>
      <c r="H214">
        <v>0</v>
      </c>
      <c r="I214">
        <v>0.44819999999999999</v>
      </c>
      <c r="J214">
        <v>3.6288</v>
      </c>
      <c r="K214" s="2">
        <v>11872000</v>
      </c>
      <c r="L214" s="1">
        <v>0</v>
      </c>
      <c r="M214" s="1">
        <v>0</v>
      </c>
      <c r="N214" s="1">
        <v>0</v>
      </c>
      <c r="O214" s="1">
        <v>0</v>
      </c>
      <c r="P214" s="2">
        <v>3955890</v>
      </c>
      <c r="Q214" s="1">
        <v>13890.7</v>
      </c>
      <c r="R214" s="1">
        <v>279396</v>
      </c>
      <c r="S214">
        <v>99.302199999999999</v>
      </c>
      <c r="T214">
        <v>98.274000000000001</v>
      </c>
      <c r="U214">
        <v>6.2688199999999998</v>
      </c>
      <c r="V214">
        <v>0</v>
      </c>
      <c r="W214">
        <v>1</v>
      </c>
      <c r="X214">
        <v>1.8918999999999999</v>
      </c>
      <c r="Y214">
        <v>1.68509</v>
      </c>
      <c r="Z214">
        <v>0</v>
      </c>
      <c r="AA214">
        <v>1.3247100000000001</v>
      </c>
      <c r="AB214">
        <v>2.1168</v>
      </c>
      <c r="AC214" s="2">
        <v>123524000</v>
      </c>
      <c r="AD214" s="1">
        <v>0</v>
      </c>
      <c r="AE214" s="1">
        <v>0</v>
      </c>
      <c r="AF214" s="1">
        <v>0</v>
      </c>
      <c r="AG214" s="1">
        <v>0</v>
      </c>
      <c r="AH214" s="2">
        <v>4894790</v>
      </c>
      <c r="AI214" s="1">
        <v>677175</v>
      </c>
      <c r="AJ214" s="1">
        <v>0</v>
      </c>
      <c r="AK214" s="8">
        <f t="shared" si="15"/>
        <v>5</v>
      </c>
      <c r="AL214" s="8">
        <f t="shared" si="14"/>
        <v>5</v>
      </c>
      <c r="AM214">
        <f t="shared" si="12"/>
        <v>0</v>
      </c>
      <c r="AN214">
        <f t="shared" si="13"/>
        <v>0</v>
      </c>
    </row>
    <row r="215" spans="1:40" x14ac:dyDescent="0.35">
      <c r="A215">
        <v>72.290000000000006</v>
      </c>
      <c r="B215">
        <v>72.290000000000006</v>
      </c>
      <c r="C215">
        <v>6.3599500000000004</v>
      </c>
      <c r="D215">
        <v>0.09</v>
      </c>
      <c r="E215">
        <v>1</v>
      </c>
      <c r="F215">
        <v>2.8243800000000001</v>
      </c>
      <c r="G215">
        <v>2.8535599999999999</v>
      </c>
      <c r="H215">
        <v>0</v>
      </c>
      <c r="I215">
        <v>0.49588399999999999</v>
      </c>
      <c r="J215">
        <v>3.6288</v>
      </c>
      <c r="K215" s="2">
        <v>12125900</v>
      </c>
      <c r="L215" s="1">
        <v>0</v>
      </c>
      <c r="M215" s="1">
        <v>0</v>
      </c>
      <c r="N215" s="1">
        <v>0</v>
      </c>
      <c r="O215" s="1">
        <v>0</v>
      </c>
      <c r="P215" s="2">
        <v>4222370</v>
      </c>
      <c r="Q215" s="1">
        <v>253917</v>
      </c>
      <c r="R215" s="1">
        <v>39434.6</v>
      </c>
      <c r="S215">
        <v>99.302199999999999</v>
      </c>
      <c r="T215">
        <v>98.274000000000001</v>
      </c>
      <c r="U215">
        <v>13.696</v>
      </c>
      <c r="V215">
        <v>0</v>
      </c>
      <c r="W215">
        <v>1</v>
      </c>
      <c r="X215">
        <v>1.71465</v>
      </c>
      <c r="Y215">
        <v>1.68546</v>
      </c>
      <c r="Z215">
        <v>0</v>
      </c>
      <c r="AA215">
        <v>1.4616800000000001</v>
      </c>
      <c r="AB215">
        <v>2.1168</v>
      </c>
      <c r="AC215" s="2">
        <v>123742000</v>
      </c>
      <c r="AD215" s="1">
        <v>0</v>
      </c>
      <c r="AE215" s="1">
        <v>0</v>
      </c>
      <c r="AF215" s="1">
        <v>0</v>
      </c>
      <c r="AG215" s="1">
        <v>0</v>
      </c>
      <c r="AH215" s="2">
        <v>4436220</v>
      </c>
      <c r="AI215" s="1">
        <v>217662</v>
      </c>
      <c r="AJ215" s="1">
        <v>0</v>
      </c>
      <c r="AK215" s="8">
        <f t="shared" si="15"/>
        <v>6</v>
      </c>
      <c r="AL215" s="8">
        <f t="shared" si="14"/>
        <v>5</v>
      </c>
      <c r="AM215">
        <f t="shared" si="12"/>
        <v>0</v>
      </c>
      <c r="AN215">
        <f t="shared" si="13"/>
        <v>0</v>
      </c>
    </row>
    <row r="216" spans="1:40" x14ac:dyDescent="0.35">
      <c r="A216">
        <v>72.290000000000006</v>
      </c>
      <c r="B216">
        <v>72.290000000000006</v>
      </c>
      <c r="C216">
        <v>5.0494899999999996</v>
      </c>
      <c r="D216">
        <v>0.06</v>
      </c>
      <c r="E216">
        <v>1</v>
      </c>
      <c r="F216">
        <v>2.82538</v>
      </c>
      <c r="G216">
        <v>2.8542000000000001</v>
      </c>
      <c r="H216">
        <v>0</v>
      </c>
      <c r="I216">
        <v>0.52928799999999998</v>
      </c>
      <c r="J216">
        <v>3.6288</v>
      </c>
      <c r="K216" s="2">
        <v>12380400</v>
      </c>
      <c r="L216" s="1">
        <v>0</v>
      </c>
      <c r="M216" s="1">
        <v>0</v>
      </c>
      <c r="N216" s="1">
        <v>0</v>
      </c>
      <c r="O216" s="1">
        <v>0</v>
      </c>
      <c r="P216" s="2">
        <v>4223870</v>
      </c>
      <c r="Q216" s="1">
        <v>254486</v>
      </c>
      <c r="R216" s="1">
        <v>38930.5</v>
      </c>
      <c r="S216">
        <v>99.302199999999999</v>
      </c>
      <c r="T216">
        <v>98.274000000000001</v>
      </c>
      <c r="U216">
        <v>10.0799</v>
      </c>
      <c r="V216">
        <v>0</v>
      </c>
      <c r="W216">
        <v>1</v>
      </c>
      <c r="X216">
        <v>1.71465</v>
      </c>
      <c r="Y216">
        <v>1.68584</v>
      </c>
      <c r="Z216">
        <v>0</v>
      </c>
      <c r="AA216">
        <v>1.32474</v>
      </c>
      <c r="AB216">
        <v>2.1168</v>
      </c>
      <c r="AC216" s="2">
        <v>123958000</v>
      </c>
      <c r="AD216" s="1">
        <v>0</v>
      </c>
      <c r="AE216" s="1">
        <v>0</v>
      </c>
      <c r="AF216" s="1">
        <v>0</v>
      </c>
      <c r="AG216" s="1">
        <v>0</v>
      </c>
      <c r="AH216" s="2">
        <v>4436220</v>
      </c>
      <c r="AI216" s="1">
        <v>216728</v>
      </c>
      <c r="AJ216" s="1">
        <v>0</v>
      </c>
      <c r="AK216" s="8">
        <f t="shared" si="15"/>
        <v>7</v>
      </c>
      <c r="AL216" s="8">
        <f t="shared" si="14"/>
        <v>5</v>
      </c>
      <c r="AM216">
        <f t="shared" si="12"/>
        <v>0</v>
      </c>
      <c r="AN216">
        <f t="shared" si="13"/>
        <v>0</v>
      </c>
    </row>
    <row r="217" spans="1:40" x14ac:dyDescent="0.35">
      <c r="A217">
        <v>72.290000000000006</v>
      </c>
      <c r="B217">
        <v>72.290000000000006</v>
      </c>
      <c r="C217">
        <v>3.5136599999999998</v>
      </c>
      <c r="D217">
        <v>0.06</v>
      </c>
      <c r="E217">
        <v>1</v>
      </c>
      <c r="F217">
        <v>2.82639</v>
      </c>
      <c r="G217">
        <v>2.8548300000000002</v>
      </c>
      <c r="H217">
        <v>0</v>
      </c>
      <c r="I217">
        <v>0.52947599999999995</v>
      </c>
      <c r="J217">
        <v>3.6288</v>
      </c>
      <c r="K217" s="2">
        <v>12635500</v>
      </c>
      <c r="L217" s="1">
        <v>0</v>
      </c>
      <c r="M217" s="1">
        <v>0</v>
      </c>
      <c r="N217" s="1">
        <v>0</v>
      </c>
      <c r="O217" s="1">
        <v>0</v>
      </c>
      <c r="P217" s="2">
        <v>4225370</v>
      </c>
      <c r="Q217" s="1">
        <v>255056</v>
      </c>
      <c r="R217" s="1">
        <v>38426.300000000003</v>
      </c>
      <c r="S217">
        <v>99.302199999999999</v>
      </c>
      <c r="T217">
        <v>98.274000000000001</v>
      </c>
      <c r="U217">
        <v>5.7344200000000001</v>
      </c>
      <c r="V217">
        <v>0</v>
      </c>
      <c r="W217">
        <v>1</v>
      </c>
      <c r="X217">
        <v>1.71465</v>
      </c>
      <c r="Y217">
        <v>1.68621</v>
      </c>
      <c r="Z217">
        <v>0</v>
      </c>
      <c r="AA217">
        <v>1.32474</v>
      </c>
      <c r="AB217">
        <v>2.1168</v>
      </c>
      <c r="AC217" s="2">
        <v>124174000</v>
      </c>
      <c r="AD217" s="1">
        <v>0</v>
      </c>
      <c r="AE217" s="1">
        <v>0</v>
      </c>
      <c r="AF217" s="1">
        <v>0</v>
      </c>
      <c r="AG217" s="1">
        <v>0</v>
      </c>
      <c r="AH217" s="2">
        <v>4436220</v>
      </c>
      <c r="AI217" s="1">
        <v>215794</v>
      </c>
      <c r="AJ217" s="1">
        <v>0</v>
      </c>
      <c r="AK217" s="8">
        <f t="shared" si="15"/>
        <v>8</v>
      </c>
      <c r="AL217" s="8">
        <f t="shared" si="14"/>
        <v>5</v>
      </c>
      <c r="AM217">
        <f t="shared" si="12"/>
        <v>0</v>
      </c>
      <c r="AN217">
        <f t="shared" si="13"/>
        <v>0</v>
      </c>
    </row>
    <row r="218" spans="1:40" x14ac:dyDescent="0.35">
      <c r="A218">
        <v>72.290000000000006</v>
      </c>
      <c r="B218">
        <v>72.290000000000006</v>
      </c>
      <c r="C218">
        <v>3.3044500000000001</v>
      </c>
      <c r="D218">
        <v>7.0000000000000007E-2</v>
      </c>
      <c r="E218">
        <v>1</v>
      </c>
      <c r="F218">
        <v>2.4654400000000001</v>
      </c>
      <c r="G218">
        <v>2.4935100000000001</v>
      </c>
      <c r="H218">
        <v>0</v>
      </c>
      <c r="I218">
        <v>0.52966500000000005</v>
      </c>
      <c r="J218">
        <v>3.6288</v>
      </c>
      <c r="K218" s="2">
        <v>12853900</v>
      </c>
      <c r="L218" s="1">
        <v>0</v>
      </c>
      <c r="M218" s="1">
        <v>0</v>
      </c>
      <c r="N218" s="1">
        <v>0</v>
      </c>
      <c r="O218" s="1">
        <v>0</v>
      </c>
      <c r="P218" s="2">
        <v>3685770</v>
      </c>
      <c r="Q218" s="1">
        <v>218416</v>
      </c>
      <c r="R218" s="1">
        <v>37922</v>
      </c>
      <c r="S218">
        <v>99.302199999999999</v>
      </c>
      <c r="T218">
        <v>98.274000000000001</v>
      </c>
      <c r="U218">
        <v>4.5750999999999999</v>
      </c>
      <c r="V218">
        <v>0</v>
      </c>
      <c r="W218">
        <v>1</v>
      </c>
      <c r="X218">
        <v>1.4765200000000001</v>
      </c>
      <c r="Y218">
        <v>1.44845</v>
      </c>
      <c r="Z218">
        <v>0</v>
      </c>
      <c r="AA218">
        <v>1.32474</v>
      </c>
      <c r="AB218">
        <v>2.1168</v>
      </c>
      <c r="AC218" s="2">
        <v>124369000</v>
      </c>
      <c r="AD218" s="1">
        <v>0</v>
      </c>
      <c r="AE218" s="1">
        <v>0</v>
      </c>
      <c r="AF218" s="1">
        <v>0</v>
      </c>
      <c r="AG218" s="1">
        <v>0</v>
      </c>
      <c r="AH218" s="2">
        <v>3820120</v>
      </c>
      <c r="AI218" s="1">
        <v>194777</v>
      </c>
      <c r="AJ218" s="1">
        <v>0</v>
      </c>
      <c r="AK218" s="8">
        <f t="shared" si="15"/>
        <v>9</v>
      </c>
      <c r="AL218" s="8">
        <f t="shared" si="14"/>
        <v>5</v>
      </c>
      <c r="AM218">
        <f t="shared" si="12"/>
        <v>0</v>
      </c>
      <c r="AN218">
        <f t="shared" si="13"/>
        <v>0</v>
      </c>
    </row>
    <row r="219" spans="1:40" x14ac:dyDescent="0.35">
      <c r="A219">
        <v>72.290000000000006</v>
      </c>
      <c r="B219">
        <v>72.290000000000006</v>
      </c>
      <c r="C219">
        <v>6.8766499999999997</v>
      </c>
      <c r="D219">
        <v>7.0000000000000007E-2</v>
      </c>
      <c r="E219">
        <v>1</v>
      </c>
      <c r="F219">
        <v>2.22824</v>
      </c>
      <c r="G219">
        <v>2.4940600000000002</v>
      </c>
      <c r="H219">
        <v>0</v>
      </c>
      <c r="I219">
        <v>0.46202399999999999</v>
      </c>
      <c r="J219">
        <v>3.6288</v>
      </c>
      <c r="K219" s="2">
        <v>12751200</v>
      </c>
      <c r="L219" s="1">
        <v>0</v>
      </c>
      <c r="M219" s="1">
        <v>0</v>
      </c>
      <c r="N219" s="1">
        <v>0</v>
      </c>
      <c r="O219" s="1">
        <v>0</v>
      </c>
      <c r="P219" s="2">
        <v>3331160</v>
      </c>
      <c r="Q219" s="1">
        <v>-102734</v>
      </c>
      <c r="R219" s="1">
        <v>359129</v>
      </c>
      <c r="S219">
        <v>99.302199999999999</v>
      </c>
      <c r="T219">
        <v>98.274000000000001</v>
      </c>
      <c r="U219">
        <v>11.1478</v>
      </c>
      <c r="V219">
        <v>0</v>
      </c>
      <c r="W219">
        <v>1</v>
      </c>
      <c r="X219">
        <v>1.7145999999999999</v>
      </c>
      <c r="Y219">
        <v>1.4487699999999999</v>
      </c>
      <c r="Z219">
        <v>0</v>
      </c>
      <c r="AA219">
        <v>1.14076</v>
      </c>
      <c r="AB219">
        <v>2.1168</v>
      </c>
      <c r="AC219" s="2">
        <v>125179000</v>
      </c>
      <c r="AD219" s="1">
        <v>0</v>
      </c>
      <c r="AE219" s="1">
        <v>0</v>
      </c>
      <c r="AF219" s="1">
        <v>0</v>
      </c>
      <c r="AG219" s="1">
        <v>0</v>
      </c>
      <c r="AH219" s="2">
        <v>4436080</v>
      </c>
      <c r="AI219" s="1">
        <v>809938</v>
      </c>
      <c r="AJ219" s="1">
        <v>0</v>
      </c>
      <c r="AK219" s="8">
        <f t="shared" si="15"/>
        <v>10</v>
      </c>
      <c r="AL219" s="8">
        <f t="shared" si="14"/>
        <v>5</v>
      </c>
      <c r="AM219">
        <f t="shared" si="12"/>
        <v>0</v>
      </c>
      <c r="AN219">
        <f t="shared" si="13"/>
        <v>0</v>
      </c>
    </row>
    <row r="220" spans="1:40" x14ac:dyDescent="0.35">
      <c r="A220">
        <v>72.290000000000006</v>
      </c>
      <c r="B220">
        <v>72.290000000000006</v>
      </c>
      <c r="C220">
        <v>5.1510300000000004</v>
      </c>
      <c r="D220">
        <v>7.0000000000000007E-2</v>
      </c>
      <c r="E220">
        <v>1</v>
      </c>
      <c r="F220">
        <v>2.2291099999999999</v>
      </c>
      <c r="G220">
        <v>2.4946199999999998</v>
      </c>
      <c r="H220">
        <v>0</v>
      </c>
      <c r="I220">
        <v>0.417572</v>
      </c>
      <c r="J220">
        <v>3.6288</v>
      </c>
      <c r="K220" s="2">
        <v>12648900</v>
      </c>
      <c r="L220" s="1">
        <v>0</v>
      </c>
      <c r="M220" s="1">
        <v>0</v>
      </c>
      <c r="N220" s="1">
        <v>0</v>
      </c>
      <c r="O220" s="1">
        <v>0</v>
      </c>
      <c r="P220" s="2">
        <v>3332460</v>
      </c>
      <c r="Q220" s="1">
        <v>-102244</v>
      </c>
      <c r="R220" s="1">
        <v>358695</v>
      </c>
      <c r="S220">
        <v>99.302199999999999</v>
      </c>
      <c r="T220">
        <v>98.274000000000001</v>
      </c>
      <c r="U220">
        <v>6.1838600000000001</v>
      </c>
      <c r="V220">
        <v>0</v>
      </c>
      <c r="W220">
        <v>1</v>
      </c>
      <c r="X220">
        <v>1.7145999999999999</v>
      </c>
      <c r="Y220">
        <v>1.44909</v>
      </c>
      <c r="Z220">
        <v>0</v>
      </c>
      <c r="AA220">
        <v>1.3247</v>
      </c>
      <c r="AB220">
        <v>2.1168</v>
      </c>
      <c r="AC220" s="2">
        <v>125988000</v>
      </c>
      <c r="AD220" s="1">
        <v>0</v>
      </c>
      <c r="AE220" s="1">
        <v>0</v>
      </c>
      <c r="AF220" s="1">
        <v>0</v>
      </c>
      <c r="AG220" s="1">
        <v>0</v>
      </c>
      <c r="AH220" s="2">
        <v>4436080</v>
      </c>
      <c r="AI220" s="1">
        <v>809135</v>
      </c>
      <c r="AJ220" s="1">
        <v>0</v>
      </c>
      <c r="AK220" s="8">
        <f t="shared" si="15"/>
        <v>11</v>
      </c>
      <c r="AL220" s="8">
        <f t="shared" si="14"/>
        <v>5</v>
      </c>
      <c r="AM220">
        <f t="shared" si="12"/>
        <v>0</v>
      </c>
      <c r="AN220">
        <f t="shared" si="13"/>
        <v>0</v>
      </c>
    </row>
    <row r="221" spans="1:40" x14ac:dyDescent="0.35">
      <c r="A221">
        <v>72.290000000000006</v>
      </c>
      <c r="B221">
        <v>72.290000000000006</v>
      </c>
      <c r="C221">
        <v>6.4988099999999998</v>
      </c>
      <c r="D221">
        <v>7.0000000000000007E-2</v>
      </c>
      <c r="E221">
        <v>1</v>
      </c>
      <c r="F221">
        <v>2.2299799999999999</v>
      </c>
      <c r="G221">
        <v>2.4951699999999999</v>
      </c>
      <c r="H221">
        <v>0</v>
      </c>
      <c r="I221">
        <v>0.41773500000000002</v>
      </c>
      <c r="J221">
        <v>3.6288</v>
      </c>
      <c r="K221" s="2">
        <v>12547200</v>
      </c>
      <c r="L221" s="1">
        <v>0</v>
      </c>
      <c r="M221" s="1">
        <v>0</v>
      </c>
      <c r="N221" s="1">
        <v>0</v>
      </c>
      <c r="O221" s="1">
        <v>0</v>
      </c>
      <c r="P221" s="2">
        <v>3333770</v>
      </c>
      <c r="Q221" s="1">
        <v>-101754</v>
      </c>
      <c r="R221" s="1">
        <v>358262</v>
      </c>
      <c r="S221">
        <v>99.302199999999999</v>
      </c>
      <c r="T221">
        <v>98.274000000000001</v>
      </c>
      <c r="U221">
        <v>4.7962199999999999</v>
      </c>
      <c r="V221">
        <v>0</v>
      </c>
      <c r="W221">
        <v>1</v>
      </c>
      <c r="X221">
        <v>1.7145999999999999</v>
      </c>
      <c r="Y221">
        <v>1.4494199999999999</v>
      </c>
      <c r="Z221">
        <v>0</v>
      </c>
      <c r="AA221">
        <v>1.3247</v>
      </c>
      <c r="AB221">
        <v>2.1168</v>
      </c>
      <c r="AC221" s="2">
        <v>126796000</v>
      </c>
      <c r="AD221" s="1">
        <v>0</v>
      </c>
      <c r="AE221" s="1">
        <v>0</v>
      </c>
      <c r="AF221" s="1">
        <v>0</v>
      </c>
      <c r="AG221" s="1">
        <v>0</v>
      </c>
      <c r="AH221" s="2">
        <v>4436080</v>
      </c>
      <c r="AI221" s="1">
        <v>808332</v>
      </c>
      <c r="AJ221" s="1">
        <v>0</v>
      </c>
      <c r="AK221" s="8">
        <f t="shared" si="15"/>
        <v>12</v>
      </c>
      <c r="AL221" s="8">
        <f t="shared" si="14"/>
        <v>5</v>
      </c>
      <c r="AM221">
        <f t="shared" si="12"/>
        <v>0</v>
      </c>
      <c r="AN221">
        <f t="shared" si="13"/>
        <v>0</v>
      </c>
    </row>
    <row r="222" spans="1:40" x14ac:dyDescent="0.35">
      <c r="A222">
        <v>72.290000000000006</v>
      </c>
      <c r="B222">
        <v>72.290000000000006</v>
      </c>
      <c r="C222">
        <v>10.4171</v>
      </c>
      <c r="D222">
        <v>7.0000000000000007E-2</v>
      </c>
      <c r="E222">
        <v>1</v>
      </c>
      <c r="F222">
        <v>2.2308599999999998</v>
      </c>
      <c r="G222">
        <v>2.4957199999999999</v>
      </c>
      <c r="H222">
        <v>0</v>
      </c>
      <c r="I222">
        <v>0.41789900000000002</v>
      </c>
      <c r="J222">
        <v>3.6288</v>
      </c>
      <c r="K222" s="2">
        <v>12445900</v>
      </c>
      <c r="L222" s="1">
        <v>0</v>
      </c>
      <c r="M222" s="1">
        <v>0</v>
      </c>
      <c r="N222" s="1">
        <v>0</v>
      </c>
      <c r="O222" s="1">
        <v>0</v>
      </c>
      <c r="P222" s="2">
        <v>3335080</v>
      </c>
      <c r="Q222" s="1">
        <v>-101263</v>
      </c>
      <c r="R222" s="1">
        <v>357828</v>
      </c>
      <c r="S222">
        <v>99.302199999999999</v>
      </c>
      <c r="T222">
        <v>98.274000000000001</v>
      </c>
      <c r="U222">
        <v>8.9634</v>
      </c>
      <c r="V222">
        <v>0</v>
      </c>
      <c r="W222">
        <v>1</v>
      </c>
      <c r="X222">
        <v>1.7145999999999999</v>
      </c>
      <c r="Y222">
        <v>1.44974</v>
      </c>
      <c r="Z222">
        <v>0</v>
      </c>
      <c r="AA222">
        <v>1.3247</v>
      </c>
      <c r="AB222">
        <v>2.1168</v>
      </c>
      <c r="AC222" s="2">
        <v>127604000</v>
      </c>
      <c r="AD222" s="1">
        <v>0</v>
      </c>
      <c r="AE222" s="1">
        <v>0</v>
      </c>
      <c r="AF222" s="1">
        <v>0</v>
      </c>
      <c r="AG222" s="1">
        <v>0</v>
      </c>
      <c r="AH222" s="2">
        <v>4436080</v>
      </c>
      <c r="AI222" s="1">
        <v>807529</v>
      </c>
      <c r="AJ222" s="1">
        <v>0</v>
      </c>
      <c r="AK222" s="8">
        <f t="shared" si="15"/>
        <v>13</v>
      </c>
      <c r="AL222" s="8">
        <f t="shared" si="14"/>
        <v>5</v>
      </c>
      <c r="AM222">
        <f t="shared" si="12"/>
        <v>0</v>
      </c>
      <c r="AN222">
        <f t="shared" si="13"/>
        <v>0</v>
      </c>
    </row>
    <row r="223" spans="1:40" x14ac:dyDescent="0.35">
      <c r="A223">
        <v>72.290000000000006</v>
      </c>
      <c r="B223">
        <v>72.290000000000006</v>
      </c>
      <c r="C223">
        <v>5.6085200000000004</v>
      </c>
      <c r="D223">
        <v>7.0000000000000007E-2</v>
      </c>
      <c r="E223">
        <v>1</v>
      </c>
      <c r="F223">
        <v>2.32294</v>
      </c>
      <c r="G223">
        <v>2.5874799999999998</v>
      </c>
      <c r="H223">
        <v>0</v>
      </c>
      <c r="I223">
        <v>0.41806300000000002</v>
      </c>
      <c r="J223">
        <v>3.6288</v>
      </c>
      <c r="K223" s="2">
        <v>12354500</v>
      </c>
      <c r="L223" s="1">
        <v>0</v>
      </c>
      <c r="M223" s="1">
        <v>0</v>
      </c>
      <c r="N223" s="1">
        <v>0</v>
      </c>
      <c r="O223" s="1">
        <v>0</v>
      </c>
      <c r="P223" s="2">
        <v>3472740</v>
      </c>
      <c r="Q223" s="1">
        <v>-91396.5</v>
      </c>
      <c r="R223" s="1">
        <v>357395</v>
      </c>
      <c r="S223">
        <v>99.302199999999999</v>
      </c>
      <c r="T223">
        <v>98.274000000000001</v>
      </c>
      <c r="U223">
        <v>7.2330399999999999</v>
      </c>
      <c r="V223">
        <v>0</v>
      </c>
      <c r="W223">
        <v>1</v>
      </c>
      <c r="X223">
        <v>1.7729200000000001</v>
      </c>
      <c r="Y223">
        <v>1.5083800000000001</v>
      </c>
      <c r="Z223">
        <v>0</v>
      </c>
      <c r="AA223">
        <v>1.3247</v>
      </c>
      <c r="AB223">
        <v>2.1168</v>
      </c>
      <c r="AC223" s="2">
        <v>128415000</v>
      </c>
      <c r="AD223" s="1">
        <v>0</v>
      </c>
      <c r="AE223" s="1">
        <v>0</v>
      </c>
      <c r="AF223" s="1">
        <v>0</v>
      </c>
      <c r="AG223" s="1">
        <v>0</v>
      </c>
      <c r="AH223" s="2">
        <v>4586970</v>
      </c>
      <c r="AI223" s="1">
        <v>811644</v>
      </c>
      <c r="AJ223" s="1">
        <v>0</v>
      </c>
      <c r="AK223" s="8">
        <f t="shared" si="15"/>
        <v>14</v>
      </c>
      <c r="AL223" s="8">
        <f t="shared" si="14"/>
        <v>5</v>
      </c>
      <c r="AM223">
        <f t="shared" si="12"/>
        <v>0</v>
      </c>
      <c r="AN223">
        <f t="shared" si="13"/>
        <v>0</v>
      </c>
    </row>
    <row r="224" spans="1:40" x14ac:dyDescent="0.35">
      <c r="A224">
        <v>72.290000000000006</v>
      </c>
      <c r="B224">
        <v>72.290000000000006</v>
      </c>
      <c r="C224">
        <v>6.5208700000000004</v>
      </c>
      <c r="D224">
        <v>7.0000000000000007E-2</v>
      </c>
      <c r="E224">
        <v>1</v>
      </c>
      <c r="F224">
        <v>2.3821500000000002</v>
      </c>
      <c r="G224">
        <v>2.58806</v>
      </c>
      <c r="H224">
        <v>0</v>
      </c>
      <c r="I224">
        <v>0.43531900000000001</v>
      </c>
      <c r="J224">
        <v>3.6288</v>
      </c>
      <c r="K224" s="2">
        <v>12342400</v>
      </c>
      <c r="L224" s="1">
        <v>0</v>
      </c>
      <c r="M224" s="1">
        <v>0</v>
      </c>
      <c r="N224" s="1">
        <v>0</v>
      </c>
      <c r="O224" s="1">
        <v>0</v>
      </c>
      <c r="P224" s="2">
        <v>3561260</v>
      </c>
      <c r="Q224" s="1">
        <v>-12114</v>
      </c>
      <c r="R224" s="1">
        <v>278171</v>
      </c>
      <c r="S224">
        <v>99.302199999999999</v>
      </c>
      <c r="T224">
        <v>98.274000000000001</v>
      </c>
      <c r="U224">
        <v>10.388400000000001</v>
      </c>
      <c r="V224">
        <v>0</v>
      </c>
      <c r="W224">
        <v>1</v>
      </c>
      <c r="X224">
        <v>1.71461</v>
      </c>
      <c r="Y224">
        <v>1.50871</v>
      </c>
      <c r="Z224">
        <v>0</v>
      </c>
      <c r="AA224">
        <v>1.3697600000000001</v>
      </c>
      <c r="AB224">
        <v>2.1168</v>
      </c>
      <c r="AC224" s="2">
        <v>129075000</v>
      </c>
      <c r="AD224" s="1">
        <v>0</v>
      </c>
      <c r="AE224" s="1">
        <v>0</v>
      </c>
      <c r="AF224" s="1">
        <v>0</v>
      </c>
      <c r="AG224" s="1">
        <v>0</v>
      </c>
      <c r="AH224" s="2">
        <v>4436110</v>
      </c>
      <c r="AI224" s="1">
        <v>659954</v>
      </c>
      <c r="AJ224" s="1">
        <v>0</v>
      </c>
      <c r="AK224" s="8">
        <f t="shared" si="15"/>
        <v>15</v>
      </c>
      <c r="AL224" s="8">
        <f t="shared" si="14"/>
        <v>5</v>
      </c>
      <c r="AM224">
        <f t="shared" si="12"/>
        <v>0</v>
      </c>
      <c r="AN224">
        <f t="shared" si="13"/>
        <v>0</v>
      </c>
    </row>
    <row r="225" spans="1:40" x14ac:dyDescent="0.35">
      <c r="A225">
        <v>72.290000000000006</v>
      </c>
      <c r="B225">
        <v>72.290000000000006</v>
      </c>
      <c r="C225">
        <v>7.5956000000000001</v>
      </c>
      <c r="D225">
        <v>7.0000000000000007E-2</v>
      </c>
      <c r="E225">
        <v>1</v>
      </c>
      <c r="F225">
        <v>2.38306</v>
      </c>
      <c r="G225">
        <v>2.5886300000000002</v>
      </c>
      <c r="H225">
        <v>0</v>
      </c>
      <c r="I225">
        <v>0.44641599999999998</v>
      </c>
      <c r="J225">
        <v>3.6288</v>
      </c>
      <c r="K225" s="2">
        <v>12330800</v>
      </c>
      <c r="L225" s="1">
        <v>0</v>
      </c>
      <c r="M225" s="1">
        <v>0</v>
      </c>
      <c r="N225" s="1">
        <v>0</v>
      </c>
      <c r="O225" s="1">
        <v>0</v>
      </c>
      <c r="P225" s="2">
        <v>3562620</v>
      </c>
      <c r="Q225" s="1">
        <v>-11603.9</v>
      </c>
      <c r="R225" s="1">
        <v>277720</v>
      </c>
      <c r="S225">
        <v>99.302199999999999</v>
      </c>
      <c r="T225">
        <v>98.274000000000001</v>
      </c>
      <c r="U225">
        <v>13.5632</v>
      </c>
      <c r="V225">
        <v>0</v>
      </c>
      <c r="W225">
        <v>1</v>
      </c>
      <c r="X225">
        <v>1.71461</v>
      </c>
      <c r="Y225">
        <v>1.50905</v>
      </c>
      <c r="Z225">
        <v>0</v>
      </c>
      <c r="AA225">
        <v>1.3247100000000001</v>
      </c>
      <c r="AB225">
        <v>2.1168</v>
      </c>
      <c r="AC225" s="2">
        <v>129735000</v>
      </c>
      <c r="AD225" s="1">
        <v>0</v>
      </c>
      <c r="AE225" s="1">
        <v>0</v>
      </c>
      <c r="AF225" s="1">
        <v>0</v>
      </c>
      <c r="AG225" s="1">
        <v>0</v>
      </c>
      <c r="AH225" s="2">
        <v>4436120</v>
      </c>
      <c r="AI225" s="1">
        <v>659118</v>
      </c>
      <c r="AJ225" s="1">
        <v>0</v>
      </c>
      <c r="AK225" s="8">
        <f t="shared" si="15"/>
        <v>16</v>
      </c>
      <c r="AL225" s="8">
        <f t="shared" si="14"/>
        <v>5</v>
      </c>
      <c r="AM225">
        <f t="shared" si="12"/>
        <v>0</v>
      </c>
      <c r="AN225">
        <f t="shared" si="13"/>
        <v>0</v>
      </c>
    </row>
    <row r="226" spans="1:40" x14ac:dyDescent="0.35">
      <c r="A226">
        <v>72.290000000000006</v>
      </c>
      <c r="B226">
        <v>72.290000000000006</v>
      </c>
      <c r="C226">
        <v>7.1063700000000001</v>
      </c>
      <c r="D226">
        <v>7.0000000000000007E-2</v>
      </c>
      <c r="E226">
        <v>1</v>
      </c>
      <c r="F226">
        <v>2.3839700000000001</v>
      </c>
      <c r="G226">
        <v>2.5891999999999999</v>
      </c>
      <c r="H226">
        <v>0</v>
      </c>
      <c r="I226">
        <v>0.44658599999999998</v>
      </c>
      <c r="J226">
        <v>3.6288</v>
      </c>
      <c r="K226" s="2">
        <v>12319700</v>
      </c>
      <c r="L226" s="1">
        <v>0</v>
      </c>
      <c r="M226" s="1">
        <v>0</v>
      </c>
      <c r="N226" s="1">
        <v>0</v>
      </c>
      <c r="O226" s="1">
        <v>0</v>
      </c>
      <c r="P226" s="2">
        <v>3563970</v>
      </c>
      <c r="Q226" s="1">
        <v>-11093.5</v>
      </c>
      <c r="R226" s="1">
        <v>277269</v>
      </c>
      <c r="S226">
        <v>99.302199999999999</v>
      </c>
      <c r="T226">
        <v>98.274000000000001</v>
      </c>
      <c r="U226">
        <v>14.248900000000001</v>
      </c>
      <c r="V226">
        <v>0</v>
      </c>
      <c r="W226">
        <v>1</v>
      </c>
      <c r="X226">
        <v>1.71461</v>
      </c>
      <c r="Y226">
        <v>1.5093799999999999</v>
      </c>
      <c r="Z226">
        <v>0</v>
      </c>
      <c r="AA226">
        <v>1.3247100000000001</v>
      </c>
      <c r="AB226">
        <v>2.1168</v>
      </c>
      <c r="AC226" s="2">
        <v>130393000</v>
      </c>
      <c r="AD226" s="1">
        <v>0</v>
      </c>
      <c r="AE226" s="1">
        <v>0</v>
      </c>
      <c r="AF226" s="1">
        <v>0</v>
      </c>
      <c r="AG226" s="1">
        <v>0</v>
      </c>
      <c r="AH226" s="2">
        <v>4436120</v>
      </c>
      <c r="AI226" s="1">
        <v>658281</v>
      </c>
      <c r="AJ226" s="1">
        <v>0</v>
      </c>
      <c r="AK226" s="8">
        <f t="shared" si="15"/>
        <v>17</v>
      </c>
      <c r="AL226" s="8">
        <f t="shared" si="14"/>
        <v>5</v>
      </c>
      <c r="AM226">
        <f t="shared" si="12"/>
        <v>0</v>
      </c>
      <c r="AN226">
        <f t="shared" si="13"/>
        <v>0</v>
      </c>
    </row>
    <row r="227" spans="1:40" x14ac:dyDescent="0.35">
      <c r="A227">
        <v>72.290000000000006</v>
      </c>
      <c r="B227">
        <v>72.290000000000006</v>
      </c>
      <c r="C227">
        <v>5.5904400000000001</v>
      </c>
      <c r="D227">
        <v>7.0000000000000007E-2</v>
      </c>
      <c r="E227">
        <v>1</v>
      </c>
      <c r="F227">
        <v>2.34918</v>
      </c>
      <c r="G227">
        <v>2.5540799999999999</v>
      </c>
      <c r="H227">
        <v>0</v>
      </c>
      <c r="I227">
        <v>0.44675599999999999</v>
      </c>
      <c r="J227">
        <v>3.6288</v>
      </c>
      <c r="K227" s="2">
        <v>12305500</v>
      </c>
      <c r="L227" s="1">
        <v>0</v>
      </c>
      <c r="M227" s="1">
        <v>0</v>
      </c>
      <c r="N227" s="1">
        <v>0</v>
      </c>
      <c r="O227" s="1">
        <v>0</v>
      </c>
      <c r="P227" s="2">
        <v>3511970</v>
      </c>
      <c r="Q227" s="1">
        <v>-14252.5</v>
      </c>
      <c r="R227" s="1">
        <v>276817</v>
      </c>
      <c r="S227">
        <v>99.302199999999999</v>
      </c>
      <c r="T227">
        <v>98.274000000000001</v>
      </c>
      <c r="U227">
        <v>9.5617599999999996</v>
      </c>
      <c r="V227">
        <v>0</v>
      </c>
      <c r="W227">
        <v>1</v>
      </c>
      <c r="X227">
        <v>1.69194</v>
      </c>
      <c r="Y227">
        <v>1.4870399999999999</v>
      </c>
      <c r="Z227">
        <v>0</v>
      </c>
      <c r="AA227">
        <v>1.3247100000000001</v>
      </c>
      <c r="AB227">
        <v>2.1168</v>
      </c>
      <c r="AC227" s="2">
        <v>131048000</v>
      </c>
      <c r="AD227" s="1">
        <v>0</v>
      </c>
      <c r="AE227" s="1">
        <v>0</v>
      </c>
      <c r="AF227" s="1">
        <v>0</v>
      </c>
      <c r="AG227" s="1">
        <v>0</v>
      </c>
      <c r="AH227" s="2">
        <v>4377460</v>
      </c>
      <c r="AI227" s="1">
        <v>655533</v>
      </c>
      <c r="AJ227" s="1">
        <v>0</v>
      </c>
      <c r="AK227" s="8">
        <f t="shared" si="15"/>
        <v>18</v>
      </c>
      <c r="AL227" s="8">
        <f t="shared" si="14"/>
        <v>5</v>
      </c>
      <c r="AM227">
        <f t="shared" si="12"/>
        <v>0</v>
      </c>
      <c r="AN227">
        <f t="shared" si="13"/>
        <v>0</v>
      </c>
    </row>
    <row r="228" spans="1:40" x14ac:dyDescent="0.35">
      <c r="A228">
        <v>72.290000000000006</v>
      </c>
      <c r="B228">
        <v>72.290000000000006</v>
      </c>
      <c r="C228">
        <v>5.0769200000000003</v>
      </c>
      <c r="D228">
        <v>7.0000000000000007E-2</v>
      </c>
      <c r="E228">
        <v>1</v>
      </c>
      <c r="F228">
        <v>2.32741</v>
      </c>
      <c r="G228">
        <v>2.5546500000000001</v>
      </c>
      <c r="H228">
        <v>0</v>
      </c>
      <c r="I228">
        <v>0.44023699999999999</v>
      </c>
      <c r="J228">
        <v>3.6288</v>
      </c>
      <c r="K228" s="2">
        <v>12261100</v>
      </c>
      <c r="L228" s="1">
        <v>0</v>
      </c>
      <c r="M228" s="1">
        <v>0</v>
      </c>
      <c r="N228" s="1">
        <v>0</v>
      </c>
      <c r="O228" s="1">
        <v>0</v>
      </c>
      <c r="P228" s="2">
        <v>3479420</v>
      </c>
      <c r="Q228" s="1">
        <v>-44371.1</v>
      </c>
      <c r="R228" s="1">
        <v>306994</v>
      </c>
      <c r="S228">
        <v>99.302199999999999</v>
      </c>
      <c r="T228">
        <v>98.274000000000001</v>
      </c>
      <c r="U228">
        <v>8.0864100000000008</v>
      </c>
      <c r="V228">
        <v>0</v>
      </c>
      <c r="W228">
        <v>1</v>
      </c>
      <c r="X228">
        <v>1.71461</v>
      </c>
      <c r="Y228">
        <v>1.4873700000000001</v>
      </c>
      <c r="Z228">
        <v>0</v>
      </c>
      <c r="AA228">
        <v>1.3071999999999999</v>
      </c>
      <c r="AB228">
        <v>2.1168</v>
      </c>
      <c r="AC228" s="2">
        <v>131762000</v>
      </c>
      <c r="AD228" s="1">
        <v>0</v>
      </c>
      <c r="AE228" s="1">
        <v>0</v>
      </c>
      <c r="AF228" s="1">
        <v>0</v>
      </c>
      <c r="AG228" s="1">
        <v>0</v>
      </c>
      <c r="AH228" s="2">
        <v>4436100</v>
      </c>
      <c r="AI228" s="1">
        <v>713352</v>
      </c>
      <c r="AJ228" s="1">
        <v>0</v>
      </c>
      <c r="AK228" s="8">
        <f t="shared" si="15"/>
        <v>19</v>
      </c>
      <c r="AL228" s="8">
        <f t="shared" si="14"/>
        <v>5</v>
      </c>
      <c r="AM228">
        <f t="shared" si="12"/>
        <v>0</v>
      </c>
      <c r="AN228">
        <f t="shared" si="13"/>
        <v>0</v>
      </c>
    </row>
    <row r="229" spans="1:40" x14ac:dyDescent="0.35">
      <c r="A229">
        <v>72.290000000000006</v>
      </c>
      <c r="B229">
        <v>72.290000000000006</v>
      </c>
      <c r="C229">
        <v>4.6180300000000001</v>
      </c>
      <c r="D229">
        <v>0.06</v>
      </c>
      <c r="E229">
        <v>1</v>
      </c>
      <c r="F229">
        <v>2.3283100000000001</v>
      </c>
      <c r="G229">
        <v>2.5552100000000002</v>
      </c>
      <c r="H229">
        <v>0</v>
      </c>
      <c r="I229">
        <v>0.43615700000000002</v>
      </c>
      <c r="J229">
        <v>3.6288</v>
      </c>
      <c r="K229" s="2">
        <v>12217200</v>
      </c>
      <c r="L229" s="1">
        <v>0</v>
      </c>
      <c r="M229" s="1">
        <v>0</v>
      </c>
      <c r="N229" s="1">
        <v>0</v>
      </c>
      <c r="O229" s="1">
        <v>0</v>
      </c>
      <c r="P229" s="2">
        <v>3480760</v>
      </c>
      <c r="Q229" s="1">
        <v>-43868</v>
      </c>
      <c r="R229" s="1">
        <v>306549</v>
      </c>
      <c r="S229">
        <v>99.302199999999999</v>
      </c>
      <c r="T229">
        <v>98.274000000000001</v>
      </c>
      <c r="U229">
        <v>7.1860900000000001</v>
      </c>
      <c r="V229">
        <v>0</v>
      </c>
      <c r="W229">
        <v>1</v>
      </c>
      <c r="X229">
        <v>1.71461</v>
      </c>
      <c r="Y229">
        <v>1.4877</v>
      </c>
      <c r="Z229">
        <v>0</v>
      </c>
      <c r="AA229">
        <v>1.3247100000000001</v>
      </c>
      <c r="AB229">
        <v>2.1168</v>
      </c>
      <c r="AC229" s="2">
        <v>132474000</v>
      </c>
      <c r="AD229" s="1">
        <v>0</v>
      </c>
      <c r="AE229" s="1">
        <v>0</v>
      </c>
      <c r="AF229" s="1">
        <v>0</v>
      </c>
      <c r="AG229" s="1">
        <v>0</v>
      </c>
      <c r="AH229" s="2">
        <v>4436100</v>
      </c>
      <c r="AI229" s="1">
        <v>712527</v>
      </c>
      <c r="AJ229" s="1">
        <v>0</v>
      </c>
      <c r="AK229" s="8">
        <f t="shared" si="15"/>
        <v>20</v>
      </c>
      <c r="AL229" s="8">
        <f t="shared" si="14"/>
        <v>5</v>
      </c>
      <c r="AM229">
        <f t="shared" si="12"/>
        <v>0</v>
      </c>
      <c r="AN229">
        <f t="shared" si="13"/>
        <v>0</v>
      </c>
    </row>
    <row r="230" spans="1:40" x14ac:dyDescent="0.35">
      <c r="A230">
        <v>72.290000000000006</v>
      </c>
      <c r="B230">
        <v>72.290000000000006</v>
      </c>
      <c r="C230">
        <v>3.6979500000000001</v>
      </c>
      <c r="D230">
        <v>0.05</v>
      </c>
      <c r="E230">
        <v>1</v>
      </c>
      <c r="F230">
        <v>2.3292000000000002</v>
      </c>
      <c r="G230">
        <v>2.5557799999999999</v>
      </c>
      <c r="H230">
        <v>0</v>
      </c>
      <c r="I230">
        <v>0.43632500000000002</v>
      </c>
      <c r="J230">
        <v>3.6288</v>
      </c>
      <c r="K230" s="2">
        <v>12173800</v>
      </c>
      <c r="L230" s="1">
        <v>0</v>
      </c>
      <c r="M230" s="1">
        <v>0</v>
      </c>
      <c r="N230" s="1">
        <v>0</v>
      </c>
      <c r="O230" s="1">
        <v>0</v>
      </c>
      <c r="P230" s="2">
        <v>3482100</v>
      </c>
      <c r="Q230" s="1">
        <v>-43364.9</v>
      </c>
      <c r="R230" s="1">
        <v>306104</v>
      </c>
      <c r="S230">
        <v>99.302199999999999</v>
      </c>
      <c r="T230">
        <v>98.274000000000001</v>
      </c>
      <c r="U230">
        <v>6.1484100000000002</v>
      </c>
      <c r="V230">
        <v>0</v>
      </c>
      <c r="W230">
        <v>1</v>
      </c>
      <c r="X230">
        <v>1.71461</v>
      </c>
      <c r="Y230">
        <v>1.48803</v>
      </c>
      <c r="Z230">
        <v>0</v>
      </c>
      <c r="AA230">
        <v>1.3247100000000001</v>
      </c>
      <c r="AB230">
        <v>2.1168</v>
      </c>
      <c r="AC230" s="2">
        <v>133186000</v>
      </c>
      <c r="AD230" s="1">
        <v>0</v>
      </c>
      <c r="AE230" s="1">
        <v>0</v>
      </c>
      <c r="AF230" s="1">
        <v>0</v>
      </c>
      <c r="AG230" s="1">
        <v>0</v>
      </c>
      <c r="AH230" s="2">
        <v>4436100</v>
      </c>
      <c r="AI230" s="1">
        <v>711703</v>
      </c>
      <c r="AJ230" s="1">
        <v>0</v>
      </c>
      <c r="AK230" s="8">
        <f t="shared" si="15"/>
        <v>21</v>
      </c>
      <c r="AL230" s="8">
        <f t="shared" si="14"/>
        <v>5</v>
      </c>
      <c r="AM230">
        <f t="shared" si="12"/>
        <v>0</v>
      </c>
      <c r="AN230">
        <f t="shared" si="13"/>
        <v>0</v>
      </c>
    </row>
    <row r="231" spans="1:40" x14ac:dyDescent="0.35">
      <c r="A231">
        <v>72.290000000000006</v>
      </c>
      <c r="B231">
        <v>72.290000000000006</v>
      </c>
      <c r="C231">
        <v>3.27982</v>
      </c>
      <c r="D231">
        <v>0.05</v>
      </c>
      <c r="E231">
        <v>1</v>
      </c>
      <c r="F231">
        <v>2.4513600000000002</v>
      </c>
      <c r="G231">
        <v>2.67761</v>
      </c>
      <c r="H231">
        <v>0</v>
      </c>
      <c r="I231">
        <v>0.43649199999999999</v>
      </c>
      <c r="J231">
        <v>3.6288</v>
      </c>
      <c r="K231" s="2">
        <v>12143500</v>
      </c>
      <c r="L231" s="1">
        <v>0</v>
      </c>
      <c r="M231" s="1">
        <v>0</v>
      </c>
      <c r="N231" s="1">
        <v>0</v>
      </c>
      <c r="O231" s="1">
        <v>0</v>
      </c>
      <c r="P231" s="2">
        <v>3664720</v>
      </c>
      <c r="Q231" s="1">
        <v>-30395.4</v>
      </c>
      <c r="R231" s="1">
        <v>305659</v>
      </c>
      <c r="S231">
        <v>99.302199999999999</v>
      </c>
      <c r="T231">
        <v>98.274000000000001</v>
      </c>
      <c r="U231">
        <v>5.6085900000000004</v>
      </c>
      <c r="V231">
        <v>0</v>
      </c>
      <c r="W231">
        <v>1</v>
      </c>
      <c r="X231">
        <v>1.79508</v>
      </c>
      <c r="Y231">
        <v>1.5688299999999999</v>
      </c>
      <c r="Z231">
        <v>0</v>
      </c>
      <c r="AA231">
        <v>1.3247100000000001</v>
      </c>
      <c r="AB231">
        <v>2.1168</v>
      </c>
      <c r="AC231" s="2">
        <v>133904000</v>
      </c>
      <c r="AD231" s="1">
        <v>0</v>
      </c>
      <c r="AE231" s="1">
        <v>0</v>
      </c>
      <c r="AF231" s="1">
        <v>0</v>
      </c>
      <c r="AG231" s="1">
        <v>0</v>
      </c>
      <c r="AH231" s="2">
        <v>4644290</v>
      </c>
      <c r="AI231" s="1">
        <v>717665</v>
      </c>
      <c r="AJ231" s="1">
        <v>0</v>
      </c>
      <c r="AK231" s="8">
        <f t="shared" si="15"/>
        <v>22</v>
      </c>
      <c r="AL231" s="8">
        <f t="shared" si="14"/>
        <v>5</v>
      </c>
      <c r="AM231">
        <f t="shared" si="12"/>
        <v>0</v>
      </c>
      <c r="AN231">
        <f t="shared" si="13"/>
        <v>0</v>
      </c>
    </row>
    <row r="232" spans="1:40" x14ac:dyDescent="0.35">
      <c r="A232">
        <v>72.290000000000006</v>
      </c>
      <c r="B232">
        <v>72.290000000000006</v>
      </c>
      <c r="C232">
        <v>3.7003699999999999</v>
      </c>
      <c r="D232">
        <v>0.04</v>
      </c>
      <c r="E232">
        <v>1</v>
      </c>
      <c r="F232">
        <v>2.5327500000000001</v>
      </c>
      <c r="G232">
        <v>2.6781999999999999</v>
      </c>
      <c r="H232">
        <v>0</v>
      </c>
      <c r="I232">
        <v>0.45938499999999999</v>
      </c>
      <c r="J232">
        <v>3.6288</v>
      </c>
      <c r="K232" s="2">
        <v>12222300</v>
      </c>
      <c r="L232" s="1">
        <v>0</v>
      </c>
      <c r="M232" s="1">
        <v>0</v>
      </c>
      <c r="N232" s="1">
        <v>0</v>
      </c>
      <c r="O232" s="1">
        <v>0</v>
      </c>
      <c r="P232" s="2">
        <v>3786400</v>
      </c>
      <c r="Q232" s="1">
        <v>78822.8</v>
      </c>
      <c r="R232" s="1">
        <v>196502</v>
      </c>
      <c r="S232">
        <v>99.302199999999999</v>
      </c>
      <c r="T232">
        <v>98.274000000000001</v>
      </c>
      <c r="U232">
        <v>5.5664899999999999</v>
      </c>
      <c r="V232">
        <v>0</v>
      </c>
      <c r="W232">
        <v>1</v>
      </c>
      <c r="X232">
        <v>1.7146300000000001</v>
      </c>
      <c r="Y232">
        <v>1.56918</v>
      </c>
      <c r="Z232">
        <v>0</v>
      </c>
      <c r="AA232">
        <v>1.3868799999999999</v>
      </c>
      <c r="AB232">
        <v>2.1168</v>
      </c>
      <c r="AC232" s="2">
        <v>134412000</v>
      </c>
      <c r="AD232" s="1">
        <v>0</v>
      </c>
      <c r="AE232" s="1">
        <v>0</v>
      </c>
      <c r="AF232" s="1">
        <v>0</v>
      </c>
      <c r="AG232" s="1">
        <v>0</v>
      </c>
      <c r="AH232" s="2">
        <v>4436150</v>
      </c>
      <c r="AI232" s="1">
        <v>508650</v>
      </c>
      <c r="AJ232" s="1">
        <v>0</v>
      </c>
      <c r="AK232" s="8">
        <f t="shared" si="15"/>
        <v>23</v>
      </c>
      <c r="AL232" s="8">
        <f t="shared" si="14"/>
        <v>5</v>
      </c>
      <c r="AM232">
        <f t="shared" si="12"/>
        <v>0</v>
      </c>
      <c r="AN232">
        <f t="shared" si="13"/>
        <v>0</v>
      </c>
    </row>
    <row r="233" spans="1:40" x14ac:dyDescent="0.35">
      <c r="A233">
        <v>72.290000000000006</v>
      </c>
      <c r="B233">
        <v>72.290000000000006</v>
      </c>
      <c r="C233">
        <v>3.4955699999999998</v>
      </c>
      <c r="D233">
        <v>0.04</v>
      </c>
      <c r="E233">
        <v>1</v>
      </c>
      <c r="F233">
        <v>2.53369</v>
      </c>
      <c r="G233">
        <v>2.6787999999999998</v>
      </c>
      <c r="H233">
        <v>0</v>
      </c>
      <c r="I233">
        <v>0.474638</v>
      </c>
      <c r="J233">
        <v>3.6288</v>
      </c>
      <c r="K233" s="2">
        <v>12301600</v>
      </c>
      <c r="L233" s="1">
        <v>0</v>
      </c>
      <c r="M233" s="1">
        <v>0</v>
      </c>
      <c r="N233" s="1">
        <v>0</v>
      </c>
      <c r="O233" s="1">
        <v>0</v>
      </c>
      <c r="P233" s="2">
        <v>3787810</v>
      </c>
      <c r="Q233" s="1">
        <v>79353.3</v>
      </c>
      <c r="R233" s="1">
        <v>196032</v>
      </c>
      <c r="S233">
        <v>99.302199999999999</v>
      </c>
      <c r="T233">
        <v>98.274000000000001</v>
      </c>
      <c r="U233">
        <v>5.3258400000000004</v>
      </c>
      <c r="V233">
        <v>0</v>
      </c>
      <c r="W233">
        <v>1</v>
      </c>
      <c r="X233">
        <v>1.7146300000000001</v>
      </c>
      <c r="Y233">
        <v>1.56952</v>
      </c>
      <c r="Z233">
        <v>0</v>
      </c>
      <c r="AA233">
        <v>1.3247199999999999</v>
      </c>
      <c r="AB233">
        <v>2.1168</v>
      </c>
      <c r="AC233" s="2">
        <v>134920000</v>
      </c>
      <c r="AD233" s="1">
        <v>0</v>
      </c>
      <c r="AE233" s="1">
        <v>0</v>
      </c>
      <c r="AF233" s="1">
        <v>0</v>
      </c>
      <c r="AG233" s="1">
        <v>0</v>
      </c>
      <c r="AH233" s="2">
        <v>4436150</v>
      </c>
      <c r="AI233" s="1">
        <v>507780</v>
      </c>
      <c r="AJ233" s="1">
        <v>0</v>
      </c>
      <c r="AK233" s="8">
        <f t="shared" si="15"/>
        <v>24</v>
      </c>
      <c r="AL233" s="8">
        <f t="shared" si="14"/>
        <v>5</v>
      </c>
      <c r="AM233">
        <f t="shared" si="12"/>
        <v>0</v>
      </c>
      <c r="AN233">
        <f t="shared" si="13"/>
        <v>0</v>
      </c>
    </row>
    <row r="234" spans="1:40" x14ac:dyDescent="0.35">
      <c r="A234">
        <v>72.290000000000006</v>
      </c>
      <c r="B234">
        <v>72.290000000000006</v>
      </c>
      <c r="C234">
        <v>3.2992499999999998</v>
      </c>
      <c r="D234">
        <v>0.04</v>
      </c>
      <c r="E234">
        <v>1</v>
      </c>
      <c r="F234">
        <v>2.5346299999999999</v>
      </c>
      <c r="G234">
        <v>2.6793900000000002</v>
      </c>
      <c r="H234">
        <v>0</v>
      </c>
      <c r="I234">
        <v>0.47481400000000001</v>
      </c>
      <c r="J234">
        <v>3.6288</v>
      </c>
      <c r="K234" s="2">
        <v>12381500</v>
      </c>
      <c r="L234" s="1">
        <v>0</v>
      </c>
      <c r="M234" s="1">
        <v>0</v>
      </c>
      <c r="N234" s="1">
        <v>0</v>
      </c>
      <c r="O234" s="1">
        <v>0</v>
      </c>
      <c r="P234" s="2">
        <v>3789210</v>
      </c>
      <c r="Q234" s="1">
        <v>79883.7</v>
      </c>
      <c r="R234" s="1">
        <v>195563</v>
      </c>
      <c r="S234">
        <v>99.302199999999999</v>
      </c>
      <c r="T234">
        <v>98.274000000000001</v>
      </c>
      <c r="U234">
        <v>5.1156699999999997</v>
      </c>
      <c r="V234">
        <v>0</v>
      </c>
      <c r="W234">
        <v>1</v>
      </c>
      <c r="X234">
        <v>1.7146300000000001</v>
      </c>
      <c r="Y234">
        <v>1.5698700000000001</v>
      </c>
      <c r="Z234">
        <v>0</v>
      </c>
      <c r="AA234">
        <v>1.3247199999999999</v>
      </c>
      <c r="AB234">
        <v>2.1168</v>
      </c>
      <c r="AC234" s="2">
        <v>135427000</v>
      </c>
      <c r="AD234" s="1">
        <v>0</v>
      </c>
      <c r="AE234" s="1">
        <v>0</v>
      </c>
      <c r="AF234" s="1">
        <v>0</v>
      </c>
      <c r="AG234" s="1">
        <v>0</v>
      </c>
      <c r="AH234" s="2">
        <v>4436150</v>
      </c>
      <c r="AI234" s="1">
        <v>506910</v>
      </c>
      <c r="AJ234" s="1">
        <v>0</v>
      </c>
      <c r="AK234" s="8">
        <f t="shared" si="15"/>
        <v>25</v>
      </c>
      <c r="AL234" s="8">
        <f t="shared" si="14"/>
        <v>5</v>
      </c>
      <c r="AM234">
        <f t="shared" si="12"/>
        <v>0</v>
      </c>
      <c r="AN234">
        <f t="shared" si="13"/>
        <v>0</v>
      </c>
    </row>
    <row r="235" spans="1:40" x14ac:dyDescent="0.35">
      <c r="A235">
        <v>72.290000000000006</v>
      </c>
      <c r="B235">
        <v>72.290000000000006</v>
      </c>
      <c r="C235">
        <v>3.1185299999999998</v>
      </c>
      <c r="D235">
        <v>0.02</v>
      </c>
      <c r="E235">
        <v>1</v>
      </c>
      <c r="F235">
        <v>2.5355799999999999</v>
      </c>
      <c r="G235">
        <v>2.67998</v>
      </c>
      <c r="H235">
        <v>0</v>
      </c>
      <c r="I235">
        <v>0.474991</v>
      </c>
      <c r="J235">
        <v>3.6288</v>
      </c>
      <c r="K235" s="2">
        <v>12461900</v>
      </c>
      <c r="L235" s="1">
        <v>0</v>
      </c>
      <c r="M235" s="1">
        <v>0</v>
      </c>
      <c r="N235" s="1">
        <v>0</v>
      </c>
      <c r="O235" s="1">
        <v>0</v>
      </c>
      <c r="P235" s="2">
        <v>3790620</v>
      </c>
      <c r="Q235" s="1">
        <v>80414.2</v>
      </c>
      <c r="R235" s="1">
        <v>195093</v>
      </c>
      <c r="S235">
        <v>99.302199999999999</v>
      </c>
      <c r="T235">
        <v>98.274000000000001</v>
      </c>
      <c r="U235">
        <v>4.9169200000000002</v>
      </c>
      <c r="V235">
        <v>0</v>
      </c>
      <c r="W235">
        <v>1</v>
      </c>
      <c r="X235">
        <v>1.7146300000000001</v>
      </c>
      <c r="Y235">
        <v>1.5702199999999999</v>
      </c>
      <c r="Z235">
        <v>0</v>
      </c>
      <c r="AA235">
        <v>1.3247199999999999</v>
      </c>
      <c r="AB235">
        <v>2.1168</v>
      </c>
      <c r="AC235" s="2">
        <v>135933000</v>
      </c>
      <c r="AD235" s="1">
        <v>0</v>
      </c>
      <c r="AE235" s="1">
        <v>0</v>
      </c>
      <c r="AF235" s="1">
        <v>0</v>
      </c>
      <c r="AG235" s="1">
        <v>0</v>
      </c>
      <c r="AH235" s="2">
        <v>4436150</v>
      </c>
      <c r="AI235" s="1">
        <v>506041</v>
      </c>
      <c r="AJ235" s="1">
        <v>0</v>
      </c>
      <c r="AK235" s="8">
        <f t="shared" si="15"/>
        <v>26</v>
      </c>
      <c r="AL235" s="8">
        <f t="shared" si="14"/>
        <v>5</v>
      </c>
      <c r="AM235">
        <f t="shared" si="12"/>
        <v>0</v>
      </c>
      <c r="AN235">
        <f t="shared" si="13"/>
        <v>0</v>
      </c>
    </row>
    <row r="236" spans="1:40" x14ac:dyDescent="0.35">
      <c r="A236">
        <v>71.868300000000005</v>
      </c>
      <c r="B236">
        <v>72.290000000000006</v>
      </c>
      <c r="C236">
        <v>2.6095700000000002</v>
      </c>
      <c r="D236">
        <v>0.03</v>
      </c>
      <c r="E236">
        <v>1</v>
      </c>
      <c r="F236">
        <v>2.5125099999999998</v>
      </c>
      <c r="G236">
        <v>2.6565699999999999</v>
      </c>
      <c r="H236">
        <v>0</v>
      </c>
      <c r="I236">
        <v>0.47516700000000001</v>
      </c>
      <c r="J236">
        <v>3.6288</v>
      </c>
      <c r="K236" s="2">
        <v>12540400</v>
      </c>
      <c r="L236" s="1">
        <v>0</v>
      </c>
      <c r="M236" s="1">
        <v>0</v>
      </c>
      <c r="N236" s="1">
        <v>0</v>
      </c>
      <c r="O236" s="1">
        <v>0</v>
      </c>
      <c r="P236" s="2">
        <v>3756140</v>
      </c>
      <c r="Q236" s="1">
        <v>78476.7</v>
      </c>
      <c r="R236" s="1">
        <v>194624</v>
      </c>
      <c r="S236">
        <v>99.302199999999999</v>
      </c>
      <c r="T236">
        <v>98.274000000000001</v>
      </c>
      <c r="U236">
        <v>4.1605100000000004</v>
      </c>
      <c r="V236">
        <v>0</v>
      </c>
      <c r="W236">
        <v>1</v>
      </c>
      <c r="X236">
        <v>1.7588999999999999</v>
      </c>
      <c r="Y236">
        <v>1.6148400000000001</v>
      </c>
      <c r="Z236">
        <v>0</v>
      </c>
      <c r="AA236">
        <v>1.3247199999999999</v>
      </c>
      <c r="AB236">
        <v>2.1168</v>
      </c>
      <c r="AC236" s="2">
        <v>136442000</v>
      </c>
      <c r="AD236" s="1">
        <v>0</v>
      </c>
      <c r="AE236" s="1">
        <v>0</v>
      </c>
      <c r="AF236" s="1">
        <v>0</v>
      </c>
      <c r="AG236" s="1">
        <v>0</v>
      </c>
      <c r="AH236" s="2">
        <v>4550700</v>
      </c>
      <c r="AI236" s="1">
        <v>508905</v>
      </c>
      <c r="AJ236" s="1">
        <v>0</v>
      </c>
      <c r="AK236" s="8">
        <f t="shared" si="15"/>
        <v>27</v>
      </c>
      <c r="AL236" s="8">
        <f t="shared" si="14"/>
        <v>5</v>
      </c>
      <c r="AM236">
        <f t="shared" si="12"/>
        <v>0</v>
      </c>
      <c r="AN236">
        <f t="shared" si="13"/>
        <v>0</v>
      </c>
    </row>
    <row r="237" spans="1:40" x14ac:dyDescent="0.35">
      <c r="A237">
        <v>71.107900000000001</v>
      </c>
      <c r="B237">
        <v>72.290000000000006</v>
      </c>
      <c r="C237">
        <v>2.3047599999999999</v>
      </c>
      <c r="D237">
        <v>0.05</v>
      </c>
      <c r="E237">
        <v>1</v>
      </c>
      <c r="F237">
        <v>2.5577200000000002</v>
      </c>
      <c r="G237">
        <v>2.6571600000000002</v>
      </c>
      <c r="H237">
        <v>0</v>
      </c>
      <c r="I237">
        <v>0.47084399999999998</v>
      </c>
      <c r="J237">
        <v>3.6288</v>
      </c>
      <c r="K237" s="2">
        <v>12679200</v>
      </c>
      <c r="L237" s="1">
        <v>0</v>
      </c>
      <c r="M237" s="1">
        <v>0</v>
      </c>
      <c r="N237" s="1">
        <v>0</v>
      </c>
      <c r="O237" s="1">
        <v>0</v>
      </c>
      <c r="P237" s="2">
        <v>3823730</v>
      </c>
      <c r="Q237" s="1">
        <v>138823</v>
      </c>
      <c r="R237" s="1">
        <v>134338</v>
      </c>
      <c r="S237">
        <v>99.302199999999999</v>
      </c>
      <c r="T237">
        <v>98.274000000000001</v>
      </c>
      <c r="U237">
        <v>3.7060300000000002</v>
      </c>
      <c r="V237">
        <v>0</v>
      </c>
      <c r="W237">
        <v>1</v>
      </c>
      <c r="X237">
        <v>1.7146399999999999</v>
      </c>
      <c r="Y237">
        <v>1.6152</v>
      </c>
      <c r="Z237">
        <v>0</v>
      </c>
      <c r="AA237">
        <v>1.35893</v>
      </c>
      <c r="AB237">
        <v>2.1168</v>
      </c>
      <c r="AC237" s="2">
        <v>136835000</v>
      </c>
      <c r="AD237" s="1">
        <v>0</v>
      </c>
      <c r="AE237" s="1">
        <v>0</v>
      </c>
      <c r="AF237" s="1">
        <v>0</v>
      </c>
      <c r="AG237" s="1">
        <v>0</v>
      </c>
      <c r="AH237" s="2">
        <v>4436180</v>
      </c>
      <c r="AI237" s="1">
        <v>393483</v>
      </c>
      <c r="AJ237" s="1">
        <v>0</v>
      </c>
      <c r="AK237" s="8">
        <f t="shared" si="15"/>
        <v>28</v>
      </c>
      <c r="AL237" s="8">
        <f t="shared" si="14"/>
        <v>5</v>
      </c>
      <c r="AM237">
        <f t="shared" si="12"/>
        <v>0</v>
      </c>
      <c r="AN237">
        <f t="shared" si="13"/>
        <v>0</v>
      </c>
    </row>
    <row r="238" spans="1:40" x14ac:dyDescent="0.35">
      <c r="A238">
        <v>70.148899999999998</v>
      </c>
      <c r="B238">
        <v>72.290000000000006</v>
      </c>
      <c r="C238">
        <v>2.1063800000000001</v>
      </c>
      <c r="D238">
        <v>0.04</v>
      </c>
      <c r="E238">
        <v>1</v>
      </c>
      <c r="F238">
        <v>2.5586700000000002</v>
      </c>
      <c r="G238">
        <v>2.6577500000000001</v>
      </c>
      <c r="H238">
        <v>0</v>
      </c>
      <c r="I238">
        <v>0.47931699999999999</v>
      </c>
      <c r="J238">
        <v>3.6288</v>
      </c>
      <c r="K238" s="2">
        <v>12818600</v>
      </c>
      <c r="L238" s="1">
        <v>0</v>
      </c>
      <c r="M238" s="1">
        <v>0</v>
      </c>
      <c r="N238" s="1">
        <v>0</v>
      </c>
      <c r="O238" s="1">
        <v>0</v>
      </c>
      <c r="P238" s="2">
        <v>3825140</v>
      </c>
      <c r="Q238" s="1">
        <v>139367</v>
      </c>
      <c r="R238" s="1">
        <v>133855</v>
      </c>
      <c r="S238">
        <v>99.302199999999999</v>
      </c>
      <c r="T238">
        <v>98.274000000000001</v>
      </c>
      <c r="U238">
        <v>3.2997200000000002</v>
      </c>
      <c r="V238">
        <v>0</v>
      </c>
      <c r="W238">
        <v>1</v>
      </c>
      <c r="X238">
        <v>1.7146399999999999</v>
      </c>
      <c r="Y238">
        <v>1.6155600000000001</v>
      </c>
      <c r="Z238">
        <v>0</v>
      </c>
      <c r="AA238">
        <v>1.32473</v>
      </c>
      <c r="AB238">
        <v>2.1168</v>
      </c>
      <c r="AC238" s="2">
        <v>137228000</v>
      </c>
      <c r="AD238" s="1">
        <v>0</v>
      </c>
      <c r="AE238" s="1">
        <v>0</v>
      </c>
      <c r="AF238" s="1">
        <v>0</v>
      </c>
      <c r="AG238" s="1">
        <v>0</v>
      </c>
      <c r="AH238" s="2">
        <v>4436180</v>
      </c>
      <c r="AI238" s="1">
        <v>392588</v>
      </c>
      <c r="AJ238" s="1">
        <v>0</v>
      </c>
      <c r="AK238" s="8">
        <f t="shared" si="15"/>
        <v>29</v>
      </c>
      <c r="AL238" s="8">
        <f t="shared" si="14"/>
        <v>5</v>
      </c>
      <c r="AM238">
        <f t="shared" si="12"/>
        <v>0</v>
      </c>
      <c r="AN238">
        <f t="shared" si="13"/>
        <v>0</v>
      </c>
    </row>
    <row r="239" spans="1:40" x14ac:dyDescent="0.35">
      <c r="A239">
        <v>69.039400000000001</v>
      </c>
      <c r="B239">
        <v>72.290000000000006</v>
      </c>
      <c r="C239">
        <v>1.9368799999999999</v>
      </c>
      <c r="D239">
        <v>0.04</v>
      </c>
      <c r="E239">
        <v>1</v>
      </c>
      <c r="F239">
        <v>2.5596100000000002</v>
      </c>
      <c r="G239">
        <v>2.6583299999999999</v>
      </c>
      <c r="H239">
        <v>0</v>
      </c>
      <c r="I239">
        <v>0.47949399999999998</v>
      </c>
      <c r="J239">
        <v>3.6288</v>
      </c>
      <c r="K239" s="2">
        <v>12958500</v>
      </c>
      <c r="L239" s="1">
        <v>0</v>
      </c>
      <c r="M239" s="1">
        <v>0</v>
      </c>
      <c r="N239" s="1">
        <v>0</v>
      </c>
      <c r="O239" s="1">
        <v>0</v>
      </c>
      <c r="P239" s="2">
        <v>3826560</v>
      </c>
      <c r="Q239" s="1">
        <v>139910</v>
      </c>
      <c r="R239" s="1">
        <v>133371</v>
      </c>
      <c r="S239">
        <v>99.302199999999999</v>
      </c>
      <c r="T239">
        <v>98.274000000000001</v>
      </c>
      <c r="U239">
        <v>3.22777</v>
      </c>
      <c r="V239">
        <v>0</v>
      </c>
      <c r="W239">
        <v>1</v>
      </c>
      <c r="X239">
        <v>1.7146399999999999</v>
      </c>
      <c r="Y239">
        <v>1.61592</v>
      </c>
      <c r="Z239">
        <v>0</v>
      </c>
      <c r="AA239">
        <v>1.32473</v>
      </c>
      <c r="AB239">
        <v>2.1168</v>
      </c>
      <c r="AC239" s="2">
        <v>137620000</v>
      </c>
      <c r="AD239" s="1">
        <v>0</v>
      </c>
      <c r="AE239" s="1">
        <v>0</v>
      </c>
      <c r="AF239" s="1">
        <v>0</v>
      </c>
      <c r="AG239" s="1">
        <v>0</v>
      </c>
      <c r="AH239" s="2">
        <v>4436180</v>
      </c>
      <c r="AI239" s="1">
        <v>391693</v>
      </c>
      <c r="AJ239" s="1">
        <v>0</v>
      </c>
      <c r="AK239" s="8">
        <f t="shared" si="15"/>
        <v>30</v>
      </c>
      <c r="AL239" s="8">
        <f t="shared" si="14"/>
        <v>5</v>
      </c>
      <c r="AM239">
        <f t="shared" si="12"/>
        <v>0</v>
      </c>
      <c r="AN239">
        <f t="shared" si="13"/>
        <v>0</v>
      </c>
    </row>
    <row r="240" spans="1:40" x14ac:dyDescent="0.35">
      <c r="A240">
        <v>67.728700000000003</v>
      </c>
      <c r="B240">
        <v>72.290000000000006</v>
      </c>
      <c r="C240">
        <v>1.78807</v>
      </c>
      <c r="D240">
        <v>0.04</v>
      </c>
      <c r="E240">
        <v>1</v>
      </c>
      <c r="F240">
        <v>2.6226099999999999</v>
      </c>
      <c r="G240">
        <v>2.72098</v>
      </c>
      <c r="H240">
        <v>0</v>
      </c>
      <c r="I240">
        <v>0.47967100000000001</v>
      </c>
      <c r="J240">
        <v>3.6288</v>
      </c>
      <c r="K240" s="2">
        <v>13105300</v>
      </c>
      <c r="L240" s="1">
        <v>0</v>
      </c>
      <c r="M240" s="1">
        <v>0</v>
      </c>
      <c r="N240" s="1">
        <v>0</v>
      </c>
      <c r="O240" s="1">
        <v>0</v>
      </c>
      <c r="P240" s="2">
        <v>3920740</v>
      </c>
      <c r="Q240" s="1">
        <v>146834</v>
      </c>
      <c r="R240" s="1">
        <v>132888</v>
      </c>
      <c r="S240">
        <v>99.302199999999999</v>
      </c>
      <c r="T240">
        <v>98.274000000000001</v>
      </c>
      <c r="U240">
        <v>3.01281</v>
      </c>
      <c r="V240">
        <v>0</v>
      </c>
      <c r="W240">
        <v>1</v>
      </c>
      <c r="X240">
        <v>1.75413</v>
      </c>
      <c r="Y240">
        <v>1.65577</v>
      </c>
      <c r="Z240">
        <v>0</v>
      </c>
      <c r="AA240">
        <v>1.32473</v>
      </c>
      <c r="AB240">
        <v>2.1168</v>
      </c>
      <c r="AC240" s="2">
        <v>138014000</v>
      </c>
      <c r="AD240" s="1">
        <v>0</v>
      </c>
      <c r="AE240" s="1">
        <v>0</v>
      </c>
      <c r="AF240" s="1">
        <v>0</v>
      </c>
      <c r="AG240" s="1">
        <v>0</v>
      </c>
      <c r="AH240" s="2">
        <v>4538360</v>
      </c>
      <c r="AI240" s="1">
        <v>394128</v>
      </c>
      <c r="AJ240" s="1">
        <v>0</v>
      </c>
      <c r="AK240" s="8">
        <f t="shared" si="15"/>
        <v>31</v>
      </c>
      <c r="AL240" s="8">
        <f t="shared" si="14"/>
        <v>5</v>
      </c>
      <c r="AM240">
        <f t="shared" si="12"/>
        <v>0</v>
      </c>
      <c r="AN240">
        <f t="shared" si="13"/>
        <v>0</v>
      </c>
    </row>
    <row r="241" spans="1:40" x14ac:dyDescent="0.35">
      <c r="A241">
        <v>66.249399999999994</v>
      </c>
      <c r="B241">
        <v>72.290000000000006</v>
      </c>
      <c r="C241">
        <v>1.64886</v>
      </c>
      <c r="D241">
        <v>0.04</v>
      </c>
      <c r="E241">
        <v>1</v>
      </c>
      <c r="F241">
        <v>2.6630699999999998</v>
      </c>
      <c r="G241">
        <v>2.7215799999999999</v>
      </c>
      <c r="H241">
        <v>0</v>
      </c>
      <c r="I241">
        <v>0.49147800000000003</v>
      </c>
      <c r="J241">
        <v>3.6288</v>
      </c>
      <c r="K241" s="2">
        <v>13306100</v>
      </c>
      <c r="L241" s="1">
        <v>0</v>
      </c>
      <c r="M241" s="1">
        <v>0</v>
      </c>
      <c r="N241" s="1">
        <v>0</v>
      </c>
      <c r="O241" s="1">
        <v>0</v>
      </c>
      <c r="P241" s="2">
        <v>3981220</v>
      </c>
      <c r="Q241" s="1">
        <v>200736</v>
      </c>
      <c r="R241" s="1">
        <v>79048.100000000006</v>
      </c>
      <c r="S241">
        <v>99.302199999999999</v>
      </c>
      <c r="T241">
        <v>98.274000000000001</v>
      </c>
      <c r="U241">
        <v>2.7766500000000001</v>
      </c>
      <c r="V241">
        <v>0</v>
      </c>
      <c r="W241">
        <v>1</v>
      </c>
      <c r="X241">
        <v>1.71465</v>
      </c>
      <c r="Y241">
        <v>1.6561399999999999</v>
      </c>
      <c r="Z241">
        <v>0</v>
      </c>
      <c r="AA241">
        <v>1.35524</v>
      </c>
      <c r="AB241">
        <v>2.1168</v>
      </c>
      <c r="AC241" s="2">
        <v>138305000</v>
      </c>
      <c r="AD241" s="1">
        <v>0</v>
      </c>
      <c r="AE241" s="1">
        <v>0</v>
      </c>
      <c r="AF241" s="1">
        <v>0</v>
      </c>
      <c r="AG241" s="1">
        <v>0</v>
      </c>
      <c r="AH241" s="2">
        <v>4436200</v>
      </c>
      <c r="AI241" s="1">
        <v>291051</v>
      </c>
      <c r="AJ241" s="1">
        <v>0</v>
      </c>
      <c r="AK241" s="8">
        <f t="shared" si="15"/>
        <v>32</v>
      </c>
      <c r="AL241" s="8">
        <f t="shared" si="14"/>
        <v>5</v>
      </c>
      <c r="AM241">
        <f t="shared" si="12"/>
        <v>0</v>
      </c>
      <c r="AN241">
        <f t="shared" si="13"/>
        <v>0</v>
      </c>
    </row>
    <row r="242" spans="1:40" x14ac:dyDescent="0.35">
      <c r="A242">
        <v>64.729699999999994</v>
      </c>
      <c r="B242">
        <v>72.290000000000006</v>
      </c>
      <c r="C242">
        <v>1.60836</v>
      </c>
      <c r="D242">
        <v>0.04</v>
      </c>
      <c r="E242">
        <v>1</v>
      </c>
      <c r="F242">
        <v>2.66404</v>
      </c>
      <c r="G242">
        <v>2.7221799999999998</v>
      </c>
      <c r="H242">
        <v>0</v>
      </c>
      <c r="I242">
        <v>0.49905899999999997</v>
      </c>
      <c r="J242">
        <v>3.6288</v>
      </c>
      <c r="K242" s="2">
        <v>13507400</v>
      </c>
      <c r="L242" s="1">
        <v>0</v>
      </c>
      <c r="M242" s="1">
        <v>0</v>
      </c>
      <c r="N242" s="1">
        <v>0</v>
      </c>
      <c r="O242" s="1">
        <v>0</v>
      </c>
      <c r="P242" s="2">
        <v>3982670</v>
      </c>
      <c r="Q242" s="1">
        <v>201293</v>
      </c>
      <c r="R242" s="1">
        <v>78552.7</v>
      </c>
      <c r="S242">
        <v>99.278400000000005</v>
      </c>
      <c r="T242">
        <v>98.274000000000001</v>
      </c>
      <c r="U242">
        <v>2.88462</v>
      </c>
      <c r="V242">
        <v>0</v>
      </c>
      <c r="W242">
        <v>1</v>
      </c>
      <c r="X242">
        <v>1.71465</v>
      </c>
      <c r="Y242">
        <v>1.6565000000000001</v>
      </c>
      <c r="Z242">
        <v>0</v>
      </c>
      <c r="AA242">
        <v>1.32474</v>
      </c>
      <c r="AB242">
        <v>2.1168</v>
      </c>
      <c r="AC242" s="2">
        <v>138595000</v>
      </c>
      <c r="AD242" s="1">
        <v>0</v>
      </c>
      <c r="AE242" s="1">
        <v>0</v>
      </c>
      <c r="AF242" s="1">
        <v>0</v>
      </c>
      <c r="AG242" s="1">
        <v>0</v>
      </c>
      <c r="AH242" s="2">
        <v>4436200</v>
      </c>
      <c r="AI242" s="1">
        <v>290134</v>
      </c>
      <c r="AJ242" s="1">
        <v>0</v>
      </c>
      <c r="AK242" s="8">
        <f t="shared" si="15"/>
        <v>33</v>
      </c>
      <c r="AL242" s="8">
        <f t="shared" si="14"/>
        <v>5</v>
      </c>
      <c r="AM242">
        <f t="shared" si="12"/>
        <v>0</v>
      </c>
      <c r="AN242">
        <f t="shared" si="13"/>
        <v>0</v>
      </c>
    </row>
    <row r="243" spans="1:40" x14ac:dyDescent="0.35">
      <c r="A243">
        <v>63.107100000000003</v>
      </c>
      <c r="B243">
        <v>72.290000000000006</v>
      </c>
      <c r="C243">
        <v>1.5050600000000001</v>
      </c>
      <c r="D243">
        <v>0.04</v>
      </c>
      <c r="E243">
        <v>1</v>
      </c>
      <c r="F243">
        <v>2.6650100000000001</v>
      </c>
      <c r="G243">
        <v>2.7227800000000002</v>
      </c>
      <c r="H243">
        <v>0</v>
      </c>
      <c r="I243">
        <v>0.49924099999999999</v>
      </c>
      <c r="J243">
        <v>3.6288</v>
      </c>
      <c r="K243" s="2">
        <v>13709200</v>
      </c>
      <c r="L243" s="1">
        <v>0</v>
      </c>
      <c r="M243" s="1">
        <v>0</v>
      </c>
      <c r="N243" s="1">
        <v>0</v>
      </c>
      <c r="O243" s="1">
        <v>0</v>
      </c>
      <c r="P243" s="2">
        <v>3984120</v>
      </c>
      <c r="Q243" s="1">
        <v>201850</v>
      </c>
      <c r="R243" s="1">
        <v>78057.3</v>
      </c>
      <c r="S243">
        <v>99.200800000000001</v>
      </c>
      <c r="T243">
        <v>98.274000000000001</v>
      </c>
      <c r="U243">
        <v>2.7085599999999999</v>
      </c>
      <c r="V243">
        <v>0</v>
      </c>
      <c r="W243">
        <v>1</v>
      </c>
      <c r="X243">
        <v>1.71465</v>
      </c>
      <c r="Y243">
        <v>1.6568700000000001</v>
      </c>
      <c r="Z243">
        <v>0</v>
      </c>
      <c r="AA243">
        <v>1.32474</v>
      </c>
      <c r="AB243">
        <v>2.1168</v>
      </c>
      <c r="AC243" s="2">
        <v>138884000</v>
      </c>
      <c r="AD243" s="1">
        <v>0</v>
      </c>
      <c r="AE243" s="1">
        <v>0</v>
      </c>
      <c r="AF243" s="1">
        <v>0</v>
      </c>
      <c r="AG243" s="1">
        <v>0</v>
      </c>
      <c r="AH243" s="2">
        <v>4436200</v>
      </c>
      <c r="AI243" s="1">
        <v>289216</v>
      </c>
      <c r="AJ243" s="1">
        <v>0</v>
      </c>
      <c r="AK243" s="8">
        <f t="shared" si="15"/>
        <v>34</v>
      </c>
      <c r="AL243" s="8">
        <f t="shared" si="14"/>
        <v>5</v>
      </c>
      <c r="AM243">
        <f t="shared" si="12"/>
        <v>0</v>
      </c>
      <c r="AN243">
        <f t="shared" si="13"/>
        <v>0</v>
      </c>
    </row>
    <row r="244" spans="1:40" x14ac:dyDescent="0.35">
      <c r="A244">
        <v>61.179499999999997</v>
      </c>
      <c r="B244">
        <v>72.290000000000006</v>
      </c>
      <c r="C244">
        <v>1.3817200000000001</v>
      </c>
      <c r="D244">
        <v>0.04</v>
      </c>
      <c r="E244">
        <v>1</v>
      </c>
      <c r="F244">
        <v>2.8478599999999998</v>
      </c>
      <c r="G244">
        <v>2.9052699999999998</v>
      </c>
      <c r="H244">
        <v>0</v>
      </c>
      <c r="I244">
        <v>0.49942199999999998</v>
      </c>
      <c r="J244">
        <v>3.6288</v>
      </c>
      <c r="K244" s="2">
        <v>13930300</v>
      </c>
      <c r="L244" s="1">
        <v>0</v>
      </c>
      <c r="M244" s="1">
        <v>0</v>
      </c>
      <c r="N244" s="1">
        <v>0</v>
      </c>
      <c r="O244" s="1">
        <v>0</v>
      </c>
      <c r="P244" s="2">
        <v>4257480</v>
      </c>
      <c r="Q244" s="1">
        <v>221106</v>
      </c>
      <c r="R244" s="1">
        <v>77561.8</v>
      </c>
      <c r="S244">
        <v>99.027299999999997</v>
      </c>
      <c r="T244">
        <v>98.274000000000001</v>
      </c>
      <c r="U244">
        <v>2.5583800000000001</v>
      </c>
      <c r="V244">
        <v>0</v>
      </c>
      <c r="W244">
        <v>1</v>
      </c>
      <c r="X244">
        <v>1.8573299999999999</v>
      </c>
      <c r="Y244">
        <v>1.79992</v>
      </c>
      <c r="Z244">
        <v>0</v>
      </c>
      <c r="AA244">
        <v>1.32474</v>
      </c>
      <c r="AB244">
        <v>2.1168</v>
      </c>
      <c r="AC244" s="2">
        <v>139184000</v>
      </c>
      <c r="AD244" s="1">
        <v>0</v>
      </c>
      <c r="AE244" s="1">
        <v>0</v>
      </c>
      <c r="AF244" s="1">
        <v>0</v>
      </c>
      <c r="AG244" s="1">
        <v>0</v>
      </c>
      <c r="AH244" s="2">
        <v>4805350</v>
      </c>
      <c r="AI244" s="1">
        <v>300331</v>
      </c>
      <c r="AJ244" s="1">
        <v>0</v>
      </c>
      <c r="AK244" s="8">
        <f t="shared" si="15"/>
        <v>35</v>
      </c>
      <c r="AL244" s="8">
        <f t="shared" si="14"/>
        <v>5</v>
      </c>
      <c r="AM244">
        <f t="shared" si="12"/>
        <v>0</v>
      </c>
      <c r="AN244">
        <f t="shared" si="13"/>
        <v>0</v>
      </c>
    </row>
    <row r="245" spans="1:40" x14ac:dyDescent="0.35">
      <c r="A245">
        <v>59.389000000000003</v>
      </c>
      <c r="B245">
        <v>72.290000000000006</v>
      </c>
      <c r="C245">
        <v>1.5330600000000001</v>
      </c>
      <c r="D245">
        <v>0.06</v>
      </c>
      <c r="E245">
        <v>1</v>
      </c>
      <c r="F245">
        <v>2.90591</v>
      </c>
      <c r="G245">
        <v>2.90591</v>
      </c>
      <c r="H245">
        <v>0</v>
      </c>
      <c r="I245">
        <v>0.53368899999999997</v>
      </c>
      <c r="J245">
        <v>3.6288</v>
      </c>
      <c r="K245" s="2">
        <v>14229100</v>
      </c>
      <c r="L245" s="1">
        <v>0</v>
      </c>
      <c r="M245" s="1">
        <v>0</v>
      </c>
      <c r="N245" s="1">
        <v>0</v>
      </c>
      <c r="O245" s="1">
        <v>0</v>
      </c>
      <c r="P245" s="2">
        <v>4344270</v>
      </c>
      <c r="Q245" s="1">
        <v>298734</v>
      </c>
      <c r="R245" s="1">
        <v>0</v>
      </c>
      <c r="S245">
        <v>99.010999999999996</v>
      </c>
      <c r="T245">
        <v>98.274000000000001</v>
      </c>
      <c r="U245">
        <v>3.1103900000000002</v>
      </c>
      <c r="V245">
        <v>0</v>
      </c>
      <c r="W245">
        <v>1</v>
      </c>
      <c r="X245">
        <v>1.8003199999999999</v>
      </c>
      <c r="Y245">
        <v>1.8003199999999999</v>
      </c>
      <c r="Z245">
        <v>0</v>
      </c>
      <c r="AA245">
        <v>1.4349700000000001</v>
      </c>
      <c r="AB245">
        <v>2.1168</v>
      </c>
      <c r="AC245" s="2">
        <v>139336000</v>
      </c>
      <c r="AD245" s="1">
        <v>0</v>
      </c>
      <c r="AE245" s="1">
        <v>0</v>
      </c>
      <c r="AF245" s="1">
        <v>0</v>
      </c>
      <c r="AG245" s="1">
        <v>0</v>
      </c>
      <c r="AH245" s="2">
        <v>4657840</v>
      </c>
      <c r="AI245" s="1">
        <v>151828</v>
      </c>
      <c r="AJ245" s="1">
        <v>0</v>
      </c>
      <c r="AK245" s="8">
        <f t="shared" si="15"/>
        <v>36</v>
      </c>
      <c r="AL245" s="8">
        <f t="shared" si="14"/>
        <v>5</v>
      </c>
      <c r="AM245">
        <f t="shared" si="12"/>
        <v>0</v>
      </c>
      <c r="AN245">
        <f t="shared" si="13"/>
        <v>0</v>
      </c>
    </row>
    <row r="246" spans="1:40" x14ac:dyDescent="0.35">
      <c r="A246">
        <v>57.883499999999998</v>
      </c>
      <c r="B246">
        <v>72.290000000000006</v>
      </c>
      <c r="C246">
        <v>1.8073399999999999</v>
      </c>
      <c r="D246">
        <v>0.06</v>
      </c>
      <c r="E246">
        <v>1</v>
      </c>
      <c r="F246">
        <v>2.9065599999999998</v>
      </c>
      <c r="G246">
        <v>2.9065599999999998</v>
      </c>
      <c r="H246">
        <v>0</v>
      </c>
      <c r="I246">
        <v>0.54456800000000005</v>
      </c>
      <c r="J246">
        <v>3.6288</v>
      </c>
      <c r="K246" s="2">
        <v>14527900</v>
      </c>
      <c r="L246" s="1">
        <v>0</v>
      </c>
      <c r="M246" s="1">
        <v>0</v>
      </c>
      <c r="N246" s="1">
        <v>0</v>
      </c>
      <c r="O246" s="1">
        <v>0</v>
      </c>
      <c r="P246" s="2">
        <v>4345230</v>
      </c>
      <c r="Q246" s="1">
        <v>298800</v>
      </c>
      <c r="R246" s="1">
        <v>0</v>
      </c>
      <c r="S246">
        <v>98.93</v>
      </c>
      <c r="T246">
        <v>98.274000000000001</v>
      </c>
      <c r="U246">
        <v>2.9144999999999999</v>
      </c>
      <c r="V246">
        <v>0</v>
      </c>
      <c r="W246">
        <v>1</v>
      </c>
      <c r="X246">
        <v>1.80071</v>
      </c>
      <c r="Y246">
        <v>1.80071</v>
      </c>
      <c r="Z246">
        <v>0</v>
      </c>
      <c r="AA246">
        <v>1.3909199999999999</v>
      </c>
      <c r="AB246">
        <v>2.1168</v>
      </c>
      <c r="AC246" s="2">
        <v>139488000</v>
      </c>
      <c r="AD246" s="1">
        <v>0</v>
      </c>
      <c r="AE246" s="1">
        <v>0</v>
      </c>
      <c r="AF246" s="1">
        <v>0</v>
      </c>
      <c r="AG246" s="1">
        <v>0</v>
      </c>
      <c r="AH246" s="2">
        <v>4658880</v>
      </c>
      <c r="AI246" s="1">
        <v>151861</v>
      </c>
      <c r="AJ246" s="1">
        <v>0</v>
      </c>
      <c r="AK246" s="8">
        <f t="shared" si="15"/>
        <v>37</v>
      </c>
      <c r="AL246" s="8">
        <f t="shared" si="14"/>
        <v>5</v>
      </c>
      <c r="AM246">
        <f t="shared" si="12"/>
        <v>0</v>
      </c>
      <c r="AN246">
        <f t="shared" si="13"/>
        <v>0</v>
      </c>
    </row>
    <row r="247" spans="1:40" x14ac:dyDescent="0.35">
      <c r="A247">
        <v>55.745399999999997</v>
      </c>
      <c r="B247">
        <v>72.290000000000006</v>
      </c>
      <c r="C247">
        <v>1.1994800000000001</v>
      </c>
      <c r="D247">
        <v>0.06</v>
      </c>
      <c r="E247">
        <v>1</v>
      </c>
      <c r="F247">
        <v>2.9072</v>
      </c>
      <c r="G247">
        <v>2.9072</v>
      </c>
      <c r="H247">
        <v>0</v>
      </c>
      <c r="I247">
        <v>0.54468899999999998</v>
      </c>
      <c r="J247">
        <v>3.6288</v>
      </c>
      <c r="K247" s="2">
        <v>14826700</v>
      </c>
      <c r="L247" s="1">
        <v>0</v>
      </c>
      <c r="M247" s="1">
        <v>0</v>
      </c>
      <c r="N247" s="1">
        <v>0</v>
      </c>
      <c r="O247" s="1">
        <v>0</v>
      </c>
      <c r="P247" s="2">
        <v>4346190</v>
      </c>
      <c r="Q247" s="1">
        <v>298866</v>
      </c>
      <c r="R247" s="1">
        <v>0</v>
      </c>
      <c r="S247">
        <v>98.647800000000004</v>
      </c>
      <c r="T247">
        <v>98.274000000000001</v>
      </c>
      <c r="U247">
        <v>2.1500699999999999</v>
      </c>
      <c r="V247">
        <v>0</v>
      </c>
      <c r="W247">
        <v>1</v>
      </c>
      <c r="X247">
        <v>1.80111</v>
      </c>
      <c r="Y247">
        <v>1.80111</v>
      </c>
      <c r="Z247">
        <v>0</v>
      </c>
      <c r="AA247">
        <v>1.39123</v>
      </c>
      <c r="AB247">
        <v>2.1168</v>
      </c>
      <c r="AC247" s="2">
        <v>139640000</v>
      </c>
      <c r="AD247" s="1">
        <v>0</v>
      </c>
      <c r="AE247" s="1">
        <v>0</v>
      </c>
      <c r="AF247" s="1">
        <v>0</v>
      </c>
      <c r="AG247" s="1">
        <v>0</v>
      </c>
      <c r="AH247" s="2">
        <v>4659910</v>
      </c>
      <c r="AI247" s="1">
        <v>151895</v>
      </c>
      <c r="AJ247" s="1">
        <v>0</v>
      </c>
      <c r="AK247" s="8">
        <f t="shared" si="15"/>
        <v>38</v>
      </c>
      <c r="AL247" s="8">
        <f t="shared" si="14"/>
        <v>5</v>
      </c>
      <c r="AM247">
        <f t="shared" si="12"/>
        <v>0</v>
      </c>
      <c r="AN247">
        <f t="shared" si="13"/>
        <v>0</v>
      </c>
    </row>
    <row r="248" spans="1:40" x14ac:dyDescent="0.35">
      <c r="A248">
        <v>53.365000000000002</v>
      </c>
      <c r="B248">
        <v>72.290000000000006</v>
      </c>
      <c r="C248">
        <v>1.00858</v>
      </c>
      <c r="D248">
        <v>0.1</v>
      </c>
      <c r="E248">
        <v>1</v>
      </c>
      <c r="F248">
        <v>2.9078499999999998</v>
      </c>
      <c r="G248">
        <v>2.9078499999999998</v>
      </c>
      <c r="H248">
        <v>0</v>
      </c>
      <c r="I248">
        <v>0.54481000000000002</v>
      </c>
      <c r="J248">
        <v>3.6288</v>
      </c>
      <c r="K248" s="2">
        <v>15125700</v>
      </c>
      <c r="L248" s="1">
        <v>0</v>
      </c>
      <c r="M248" s="1">
        <v>0</v>
      </c>
      <c r="N248" s="1">
        <v>0</v>
      </c>
      <c r="O248" s="1">
        <v>0</v>
      </c>
      <c r="P248" s="2">
        <v>4347160</v>
      </c>
      <c r="Q248" s="1">
        <v>298932</v>
      </c>
      <c r="R248" s="1">
        <v>0</v>
      </c>
      <c r="S248">
        <v>98.380099999999999</v>
      </c>
      <c r="T248">
        <v>98.274000000000001</v>
      </c>
      <c r="U248">
        <v>2.1553300000000002</v>
      </c>
      <c r="V248">
        <v>0</v>
      </c>
      <c r="W248">
        <v>1</v>
      </c>
      <c r="X248">
        <v>1.8015099999999999</v>
      </c>
      <c r="Y248">
        <v>1.8015099999999999</v>
      </c>
      <c r="Z248">
        <v>0</v>
      </c>
      <c r="AA248">
        <v>1.39154</v>
      </c>
      <c r="AB248">
        <v>2.1168</v>
      </c>
      <c r="AC248" s="2">
        <v>139792000</v>
      </c>
      <c r="AD248" s="1">
        <v>0</v>
      </c>
      <c r="AE248" s="1">
        <v>0</v>
      </c>
      <c r="AF248" s="1">
        <v>0</v>
      </c>
      <c r="AG248" s="1">
        <v>0</v>
      </c>
      <c r="AH248" s="2">
        <v>4660940</v>
      </c>
      <c r="AI248" s="1">
        <v>151929</v>
      </c>
      <c r="AJ248" s="1">
        <v>0</v>
      </c>
      <c r="AK248" s="8">
        <f t="shared" si="15"/>
        <v>39</v>
      </c>
      <c r="AL248" s="8">
        <f t="shared" si="14"/>
        <v>5</v>
      </c>
      <c r="AM248">
        <f t="shared" si="12"/>
        <v>0</v>
      </c>
      <c r="AN248">
        <f t="shared" si="13"/>
        <v>0</v>
      </c>
    </row>
    <row r="249" spans="1:40" x14ac:dyDescent="0.35">
      <c r="A249">
        <v>51.133600000000001</v>
      </c>
      <c r="B249">
        <v>72.290000000000006</v>
      </c>
      <c r="C249">
        <v>1.0454699999999999</v>
      </c>
      <c r="D249">
        <v>0.11</v>
      </c>
      <c r="E249">
        <v>1</v>
      </c>
      <c r="F249">
        <v>2.81975</v>
      </c>
      <c r="G249">
        <v>2.81975</v>
      </c>
      <c r="H249">
        <v>0</v>
      </c>
      <c r="I249">
        <v>0.54493000000000003</v>
      </c>
      <c r="J249">
        <v>3.6288</v>
      </c>
      <c r="K249" s="2">
        <v>15415500</v>
      </c>
      <c r="L249" s="1">
        <v>0</v>
      </c>
      <c r="M249" s="1">
        <v>0</v>
      </c>
      <c r="N249" s="1">
        <v>0</v>
      </c>
      <c r="O249" s="1">
        <v>0</v>
      </c>
      <c r="P249" s="2">
        <v>4215450</v>
      </c>
      <c r="Q249" s="1">
        <v>289876</v>
      </c>
      <c r="R249" s="1">
        <v>0</v>
      </c>
      <c r="S249">
        <v>98.090699999999998</v>
      </c>
      <c r="T249">
        <v>98.274000000000001</v>
      </c>
      <c r="U249">
        <v>2.0393699999999999</v>
      </c>
      <c r="V249">
        <v>0</v>
      </c>
      <c r="W249">
        <v>1</v>
      </c>
      <c r="X249">
        <v>1.7152099999999999</v>
      </c>
      <c r="Y249">
        <v>1.7152099999999999</v>
      </c>
      <c r="Z249">
        <v>0</v>
      </c>
      <c r="AA249">
        <v>1.39185</v>
      </c>
      <c r="AB249">
        <v>2.1168</v>
      </c>
      <c r="AC249" s="2">
        <v>139937000</v>
      </c>
      <c r="AD249" s="1">
        <v>0</v>
      </c>
      <c r="AE249" s="1">
        <v>0</v>
      </c>
      <c r="AF249" s="1">
        <v>0</v>
      </c>
      <c r="AG249" s="1">
        <v>0</v>
      </c>
      <c r="AH249" s="2">
        <v>4437660</v>
      </c>
      <c r="AI249" s="1">
        <v>144651</v>
      </c>
      <c r="AJ249" s="1">
        <v>0</v>
      </c>
      <c r="AK249" s="8">
        <f t="shared" si="15"/>
        <v>40</v>
      </c>
      <c r="AL249" s="8">
        <f t="shared" si="14"/>
        <v>5</v>
      </c>
      <c r="AM249">
        <f t="shared" si="12"/>
        <v>0</v>
      </c>
      <c r="AN249">
        <f t="shared" si="13"/>
        <v>0</v>
      </c>
    </row>
    <row r="250" spans="1:40" x14ac:dyDescent="0.35">
      <c r="A250">
        <v>49.2014</v>
      </c>
      <c r="B250">
        <v>72.290000000000006</v>
      </c>
      <c r="C250">
        <v>1.33203</v>
      </c>
      <c r="D250">
        <v>0.15</v>
      </c>
      <c r="E250">
        <v>1</v>
      </c>
      <c r="F250">
        <v>2.82037</v>
      </c>
      <c r="G250">
        <v>2.82037</v>
      </c>
      <c r="H250">
        <v>0</v>
      </c>
      <c r="I250">
        <v>0.52842100000000003</v>
      </c>
      <c r="J250">
        <v>3.6288</v>
      </c>
      <c r="K250" s="2">
        <v>15705500</v>
      </c>
      <c r="L250" s="1">
        <v>0</v>
      </c>
      <c r="M250" s="1">
        <v>0</v>
      </c>
      <c r="N250" s="1">
        <v>0</v>
      </c>
      <c r="O250" s="1">
        <v>0</v>
      </c>
      <c r="P250" s="2">
        <v>4216390</v>
      </c>
      <c r="Q250" s="1">
        <v>289940</v>
      </c>
      <c r="R250" s="1">
        <v>0</v>
      </c>
      <c r="S250">
        <v>97.851500000000001</v>
      </c>
      <c r="T250">
        <v>98.274000000000001</v>
      </c>
      <c r="U250">
        <v>2.0966800000000001</v>
      </c>
      <c r="V250">
        <v>0</v>
      </c>
      <c r="W250">
        <v>1</v>
      </c>
      <c r="X250">
        <v>1.7155899999999999</v>
      </c>
      <c r="Y250">
        <v>1.7155899999999999</v>
      </c>
      <c r="Z250">
        <v>0</v>
      </c>
      <c r="AA250">
        <v>1.32517</v>
      </c>
      <c r="AB250">
        <v>2.1168</v>
      </c>
      <c r="AC250" s="2">
        <v>140081000</v>
      </c>
      <c r="AD250" s="1">
        <v>0</v>
      </c>
      <c r="AE250" s="1">
        <v>0</v>
      </c>
      <c r="AF250" s="1">
        <v>0</v>
      </c>
      <c r="AG250" s="1">
        <v>0</v>
      </c>
      <c r="AH250" s="2">
        <v>4438650</v>
      </c>
      <c r="AI250" s="1">
        <v>144683</v>
      </c>
      <c r="AJ250" s="1">
        <v>0</v>
      </c>
      <c r="AK250" s="8">
        <f t="shared" si="15"/>
        <v>41</v>
      </c>
      <c r="AL250" s="8">
        <f t="shared" si="14"/>
        <v>5</v>
      </c>
      <c r="AM250">
        <f t="shared" si="12"/>
        <v>0</v>
      </c>
      <c r="AN250">
        <f t="shared" si="13"/>
        <v>0</v>
      </c>
    </row>
    <row r="251" spans="1:40" x14ac:dyDescent="0.35">
      <c r="A251">
        <v>47.515099999999997</v>
      </c>
      <c r="B251">
        <v>72.290000000000006</v>
      </c>
      <c r="C251">
        <v>1.6174200000000001</v>
      </c>
      <c r="D251">
        <v>0.15</v>
      </c>
      <c r="E251">
        <v>1</v>
      </c>
      <c r="F251">
        <v>2.8210000000000002</v>
      </c>
      <c r="G251">
        <v>2.8210000000000002</v>
      </c>
      <c r="H251">
        <v>0</v>
      </c>
      <c r="I251">
        <v>0.52853799999999995</v>
      </c>
      <c r="J251">
        <v>3.6288</v>
      </c>
      <c r="K251" s="2">
        <v>15995500</v>
      </c>
      <c r="L251" s="1">
        <v>0</v>
      </c>
      <c r="M251" s="1">
        <v>0</v>
      </c>
      <c r="N251" s="1">
        <v>0</v>
      </c>
      <c r="O251" s="1">
        <v>0</v>
      </c>
      <c r="P251" s="2">
        <v>4217320</v>
      </c>
      <c r="Q251" s="1">
        <v>290004</v>
      </c>
      <c r="R251" s="1">
        <v>0</v>
      </c>
      <c r="S251">
        <v>97.674199999999999</v>
      </c>
      <c r="T251">
        <v>98.274000000000001</v>
      </c>
      <c r="U251">
        <v>2.0271699999999999</v>
      </c>
      <c r="V251">
        <v>0</v>
      </c>
      <c r="W251">
        <v>1</v>
      </c>
      <c r="X251">
        <v>1.71597</v>
      </c>
      <c r="Y251">
        <v>1.71597</v>
      </c>
      <c r="Z251">
        <v>0</v>
      </c>
      <c r="AA251">
        <v>1.3254699999999999</v>
      </c>
      <c r="AB251">
        <v>2.1168</v>
      </c>
      <c r="AC251" s="2">
        <v>140226000</v>
      </c>
      <c r="AD251" s="1">
        <v>0</v>
      </c>
      <c r="AE251" s="1">
        <v>0</v>
      </c>
      <c r="AF251" s="1">
        <v>0</v>
      </c>
      <c r="AG251" s="1">
        <v>0</v>
      </c>
      <c r="AH251" s="2">
        <v>4439630</v>
      </c>
      <c r="AI251" s="1">
        <v>144715</v>
      </c>
      <c r="AJ251" s="1">
        <v>0</v>
      </c>
      <c r="AK251" s="8">
        <f t="shared" si="15"/>
        <v>42</v>
      </c>
      <c r="AL251" s="8">
        <f t="shared" si="14"/>
        <v>5</v>
      </c>
      <c r="AM251">
        <f t="shared" si="12"/>
        <v>0</v>
      </c>
      <c r="AN251">
        <f t="shared" si="13"/>
        <v>0</v>
      </c>
    </row>
    <row r="252" spans="1:40" x14ac:dyDescent="0.35">
      <c r="A252">
        <v>46.699100000000001</v>
      </c>
      <c r="B252">
        <v>72.290000000000006</v>
      </c>
      <c r="C252">
        <v>2.4862500000000001</v>
      </c>
      <c r="D252">
        <v>0.16</v>
      </c>
      <c r="E252">
        <v>1</v>
      </c>
      <c r="F252">
        <v>2.8216199999999998</v>
      </c>
      <c r="G252">
        <v>2.8216199999999998</v>
      </c>
      <c r="H252">
        <v>0</v>
      </c>
      <c r="I252">
        <v>0.52865499999999999</v>
      </c>
      <c r="J252">
        <v>3.6288</v>
      </c>
      <c r="K252" s="2">
        <v>16285500</v>
      </c>
      <c r="L252" s="1">
        <v>0</v>
      </c>
      <c r="M252" s="1">
        <v>0</v>
      </c>
      <c r="N252" s="1">
        <v>0</v>
      </c>
      <c r="O252" s="1">
        <v>0</v>
      </c>
      <c r="P252" s="2">
        <v>4218250</v>
      </c>
      <c r="Q252" s="1">
        <v>290068</v>
      </c>
      <c r="R252" s="1">
        <v>0</v>
      </c>
      <c r="S252">
        <v>97.855599999999995</v>
      </c>
      <c r="T252">
        <v>98.274000000000001</v>
      </c>
      <c r="U252">
        <v>3.5569700000000002</v>
      </c>
      <c r="V252">
        <v>0</v>
      </c>
      <c r="W252">
        <v>1</v>
      </c>
      <c r="X252">
        <v>1.71635</v>
      </c>
      <c r="Y252">
        <v>1.71635</v>
      </c>
      <c r="Z252">
        <v>0</v>
      </c>
      <c r="AA252">
        <v>1.32576</v>
      </c>
      <c r="AB252">
        <v>2.1168</v>
      </c>
      <c r="AC252" s="2">
        <v>140371000</v>
      </c>
      <c r="AD252" s="1">
        <v>0</v>
      </c>
      <c r="AE252" s="1">
        <v>0</v>
      </c>
      <c r="AF252" s="1">
        <v>0</v>
      </c>
      <c r="AG252" s="1">
        <v>0</v>
      </c>
      <c r="AH252" s="2">
        <v>4440610</v>
      </c>
      <c r="AI252" s="1">
        <v>144747</v>
      </c>
      <c r="AJ252" s="1">
        <v>0</v>
      </c>
      <c r="AK252" s="8">
        <f t="shared" si="15"/>
        <v>43</v>
      </c>
      <c r="AL252" s="8">
        <f t="shared" si="14"/>
        <v>5</v>
      </c>
      <c r="AM252">
        <f t="shared" si="12"/>
        <v>0</v>
      </c>
      <c r="AN252">
        <f t="shared" si="13"/>
        <v>0</v>
      </c>
    </row>
    <row r="253" spans="1:40" x14ac:dyDescent="0.35">
      <c r="A253">
        <v>45.540599999999998</v>
      </c>
      <c r="B253">
        <v>72.290000000000006</v>
      </c>
      <c r="C253">
        <v>2.07037</v>
      </c>
      <c r="D253">
        <v>0.16</v>
      </c>
      <c r="E253">
        <v>1</v>
      </c>
      <c r="F253">
        <v>2.7493400000000001</v>
      </c>
      <c r="G253">
        <v>2.7493400000000001</v>
      </c>
      <c r="H253">
        <v>0</v>
      </c>
      <c r="I253">
        <v>0.52877200000000002</v>
      </c>
      <c r="J253">
        <v>3.6288</v>
      </c>
      <c r="K253" s="2">
        <v>16568200</v>
      </c>
      <c r="L253" s="1">
        <v>0</v>
      </c>
      <c r="M253" s="1">
        <v>0</v>
      </c>
      <c r="N253" s="1">
        <v>0</v>
      </c>
      <c r="O253" s="1">
        <v>0</v>
      </c>
      <c r="P253" s="2">
        <v>4110200</v>
      </c>
      <c r="Q253" s="1">
        <v>282638</v>
      </c>
      <c r="R253" s="1">
        <v>0</v>
      </c>
      <c r="S253">
        <v>97.184100000000001</v>
      </c>
      <c r="T253">
        <v>98.274000000000001</v>
      </c>
      <c r="U253">
        <v>2.7679499999999999</v>
      </c>
      <c r="V253">
        <v>0</v>
      </c>
      <c r="W253">
        <v>1</v>
      </c>
      <c r="X253">
        <v>1.63775</v>
      </c>
      <c r="Y253">
        <v>1.63775</v>
      </c>
      <c r="Z253">
        <v>0</v>
      </c>
      <c r="AA253">
        <v>1.32605</v>
      </c>
      <c r="AB253">
        <v>2.1168</v>
      </c>
      <c r="AC253" s="2">
        <v>140509000</v>
      </c>
      <c r="AD253" s="1">
        <v>0</v>
      </c>
      <c r="AE253" s="1">
        <v>0</v>
      </c>
      <c r="AF253" s="1">
        <v>0</v>
      </c>
      <c r="AG253" s="1">
        <v>0</v>
      </c>
      <c r="AH253" s="2">
        <v>4237240</v>
      </c>
      <c r="AI253" s="1">
        <v>138118</v>
      </c>
      <c r="AJ253" s="1">
        <v>0</v>
      </c>
      <c r="AK253" s="8">
        <f t="shared" si="15"/>
        <v>44</v>
      </c>
      <c r="AL253" s="8">
        <f t="shared" si="14"/>
        <v>5</v>
      </c>
      <c r="AM253">
        <f t="shared" si="12"/>
        <v>0</v>
      </c>
      <c r="AN253">
        <f t="shared" si="13"/>
        <v>0</v>
      </c>
    </row>
    <row r="254" spans="1:40" x14ac:dyDescent="0.35">
      <c r="A254">
        <v>43.514499999999998</v>
      </c>
      <c r="B254">
        <v>72.290000000000006</v>
      </c>
      <c r="C254">
        <v>1.2124999999999999</v>
      </c>
      <c r="D254">
        <v>0.16</v>
      </c>
      <c r="E254">
        <v>1</v>
      </c>
      <c r="F254">
        <v>2.6734200000000001</v>
      </c>
      <c r="G254">
        <v>2.7499500000000001</v>
      </c>
      <c r="H254">
        <v>0</v>
      </c>
      <c r="I254">
        <v>0.51522699999999999</v>
      </c>
      <c r="J254">
        <v>3.6288</v>
      </c>
      <c r="K254" s="2">
        <v>16747500</v>
      </c>
      <c r="L254" s="1">
        <v>0</v>
      </c>
      <c r="M254" s="1">
        <v>0</v>
      </c>
      <c r="N254" s="1">
        <v>0</v>
      </c>
      <c r="O254" s="1">
        <v>0</v>
      </c>
      <c r="P254" s="2">
        <v>3996690</v>
      </c>
      <c r="Q254" s="1">
        <v>179303</v>
      </c>
      <c r="R254" s="1">
        <v>103397</v>
      </c>
      <c r="S254">
        <v>96.938199999999995</v>
      </c>
      <c r="T254">
        <v>98.274000000000001</v>
      </c>
      <c r="U254">
        <v>0.97905299999999995</v>
      </c>
      <c r="V254">
        <v>0</v>
      </c>
      <c r="W254">
        <v>1</v>
      </c>
      <c r="X254">
        <v>1.7146399999999999</v>
      </c>
      <c r="Y254">
        <v>1.63811</v>
      </c>
      <c r="Z254">
        <v>0</v>
      </c>
      <c r="AA254">
        <v>1.26532</v>
      </c>
      <c r="AB254">
        <v>2.1168</v>
      </c>
      <c r="AC254" s="2">
        <v>140845000</v>
      </c>
      <c r="AD254" s="1">
        <v>0</v>
      </c>
      <c r="AE254" s="1">
        <v>0</v>
      </c>
      <c r="AF254" s="1">
        <v>0</v>
      </c>
      <c r="AG254" s="1">
        <v>0</v>
      </c>
      <c r="AH254" s="2">
        <v>4436190</v>
      </c>
      <c r="AI254" s="1">
        <v>336161</v>
      </c>
      <c r="AJ254" s="1">
        <v>0</v>
      </c>
      <c r="AK254" s="8">
        <f t="shared" si="15"/>
        <v>45</v>
      </c>
      <c r="AL254" s="8">
        <f t="shared" si="14"/>
        <v>5</v>
      </c>
      <c r="AM254">
        <f t="shared" si="12"/>
        <v>0</v>
      </c>
      <c r="AN254">
        <f t="shared" si="13"/>
        <v>0</v>
      </c>
    </row>
    <row r="255" spans="1:40" x14ac:dyDescent="0.35">
      <c r="A255">
        <v>42.104599999999998</v>
      </c>
      <c r="B255">
        <v>72.290000000000006</v>
      </c>
      <c r="C255">
        <v>1.8251200000000001</v>
      </c>
      <c r="D255">
        <v>0.15</v>
      </c>
      <c r="E255">
        <v>1</v>
      </c>
      <c r="F255">
        <v>2.6743899999999998</v>
      </c>
      <c r="G255">
        <v>2.7505600000000001</v>
      </c>
      <c r="H255">
        <v>0</v>
      </c>
      <c r="I255">
        <v>0.50099800000000005</v>
      </c>
      <c r="J255">
        <v>3.6288</v>
      </c>
      <c r="K255" s="2">
        <v>16927300</v>
      </c>
      <c r="L255" s="1">
        <v>0</v>
      </c>
      <c r="M255" s="1">
        <v>0</v>
      </c>
      <c r="N255" s="1">
        <v>0</v>
      </c>
      <c r="O255" s="1">
        <v>0</v>
      </c>
      <c r="P255" s="2">
        <v>3998140</v>
      </c>
      <c r="Q255" s="1">
        <v>179856</v>
      </c>
      <c r="R255" s="1">
        <v>102907</v>
      </c>
      <c r="S255">
        <v>96.866</v>
      </c>
      <c r="T255">
        <v>98.274000000000001</v>
      </c>
      <c r="U255">
        <v>2.5336799999999999</v>
      </c>
      <c r="V255">
        <v>0</v>
      </c>
      <c r="W255">
        <v>1</v>
      </c>
      <c r="X255">
        <v>1.7146399999999999</v>
      </c>
      <c r="Y255">
        <v>1.6384700000000001</v>
      </c>
      <c r="Z255">
        <v>0</v>
      </c>
      <c r="AA255">
        <v>1.32473</v>
      </c>
      <c r="AB255">
        <v>2.1168</v>
      </c>
      <c r="AC255" s="2">
        <v>141180000</v>
      </c>
      <c r="AD255" s="1">
        <v>0</v>
      </c>
      <c r="AE255" s="1">
        <v>0</v>
      </c>
      <c r="AF255" s="1">
        <v>0</v>
      </c>
      <c r="AG255" s="1">
        <v>0</v>
      </c>
      <c r="AH255" s="2">
        <v>4436190</v>
      </c>
      <c r="AI255" s="1">
        <v>335253</v>
      </c>
      <c r="AJ255" s="1">
        <v>0</v>
      </c>
      <c r="AK255" s="8">
        <f t="shared" si="15"/>
        <v>46</v>
      </c>
      <c r="AL255" s="8">
        <f t="shared" si="14"/>
        <v>5</v>
      </c>
      <c r="AM255">
        <f t="shared" si="12"/>
        <v>0</v>
      </c>
      <c r="AN255">
        <f t="shared" si="13"/>
        <v>0</v>
      </c>
    </row>
    <row r="256" spans="1:40" x14ac:dyDescent="0.35">
      <c r="A256">
        <v>43.290399999999998</v>
      </c>
      <c r="B256">
        <v>72.290000000000006</v>
      </c>
      <c r="C256">
        <v>4.4185499999999998</v>
      </c>
      <c r="D256">
        <v>0.18</v>
      </c>
      <c r="E256">
        <v>1</v>
      </c>
      <c r="F256">
        <v>2.67536</v>
      </c>
      <c r="G256">
        <v>2.7511700000000001</v>
      </c>
      <c r="H256">
        <v>0</v>
      </c>
      <c r="I256">
        <v>0.50117999999999996</v>
      </c>
      <c r="J256">
        <v>3.6288</v>
      </c>
      <c r="K256" s="2">
        <v>17107700</v>
      </c>
      <c r="L256" s="1">
        <v>0</v>
      </c>
      <c r="M256" s="1">
        <v>0</v>
      </c>
      <c r="N256" s="1">
        <v>0</v>
      </c>
      <c r="O256" s="1">
        <v>0</v>
      </c>
      <c r="P256" s="2">
        <v>3999590</v>
      </c>
      <c r="Q256" s="1">
        <v>180409</v>
      </c>
      <c r="R256" s="1">
        <v>102417</v>
      </c>
      <c r="S256">
        <v>97.273899999999998</v>
      </c>
      <c r="T256">
        <v>98.274000000000001</v>
      </c>
      <c r="U256">
        <v>4.3359800000000002</v>
      </c>
      <c r="V256">
        <v>0</v>
      </c>
      <c r="W256">
        <v>1</v>
      </c>
      <c r="X256">
        <v>1.7146399999999999</v>
      </c>
      <c r="Y256">
        <v>1.63883</v>
      </c>
      <c r="Z256">
        <v>0</v>
      </c>
      <c r="AA256">
        <v>1.32473</v>
      </c>
      <c r="AB256">
        <v>2.1168</v>
      </c>
      <c r="AC256" s="2">
        <v>141515000</v>
      </c>
      <c r="AD256" s="1">
        <v>0</v>
      </c>
      <c r="AE256" s="1">
        <v>0</v>
      </c>
      <c r="AF256" s="1">
        <v>0</v>
      </c>
      <c r="AG256" s="1">
        <v>0</v>
      </c>
      <c r="AH256" s="2">
        <v>4436190</v>
      </c>
      <c r="AI256" s="1">
        <v>334345</v>
      </c>
      <c r="AJ256" s="1">
        <v>0</v>
      </c>
      <c r="AK256" s="8">
        <f t="shared" si="15"/>
        <v>47</v>
      </c>
      <c r="AL256" s="8">
        <f t="shared" si="14"/>
        <v>5</v>
      </c>
      <c r="AM256">
        <f t="shared" si="12"/>
        <v>0</v>
      </c>
      <c r="AN256">
        <f t="shared" si="13"/>
        <v>0</v>
      </c>
    </row>
    <row r="257" spans="1:40" x14ac:dyDescent="0.35">
      <c r="A257">
        <v>42.808199999999999</v>
      </c>
      <c r="B257">
        <v>72.290000000000006</v>
      </c>
      <c r="C257">
        <v>2.5839599999999998</v>
      </c>
      <c r="D257">
        <v>0.16</v>
      </c>
      <c r="E257">
        <v>1</v>
      </c>
      <c r="F257">
        <v>2.46909</v>
      </c>
      <c r="G257">
        <v>2.54454</v>
      </c>
      <c r="H257">
        <v>0</v>
      </c>
      <c r="I257">
        <v>0.50136199999999997</v>
      </c>
      <c r="J257">
        <v>3.6288</v>
      </c>
      <c r="K257" s="2">
        <v>17267400</v>
      </c>
      <c r="L257" s="1">
        <v>0</v>
      </c>
      <c r="M257" s="1">
        <v>0</v>
      </c>
      <c r="N257" s="1">
        <v>0</v>
      </c>
      <c r="O257" s="1">
        <v>0</v>
      </c>
      <c r="P257" s="2">
        <v>3691230</v>
      </c>
      <c r="Q257" s="1">
        <v>159657</v>
      </c>
      <c r="R257" s="1">
        <v>101927</v>
      </c>
      <c r="S257">
        <v>97.5471</v>
      </c>
      <c r="T257">
        <v>98.274000000000001</v>
      </c>
      <c r="U257">
        <v>2.19739</v>
      </c>
      <c r="V257">
        <v>0</v>
      </c>
      <c r="W257">
        <v>1</v>
      </c>
      <c r="X257">
        <v>1.54999</v>
      </c>
      <c r="Y257">
        <v>1.47455</v>
      </c>
      <c r="Z257">
        <v>0</v>
      </c>
      <c r="AA257">
        <v>1.32473</v>
      </c>
      <c r="AB257">
        <v>2.1168</v>
      </c>
      <c r="AC257" s="2">
        <v>141834000</v>
      </c>
      <c r="AD257" s="1">
        <v>0</v>
      </c>
      <c r="AE257" s="1">
        <v>0</v>
      </c>
      <c r="AF257" s="1">
        <v>0</v>
      </c>
      <c r="AG257" s="1">
        <v>0</v>
      </c>
      <c r="AH257" s="2">
        <v>4010200</v>
      </c>
      <c r="AI257" s="1">
        <v>319551</v>
      </c>
      <c r="AJ257" s="1">
        <v>0</v>
      </c>
      <c r="AK257" s="8">
        <f t="shared" si="15"/>
        <v>48</v>
      </c>
      <c r="AL257" s="8">
        <f t="shared" si="14"/>
        <v>5</v>
      </c>
      <c r="AM257">
        <f t="shared" si="12"/>
        <v>0</v>
      </c>
      <c r="AN257">
        <f t="shared" si="13"/>
        <v>0</v>
      </c>
    </row>
    <row r="258" spans="1:40" x14ac:dyDescent="0.35">
      <c r="A258">
        <v>46.119300000000003</v>
      </c>
      <c r="B258">
        <v>72.290000000000006</v>
      </c>
      <c r="C258">
        <v>6.1991100000000001</v>
      </c>
      <c r="D258">
        <v>0.16</v>
      </c>
      <c r="E258">
        <v>1</v>
      </c>
      <c r="F258">
        <v>2.3053699999999999</v>
      </c>
      <c r="G258">
        <v>2.5451000000000001</v>
      </c>
      <c r="H258">
        <v>0</v>
      </c>
      <c r="I258">
        <v>0.46270800000000001</v>
      </c>
      <c r="J258">
        <v>3.6288</v>
      </c>
      <c r="K258" s="2">
        <v>17205200</v>
      </c>
      <c r="L258" s="1">
        <v>0</v>
      </c>
      <c r="M258" s="1">
        <v>0</v>
      </c>
      <c r="N258" s="1">
        <v>0</v>
      </c>
      <c r="O258" s="1">
        <v>0</v>
      </c>
      <c r="P258" s="2">
        <v>3446460</v>
      </c>
      <c r="Q258" s="1">
        <v>-62237.7</v>
      </c>
      <c r="R258" s="1">
        <v>323879</v>
      </c>
      <c r="S258">
        <v>98.009299999999996</v>
      </c>
      <c r="T258">
        <v>98.274000000000001</v>
      </c>
      <c r="U258">
        <v>4.5588300000000004</v>
      </c>
      <c r="V258">
        <v>0</v>
      </c>
      <c r="W258">
        <v>1</v>
      </c>
      <c r="X258">
        <v>1.71461</v>
      </c>
      <c r="Y258">
        <v>1.4748699999999999</v>
      </c>
      <c r="Z258">
        <v>0</v>
      </c>
      <c r="AA258">
        <v>1.1975199999999999</v>
      </c>
      <c r="AB258">
        <v>2.1168</v>
      </c>
      <c r="AC258" s="2">
        <v>142579000</v>
      </c>
      <c r="AD258" s="1">
        <v>0</v>
      </c>
      <c r="AE258" s="1">
        <v>0</v>
      </c>
      <c r="AF258" s="1">
        <v>0</v>
      </c>
      <c r="AG258" s="1">
        <v>0</v>
      </c>
      <c r="AH258" s="2">
        <v>4436100</v>
      </c>
      <c r="AI258" s="1">
        <v>744633</v>
      </c>
      <c r="AJ258" s="1">
        <v>0</v>
      </c>
      <c r="AK258" s="8">
        <f t="shared" si="15"/>
        <v>49</v>
      </c>
      <c r="AL258" s="8">
        <f t="shared" si="14"/>
        <v>5</v>
      </c>
      <c r="AM258">
        <f t="shared" si="12"/>
        <v>0</v>
      </c>
      <c r="AN258">
        <f t="shared" si="13"/>
        <v>0</v>
      </c>
    </row>
    <row r="259" spans="1:40" x14ac:dyDescent="0.35">
      <c r="A259">
        <v>46.925899999999999</v>
      </c>
      <c r="B259">
        <v>72.290000000000006</v>
      </c>
      <c r="C259">
        <v>3.70885</v>
      </c>
      <c r="D259">
        <v>0.15</v>
      </c>
      <c r="E259">
        <v>1</v>
      </c>
      <c r="F259">
        <v>2.30626</v>
      </c>
      <c r="G259">
        <v>2.5456599999999998</v>
      </c>
      <c r="H259">
        <v>0</v>
      </c>
      <c r="I259">
        <v>0.43202499999999999</v>
      </c>
      <c r="J259">
        <v>3.6288</v>
      </c>
      <c r="K259" s="2">
        <v>17143400</v>
      </c>
      <c r="L259" s="1">
        <v>0</v>
      </c>
      <c r="M259" s="1">
        <v>0</v>
      </c>
      <c r="N259" s="1">
        <v>0</v>
      </c>
      <c r="O259" s="1">
        <v>0</v>
      </c>
      <c r="P259" s="2">
        <v>3447790</v>
      </c>
      <c r="Q259" s="1">
        <v>-61738.5</v>
      </c>
      <c r="R259" s="1">
        <v>323438</v>
      </c>
      <c r="S259">
        <v>98.092299999999994</v>
      </c>
      <c r="T259">
        <v>98.274000000000001</v>
      </c>
      <c r="U259">
        <v>3.3662200000000002</v>
      </c>
      <c r="V259">
        <v>0</v>
      </c>
      <c r="W259">
        <v>1</v>
      </c>
      <c r="X259">
        <v>1.71461</v>
      </c>
      <c r="Y259">
        <v>1.4752000000000001</v>
      </c>
      <c r="Z259">
        <v>0</v>
      </c>
      <c r="AA259">
        <v>1.3247100000000001</v>
      </c>
      <c r="AB259">
        <v>2.1168</v>
      </c>
      <c r="AC259" s="2">
        <v>143323000</v>
      </c>
      <c r="AD259" s="1">
        <v>0</v>
      </c>
      <c r="AE259" s="1">
        <v>0</v>
      </c>
      <c r="AF259" s="1">
        <v>0</v>
      </c>
      <c r="AG259" s="1">
        <v>0</v>
      </c>
      <c r="AH259" s="2">
        <v>4436100</v>
      </c>
      <c r="AI259" s="1">
        <v>743816</v>
      </c>
      <c r="AJ259" s="1">
        <v>0</v>
      </c>
      <c r="AK259" s="8">
        <f t="shared" si="15"/>
        <v>50</v>
      </c>
      <c r="AL259" s="8">
        <f t="shared" si="14"/>
        <v>5</v>
      </c>
      <c r="AM259">
        <f t="shared" ref="AM259:AM322" si="16">IF(AK259=52,AC259,0)</f>
        <v>0</v>
      </c>
      <c r="AN259">
        <f t="shared" ref="AN259:AN322" si="17">IF(AK259=52,K259,0)</f>
        <v>0</v>
      </c>
    </row>
    <row r="260" spans="1:40" x14ac:dyDescent="0.35">
      <c r="A260">
        <v>47.861600000000003</v>
      </c>
      <c r="B260">
        <v>72.290000000000006</v>
      </c>
      <c r="C260">
        <v>3.8409900000000001</v>
      </c>
      <c r="D260">
        <v>0.16</v>
      </c>
      <c r="E260">
        <v>1</v>
      </c>
      <c r="F260">
        <v>2.30715</v>
      </c>
      <c r="G260">
        <v>2.54623</v>
      </c>
      <c r="H260">
        <v>0</v>
      </c>
      <c r="I260">
        <v>0.43219200000000002</v>
      </c>
      <c r="J260">
        <v>3.6288</v>
      </c>
      <c r="K260" s="2">
        <v>17082200</v>
      </c>
      <c r="L260" s="1">
        <v>0</v>
      </c>
      <c r="M260" s="1">
        <v>0</v>
      </c>
      <c r="N260" s="1">
        <v>0</v>
      </c>
      <c r="O260" s="1">
        <v>0</v>
      </c>
      <c r="P260" s="2">
        <v>3449120</v>
      </c>
      <c r="Q260" s="1">
        <v>-61239.4</v>
      </c>
      <c r="R260" s="1">
        <v>322997</v>
      </c>
      <c r="S260">
        <v>98.382599999999996</v>
      </c>
      <c r="T260">
        <v>98.274000000000001</v>
      </c>
      <c r="U260">
        <v>3.7409599999999998</v>
      </c>
      <c r="V260">
        <v>0</v>
      </c>
      <c r="W260">
        <v>1</v>
      </c>
      <c r="X260">
        <v>1.71461</v>
      </c>
      <c r="Y260">
        <v>1.4755199999999999</v>
      </c>
      <c r="Z260">
        <v>0</v>
      </c>
      <c r="AA260">
        <v>1.3247</v>
      </c>
      <c r="AB260">
        <v>2.1168</v>
      </c>
      <c r="AC260" s="2">
        <v>144066000</v>
      </c>
      <c r="AD260" s="1">
        <v>0</v>
      </c>
      <c r="AE260" s="1">
        <v>0</v>
      </c>
      <c r="AF260" s="1">
        <v>0</v>
      </c>
      <c r="AG260" s="1">
        <v>0</v>
      </c>
      <c r="AH260" s="2">
        <v>4436100</v>
      </c>
      <c r="AI260" s="1">
        <v>742999</v>
      </c>
      <c r="AJ260" s="1">
        <v>0</v>
      </c>
      <c r="AK260" s="8">
        <f t="shared" si="15"/>
        <v>51</v>
      </c>
      <c r="AL260" s="8">
        <f t="shared" ref="AL260:AL323" si="18">IF(AK259=52,AL259+1,AL259)</f>
        <v>5</v>
      </c>
      <c r="AM260">
        <f t="shared" si="16"/>
        <v>0</v>
      </c>
      <c r="AN260">
        <f t="shared" si="17"/>
        <v>0</v>
      </c>
    </row>
    <row r="261" spans="1:40" x14ac:dyDescent="0.35">
      <c r="A261">
        <v>52.582099999999997</v>
      </c>
      <c r="B261">
        <v>72.290000000000006</v>
      </c>
      <c r="C261">
        <v>7.6296400000000002</v>
      </c>
      <c r="D261">
        <v>0.17</v>
      </c>
      <c r="E261">
        <v>1</v>
      </c>
      <c r="F261">
        <v>2.3080400000000001</v>
      </c>
      <c r="G261">
        <v>2.5467900000000001</v>
      </c>
      <c r="H261">
        <v>0</v>
      </c>
      <c r="I261">
        <v>0.43235899999999999</v>
      </c>
      <c r="J261">
        <v>3.6288</v>
      </c>
      <c r="K261" s="2">
        <v>17021400</v>
      </c>
      <c r="L261" s="1">
        <v>0</v>
      </c>
      <c r="M261" s="1">
        <v>0</v>
      </c>
      <c r="N261" s="1">
        <v>0</v>
      </c>
      <c r="O261" s="1">
        <v>0</v>
      </c>
      <c r="P261" s="2">
        <v>3450460</v>
      </c>
      <c r="Q261" s="1">
        <v>-60740</v>
      </c>
      <c r="R261" s="1">
        <v>322555</v>
      </c>
      <c r="S261">
        <v>99.299300000000002</v>
      </c>
      <c r="T261">
        <v>98.274000000000001</v>
      </c>
      <c r="U261">
        <v>6.0536000000000003</v>
      </c>
      <c r="V261">
        <v>0</v>
      </c>
      <c r="W261">
        <v>1</v>
      </c>
      <c r="X261">
        <v>1.71461</v>
      </c>
      <c r="Y261">
        <v>1.4758500000000001</v>
      </c>
      <c r="Z261">
        <v>0</v>
      </c>
      <c r="AA261">
        <v>1.3247100000000001</v>
      </c>
      <c r="AB261">
        <v>2.1168</v>
      </c>
      <c r="AC261" s="2">
        <v>144808000</v>
      </c>
      <c r="AD261" s="1">
        <v>0</v>
      </c>
      <c r="AE261" s="1">
        <v>0</v>
      </c>
      <c r="AF261" s="1">
        <v>0</v>
      </c>
      <c r="AG261" s="1">
        <v>0</v>
      </c>
      <c r="AH261" s="2">
        <v>4436100</v>
      </c>
      <c r="AI261" s="1">
        <v>742181</v>
      </c>
      <c r="AJ261" s="1">
        <v>0</v>
      </c>
      <c r="AK261" s="8">
        <f t="shared" si="15"/>
        <v>52</v>
      </c>
      <c r="AL261" s="8">
        <f t="shared" si="18"/>
        <v>5</v>
      </c>
      <c r="AM261">
        <f t="shared" si="16"/>
        <v>144808000</v>
      </c>
      <c r="AN261">
        <f t="shared" si="17"/>
        <v>17021400</v>
      </c>
    </row>
    <row r="262" spans="1:40" x14ac:dyDescent="0.35">
      <c r="A262">
        <v>55.868099999999998</v>
      </c>
      <c r="B262">
        <v>72.290000000000006</v>
      </c>
      <c r="C262">
        <v>6.2737499999999997</v>
      </c>
      <c r="D262">
        <v>0.15</v>
      </c>
      <c r="E262">
        <v>1</v>
      </c>
      <c r="F262">
        <v>2.3887200000000002</v>
      </c>
      <c r="G262">
        <v>2.6271499999999999</v>
      </c>
      <c r="H262">
        <v>0</v>
      </c>
      <c r="I262">
        <v>0.43252600000000002</v>
      </c>
      <c r="J262">
        <v>3.6288</v>
      </c>
      <c r="K262" s="2">
        <v>16969400</v>
      </c>
      <c r="L262" s="1">
        <v>0</v>
      </c>
      <c r="M262" s="1">
        <v>0</v>
      </c>
      <c r="N262" s="1">
        <v>0</v>
      </c>
      <c r="O262" s="1">
        <v>0</v>
      </c>
      <c r="P262" s="2">
        <v>3571070</v>
      </c>
      <c r="Q262" s="1">
        <v>-52037.9</v>
      </c>
      <c r="R262" s="1">
        <v>322114</v>
      </c>
      <c r="S262">
        <v>99.302199999999999</v>
      </c>
      <c r="T262">
        <v>98.274000000000001</v>
      </c>
      <c r="U262">
        <v>4.7623199999999999</v>
      </c>
      <c r="V262">
        <v>0</v>
      </c>
      <c r="W262">
        <v>1</v>
      </c>
      <c r="X262">
        <v>1.76233</v>
      </c>
      <c r="Y262">
        <v>1.5239</v>
      </c>
      <c r="Z262">
        <v>0</v>
      </c>
      <c r="AA262">
        <v>1.3247100000000001</v>
      </c>
      <c r="AB262">
        <v>2.1168</v>
      </c>
      <c r="AC262" s="2">
        <v>145553000</v>
      </c>
      <c r="AD262" s="1">
        <v>0</v>
      </c>
      <c r="AE262" s="1">
        <v>0</v>
      </c>
      <c r="AF262" s="1">
        <v>0</v>
      </c>
      <c r="AG262" s="1">
        <v>0</v>
      </c>
      <c r="AH262" s="2">
        <v>4559570</v>
      </c>
      <c r="AI262" s="1">
        <v>745388</v>
      </c>
      <c r="AJ262" s="1">
        <v>0</v>
      </c>
      <c r="AK262" s="8">
        <f t="shared" si="15"/>
        <v>1</v>
      </c>
      <c r="AL262" s="8">
        <f t="shared" si="18"/>
        <v>6</v>
      </c>
      <c r="AM262">
        <f t="shared" si="16"/>
        <v>0</v>
      </c>
      <c r="AN262">
        <f t="shared" si="17"/>
        <v>0</v>
      </c>
    </row>
    <row r="263" spans="1:40" x14ac:dyDescent="0.35">
      <c r="A263">
        <v>57.293700000000001</v>
      </c>
      <c r="B263">
        <v>85.138999999999996</v>
      </c>
      <c r="C263">
        <v>4.3331099999999996</v>
      </c>
      <c r="D263">
        <v>0.13</v>
      </c>
      <c r="E263">
        <v>1</v>
      </c>
      <c r="F263">
        <v>2.32531</v>
      </c>
      <c r="G263">
        <v>2.62771</v>
      </c>
      <c r="H263">
        <v>0</v>
      </c>
      <c r="I263">
        <v>0.44764599999999999</v>
      </c>
      <c r="J263">
        <v>5.3222399999999999</v>
      </c>
      <c r="K263" s="2">
        <v>16831000</v>
      </c>
      <c r="L263" s="1">
        <v>0</v>
      </c>
      <c r="M263" s="1">
        <v>0</v>
      </c>
      <c r="N263" s="1">
        <v>0</v>
      </c>
      <c r="O263" s="1">
        <v>0</v>
      </c>
      <c r="P263" s="2">
        <v>3476280</v>
      </c>
      <c r="Q263" s="1">
        <v>-138405</v>
      </c>
      <c r="R263" s="1">
        <v>408539</v>
      </c>
      <c r="S263">
        <v>99.302199999999999</v>
      </c>
      <c r="T263">
        <v>98.274000000000001</v>
      </c>
      <c r="U263">
        <v>5.1128200000000001</v>
      </c>
      <c r="V263">
        <v>0</v>
      </c>
      <c r="W263">
        <v>1</v>
      </c>
      <c r="X263">
        <v>1.82663</v>
      </c>
      <c r="Y263">
        <v>1.52423</v>
      </c>
      <c r="Z263">
        <v>0</v>
      </c>
      <c r="AA263">
        <v>1.36158</v>
      </c>
      <c r="AB263">
        <v>2.9635199999999999</v>
      </c>
      <c r="AC263" s="2">
        <v>146464000</v>
      </c>
      <c r="AD263" s="1">
        <v>0</v>
      </c>
      <c r="AE263" s="1">
        <v>0</v>
      </c>
      <c r="AF263" s="1">
        <v>0</v>
      </c>
      <c r="AG263" s="1">
        <v>0</v>
      </c>
      <c r="AH263" s="2">
        <v>4725920</v>
      </c>
      <c r="AI263" s="1">
        <v>910925</v>
      </c>
      <c r="AJ263" s="1">
        <v>0</v>
      </c>
      <c r="AK263" s="8">
        <f t="shared" si="15"/>
        <v>2</v>
      </c>
      <c r="AL263" s="8">
        <f t="shared" si="18"/>
        <v>6</v>
      </c>
      <c r="AM263">
        <f t="shared" si="16"/>
        <v>0</v>
      </c>
      <c r="AN263">
        <f t="shared" si="17"/>
        <v>0</v>
      </c>
    </row>
    <row r="264" spans="1:40" x14ac:dyDescent="0.35">
      <c r="A264">
        <v>58.7121</v>
      </c>
      <c r="B264">
        <v>85.138999999999996</v>
      </c>
      <c r="C264">
        <v>4.35494</v>
      </c>
      <c r="D264">
        <v>0.13</v>
      </c>
      <c r="E264">
        <v>1</v>
      </c>
      <c r="F264">
        <v>2.3258700000000001</v>
      </c>
      <c r="G264">
        <v>2.6282700000000001</v>
      </c>
      <c r="H264">
        <v>0</v>
      </c>
      <c r="I264">
        <v>0.43576300000000001</v>
      </c>
      <c r="J264">
        <v>5.3222399999999999</v>
      </c>
      <c r="K264" s="2">
        <v>16692700</v>
      </c>
      <c r="L264" s="1">
        <v>0</v>
      </c>
      <c r="M264" s="1">
        <v>0</v>
      </c>
      <c r="N264" s="1">
        <v>0</v>
      </c>
      <c r="O264" s="1">
        <v>0</v>
      </c>
      <c r="P264" s="2">
        <v>3477110</v>
      </c>
      <c r="Q264" s="1">
        <v>-138348</v>
      </c>
      <c r="R264" s="1">
        <v>408539</v>
      </c>
      <c r="S264">
        <v>99.302199999999999</v>
      </c>
      <c r="T264">
        <v>98.274000000000001</v>
      </c>
      <c r="U264">
        <v>4.76694</v>
      </c>
      <c r="V264">
        <v>0</v>
      </c>
      <c r="W264">
        <v>1</v>
      </c>
      <c r="X264">
        <v>1.8269500000000001</v>
      </c>
      <c r="Y264">
        <v>1.5245500000000001</v>
      </c>
      <c r="Z264">
        <v>0</v>
      </c>
      <c r="AA264">
        <v>1.4112499999999999</v>
      </c>
      <c r="AB264">
        <v>2.9635199999999999</v>
      </c>
      <c r="AC264" s="2">
        <v>147375000</v>
      </c>
      <c r="AD264" s="1">
        <v>0</v>
      </c>
      <c r="AE264" s="1">
        <v>0</v>
      </c>
      <c r="AF264" s="1">
        <v>0</v>
      </c>
      <c r="AG264" s="1">
        <v>0</v>
      </c>
      <c r="AH264" s="2">
        <v>4726760</v>
      </c>
      <c r="AI264" s="1">
        <v>910952</v>
      </c>
      <c r="AJ264" s="1">
        <v>0</v>
      </c>
      <c r="AK264" s="8">
        <f t="shared" ref="AK264:AK327" si="19">IF(AK263=52, 1, AK263+1)</f>
        <v>3</v>
      </c>
      <c r="AL264" s="8">
        <f t="shared" si="18"/>
        <v>6</v>
      </c>
      <c r="AM264">
        <f t="shared" si="16"/>
        <v>0</v>
      </c>
      <c r="AN264">
        <f t="shared" si="17"/>
        <v>0</v>
      </c>
    </row>
    <row r="265" spans="1:40" x14ac:dyDescent="0.35">
      <c r="A265">
        <v>60.060299999999998</v>
      </c>
      <c r="B265">
        <v>85.138999999999996</v>
      </c>
      <c r="C265">
        <v>4.2879199999999997</v>
      </c>
      <c r="D265">
        <v>0.13</v>
      </c>
      <c r="E265">
        <v>1</v>
      </c>
      <c r="F265">
        <v>2.3264300000000002</v>
      </c>
      <c r="G265">
        <v>2.6288299999999998</v>
      </c>
      <c r="H265">
        <v>0</v>
      </c>
      <c r="I265">
        <v>0.43586799999999998</v>
      </c>
      <c r="J265">
        <v>5.3222399999999999</v>
      </c>
      <c r="K265" s="2">
        <v>16554400</v>
      </c>
      <c r="L265" s="1">
        <v>0</v>
      </c>
      <c r="M265" s="1">
        <v>0</v>
      </c>
      <c r="N265" s="1">
        <v>0</v>
      </c>
      <c r="O265" s="1">
        <v>0</v>
      </c>
      <c r="P265" s="2">
        <v>3477950</v>
      </c>
      <c r="Q265" s="1">
        <v>-138290</v>
      </c>
      <c r="R265" s="1">
        <v>408539</v>
      </c>
      <c r="S265">
        <v>99.302199999999999</v>
      </c>
      <c r="T265">
        <v>98.274000000000001</v>
      </c>
      <c r="U265">
        <v>5.0474300000000003</v>
      </c>
      <c r="V265">
        <v>0</v>
      </c>
      <c r="W265">
        <v>1</v>
      </c>
      <c r="X265">
        <v>1.82728</v>
      </c>
      <c r="Y265">
        <v>1.52488</v>
      </c>
      <c r="Z265">
        <v>0</v>
      </c>
      <c r="AA265">
        <v>1.4115</v>
      </c>
      <c r="AB265">
        <v>2.9635199999999999</v>
      </c>
      <c r="AC265" s="2">
        <v>148286000</v>
      </c>
      <c r="AD265" s="1">
        <v>0</v>
      </c>
      <c r="AE265" s="1">
        <v>0</v>
      </c>
      <c r="AF265" s="1">
        <v>0</v>
      </c>
      <c r="AG265" s="1">
        <v>0</v>
      </c>
      <c r="AH265" s="2">
        <v>4727600</v>
      </c>
      <c r="AI265" s="1">
        <v>910980</v>
      </c>
      <c r="AJ265" s="1">
        <v>0</v>
      </c>
      <c r="AK265" s="8">
        <f t="shared" si="19"/>
        <v>4</v>
      </c>
      <c r="AL265" s="8">
        <f t="shared" si="18"/>
        <v>6</v>
      </c>
      <c r="AM265">
        <f t="shared" si="16"/>
        <v>0</v>
      </c>
      <c r="AN265">
        <f t="shared" si="17"/>
        <v>0</v>
      </c>
    </row>
    <row r="266" spans="1:40" x14ac:dyDescent="0.35">
      <c r="A266">
        <v>60.956499999999998</v>
      </c>
      <c r="B266">
        <v>85.138999999999996</v>
      </c>
      <c r="C266">
        <v>4.0951899999999997</v>
      </c>
      <c r="D266">
        <v>0.13</v>
      </c>
      <c r="E266">
        <v>1</v>
      </c>
      <c r="F266">
        <v>2.58345</v>
      </c>
      <c r="G266">
        <v>2.88585</v>
      </c>
      <c r="H266">
        <v>0</v>
      </c>
      <c r="I266">
        <v>0.435973</v>
      </c>
      <c r="J266">
        <v>5.3222399999999999</v>
      </c>
      <c r="K266" s="2">
        <v>16442500</v>
      </c>
      <c r="L266" s="1">
        <v>0</v>
      </c>
      <c r="M266" s="1">
        <v>0</v>
      </c>
      <c r="N266" s="1">
        <v>0</v>
      </c>
      <c r="O266" s="1">
        <v>0</v>
      </c>
      <c r="P266" s="2">
        <v>3862200</v>
      </c>
      <c r="Q266" s="1">
        <v>-111867</v>
      </c>
      <c r="R266" s="1">
        <v>408539</v>
      </c>
      <c r="S266">
        <v>99.302199999999999</v>
      </c>
      <c r="T266">
        <v>98.274000000000001</v>
      </c>
      <c r="U266">
        <v>5.2683299999999997</v>
      </c>
      <c r="V266">
        <v>0</v>
      </c>
      <c r="W266">
        <v>1</v>
      </c>
      <c r="X266">
        <v>2.0069400000000002</v>
      </c>
      <c r="Y266">
        <v>1.7045399999999999</v>
      </c>
      <c r="Z266">
        <v>0</v>
      </c>
      <c r="AA266">
        <v>1.4117599999999999</v>
      </c>
      <c r="AB266">
        <v>2.9635199999999999</v>
      </c>
      <c r="AC266" s="2">
        <v>149212000</v>
      </c>
      <c r="AD266" s="1">
        <v>0</v>
      </c>
      <c r="AE266" s="1">
        <v>0</v>
      </c>
      <c r="AF266" s="1">
        <v>0</v>
      </c>
      <c r="AG266" s="1">
        <v>0</v>
      </c>
      <c r="AH266" s="2">
        <v>5192420</v>
      </c>
      <c r="AI266" s="1">
        <v>926131</v>
      </c>
      <c r="AJ266" s="1">
        <v>0</v>
      </c>
      <c r="AK266" s="8">
        <f t="shared" si="19"/>
        <v>5</v>
      </c>
      <c r="AL266" s="8">
        <f t="shared" si="18"/>
        <v>6</v>
      </c>
      <c r="AM266">
        <f t="shared" si="16"/>
        <v>0</v>
      </c>
      <c r="AN266">
        <f t="shared" si="17"/>
        <v>0</v>
      </c>
    </row>
    <row r="267" spans="1:40" x14ac:dyDescent="0.35">
      <c r="A267">
        <v>62.134700000000002</v>
      </c>
      <c r="B267">
        <v>85.138999999999996</v>
      </c>
      <c r="C267">
        <v>4.3625999999999996</v>
      </c>
      <c r="D267">
        <v>0.11</v>
      </c>
      <c r="E267">
        <v>1</v>
      </c>
      <c r="F267">
        <v>2.5840700000000001</v>
      </c>
      <c r="G267">
        <v>2.8864700000000001</v>
      </c>
      <c r="H267">
        <v>0</v>
      </c>
      <c r="I267">
        <v>0.48413899999999999</v>
      </c>
      <c r="J267">
        <v>5.3222399999999999</v>
      </c>
      <c r="K267" s="2">
        <v>16330700</v>
      </c>
      <c r="L267" s="1">
        <v>0</v>
      </c>
      <c r="M267" s="1">
        <v>0</v>
      </c>
      <c r="N267" s="1">
        <v>0</v>
      </c>
      <c r="O267" s="1">
        <v>0</v>
      </c>
      <c r="P267" s="2">
        <v>3863120</v>
      </c>
      <c r="Q267" s="1">
        <v>-111804</v>
      </c>
      <c r="R267" s="1">
        <v>408539</v>
      </c>
      <c r="S267">
        <v>99.302199999999999</v>
      </c>
      <c r="T267">
        <v>98.274000000000001</v>
      </c>
      <c r="U267">
        <v>5.2438099999999999</v>
      </c>
      <c r="V267">
        <v>0</v>
      </c>
      <c r="W267">
        <v>1</v>
      </c>
      <c r="X267">
        <v>2.0072999999999999</v>
      </c>
      <c r="Y267">
        <v>1.7049000000000001</v>
      </c>
      <c r="Z267">
        <v>0</v>
      </c>
      <c r="AA267">
        <v>1.5505599999999999</v>
      </c>
      <c r="AB267">
        <v>2.9635199999999999</v>
      </c>
      <c r="AC267" s="2">
        <v>150138000</v>
      </c>
      <c r="AD267" s="1">
        <v>0</v>
      </c>
      <c r="AE267" s="1">
        <v>0</v>
      </c>
      <c r="AF267" s="1">
        <v>0</v>
      </c>
      <c r="AG267" s="1">
        <v>0</v>
      </c>
      <c r="AH267" s="2">
        <v>5193360</v>
      </c>
      <c r="AI267" s="1">
        <v>926162</v>
      </c>
      <c r="AJ267" s="1">
        <v>0</v>
      </c>
      <c r="AK267" s="8">
        <f t="shared" si="19"/>
        <v>6</v>
      </c>
      <c r="AL267" s="8">
        <f t="shared" si="18"/>
        <v>6</v>
      </c>
      <c r="AM267">
        <f t="shared" si="16"/>
        <v>0</v>
      </c>
      <c r="AN267">
        <f t="shared" si="17"/>
        <v>0</v>
      </c>
    </row>
    <row r="268" spans="1:40" x14ac:dyDescent="0.35">
      <c r="A268">
        <v>63.456800000000001</v>
      </c>
      <c r="B268">
        <v>85.138999999999996</v>
      </c>
      <c r="C268">
        <v>4.5061</v>
      </c>
      <c r="D268">
        <v>0.09</v>
      </c>
      <c r="E268">
        <v>1</v>
      </c>
      <c r="F268">
        <v>2.5846800000000001</v>
      </c>
      <c r="G268">
        <v>2.8870800000000001</v>
      </c>
      <c r="H268">
        <v>0</v>
      </c>
      <c r="I268">
        <v>0.48425499999999999</v>
      </c>
      <c r="J268">
        <v>5.3222399999999999</v>
      </c>
      <c r="K268" s="2">
        <v>16219000</v>
      </c>
      <c r="L268" s="1">
        <v>0</v>
      </c>
      <c r="M268" s="1">
        <v>0</v>
      </c>
      <c r="N268" s="1">
        <v>0</v>
      </c>
      <c r="O268" s="1">
        <v>0</v>
      </c>
      <c r="P268" s="2">
        <v>3864040</v>
      </c>
      <c r="Q268" s="1">
        <v>-111741</v>
      </c>
      <c r="R268" s="1">
        <v>408539</v>
      </c>
      <c r="S268">
        <v>99.302199999999999</v>
      </c>
      <c r="T268">
        <v>98.274000000000001</v>
      </c>
      <c r="U268">
        <v>5.1072899999999999</v>
      </c>
      <c r="V268">
        <v>0</v>
      </c>
      <c r="W268">
        <v>1</v>
      </c>
      <c r="X268">
        <v>2.00766</v>
      </c>
      <c r="Y268">
        <v>1.70526</v>
      </c>
      <c r="Z268">
        <v>0</v>
      </c>
      <c r="AA268">
        <v>1.55084</v>
      </c>
      <c r="AB268">
        <v>2.9635199999999999</v>
      </c>
      <c r="AC268" s="2">
        <v>151065000</v>
      </c>
      <c r="AD268" s="1">
        <v>0</v>
      </c>
      <c r="AE268" s="1">
        <v>0</v>
      </c>
      <c r="AF268" s="1">
        <v>0</v>
      </c>
      <c r="AG268" s="1">
        <v>0</v>
      </c>
      <c r="AH268" s="2">
        <v>5194300</v>
      </c>
      <c r="AI268" s="1">
        <v>926192</v>
      </c>
      <c r="AJ268" s="1">
        <v>0</v>
      </c>
      <c r="AK268" s="8">
        <f t="shared" si="19"/>
        <v>7</v>
      </c>
      <c r="AL268" s="8">
        <f t="shared" si="18"/>
        <v>6</v>
      </c>
      <c r="AM268">
        <f t="shared" si="16"/>
        <v>0</v>
      </c>
      <c r="AN268">
        <f t="shared" si="17"/>
        <v>0</v>
      </c>
    </row>
    <row r="269" spans="1:40" x14ac:dyDescent="0.35">
      <c r="A269">
        <v>63.432899999999997</v>
      </c>
      <c r="B269">
        <v>85.138999999999996</v>
      </c>
      <c r="C269">
        <v>3.1871200000000002</v>
      </c>
      <c r="D269">
        <v>0.1</v>
      </c>
      <c r="E269">
        <v>1</v>
      </c>
      <c r="F269">
        <v>2.5853000000000002</v>
      </c>
      <c r="G269">
        <v>2.8877000000000002</v>
      </c>
      <c r="H269">
        <v>0</v>
      </c>
      <c r="I269">
        <v>0.48437000000000002</v>
      </c>
      <c r="J269">
        <v>5.3222399999999999</v>
      </c>
      <c r="K269" s="2">
        <v>16107300</v>
      </c>
      <c r="L269" s="1">
        <v>0</v>
      </c>
      <c r="M269" s="1">
        <v>0</v>
      </c>
      <c r="N269" s="1">
        <v>0</v>
      </c>
      <c r="O269" s="1">
        <v>0</v>
      </c>
      <c r="P269" s="2">
        <v>3864960</v>
      </c>
      <c r="Q269" s="1">
        <v>-111677</v>
      </c>
      <c r="R269" s="1">
        <v>408539</v>
      </c>
      <c r="S269">
        <v>99.302199999999999</v>
      </c>
      <c r="T269">
        <v>98.274000000000001</v>
      </c>
      <c r="U269">
        <v>3.8915199999999999</v>
      </c>
      <c r="V269">
        <v>0</v>
      </c>
      <c r="W269">
        <v>1</v>
      </c>
      <c r="X269">
        <v>2.0080300000000002</v>
      </c>
      <c r="Y269">
        <v>1.70563</v>
      </c>
      <c r="Z269">
        <v>0</v>
      </c>
      <c r="AA269">
        <v>1.5511200000000001</v>
      </c>
      <c r="AB269">
        <v>2.9635199999999999</v>
      </c>
      <c r="AC269" s="2">
        <v>151991000</v>
      </c>
      <c r="AD269" s="1">
        <v>0</v>
      </c>
      <c r="AE269" s="1">
        <v>0</v>
      </c>
      <c r="AF269" s="1">
        <v>0</v>
      </c>
      <c r="AG269" s="1">
        <v>0</v>
      </c>
      <c r="AH269" s="2">
        <v>5195240</v>
      </c>
      <c r="AI269" s="1">
        <v>926223</v>
      </c>
      <c r="AJ269" s="1">
        <v>0</v>
      </c>
      <c r="AK269" s="8">
        <f t="shared" si="19"/>
        <v>8</v>
      </c>
      <c r="AL269" s="8">
        <f t="shared" si="18"/>
        <v>6</v>
      </c>
      <c r="AM269">
        <f t="shared" si="16"/>
        <v>0</v>
      </c>
      <c r="AN269">
        <f t="shared" si="17"/>
        <v>0</v>
      </c>
    </row>
    <row r="270" spans="1:40" x14ac:dyDescent="0.35">
      <c r="A270">
        <v>63.3566</v>
      </c>
      <c r="B270">
        <v>85.138999999999996</v>
      </c>
      <c r="C270">
        <v>2.77867</v>
      </c>
      <c r="D270">
        <v>0.11</v>
      </c>
      <c r="E270">
        <v>1</v>
      </c>
      <c r="F270">
        <v>2.2198000000000002</v>
      </c>
      <c r="G270">
        <v>2.5222000000000002</v>
      </c>
      <c r="H270">
        <v>0</v>
      </c>
      <c r="I270">
        <v>0.484485</v>
      </c>
      <c r="J270">
        <v>5.3222399999999999</v>
      </c>
      <c r="K270" s="2">
        <v>15958000</v>
      </c>
      <c r="L270" s="1">
        <v>0</v>
      </c>
      <c r="M270" s="1">
        <v>0</v>
      </c>
      <c r="N270" s="1">
        <v>0</v>
      </c>
      <c r="O270" s="1">
        <v>0</v>
      </c>
      <c r="P270" s="2">
        <v>3318550</v>
      </c>
      <c r="Q270" s="1">
        <v>-149251</v>
      </c>
      <c r="R270" s="1">
        <v>408539</v>
      </c>
      <c r="S270">
        <v>99.302199999999999</v>
      </c>
      <c r="T270">
        <v>98.274000000000001</v>
      </c>
      <c r="U270">
        <v>3.6565300000000001</v>
      </c>
      <c r="V270">
        <v>0</v>
      </c>
      <c r="W270">
        <v>1</v>
      </c>
      <c r="X270">
        <v>1.76752</v>
      </c>
      <c r="Y270">
        <v>1.46512</v>
      </c>
      <c r="Z270">
        <v>0</v>
      </c>
      <c r="AA270">
        <v>1.5513999999999999</v>
      </c>
      <c r="AB270">
        <v>2.9635199999999999</v>
      </c>
      <c r="AC270" s="2">
        <v>152897000</v>
      </c>
      <c r="AD270" s="1">
        <v>0</v>
      </c>
      <c r="AE270" s="1">
        <v>0</v>
      </c>
      <c r="AF270" s="1">
        <v>0</v>
      </c>
      <c r="AG270" s="1">
        <v>0</v>
      </c>
      <c r="AH270" s="2">
        <v>4572990</v>
      </c>
      <c r="AI270" s="1">
        <v>905940</v>
      </c>
      <c r="AJ270" s="1">
        <v>0</v>
      </c>
      <c r="AK270" s="8">
        <f t="shared" si="19"/>
        <v>9</v>
      </c>
      <c r="AL270" s="8">
        <f t="shared" si="18"/>
        <v>6</v>
      </c>
      <c r="AM270">
        <f t="shared" si="16"/>
        <v>0</v>
      </c>
      <c r="AN270">
        <f t="shared" si="17"/>
        <v>0</v>
      </c>
    </row>
    <row r="271" spans="1:40" x14ac:dyDescent="0.35">
      <c r="A271">
        <v>63.886699999999998</v>
      </c>
      <c r="B271">
        <v>85.138999999999996</v>
      </c>
      <c r="C271">
        <v>3.41309</v>
      </c>
      <c r="D271">
        <v>0.11</v>
      </c>
      <c r="E271">
        <v>1</v>
      </c>
      <c r="F271">
        <v>2.2203400000000002</v>
      </c>
      <c r="G271">
        <v>2.5227400000000002</v>
      </c>
      <c r="H271">
        <v>0</v>
      </c>
      <c r="I271">
        <v>0.415991</v>
      </c>
      <c r="J271">
        <v>5.3222399999999999</v>
      </c>
      <c r="K271" s="2">
        <v>15808800</v>
      </c>
      <c r="L271" s="1">
        <v>0</v>
      </c>
      <c r="M271" s="1">
        <v>0</v>
      </c>
      <c r="N271" s="1">
        <v>0</v>
      </c>
      <c r="O271" s="1">
        <v>0</v>
      </c>
      <c r="P271" s="2">
        <v>3319360</v>
      </c>
      <c r="Q271" s="1">
        <v>-149196</v>
      </c>
      <c r="R271" s="1">
        <v>408539</v>
      </c>
      <c r="S271">
        <v>99.302199999999999</v>
      </c>
      <c r="T271">
        <v>98.274000000000001</v>
      </c>
      <c r="U271">
        <v>4.5715300000000001</v>
      </c>
      <c r="V271">
        <v>0</v>
      </c>
      <c r="W271">
        <v>1</v>
      </c>
      <c r="X271">
        <v>1.76783</v>
      </c>
      <c r="Y271">
        <v>1.46543</v>
      </c>
      <c r="Z271">
        <v>0</v>
      </c>
      <c r="AA271">
        <v>1.3655900000000001</v>
      </c>
      <c r="AB271">
        <v>2.9635199999999999</v>
      </c>
      <c r="AC271" s="2">
        <v>153803000</v>
      </c>
      <c r="AD271" s="1">
        <v>0</v>
      </c>
      <c r="AE271" s="1">
        <v>0</v>
      </c>
      <c r="AF271" s="1">
        <v>0</v>
      </c>
      <c r="AG271" s="1">
        <v>0</v>
      </c>
      <c r="AH271" s="2">
        <v>4573800</v>
      </c>
      <c r="AI271" s="1">
        <v>905967</v>
      </c>
      <c r="AJ271" s="1">
        <v>0</v>
      </c>
      <c r="AK271" s="8">
        <f t="shared" si="19"/>
        <v>10</v>
      </c>
      <c r="AL271" s="8">
        <f t="shared" si="18"/>
        <v>6</v>
      </c>
      <c r="AM271">
        <f t="shared" si="16"/>
        <v>0</v>
      </c>
      <c r="AN271">
        <f t="shared" si="17"/>
        <v>0</v>
      </c>
    </row>
    <row r="272" spans="1:40" x14ac:dyDescent="0.35">
      <c r="A272">
        <v>64.520700000000005</v>
      </c>
      <c r="B272">
        <v>85.138999999999996</v>
      </c>
      <c r="C272">
        <v>3.5230399999999999</v>
      </c>
      <c r="D272">
        <v>0.11</v>
      </c>
      <c r="E272">
        <v>1</v>
      </c>
      <c r="F272">
        <v>2.2208800000000002</v>
      </c>
      <c r="G272">
        <v>2.5232800000000002</v>
      </c>
      <c r="H272">
        <v>0</v>
      </c>
      <c r="I272">
        <v>0.41609200000000002</v>
      </c>
      <c r="J272">
        <v>5.3222399999999999</v>
      </c>
      <c r="K272" s="2">
        <v>15659700</v>
      </c>
      <c r="L272" s="1">
        <v>0</v>
      </c>
      <c r="M272" s="1">
        <v>0</v>
      </c>
      <c r="N272" s="1">
        <v>0</v>
      </c>
      <c r="O272" s="1">
        <v>0</v>
      </c>
      <c r="P272" s="2">
        <v>3320160</v>
      </c>
      <c r="Q272" s="1">
        <v>-149140</v>
      </c>
      <c r="R272" s="1">
        <v>408539</v>
      </c>
      <c r="S272">
        <v>99.302199999999999</v>
      </c>
      <c r="T272">
        <v>98.274000000000001</v>
      </c>
      <c r="U272">
        <v>4.5422000000000002</v>
      </c>
      <c r="V272">
        <v>0</v>
      </c>
      <c r="W272">
        <v>1</v>
      </c>
      <c r="X272">
        <v>1.76814</v>
      </c>
      <c r="Y272">
        <v>1.46574</v>
      </c>
      <c r="Z272">
        <v>0</v>
      </c>
      <c r="AA272">
        <v>1.3658300000000001</v>
      </c>
      <c r="AB272">
        <v>2.9635199999999999</v>
      </c>
      <c r="AC272" s="2">
        <v>154709000</v>
      </c>
      <c r="AD272" s="1">
        <v>0</v>
      </c>
      <c r="AE272" s="1">
        <v>0</v>
      </c>
      <c r="AF272" s="1">
        <v>0</v>
      </c>
      <c r="AG272" s="1">
        <v>0</v>
      </c>
      <c r="AH272" s="2">
        <v>4574610</v>
      </c>
      <c r="AI272" s="1">
        <v>905993</v>
      </c>
      <c r="AJ272" s="1">
        <v>0</v>
      </c>
      <c r="AK272" s="8">
        <f t="shared" si="19"/>
        <v>11</v>
      </c>
      <c r="AL272" s="8">
        <f t="shared" si="18"/>
        <v>6</v>
      </c>
      <c r="AM272">
        <f t="shared" si="16"/>
        <v>0</v>
      </c>
      <c r="AN272">
        <f t="shared" si="17"/>
        <v>0</v>
      </c>
    </row>
    <row r="273" spans="1:40" x14ac:dyDescent="0.35">
      <c r="A273">
        <v>67.293099999999995</v>
      </c>
      <c r="B273">
        <v>85.138999999999996</v>
      </c>
      <c r="C273">
        <v>5.6632100000000003</v>
      </c>
      <c r="D273">
        <v>0.14000000000000001</v>
      </c>
      <c r="E273">
        <v>1</v>
      </c>
      <c r="F273">
        <v>2.2214200000000002</v>
      </c>
      <c r="G273">
        <v>2.5238200000000002</v>
      </c>
      <c r="H273">
        <v>0</v>
      </c>
      <c r="I273">
        <v>0.41619299999999998</v>
      </c>
      <c r="J273">
        <v>5.3222399999999999</v>
      </c>
      <c r="K273" s="2">
        <v>15510600</v>
      </c>
      <c r="L273" s="1">
        <v>0</v>
      </c>
      <c r="M273" s="1">
        <v>0</v>
      </c>
      <c r="N273" s="1">
        <v>0</v>
      </c>
      <c r="O273" s="1">
        <v>0</v>
      </c>
      <c r="P273" s="2">
        <v>3320960</v>
      </c>
      <c r="Q273" s="1">
        <v>-149085</v>
      </c>
      <c r="R273" s="1">
        <v>408539</v>
      </c>
      <c r="S273">
        <v>99.302199999999999</v>
      </c>
      <c r="T273">
        <v>98.274000000000001</v>
      </c>
      <c r="U273">
        <v>6.9538000000000002</v>
      </c>
      <c r="V273">
        <v>0</v>
      </c>
      <c r="W273">
        <v>1</v>
      </c>
      <c r="X273">
        <v>1.7684599999999999</v>
      </c>
      <c r="Y273">
        <v>1.4660599999999999</v>
      </c>
      <c r="Z273">
        <v>0</v>
      </c>
      <c r="AA273">
        <v>1.3660699999999999</v>
      </c>
      <c r="AB273">
        <v>2.9635199999999999</v>
      </c>
      <c r="AC273" s="2">
        <v>155615000</v>
      </c>
      <c r="AD273" s="1">
        <v>0</v>
      </c>
      <c r="AE273" s="1">
        <v>0</v>
      </c>
      <c r="AF273" s="1">
        <v>0</v>
      </c>
      <c r="AG273" s="1">
        <v>0</v>
      </c>
      <c r="AH273" s="2">
        <v>4575420</v>
      </c>
      <c r="AI273" s="1">
        <v>906019</v>
      </c>
      <c r="AJ273" s="1">
        <v>0</v>
      </c>
      <c r="AK273" s="8">
        <f t="shared" si="19"/>
        <v>12</v>
      </c>
      <c r="AL273" s="8">
        <f t="shared" si="18"/>
        <v>6</v>
      </c>
      <c r="AM273">
        <f t="shared" si="16"/>
        <v>0</v>
      </c>
      <c r="AN273">
        <f t="shared" si="17"/>
        <v>0</v>
      </c>
    </row>
    <row r="274" spans="1:40" x14ac:dyDescent="0.35">
      <c r="A274">
        <v>69.66</v>
      </c>
      <c r="B274">
        <v>85.138999999999996</v>
      </c>
      <c r="C274">
        <v>5.2495900000000004</v>
      </c>
      <c r="D274">
        <v>0.12</v>
      </c>
      <c r="E274">
        <v>1</v>
      </c>
      <c r="F274">
        <v>2.2219600000000002</v>
      </c>
      <c r="G274">
        <v>2.5243600000000002</v>
      </c>
      <c r="H274">
        <v>0</v>
      </c>
      <c r="I274">
        <v>0.416294</v>
      </c>
      <c r="J274">
        <v>5.3222399999999999</v>
      </c>
      <c r="K274" s="2">
        <v>15361600</v>
      </c>
      <c r="L274" s="1">
        <v>0</v>
      </c>
      <c r="M274" s="1">
        <v>0</v>
      </c>
      <c r="N274" s="1">
        <v>0</v>
      </c>
      <c r="O274" s="1">
        <v>0</v>
      </c>
      <c r="P274" s="2">
        <v>3321770</v>
      </c>
      <c r="Q274" s="1">
        <v>-149030</v>
      </c>
      <c r="R274" s="1">
        <v>408539</v>
      </c>
      <c r="S274">
        <v>99.302199999999999</v>
      </c>
      <c r="T274">
        <v>98.274000000000001</v>
      </c>
      <c r="U274">
        <v>9.8154199999999996</v>
      </c>
      <c r="V274">
        <v>0</v>
      </c>
      <c r="W274">
        <v>1</v>
      </c>
      <c r="X274">
        <v>1.76877</v>
      </c>
      <c r="Y274">
        <v>1.46637</v>
      </c>
      <c r="Z274">
        <v>0</v>
      </c>
      <c r="AA274">
        <v>1.3663099999999999</v>
      </c>
      <c r="AB274">
        <v>2.9635199999999999</v>
      </c>
      <c r="AC274" s="2">
        <v>156521000</v>
      </c>
      <c r="AD274" s="1">
        <v>0</v>
      </c>
      <c r="AE274" s="1">
        <v>0</v>
      </c>
      <c r="AF274" s="1">
        <v>0</v>
      </c>
      <c r="AG274" s="1">
        <v>0</v>
      </c>
      <c r="AH274" s="2">
        <v>4576230</v>
      </c>
      <c r="AI274" s="1">
        <v>906046</v>
      </c>
      <c r="AJ274" s="1">
        <v>0</v>
      </c>
      <c r="AK274" s="8">
        <f t="shared" si="19"/>
        <v>13</v>
      </c>
      <c r="AL274" s="8">
        <f t="shared" si="18"/>
        <v>6</v>
      </c>
      <c r="AM274">
        <f t="shared" si="16"/>
        <v>0</v>
      </c>
      <c r="AN274">
        <f t="shared" si="17"/>
        <v>0</v>
      </c>
    </row>
    <row r="275" spans="1:40" x14ac:dyDescent="0.35">
      <c r="A275">
        <v>72.014799999999994</v>
      </c>
      <c r="B275">
        <v>85.138999999999996</v>
      </c>
      <c r="C275">
        <v>5.32951</v>
      </c>
      <c r="D275">
        <v>0.12</v>
      </c>
      <c r="E275">
        <v>1</v>
      </c>
      <c r="F275">
        <v>2.3147500000000001</v>
      </c>
      <c r="G275">
        <v>2.6171500000000001</v>
      </c>
      <c r="H275">
        <v>0</v>
      </c>
      <c r="I275">
        <v>0.41639500000000002</v>
      </c>
      <c r="J275">
        <v>5.3222399999999999</v>
      </c>
      <c r="K275" s="2">
        <v>15222100</v>
      </c>
      <c r="L275" s="1">
        <v>0</v>
      </c>
      <c r="M275" s="1">
        <v>0</v>
      </c>
      <c r="N275" s="1">
        <v>0</v>
      </c>
      <c r="O275" s="1">
        <v>0</v>
      </c>
      <c r="P275" s="2">
        <v>3460490</v>
      </c>
      <c r="Q275" s="1">
        <v>-139491</v>
      </c>
      <c r="R275" s="1">
        <v>408539</v>
      </c>
      <c r="S275">
        <v>99.302199999999999</v>
      </c>
      <c r="T275">
        <v>98.274000000000001</v>
      </c>
      <c r="U275">
        <v>7.11991</v>
      </c>
      <c r="V275">
        <v>0</v>
      </c>
      <c r="W275">
        <v>1</v>
      </c>
      <c r="X275">
        <v>1.8280700000000001</v>
      </c>
      <c r="Y275">
        <v>1.5256700000000001</v>
      </c>
      <c r="Z275">
        <v>0</v>
      </c>
      <c r="AA275">
        <v>1.3665499999999999</v>
      </c>
      <c r="AB275">
        <v>2.9635199999999999</v>
      </c>
      <c r="AC275" s="2">
        <v>157432000</v>
      </c>
      <c r="AD275" s="1">
        <v>0</v>
      </c>
      <c r="AE275" s="1">
        <v>0</v>
      </c>
      <c r="AF275" s="1">
        <v>0</v>
      </c>
      <c r="AG275" s="1">
        <v>0</v>
      </c>
      <c r="AH275" s="2">
        <v>4729660</v>
      </c>
      <c r="AI275" s="1">
        <v>911047</v>
      </c>
      <c r="AJ275" s="1">
        <v>0</v>
      </c>
      <c r="AK275" s="8">
        <f t="shared" si="19"/>
        <v>14</v>
      </c>
      <c r="AL275" s="8">
        <f t="shared" si="18"/>
        <v>6</v>
      </c>
      <c r="AM275">
        <f t="shared" si="16"/>
        <v>0</v>
      </c>
      <c r="AN275">
        <f t="shared" si="17"/>
        <v>0</v>
      </c>
    </row>
    <row r="276" spans="1:40" x14ac:dyDescent="0.35">
      <c r="A276">
        <v>72.545599999999993</v>
      </c>
      <c r="B276">
        <v>85.138999999999996</v>
      </c>
      <c r="C276">
        <v>3.49498</v>
      </c>
      <c r="D276">
        <v>0.08</v>
      </c>
      <c r="E276">
        <v>1</v>
      </c>
      <c r="F276">
        <v>2.3153100000000002</v>
      </c>
      <c r="G276">
        <v>2.6177100000000002</v>
      </c>
      <c r="H276">
        <v>0</v>
      </c>
      <c r="I276">
        <v>0.433784</v>
      </c>
      <c r="J276">
        <v>5.3222399999999999</v>
      </c>
      <c r="K276" s="2">
        <v>15082700</v>
      </c>
      <c r="L276" s="1">
        <v>0</v>
      </c>
      <c r="M276" s="1">
        <v>0</v>
      </c>
      <c r="N276" s="1">
        <v>0</v>
      </c>
      <c r="O276" s="1">
        <v>0</v>
      </c>
      <c r="P276" s="2">
        <v>3461330</v>
      </c>
      <c r="Q276" s="1">
        <v>-139433</v>
      </c>
      <c r="R276" s="1">
        <v>408539</v>
      </c>
      <c r="S276">
        <v>99.302199999999999</v>
      </c>
      <c r="T276">
        <v>98.274000000000001</v>
      </c>
      <c r="U276">
        <v>4.2629200000000003</v>
      </c>
      <c r="V276">
        <v>0</v>
      </c>
      <c r="W276">
        <v>1</v>
      </c>
      <c r="X276">
        <v>1.8284</v>
      </c>
      <c r="Y276">
        <v>1.526</v>
      </c>
      <c r="Z276">
        <v>0</v>
      </c>
      <c r="AA276">
        <v>1.4123699999999999</v>
      </c>
      <c r="AB276">
        <v>2.9635199999999999</v>
      </c>
      <c r="AC276" s="2">
        <v>158343000</v>
      </c>
      <c r="AD276" s="1">
        <v>0</v>
      </c>
      <c r="AE276" s="1">
        <v>0</v>
      </c>
      <c r="AF276" s="1">
        <v>0</v>
      </c>
      <c r="AG276" s="1">
        <v>0</v>
      </c>
      <c r="AH276" s="2">
        <v>4730500</v>
      </c>
      <c r="AI276" s="1">
        <v>911074</v>
      </c>
      <c r="AJ276" s="1">
        <v>0</v>
      </c>
      <c r="AK276" s="8">
        <f t="shared" si="19"/>
        <v>15</v>
      </c>
      <c r="AL276" s="8">
        <f t="shared" si="18"/>
        <v>6</v>
      </c>
      <c r="AM276">
        <f t="shared" si="16"/>
        <v>0</v>
      </c>
      <c r="AN276">
        <f t="shared" si="17"/>
        <v>0</v>
      </c>
    </row>
    <row r="277" spans="1:40" x14ac:dyDescent="0.35">
      <c r="A277">
        <v>72.989199999999997</v>
      </c>
      <c r="B277">
        <v>85.138999999999996</v>
      </c>
      <c r="C277">
        <v>3.4091300000000002</v>
      </c>
      <c r="D277">
        <v>0.08</v>
      </c>
      <c r="E277">
        <v>1</v>
      </c>
      <c r="F277">
        <v>2.3158699999999999</v>
      </c>
      <c r="G277">
        <v>2.6182699999999999</v>
      </c>
      <c r="H277">
        <v>0</v>
      </c>
      <c r="I277">
        <v>0.43388900000000002</v>
      </c>
      <c r="J277">
        <v>5.3222399999999999</v>
      </c>
      <c r="K277" s="2">
        <v>14943300</v>
      </c>
      <c r="L277" s="1">
        <v>0</v>
      </c>
      <c r="M277" s="1">
        <v>0</v>
      </c>
      <c r="N277" s="1">
        <v>0</v>
      </c>
      <c r="O277" s="1">
        <v>0</v>
      </c>
      <c r="P277" s="2">
        <v>3462160</v>
      </c>
      <c r="Q277" s="1">
        <v>-139376</v>
      </c>
      <c r="R277" s="1">
        <v>408539</v>
      </c>
      <c r="S277">
        <v>99.302199999999999</v>
      </c>
      <c r="T277">
        <v>98.274000000000001</v>
      </c>
      <c r="U277">
        <v>5.1500500000000002</v>
      </c>
      <c r="V277">
        <v>0</v>
      </c>
      <c r="W277">
        <v>1</v>
      </c>
      <c r="X277">
        <v>1.8287199999999999</v>
      </c>
      <c r="Y277">
        <v>1.5263199999999999</v>
      </c>
      <c r="Z277">
        <v>0</v>
      </c>
      <c r="AA277">
        <v>1.41262</v>
      </c>
      <c r="AB277">
        <v>2.9635199999999999</v>
      </c>
      <c r="AC277" s="2">
        <v>159254000</v>
      </c>
      <c r="AD277" s="1">
        <v>0</v>
      </c>
      <c r="AE277" s="1">
        <v>0</v>
      </c>
      <c r="AF277" s="1">
        <v>0</v>
      </c>
      <c r="AG277" s="1">
        <v>0</v>
      </c>
      <c r="AH277" s="2">
        <v>4731340</v>
      </c>
      <c r="AI277" s="1">
        <v>911102</v>
      </c>
      <c r="AJ277" s="1">
        <v>0</v>
      </c>
      <c r="AK277" s="8">
        <f t="shared" si="19"/>
        <v>16</v>
      </c>
      <c r="AL277" s="8">
        <f t="shared" si="18"/>
        <v>6</v>
      </c>
      <c r="AM277">
        <f t="shared" si="16"/>
        <v>0</v>
      </c>
      <c r="AN277">
        <f t="shared" si="17"/>
        <v>0</v>
      </c>
    </row>
    <row r="278" spans="1:40" x14ac:dyDescent="0.35">
      <c r="A278">
        <v>73.188100000000006</v>
      </c>
      <c r="B278">
        <v>85.138999999999996</v>
      </c>
      <c r="C278">
        <v>3.16554</v>
      </c>
      <c r="D278">
        <v>0.08</v>
      </c>
      <c r="E278">
        <v>1</v>
      </c>
      <c r="F278">
        <v>2.3164199999999999</v>
      </c>
      <c r="G278">
        <v>2.6188199999999999</v>
      </c>
      <c r="H278">
        <v>0</v>
      </c>
      <c r="I278">
        <v>0.43399300000000002</v>
      </c>
      <c r="J278">
        <v>5.3222399999999999</v>
      </c>
      <c r="K278" s="2">
        <v>14804000</v>
      </c>
      <c r="L278" s="1">
        <v>0</v>
      </c>
      <c r="M278" s="1">
        <v>0</v>
      </c>
      <c r="N278" s="1">
        <v>0</v>
      </c>
      <c r="O278" s="1">
        <v>0</v>
      </c>
      <c r="P278" s="2">
        <v>3463000</v>
      </c>
      <c r="Q278" s="1">
        <v>-139318</v>
      </c>
      <c r="R278" s="1">
        <v>408539</v>
      </c>
      <c r="S278">
        <v>99.302199999999999</v>
      </c>
      <c r="T278">
        <v>98.274000000000001</v>
      </c>
      <c r="U278">
        <v>4.9680799999999996</v>
      </c>
      <c r="V278">
        <v>0</v>
      </c>
      <c r="W278">
        <v>1</v>
      </c>
      <c r="X278">
        <v>1.8290500000000001</v>
      </c>
      <c r="Y278">
        <v>1.5266500000000001</v>
      </c>
      <c r="Z278">
        <v>0</v>
      </c>
      <c r="AA278">
        <v>1.4128700000000001</v>
      </c>
      <c r="AB278">
        <v>2.9635199999999999</v>
      </c>
      <c r="AC278" s="2">
        <v>160165000</v>
      </c>
      <c r="AD278" s="1">
        <v>0</v>
      </c>
      <c r="AE278" s="1">
        <v>0</v>
      </c>
      <c r="AF278" s="1">
        <v>0</v>
      </c>
      <c r="AG278" s="1">
        <v>0</v>
      </c>
      <c r="AH278" s="2">
        <v>4732180</v>
      </c>
      <c r="AI278" s="1">
        <v>911129</v>
      </c>
      <c r="AJ278" s="1">
        <v>0</v>
      </c>
      <c r="AK278" s="8">
        <f t="shared" si="19"/>
        <v>17</v>
      </c>
      <c r="AL278" s="8">
        <f t="shared" si="18"/>
        <v>6</v>
      </c>
      <c r="AM278">
        <f t="shared" si="16"/>
        <v>0</v>
      </c>
      <c r="AN278">
        <f t="shared" si="17"/>
        <v>0</v>
      </c>
    </row>
    <row r="279" spans="1:40" x14ac:dyDescent="0.35">
      <c r="A279">
        <v>73.004599999999996</v>
      </c>
      <c r="B279">
        <v>85.138999999999996</v>
      </c>
      <c r="C279">
        <v>2.73325</v>
      </c>
      <c r="D279">
        <v>0.08</v>
      </c>
      <c r="E279">
        <v>1</v>
      </c>
      <c r="F279">
        <v>2.2808799999999998</v>
      </c>
      <c r="G279">
        <v>2.5832799999999998</v>
      </c>
      <c r="H279">
        <v>0</v>
      </c>
      <c r="I279">
        <v>0.43409799999999998</v>
      </c>
      <c r="J279">
        <v>5.3222399999999999</v>
      </c>
      <c r="K279" s="2">
        <v>14661000</v>
      </c>
      <c r="L279" s="1">
        <v>0</v>
      </c>
      <c r="M279" s="1">
        <v>0</v>
      </c>
      <c r="N279" s="1">
        <v>0</v>
      </c>
      <c r="O279" s="1">
        <v>0</v>
      </c>
      <c r="P279" s="2">
        <v>3409860</v>
      </c>
      <c r="Q279" s="1">
        <v>-142972</v>
      </c>
      <c r="R279" s="1">
        <v>408539</v>
      </c>
      <c r="S279">
        <v>99.302199999999999</v>
      </c>
      <c r="T279">
        <v>98.274000000000001</v>
      </c>
      <c r="U279">
        <v>3.99918</v>
      </c>
      <c r="V279">
        <v>0</v>
      </c>
      <c r="W279">
        <v>1</v>
      </c>
      <c r="X279">
        <v>1.80644</v>
      </c>
      <c r="Y279">
        <v>1.50404</v>
      </c>
      <c r="Z279">
        <v>0</v>
      </c>
      <c r="AA279">
        <v>1.4131199999999999</v>
      </c>
      <c r="AB279">
        <v>2.9635199999999999</v>
      </c>
      <c r="AC279" s="2">
        <v>161074000</v>
      </c>
      <c r="AD279" s="1">
        <v>0</v>
      </c>
      <c r="AE279" s="1">
        <v>0</v>
      </c>
      <c r="AF279" s="1">
        <v>0</v>
      </c>
      <c r="AG279" s="1">
        <v>0</v>
      </c>
      <c r="AH279" s="2">
        <v>4673700</v>
      </c>
      <c r="AI279" s="1">
        <v>909223</v>
      </c>
      <c r="AJ279" s="1">
        <v>0</v>
      </c>
      <c r="AK279" s="8">
        <f t="shared" si="19"/>
        <v>18</v>
      </c>
      <c r="AL279" s="8">
        <f t="shared" si="18"/>
        <v>6</v>
      </c>
      <c r="AM279">
        <f t="shared" si="16"/>
        <v>0</v>
      </c>
      <c r="AN279">
        <f t="shared" si="17"/>
        <v>0</v>
      </c>
    </row>
    <row r="280" spans="1:40" x14ac:dyDescent="0.35">
      <c r="A280">
        <v>72.278899999999993</v>
      </c>
      <c r="B280">
        <v>85.138999999999996</v>
      </c>
      <c r="C280">
        <v>2.1543000000000001</v>
      </c>
      <c r="D280">
        <v>0.08</v>
      </c>
      <c r="E280">
        <v>1</v>
      </c>
      <c r="F280">
        <v>2.2814299999999998</v>
      </c>
      <c r="G280">
        <v>2.5838299999999998</v>
      </c>
      <c r="H280">
        <v>0</v>
      </c>
      <c r="I280">
        <v>0.42743700000000001</v>
      </c>
      <c r="J280">
        <v>5.3222399999999999</v>
      </c>
      <c r="K280" s="2">
        <v>14518100</v>
      </c>
      <c r="L280" s="1">
        <v>0</v>
      </c>
      <c r="M280" s="1">
        <v>0</v>
      </c>
      <c r="N280" s="1">
        <v>0</v>
      </c>
      <c r="O280" s="1">
        <v>0</v>
      </c>
      <c r="P280" s="2">
        <v>3410680</v>
      </c>
      <c r="Q280" s="1">
        <v>-142916</v>
      </c>
      <c r="R280" s="1">
        <v>408539</v>
      </c>
      <c r="S280">
        <v>99.302199999999999</v>
      </c>
      <c r="T280">
        <v>98.274000000000001</v>
      </c>
      <c r="U280">
        <v>3.9967700000000002</v>
      </c>
      <c r="V280">
        <v>0</v>
      </c>
      <c r="W280">
        <v>1</v>
      </c>
      <c r="X280">
        <v>1.8067599999999999</v>
      </c>
      <c r="Y280">
        <v>1.5043599999999999</v>
      </c>
      <c r="Z280">
        <v>0</v>
      </c>
      <c r="AA280">
        <v>1.3956599999999999</v>
      </c>
      <c r="AB280">
        <v>2.9635199999999999</v>
      </c>
      <c r="AC280" s="2">
        <v>161984000</v>
      </c>
      <c r="AD280" s="1">
        <v>0</v>
      </c>
      <c r="AE280" s="1">
        <v>0</v>
      </c>
      <c r="AF280" s="1">
        <v>0</v>
      </c>
      <c r="AG280" s="1">
        <v>0</v>
      </c>
      <c r="AH280" s="2">
        <v>4674530</v>
      </c>
      <c r="AI280" s="1">
        <v>909250</v>
      </c>
      <c r="AJ280" s="1">
        <v>0</v>
      </c>
      <c r="AK280" s="8">
        <f t="shared" si="19"/>
        <v>19</v>
      </c>
      <c r="AL280" s="8">
        <f t="shared" si="18"/>
        <v>6</v>
      </c>
      <c r="AM280">
        <f t="shared" si="16"/>
        <v>0</v>
      </c>
      <c r="AN280">
        <f t="shared" si="17"/>
        <v>0</v>
      </c>
    </row>
    <row r="281" spans="1:40" x14ac:dyDescent="0.35">
      <c r="A281">
        <v>72.491200000000006</v>
      </c>
      <c r="B281">
        <v>85.138999999999996</v>
      </c>
      <c r="C281">
        <v>3.0916100000000002</v>
      </c>
      <c r="D281">
        <v>0.08</v>
      </c>
      <c r="E281">
        <v>1</v>
      </c>
      <c r="F281">
        <v>2.2819799999999999</v>
      </c>
      <c r="G281">
        <v>2.5843799999999999</v>
      </c>
      <c r="H281">
        <v>0</v>
      </c>
      <c r="I281">
        <v>0.42753999999999998</v>
      </c>
      <c r="J281">
        <v>5.3222399999999999</v>
      </c>
      <c r="K281" s="2">
        <v>14375200</v>
      </c>
      <c r="L281" s="1">
        <v>0</v>
      </c>
      <c r="M281" s="1">
        <v>0</v>
      </c>
      <c r="N281" s="1">
        <v>0</v>
      </c>
      <c r="O281" s="1">
        <v>0</v>
      </c>
      <c r="P281" s="2">
        <v>3411510</v>
      </c>
      <c r="Q281" s="1">
        <v>-142859</v>
      </c>
      <c r="R281" s="1">
        <v>408539</v>
      </c>
      <c r="S281">
        <v>99.302199999999999</v>
      </c>
      <c r="T281">
        <v>98.274000000000001</v>
      </c>
      <c r="U281">
        <v>4.3977199999999996</v>
      </c>
      <c r="V281">
        <v>0</v>
      </c>
      <c r="W281">
        <v>1</v>
      </c>
      <c r="X281">
        <v>1.8070900000000001</v>
      </c>
      <c r="Y281">
        <v>1.5046900000000001</v>
      </c>
      <c r="Z281">
        <v>0</v>
      </c>
      <c r="AA281">
        <v>1.39591</v>
      </c>
      <c r="AB281">
        <v>2.9635199999999999</v>
      </c>
      <c r="AC281" s="2">
        <v>162893000</v>
      </c>
      <c r="AD281" s="1">
        <v>0</v>
      </c>
      <c r="AE281" s="1">
        <v>0</v>
      </c>
      <c r="AF281" s="1">
        <v>0</v>
      </c>
      <c r="AG281" s="1">
        <v>0</v>
      </c>
      <c r="AH281" s="2">
        <v>4675360</v>
      </c>
      <c r="AI281" s="1">
        <v>909277</v>
      </c>
      <c r="AJ281" s="1">
        <v>0</v>
      </c>
      <c r="AK281" s="8">
        <f t="shared" si="19"/>
        <v>20</v>
      </c>
      <c r="AL281" s="8">
        <f t="shared" si="18"/>
        <v>6</v>
      </c>
      <c r="AM281">
        <f t="shared" si="16"/>
        <v>0</v>
      </c>
      <c r="AN281">
        <f t="shared" si="17"/>
        <v>0</v>
      </c>
    </row>
    <row r="282" spans="1:40" x14ac:dyDescent="0.35">
      <c r="A282">
        <v>72.003900000000002</v>
      </c>
      <c r="B282">
        <v>85.138999999999996</v>
      </c>
      <c r="C282">
        <v>2.3568500000000001</v>
      </c>
      <c r="D282">
        <v>7.0000000000000007E-2</v>
      </c>
      <c r="E282">
        <v>1</v>
      </c>
      <c r="F282">
        <v>2.2825299999999999</v>
      </c>
      <c r="G282">
        <v>2.5849299999999999</v>
      </c>
      <c r="H282">
        <v>0</v>
      </c>
      <c r="I282">
        <v>0.42764400000000002</v>
      </c>
      <c r="J282">
        <v>5.3222399999999999</v>
      </c>
      <c r="K282" s="2">
        <v>14232400</v>
      </c>
      <c r="L282" s="1">
        <v>0</v>
      </c>
      <c r="M282" s="1">
        <v>0</v>
      </c>
      <c r="N282" s="1">
        <v>0</v>
      </c>
      <c r="O282" s="1">
        <v>0</v>
      </c>
      <c r="P282" s="2">
        <v>3412330</v>
      </c>
      <c r="Q282" s="1">
        <v>-142802</v>
      </c>
      <c r="R282" s="1">
        <v>408539</v>
      </c>
      <c r="S282">
        <v>99.302199999999999</v>
      </c>
      <c r="T282">
        <v>98.274000000000001</v>
      </c>
      <c r="U282">
        <v>3.97384</v>
      </c>
      <c r="V282">
        <v>0</v>
      </c>
      <c r="W282">
        <v>1</v>
      </c>
      <c r="X282">
        <v>1.80741</v>
      </c>
      <c r="Y282">
        <v>1.50501</v>
      </c>
      <c r="Z282">
        <v>0</v>
      </c>
      <c r="AA282">
        <v>1.39615</v>
      </c>
      <c r="AB282">
        <v>2.9635199999999999</v>
      </c>
      <c r="AC282" s="2">
        <v>163802000</v>
      </c>
      <c r="AD282" s="1">
        <v>0</v>
      </c>
      <c r="AE282" s="1">
        <v>0</v>
      </c>
      <c r="AF282" s="1">
        <v>0</v>
      </c>
      <c r="AG282" s="1">
        <v>0</v>
      </c>
      <c r="AH282" s="2">
        <v>4676190</v>
      </c>
      <c r="AI282" s="1">
        <v>909304</v>
      </c>
      <c r="AJ282" s="1">
        <v>0</v>
      </c>
      <c r="AK282" s="8">
        <f t="shared" si="19"/>
        <v>21</v>
      </c>
      <c r="AL282" s="8">
        <f t="shared" si="18"/>
        <v>6</v>
      </c>
      <c r="AM282">
        <f t="shared" si="16"/>
        <v>0</v>
      </c>
      <c r="AN282">
        <f t="shared" si="17"/>
        <v>0</v>
      </c>
    </row>
    <row r="283" spans="1:40" x14ac:dyDescent="0.35">
      <c r="A283">
        <v>70.964699999999993</v>
      </c>
      <c r="B283">
        <v>85.138999999999996</v>
      </c>
      <c r="C283">
        <v>1.91307</v>
      </c>
      <c r="D283">
        <v>7.0000000000000007E-2</v>
      </c>
      <c r="E283">
        <v>1</v>
      </c>
      <c r="F283">
        <v>2.4057300000000001</v>
      </c>
      <c r="G283">
        <v>2.7081300000000001</v>
      </c>
      <c r="H283">
        <v>0</v>
      </c>
      <c r="I283">
        <v>0.42774699999999999</v>
      </c>
      <c r="J283">
        <v>5.3222399999999999</v>
      </c>
      <c r="K283" s="2">
        <v>14102300</v>
      </c>
      <c r="L283" s="1">
        <v>0</v>
      </c>
      <c r="M283" s="1">
        <v>0</v>
      </c>
      <c r="N283" s="1">
        <v>0</v>
      </c>
      <c r="O283" s="1">
        <v>0</v>
      </c>
      <c r="P283" s="2">
        <v>3596510</v>
      </c>
      <c r="Q283" s="1">
        <v>-130137</v>
      </c>
      <c r="R283" s="1">
        <v>408539</v>
      </c>
      <c r="S283">
        <v>99.302199999999999</v>
      </c>
      <c r="T283">
        <v>98.274000000000001</v>
      </c>
      <c r="U283">
        <v>3.4917799999999999</v>
      </c>
      <c r="V283">
        <v>0</v>
      </c>
      <c r="W283">
        <v>1</v>
      </c>
      <c r="X283">
        <v>1.8891100000000001</v>
      </c>
      <c r="Y283">
        <v>1.5867100000000001</v>
      </c>
      <c r="Z283">
        <v>0</v>
      </c>
      <c r="AA283">
        <v>1.3964000000000001</v>
      </c>
      <c r="AB283">
        <v>2.9635199999999999</v>
      </c>
      <c r="AC283" s="2">
        <v>164718000</v>
      </c>
      <c r="AD283" s="1">
        <v>0</v>
      </c>
      <c r="AE283" s="1">
        <v>0</v>
      </c>
      <c r="AF283" s="1">
        <v>0</v>
      </c>
      <c r="AG283" s="1">
        <v>0</v>
      </c>
      <c r="AH283" s="2">
        <v>4887590</v>
      </c>
      <c r="AI283" s="1">
        <v>916195</v>
      </c>
      <c r="AJ283" s="1">
        <v>0</v>
      </c>
      <c r="AK283" s="8">
        <f t="shared" si="19"/>
        <v>22</v>
      </c>
      <c r="AL283" s="8">
        <f t="shared" si="18"/>
        <v>6</v>
      </c>
      <c r="AM283">
        <f t="shared" si="16"/>
        <v>0</v>
      </c>
      <c r="AN283">
        <f t="shared" si="17"/>
        <v>0</v>
      </c>
    </row>
    <row r="284" spans="1:40" x14ac:dyDescent="0.35">
      <c r="A284">
        <v>69.835999999999999</v>
      </c>
      <c r="B284">
        <v>85.138999999999996</v>
      </c>
      <c r="C284">
        <v>1.8007899999999999</v>
      </c>
      <c r="D284">
        <v>7.0000000000000007E-2</v>
      </c>
      <c r="E284">
        <v>1</v>
      </c>
      <c r="F284">
        <v>2.4063099999999999</v>
      </c>
      <c r="G284">
        <v>2.70871</v>
      </c>
      <c r="H284">
        <v>0</v>
      </c>
      <c r="I284">
        <v>0.45083499999999999</v>
      </c>
      <c r="J284">
        <v>5.3222399999999999</v>
      </c>
      <c r="K284" s="2">
        <v>13972200</v>
      </c>
      <c r="L284" s="1">
        <v>0</v>
      </c>
      <c r="M284" s="1">
        <v>0</v>
      </c>
      <c r="N284" s="1">
        <v>0</v>
      </c>
      <c r="O284" s="1">
        <v>0</v>
      </c>
      <c r="P284" s="2">
        <v>3597370</v>
      </c>
      <c r="Q284" s="1">
        <v>-130078</v>
      </c>
      <c r="R284" s="1">
        <v>408539</v>
      </c>
      <c r="S284">
        <v>99.302199999999999</v>
      </c>
      <c r="T284">
        <v>98.274000000000001</v>
      </c>
      <c r="U284">
        <v>3.2157200000000001</v>
      </c>
      <c r="V284">
        <v>0</v>
      </c>
      <c r="W284">
        <v>1</v>
      </c>
      <c r="X284">
        <v>1.8894500000000001</v>
      </c>
      <c r="Y284">
        <v>1.5870500000000001</v>
      </c>
      <c r="Z284">
        <v>0</v>
      </c>
      <c r="AA284">
        <v>1.45953</v>
      </c>
      <c r="AB284">
        <v>2.9635199999999999</v>
      </c>
      <c r="AC284" s="2">
        <v>165635000</v>
      </c>
      <c r="AD284" s="1">
        <v>0</v>
      </c>
      <c r="AE284" s="1">
        <v>0</v>
      </c>
      <c r="AF284" s="1">
        <v>0</v>
      </c>
      <c r="AG284" s="1">
        <v>0</v>
      </c>
      <c r="AH284" s="2">
        <v>4888460</v>
      </c>
      <c r="AI284" s="1">
        <v>916223</v>
      </c>
      <c r="AJ284" s="1">
        <v>0</v>
      </c>
      <c r="AK284" s="8">
        <f t="shared" si="19"/>
        <v>23</v>
      </c>
      <c r="AL284" s="8">
        <f t="shared" si="18"/>
        <v>6</v>
      </c>
      <c r="AM284">
        <f t="shared" si="16"/>
        <v>0</v>
      </c>
      <c r="AN284">
        <f t="shared" si="17"/>
        <v>0</v>
      </c>
    </row>
    <row r="285" spans="1:40" x14ac:dyDescent="0.35">
      <c r="A285">
        <v>68.565399999999997</v>
      </c>
      <c r="B285">
        <v>85.138999999999996</v>
      </c>
      <c r="C285">
        <v>1.64937</v>
      </c>
      <c r="D285">
        <v>0.08</v>
      </c>
      <c r="E285">
        <v>1</v>
      </c>
      <c r="F285">
        <v>2.4068900000000002</v>
      </c>
      <c r="G285">
        <v>2.7092900000000002</v>
      </c>
      <c r="H285">
        <v>0</v>
      </c>
      <c r="I285">
        <v>0.45094299999999998</v>
      </c>
      <c r="J285">
        <v>5.3222399999999999</v>
      </c>
      <c r="K285" s="2">
        <v>13842200</v>
      </c>
      <c r="L285" s="1">
        <v>0</v>
      </c>
      <c r="M285" s="1">
        <v>0</v>
      </c>
      <c r="N285" s="1">
        <v>0</v>
      </c>
      <c r="O285" s="1">
        <v>0</v>
      </c>
      <c r="P285" s="2">
        <v>3598240</v>
      </c>
      <c r="Q285" s="1">
        <v>-130018</v>
      </c>
      <c r="R285" s="1">
        <v>408539</v>
      </c>
      <c r="S285">
        <v>99.302199999999999</v>
      </c>
      <c r="T285">
        <v>98.274000000000001</v>
      </c>
      <c r="U285">
        <v>3.0291000000000001</v>
      </c>
      <c r="V285">
        <v>0</v>
      </c>
      <c r="W285">
        <v>1</v>
      </c>
      <c r="X285">
        <v>1.8897900000000001</v>
      </c>
      <c r="Y285">
        <v>1.5873900000000001</v>
      </c>
      <c r="Z285">
        <v>0</v>
      </c>
      <c r="AA285">
        <v>1.4597899999999999</v>
      </c>
      <c r="AB285">
        <v>2.9635199999999999</v>
      </c>
      <c r="AC285" s="2">
        <v>166551000</v>
      </c>
      <c r="AD285" s="1">
        <v>0</v>
      </c>
      <c r="AE285" s="1">
        <v>0</v>
      </c>
      <c r="AF285" s="1">
        <v>0</v>
      </c>
      <c r="AG285" s="1">
        <v>0</v>
      </c>
      <c r="AH285" s="2">
        <v>4889340</v>
      </c>
      <c r="AI285" s="1">
        <v>916252</v>
      </c>
      <c r="AJ285" s="1">
        <v>0</v>
      </c>
      <c r="AK285" s="8">
        <f t="shared" si="19"/>
        <v>24</v>
      </c>
      <c r="AL285" s="8">
        <f t="shared" si="18"/>
        <v>6</v>
      </c>
      <c r="AM285">
        <f t="shared" si="16"/>
        <v>0</v>
      </c>
      <c r="AN285">
        <f t="shared" si="17"/>
        <v>0</v>
      </c>
    </row>
    <row r="286" spans="1:40" x14ac:dyDescent="0.35">
      <c r="A286">
        <v>67.157600000000002</v>
      </c>
      <c r="B286">
        <v>85.138999999999996</v>
      </c>
      <c r="C286">
        <v>1.5114799999999999</v>
      </c>
      <c r="D286">
        <v>0.08</v>
      </c>
      <c r="E286">
        <v>1</v>
      </c>
      <c r="F286">
        <v>2.40747</v>
      </c>
      <c r="G286">
        <v>2.70987</v>
      </c>
      <c r="H286">
        <v>0</v>
      </c>
      <c r="I286">
        <v>0.45105099999999998</v>
      </c>
      <c r="J286">
        <v>5.3222399999999999</v>
      </c>
      <c r="K286" s="2">
        <v>13712200</v>
      </c>
      <c r="L286" s="1">
        <v>0</v>
      </c>
      <c r="M286" s="1">
        <v>0</v>
      </c>
      <c r="N286" s="1">
        <v>0</v>
      </c>
      <c r="O286" s="1">
        <v>0</v>
      </c>
      <c r="P286" s="2">
        <v>3599100</v>
      </c>
      <c r="Q286" s="1">
        <v>-129959</v>
      </c>
      <c r="R286" s="1">
        <v>408539</v>
      </c>
      <c r="S286">
        <v>99.302199999999999</v>
      </c>
      <c r="T286">
        <v>98.274000000000001</v>
      </c>
      <c r="U286">
        <v>2.8002099999999999</v>
      </c>
      <c r="V286">
        <v>0</v>
      </c>
      <c r="W286">
        <v>1</v>
      </c>
      <c r="X286">
        <v>1.8901300000000001</v>
      </c>
      <c r="Y286">
        <v>1.5877300000000001</v>
      </c>
      <c r="Z286">
        <v>0</v>
      </c>
      <c r="AA286">
        <v>1.4600500000000001</v>
      </c>
      <c r="AB286">
        <v>2.9635199999999999</v>
      </c>
      <c r="AC286" s="2">
        <v>167467000</v>
      </c>
      <c r="AD286" s="1">
        <v>0</v>
      </c>
      <c r="AE286" s="1">
        <v>0</v>
      </c>
      <c r="AF286" s="1">
        <v>0</v>
      </c>
      <c r="AG286" s="1">
        <v>0</v>
      </c>
      <c r="AH286" s="2">
        <v>4890210</v>
      </c>
      <c r="AI286" s="1">
        <v>916280</v>
      </c>
      <c r="AJ286" s="1">
        <v>0</v>
      </c>
      <c r="AK286" s="8">
        <f t="shared" si="19"/>
        <v>25</v>
      </c>
      <c r="AL286" s="8">
        <f t="shared" si="18"/>
        <v>6</v>
      </c>
      <c r="AM286">
        <f t="shared" si="16"/>
        <v>0</v>
      </c>
      <c r="AN286">
        <f t="shared" si="17"/>
        <v>0</v>
      </c>
    </row>
    <row r="287" spans="1:40" x14ac:dyDescent="0.35">
      <c r="A287">
        <v>65.668599999999998</v>
      </c>
      <c r="B287">
        <v>85.138999999999996</v>
      </c>
      <c r="C287">
        <v>1.4294500000000001</v>
      </c>
      <c r="D287">
        <v>0.08</v>
      </c>
      <c r="E287">
        <v>1</v>
      </c>
      <c r="F287">
        <v>2.4080499999999998</v>
      </c>
      <c r="G287">
        <v>2.7104499999999998</v>
      </c>
      <c r="H287">
        <v>0</v>
      </c>
      <c r="I287">
        <v>0.45115899999999998</v>
      </c>
      <c r="J287">
        <v>5.3222399999999999</v>
      </c>
      <c r="K287" s="2">
        <v>13582300</v>
      </c>
      <c r="L287" s="1">
        <v>0</v>
      </c>
      <c r="M287" s="1">
        <v>0</v>
      </c>
      <c r="N287" s="1">
        <v>0</v>
      </c>
      <c r="O287" s="1">
        <v>0</v>
      </c>
      <c r="P287" s="2">
        <v>3599970</v>
      </c>
      <c r="Q287" s="1">
        <v>-129899</v>
      </c>
      <c r="R287" s="1">
        <v>408539</v>
      </c>
      <c r="S287">
        <v>99.302199999999999</v>
      </c>
      <c r="T287">
        <v>98.274000000000001</v>
      </c>
      <c r="U287">
        <v>2.5328300000000001</v>
      </c>
      <c r="V287">
        <v>0</v>
      </c>
      <c r="W287">
        <v>1</v>
      </c>
      <c r="X287">
        <v>1.8904700000000001</v>
      </c>
      <c r="Y287">
        <v>1.5880700000000001</v>
      </c>
      <c r="Z287">
        <v>0</v>
      </c>
      <c r="AA287">
        <v>1.46031</v>
      </c>
      <c r="AB287">
        <v>2.9635199999999999</v>
      </c>
      <c r="AC287" s="2">
        <v>168383000</v>
      </c>
      <c r="AD287" s="1">
        <v>0</v>
      </c>
      <c r="AE287" s="1">
        <v>0</v>
      </c>
      <c r="AF287" s="1">
        <v>0</v>
      </c>
      <c r="AG287" s="1">
        <v>0</v>
      </c>
      <c r="AH287" s="2">
        <v>4891090</v>
      </c>
      <c r="AI287" s="1">
        <v>916309</v>
      </c>
      <c r="AJ287" s="1">
        <v>0</v>
      </c>
      <c r="AK287" s="8">
        <f t="shared" si="19"/>
        <v>26</v>
      </c>
      <c r="AL287" s="8">
        <f t="shared" si="18"/>
        <v>6</v>
      </c>
      <c r="AM287">
        <f t="shared" si="16"/>
        <v>0</v>
      </c>
      <c r="AN287">
        <f t="shared" si="17"/>
        <v>0</v>
      </c>
    </row>
    <row r="288" spans="1:40" x14ac:dyDescent="0.35">
      <c r="A288">
        <v>64.451300000000003</v>
      </c>
      <c r="B288">
        <v>85.138999999999996</v>
      </c>
      <c r="C288">
        <v>1.65977</v>
      </c>
      <c r="D288">
        <v>0.08</v>
      </c>
      <c r="E288">
        <v>1</v>
      </c>
      <c r="F288">
        <v>2.3843399999999999</v>
      </c>
      <c r="G288">
        <v>2.6867399999999999</v>
      </c>
      <c r="H288">
        <v>0</v>
      </c>
      <c r="I288">
        <v>0.451268</v>
      </c>
      <c r="J288">
        <v>5.3222399999999999</v>
      </c>
      <c r="K288" s="2">
        <v>13450000</v>
      </c>
      <c r="L288" s="1">
        <v>0</v>
      </c>
      <c r="M288" s="1">
        <v>0</v>
      </c>
      <c r="N288" s="1">
        <v>0</v>
      </c>
      <c r="O288" s="1">
        <v>0</v>
      </c>
      <c r="P288" s="2">
        <v>3564530</v>
      </c>
      <c r="Q288" s="1">
        <v>-132336</v>
      </c>
      <c r="R288" s="1">
        <v>408539</v>
      </c>
      <c r="S288">
        <v>99.302199999999999</v>
      </c>
      <c r="T288">
        <v>98.274000000000001</v>
      </c>
      <c r="U288">
        <v>2.9713599999999998</v>
      </c>
      <c r="V288">
        <v>0</v>
      </c>
      <c r="W288">
        <v>1</v>
      </c>
      <c r="X288">
        <v>1.9355899999999999</v>
      </c>
      <c r="Y288">
        <v>1.6331899999999999</v>
      </c>
      <c r="Z288">
        <v>0</v>
      </c>
      <c r="AA288">
        <v>1.46058</v>
      </c>
      <c r="AB288">
        <v>2.9635199999999999</v>
      </c>
      <c r="AC288" s="2">
        <v>169304000</v>
      </c>
      <c r="AD288" s="1">
        <v>0</v>
      </c>
      <c r="AE288" s="1">
        <v>0</v>
      </c>
      <c r="AF288" s="1">
        <v>0</v>
      </c>
      <c r="AG288" s="1">
        <v>0</v>
      </c>
      <c r="AH288" s="2">
        <v>5007820</v>
      </c>
      <c r="AI288" s="1">
        <v>920114</v>
      </c>
      <c r="AJ288" s="1">
        <v>0</v>
      </c>
      <c r="AK288" s="8">
        <f t="shared" si="19"/>
        <v>27</v>
      </c>
      <c r="AL288" s="8">
        <f t="shared" si="18"/>
        <v>6</v>
      </c>
      <c r="AM288">
        <f t="shared" si="16"/>
        <v>0</v>
      </c>
      <c r="AN288">
        <f t="shared" si="17"/>
        <v>0</v>
      </c>
    </row>
    <row r="289" spans="1:40" x14ac:dyDescent="0.35">
      <c r="A289">
        <v>63.6111</v>
      </c>
      <c r="B289">
        <v>85.138999999999996</v>
      </c>
      <c r="C289">
        <v>2.0181100000000001</v>
      </c>
      <c r="D289">
        <v>0.09</v>
      </c>
      <c r="E289">
        <v>1</v>
      </c>
      <c r="F289">
        <v>2.3849200000000002</v>
      </c>
      <c r="G289">
        <v>2.6873200000000002</v>
      </c>
      <c r="H289">
        <v>0</v>
      </c>
      <c r="I289">
        <v>0.446826</v>
      </c>
      <c r="J289">
        <v>5.3222399999999999</v>
      </c>
      <c r="K289" s="2">
        <v>13317700</v>
      </c>
      <c r="L289" s="1">
        <v>0</v>
      </c>
      <c r="M289" s="1">
        <v>0</v>
      </c>
      <c r="N289" s="1">
        <v>0</v>
      </c>
      <c r="O289" s="1">
        <v>0</v>
      </c>
      <c r="P289" s="2">
        <v>3565390</v>
      </c>
      <c r="Q289" s="1">
        <v>-132277</v>
      </c>
      <c r="R289" s="1">
        <v>408539</v>
      </c>
      <c r="S289">
        <v>99.302199999999999</v>
      </c>
      <c r="T289">
        <v>98.274000000000001</v>
      </c>
      <c r="U289">
        <v>3.5523099999999999</v>
      </c>
      <c r="V289">
        <v>0</v>
      </c>
      <c r="W289">
        <v>1</v>
      </c>
      <c r="X289">
        <v>1.9359299999999999</v>
      </c>
      <c r="Y289">
        <v>1.6335299999999999</v>
      </c>
      <c r="Z289">
        <v>0</v>
      </c>
      <c r="AA289">
        <v>1.49543</v>
      </c>
      <c r="AB289">
        <v>2.9635199999999999</v>
      </c>
      <c r="AC289" s="2">
        <v>170224000</v>
      </c>
      <c r="AD289" s="1">
        <v>0</v>
      </c>
      <c r="AE289" s="1">
        <v>0</v>
      </c>
      <c r="AF289" s="1">
        <v>0</v>
      </c>
      <c r="AG289" s="1">
        <v>0</v>
      </c>
      <c r="AH289" s="2">
        <v>5008720</v>
      </c>
      <c r="AI289" s="1">
        <v>920143</v>
      </c>
      <c r="AJ289" s="1">
        <v>0</v>
      </c>
      <c r="AK289" s="8">
        <f t="shared" si="19"/>
        <v>28</v>
      </c>
      <c r="AL289" s="8">
        <f t="shared" si="18"/>
        <v>6</v>
      </c>
      <c r="AM289">
        <f t="shared" si="16"/>
        <v>0</v>
      </c>
      <c r="AN289">
        <f t="shared" si="17"/>
        <v>0</v>
      </c>
    </row>
    <row r="290" spans="1:40" x14ac:dyDescent="0.35">
      <c r="A290">
        <v>62.665900000000001</v>
      </c>
      <c r="B290">
        <v>85.138999999999996</v>
      </c>
      <c r="C290">
        <v>1.91306</v>
      </c>
      <c r="D290">
        <v>0.08</v>
      </c>
      <c r="E290">
        <v>1</v>
      </c>
      <c r="F290">
        <v>2.3854899999999999</v>
      </c>
      <c r="G290">
        <v>2.6878899999999999</v>
      </c>
      <c r="H290">
        <v>0</v>
      </c>
      <c r="I290">
        <v>0.44693300000000002</v>
      </c>
      <c r="J290">
        <v>5.3222399999999999</v>
      </c>
      <c r="K290" s="2">
        <v>13185500</v>
      </c>
      <c r="L290" s="1">
        <v>0</v>
      </c>
      <c r="M290" s="1">
        <v>0</v>
      </c>
      <c r="N290" s="1">
        <v>0</v>
      </c>
      <c r="O290" s="1">
        <v>0</v>
      </c>
      <c r="P290" s="2">
        <v>3566250</v>
      </c>
      <c r="Q290" s="1">
        <v>-132218</v>
      </c>
      <c r="R290" s="1">
        <v>408539</v>
      </c>
      <c r="S290">
        <v>99.302199999999999</v>
      </c>
      <c r="T290">
        <v>98.274000000000001</v>
      </c>
      <c r="U290">
        <v>3.41018</v>
      </c>
      <c r="V290">
        <v>0</v>
      </c>
      <c r="W290">
        <v>1</v>
      </c>
      <c r="X290">
        <v>1.93628</v>
      </c>
      <c r="Y290">
        <v>1.63388</v>
      </c>
      <c r="Z290">
        <v>0</v>
      </c>
      <c r="AA290">
        <v>1.4957</v>
      </c>
      <c r="AB290">
        <v>2.9635199999999999</v>
      </c>
      <c r="AC290" s="2">
        <v>171144000</v>
      </c>
      <c r="AD290" s="1">
        <v>0</v>
      </c>
      <c r="AE290" s="1">
        <v>0</v>
      </c>
      <c r="AF290" s="1">
        <v>0</v>
      </c>
      <c r="AG290" s="1">
        <v>0</v>
      </c>
      <c r="AH290" s="2">
        <v>5009620</v>
      </c>
      <c r="AI290" s="1">
        <v>920173</v>
      </c>
      <c r="AJ290" s="1">
        <v>0</v>
      </c>
      <c r="AK290" s="8">
        <f t="shared" si="19"/>
        <v>29</v>
      </c>
      <c r="AL290" s="8">
        <f t="shared" si="18"/>
        <v>6</v>
      </c>
      <c r="AM290">
        <f t="shared" si="16"/>
        <v>0</v>
      </c>
      <c r="AN290">
        <f t="shared" si="17"/>
        <v>0</v>
      </c>
    </row>
    <row r="291" spans="1:40" x14ac:dyDescent="0.35">
      <c r="A291">
        <v>61.581800000000001</v>
      </c>
      <c r="B291">
        <v>85.138999999999996</v>
      </c>
      <c r="C291">
        <v>1.77383</v>
      </c>
      <c r="D291">
        <v>7.0000000000000007E-2</v>
      </c>
      <c r="E291">
        <v>1</v>
      </c>
      <c r="F291">
        <v>2.3860600000000001</v>
      </c>
      <c r="G291">
        <v>2.6884600000000001</v>
      </c>
      <c r="H291">
        <v>0</v>
      </c>
      <c r="I291">
        <v>0.44704100000000002</v>
      </c>
      <c r="J291">
        <v>5.3222399999999999</v>
      </c>
      <c r="K291" s="2">
        <v>13053300</v>
      </c>
      <c r="L291" s="1">
        <v>0</v>
      </c>
      <c r="M291" s="1">
        <v>0</v>
      </c>
      <c r="N291" s="1">
        <v>0</v>
      </c>
      <c r="O291" s="1">
        <v>0</v>
      </c>
      <c r="P291" s="2">
        <v>3567100</v>
      </c>
      <c r="Q291" s="1">
        <v>-132159</v>
      </c>
      <c r="R291" s="1">
        <v>408539</v>
      </c>
      <c r="S291">
        <v>99.302199999999999</v>
      </c>
      <c r="T291">
        <v>98.274000000000001</v>
      </c>
      <c r="U291">
        <v>3.1725400000000001</v>
      </c>
      <c r="V291">
        <v>0</v>
      </c>
      <c r="W291">
        <v>1</v>
      </c>
      <c r="X291">
        <v>1.9366300000000001</v>
      </c>
      <c r="Y291">
        <v>1.6342300000000001</v>
      </c>
      <c r="Z291">
        <v>0</v>
      </c>
      <c r="AA291">
        <v>1.49597</v>
      </c>
      <c r="AB291">
        <v>2.9635199999999999</v>
      </c>
      <c r="AC291" s="2">
        <v>172064000</v>
      </c>
      <c r="AD291" s="1">
        <v>0</v>
      </c>
      <c r="AE291" s="1">
        <v>0</v>
      </c>
      <c r="AF291" s="1">
        <v>0</v>
      </c>
      <c r="AG291" s="1">
        <v>0</v>
      </c>
      <c r="AH291" s="2">
        <v>5010520</v>
      </c>
      <c r="AI291" s="1">
        <v>920202</v>
      </c>
      <c r="AJ291" s="1">
        <v>0</v>
      </c>
      <c r="AK291" s="8">
        <f t="shared" si="19"/>
        <v>30</v>
      </c>
      <c r="AL291" s="8">
        <f t="shared" si="18"/>
        <v>6</v>
      </c>
      <c r="AM291">
        <f t="shared" si="16"/>
        <v>0</v>
      </c>
      <c r="AN291">
        <f t="shared" si="17"/>
        <v>0</v>
      </c>
    </row>
    <row r="292" spans="1:40" x14ac:dyDescent="0.35">
      <c r="A292">
        <v>60.348799999999997</v>
      </c>
      <c r="B292">
        <v>85.138999999999996</v>
      </c>
      <c r="C292">
        <v>1.68737</v>
      </c>
      <c r="D292">
        <v>0.08</v>
      </c>
      <c r="E292">
        <v>1</v>
      </c>
      <c r="F292">
        <v>2.4493900000000002</v>
      </c>
      <c r="G292">
        <v>2.7517900000000002</v>
      </c>
      <c r="H292">
        <v>0</v>
      </c>
      <c r="I292">
        <v>0.44714799999999999</v>
      </c>
      <c r="J292">
        <v>5.3222399999999999</v>
      </c>
      <c r="K292" s="2">
        <v>12927700</v>
      </c>
      <c r="L292" s="1">
        <v>0</v>
      </c>
      <c r="M292" s="1">
        <v>0</v>
      </c>
      <c r="N292" s="1">
        <v>0</v>
      </c>
      <c r="O292" s="1">
        <v>0</v>
      </c>
      <c r="P292" s="2">
        <v>3661780</v>
      </c>
      <c r="Q292" s="1">
        <v>-125649</v>
      </c>
      <c r="R292" s="1">
        <v>408539</v>
      </c>
      <c r="S292">
        <v>99.276899999999998</v>
      </c>
      <c r="T292">
        <v>98.274000000000001</v>
      </c>
      <c r="U292">
        <v>2.9960300000000002</v>
      </c>
      <c r="V292">
        <v>0</v>
      </c>
      <c r="W292">
        <v>1</v>
      </c>
      <c r="X292">
        <v>1.97692</v>
      </c>
      <c r="Y292">
        <v>1.67452</v>
      </c>
      <c r="Z292">
        <v>0</v>
      </c>
      <c r="AA292">
        <v>1.49624</v>
      </c>
      <c r="AB292">
        <v>2.9635199999999999</v>
      </c>
      <c r="AC292" s="2">
        <v>172988000</v>
      </c>
      <c r="AD292" s="1">
        <v>0</v>
      </c>
      <c r="AE292" s="1">
        <v>0</v>
      </c>
      <c r="AF292" s="1">
        <v>0</v>
      </c>
      <c r="AG292" s="1">
        <v>0</v>
      </c>
      <c r="AH292" s="2">
        <v>5114760</v>
      </c>
      <c r="AI292" s="1">
        <v>923600</v>
      </c>
      <c r="AJ292" s="1">
        <v>0</v>
      </c>
      <c r="AK292" s="8">
        <f t="shared" si="19"/>
        <v>31</v>
      </c>
      <c r="AL292" s="8">
        <f t="shared" si="18"/>
        <v>6</v>
      </c>
      <c r="AM292">
        <f t="shared" si="16"/>
        <v>0</v>
      </c>
      <c r="AN292">
        <f t="shared" si="17"/>
        <v>0</v>
      </c>
    </row>
    <row r="293" spans="1:40" x14ac:dyDescent="0.35">
      <c r="A293">
        <v>59.091700000000003</v>
      </c>
      <c r="B293">
        <v>85.138999999999996</v>
      </c>
      <c r="C293">
        <v>1.66429</v>
      </c>
      <c r="D293">
        <v>0.1</v>
      </c>
      <c r="E293">
        <v>1</v>
      </c>
      <c r="F293">
        <v>2.44998</v>
      </c>
      <c r="G293">
        <v>2.75238</v>
      </c>
      <c r="H293">
        <v>0</v>
      </c>
      <c r="I293">
        <v>0.45901599999999998</v>
      </c>
      <c r="J293">
        <v>5.3222399999999999</v>
      </c>
      <c r="K293" s="2">
        <v>12802100</v>
      </c>
      <c r="L293" s="1">
        <v>0</v>
      </c>
      <c r="M293" s="1">
        <v>0</v>
      </c>
      <c r="N293" s="1">
        <v>0</v>
      </c>
      <c r="O293" s="1">
        <v>0</v>
      </c>
      <c r="P293" s="2">
        <v>3662660</v>
      </c>
      <c r="Q293" s="1">
        <v>-125589</v>
      </c>
      <c r="R293" s="1">
        <v>408539</v>
      </c>
      <c r="S293">
        <v>99.256900000000002</v>
      </c>
      <c r="T293">
        <v>98.274000000000001</v>
      </c>
      <c r="U293">
        <v>3.1133199999999999</v>
      </c>
      <c r="V293">
        <v>0</v>
      </c>
      <c r="W293">
        <v>1</v>
      </c>
      <c r="X293">
        <v>1.9772799999999999</v>
      </c>
      <c r="Y293">
        <v>1.6748799999999999</v>
      </c>
      <c r="Z293">
        <v>0</v>
      </c>
      <c r="AA293">
        <v>1.5273699999999999</v>
      </c>
      <c r="AB293">
        <v>2.9635199999999999</v>
      </c>
      <c r="AC293" s="2">
        <v>173911000</v>
      </c>
      <c r="AD293" s="1">
        <v>0</v>
      </c>
      <c r="AE293" s="1">
        <v>0</v>
      </c>
      <c r="AF293" s="1">
        <v>0</v>
      </c>
      <c r="AG293" s="1">
        <v>0</v>
      </c>
      <c r="AH293" s="2">
        <v>5115690</v>
      </c>
      <c r="AI293" s="1">
        <v>923630</v>
      </c>
      <c r="AJ293" s="1">
        <v>0</v>
      </c>
      <c r="AK293" s="8">
        <f t="shared" si="19"/>
        <v>32</v>
      </c>
      <c r="AL293" s="8">
        <f t="shared" si="18"/>
        <v>6</v>
      </c>
      <c r="AM293">
        <f t="shared" si="16"/>
        <v>0</v>
      </c>
      <c r="AN293">
        <f t="shared" si="17"/>
        <v>0</v>
      </c>
    </row>
    <row r="294" spans="1:40" x14ac:dyDescent="0.35">
      <c r="A294">
        <v>57.8</v>
      </c>
      <c r="B294">
        <v>85.138999999999996</v>
      </c>
      <c r="C294">
        <v>1.6291199999999999</v>
      </c>
      <c r="D294">
        <v>0.1</v>
      </c>
      <c r="E294">
        <v>1</v>
      </c>
      <c r="F294">
        <v>2.4505699999999999</v>
      </c>
      <c r="G294">
        <v>2.7529699999999999</v>
      </c>
      <c r="H294">
        <v>0</v>
      </c>
      <c r="I294">
        <v>0.45912599999999998</v>
      </c>
      <c r="J294">
        <v>5.3222399999999999</v>
      </c>
      <c r="K294" s="2">
        <v>12676600</v>
      </c>
      <c r="L294" s="1">
        <v>0</v>
      </c>
      <c r="M294" s="1">
        <v>0</v>
      </c>
      <c r="N294" s="1">
        <v>0</v>
      </c>
      <c r="O294" s="1">
        <v>0</v>
      </c>
      <c r="P294" s="2">
        <v>3663540</v>
      </c>
      <c r="Q294" s="1">
        <v>-125528</v>
      </c>
      <c r="R294" s="1">
        <v>408539</v>
      </c>
      <c r="S294">
        <v>99.221000000000004</v>
      </c>
      <c r="T294">
        <v>98.274000000000001</v>
      </c>
      <c r="U294">
        <v>3.15828</v>
      </c>
      <c r="V294">
        <v>0</v>
      </c>
      <c r="W294">
        <v>1</v>
      </c>
      <c r="X294">
        <v>1.9776400000000001</v>
      </c>
      <c r="Y294">
        <v>1.6752400000000001</v>
      </c>
      <c r="Z294">
        <v>0</v>
      </c>
      <c r="AA294">
        <v>1.5276400000000001</v>
      </c>
      <c r="AB294">
        <v>2.9635199999999999</v>
      </c>
      <c r="AC294" s="2">
        <v>174835000</v>
      </c>
      <c r="AD294" s="1">
        <v>0</v>
      </c>
      <c r="AE294" s="1">
        <v>0</v>
      </c>
      <c r="AF294" s="1">
        <v>0</v>
      </c>
      <c r="AG294" s="1">
        <v>0</v>
      </c>
      <c r="AH294" s="2">
        <v>5116610</v>
      </c>
      <c r="AI294" s="1">
        <v>923660</v>
      </c>
      <c r="AJ294" s="1">
        <v>0</v>
      </c>
      <c r="AK294" s="8">
        <f t="shared" si="19"/>
        <v>33</v>
      </c>
      <c r="AL294" s="8">
        <f t="shared" si="18"/>
        <v>6</v>
      </c>
      <c r="AM294">
        <f t="shared" si="16"/>
        <v>0</v>
      </c>
      <c r="AN294">
        <f t="shared" si="17"/>
        <v>0</v>
      </c>
    </row>
    <row r="295" spans="1:40" x14ac:dyDescent="0.35">
      <c r="A295">
        <v>56.304499999999997</v>
      </c>
      <c r="B295">
        <v>85.138999999999996</v>
      </c>
      <c r="C295">
        <v>1.42492</v>
      </c>
      <c r="D295">
        <v>0.08</v>
      </c>
      <c r="E295">
        <v>1</v>
      </c>
      <c r="F295">
        <v>2.4511500000000002</v>
      </c>
      <c r="G295">
        <v>2.7535500000000002</v>
      </c>
      <c r="H295">
        <v>0</v>
      </c>
      <c r="I295">
        <v>0.45923599999999998</v>
      </c>
      <c r="J295">
        <v>5.3222399999999999</v>
      </c>
      <c r="K295" s="2">
        <v>12551100</v>
      </c>
      <c r="L295" s="1">
        <v>0</v>
      </c>
      <c r="M295" s="1">
        <v>0</v>
      </c>
      <c r="N295" s="1">
        <v>0</v>
      </c>
      <c r="O295" s="1">
        <v>0</v>
      </c>
      <c r="P295" s="2">
        <v>3664410</v>
      </c>
      <c r="Q295" s="1">
        <v>-125468</v>
      </c>
      <c r="R295" s="1">
        <v>408539</v>
      </c>
      <c r="S295">
        <v>99.131500000000003</v>
      </c>
      <c r="T295">
        <v>98.274000000000001</v>
      </c>
      <c r="U295">
        <v>2.93424</v>
      </c>
      <c r="V295">
        <v>0</v>
      </c>
      <c r="W295">
        <v>1</v>
      </c>
      <c r="X295">
        <v>1.9779899999999999</v>
      </c>
      <c r="Y295">
        <v>1.6755899999999999</v>
      </c>
      <c r="Z295">
        <v>0</v>
      </c>
      <c r="AA295">
        <v>1.5279199999999999</v>
      </c>
      <c r="AB295">
        <v>2.9635199999999999</v>
      </c>
      <c r="AC295" s="2">
        <v>175759000</v>
      </c>
      <c r="AD295" s="1">
        <v>0</v>
      </c>
      <c r="AE295" s="1">
        <v>0</v>
      </c>
      <c r="AF295" s="1">
        <v>0</v>
      </c>
      <c r="AG295" s="1">
        <v>0</v>
      </c>
      <c r="AH295" s="2">
        <v>5117540</v>
      </c>
      <c r="AI295" s="1">
        <v>923690</v>
      </c>
      <c r="AJ295" s="1">
        <v>0</v>
      </c>
      <c r="AK295" s="8">
        <f t="shared" si="19"/>
        <v>34</v>
      </c>
      <c r="AL295" s="8">
        <f t="shared" si="18"/>
        <v>6</v>
      </c>
      <c r="AM295">
        <f t="shared" si="16"/>
        <v>0</v>
      </c>
      <c r="AN295">
        <f t="shared" si="17"/>
        <v>0</v>
      </c>
    </row>
    <row r="296" spans="1:40" x14ac:dyDescent="0.35">
      <c r="A296">
        <v>54.5152</v>
      </c>
      <c r="B296">
        <v>85.138999999999996</v>
      </c>
      <c r="C296">
        <v>1.3143800000000001</v>
      </c>
      <c r="D296">
        <v>0.09</v>
      </c>
      <c r="E296">
        <v>1</v>
      </c>
      <c r="F296">
        <v>2.6356799999999998</v>
      </c>
      <c r="G296">
        <v>2.9380799999999998</v>
      </c>
      <c r="H296">
        <v>0</v>
      </c>
      <c r="I296">
        <v>0.45934599999999998</v>
      </c>
      <c r="J296">
        <v>5.3222399999999999</v>
      </c>
      <c r="K296" s="2">
        <v>12444600</v>
      </c>
      <c r="L296" s="1">
        <v>0</v>
      </c>
      <c r="M296" s="1">
        <v>0</v>
      </c>
      <c r="N296" s="1">
        <v>0</v>
      </c>
      <c r="O296" s="1">
        <v>0</v>
      </c>
      <c r="P296" s="2">
        <v>3940270</v>
      </c>
      <c r="Q296" s="1">
        <v>-106498</v>
      </c>
      <c r="R296" s="1">
        <v>408539</v>
      </c>
      <c r="S296">
        <v>98.952299999999994</v>
      </c>
      <c r="T296">
        <v>98.274000000000001</v>
      </c>
      <c r="U296">
        <v>2.8241399999999999</v>
      </c>
      <c r="V296">
        <v>0</v>
      </c>
      <c r="W296">
        <v>1</v>
      </c>
      <c r="X296">
        <v>2.1226400000000001</v>
      </c>
      <c r="Y296">
        <v>1.8202400000000001</v>
      </c>
      <c r="Z296">
        <v>0</v>
      </c>
      <c r="AA296">
        <v>1.5282</v>
      </c>
      <c r="AB296">
        <v>2.9635199999999999</v>
      </c>
      <c r="AC296" s="2">
        <v>176695000</v>
      </c>
      <c r="AD296" s="1">
        <v>0</v>
      </c>
      <c r="AE296" s="1">
        <v>0</v>
      </c>
      <c r="AF296" s="1">
        <v>0</v>
      </c>
      <c r="AG296" s="1">
        <v>0</v>
      </c>
      <c r="AH296" s="2">
        <v>5491780</v>
      </c>
      <c r="AI296" s="1">
        <v>935889</v>
      </c>
      <c r="AJ296" s="1">
        <v>0</v>
      </c>
      <c r="AK296" s="8">
        <f t="shared" si="19"/>
        <v>35</v>
      </c>
      <c r="AL296" s="8">
        <f t="shared" si="18"/>
        <v>6</v>
      </c>
      <c r="AM296">
        <f t="shared" si="16"/>
        <v>0</v>
      </c>
      <c r="AN296">
        <f t="shared" si="17"/>
        <v>0</v>
      </c>
    </row>
    <row r="297" spans="1:40" x14ac:dyDescent="0.35">
      <c r="A297">
        <v>52.8504</v>
      </c>
      <c r="B297">
        <v>85.138999999999996</v>
      </c>
      <c r="C297">
        <v>1.4367300000000001</v>
      </c>
      <c r="D297">
        <v>0.15</v>
      </c>
      <c r="E297">
        <v>1</v>
      </c>
      <c r="F297">
        <v>2.6363099999999999</v>
      </c>
      <c r="G297">
        <v>2.9387099999999999</v>
      </c>
      <c r="H297">
        <v>0</v>
      </c>
      <c r="I297">
        <v>0.49392599999999998</v>
      </c>
      <c r="J297">
        <v>5.3222399999999999</v>
      </c>
      <c r="K297" s="2">
        <v>12338200</v>
      </c>
      <c r="L297" s="1">
        <v>0</v>
      </c>
      <c r="M297" s="1">
        <v>0</v>
      </c>
      <c r="N297" s="1">
        <v>0</v>
      </c>
      <c r="O297" s="1">
        <v>0</v>
      </c>
      <c r="P297" s="2">
        <v>3941210</v>
      </c>
      <c r="Q297" s="1">
        <v>-106434</v>
      </c>
      <c r="R297" s="1">
        <v>408539</v>
      </c>
      <c r="S297">
        <v>98.775899999999993</v>
      </c>
      <c r="T297">
        <v>98.274000000000001</v>
      </c>
      <c r="U297">
        <v>2.9686400000000002</v>
      </c>
      <c r="V297">
        <v>0</v>
      </c>
      <c r="W297">
        <v>1</v>
      </c>
      <c r="X297">
        <v>2.12303</v>
      </c>
      <c r="Y297">
        <v>1.82063</v>
      </c>
      <c r="Z297">
        <v>0</v>
      </c>
      <c r="AA297">
        <v>1.63995</v>
      </c>
      <c r="AB297">
        <v>2.9635199999999999</v>
      </c>
      <c r="AC297" s="2">
        <v>177630000</v>
      </c>
      <c r="AD297" s="1">
        <v>0</v>
      </c>
      <c r="AE297" s="1">
        <v>0</v>
      </c>
      <c r="AF297" s="1">
        <v>0</v>
      </c>
      <c r="AG297" s="1">
        <v>0</v>
      </c>
      <c r="AH297" s="2">
        <v>5492790</v>
      </c>
      <c r="AI297" s="1">
        <v>935922</v>
      </c>
      <c r="AJ297" s="1">
        <v>0</v>
      </c>
      <c r="AK297" s="8">
        <f t="shared" si="19"/>
        <v>36</v>
      </c>
      <c r="AL297" s="8">
        <f t="shared" si="18"/>
        <v>6</v>
      </c>
      <c r="AM297">
        <f t="shared" si="16"/>
        <v>0</v>
      </c>
      <c r="AN297">
        <f t="shared" si="17"/>
        <v>0</v>
      </c>
    </row>
    <row r="298" spans="1:40" x14ac:dyDescent="0.35">
      <c r="A298">
        <v>51.598799999999997</v>
      </c>
      <c r="B298">
        <v>85.138999999999996</v>
      </c>
      <c r="C298">
        <v>1.8677699999999999</v>
      </c>
      <c r="D298">
        <v>0.15</v>
      </c>
      <c r="E298">
        <v>1</v>
      </c>
      <c r="F298">
        <v>2.63693</v>
      </c>
      <c r="G298">
        <v>2.93933</v>
      </c>
      <c r="H298">
        <v>0</v>
      </c>
      <c r="I298">
        <v>0.49404399999999998</v>
      </c>
      <c r="J298">
        <v>5.3222399999999999</v>
      </c>
      <c r="K298" s="2">
        <v>12231800</v>
      </c>
      <c r="L298" s="1">
        <v>0</v>
      </c>
      <c r="M298" s="1">
        <v>0</v>
      </c>
      <c r="N298" s="1">
        <v>0</v>
      </c>
      <c r="O298" s="1">
        <v>0</v>
      </c>
      <c r="P298" s="2">
        <v>3942150</v>
      </c>
      <c r="Q298" s="1">
        <v>-106369</v>
      </c>
      <c r="R298" s="1">
        <v>408539</v>
      </c>
      <c r="S298">
        <v>98.786299999999997</v>
      </c>
      <c r="T298">
        <v>98.274000000000001</v>
      </c>
      <c r="U298">
        <v>3.6457700000000002</v>
      </c>
      <c r="V298">
        <v>0</v>
      </c>
      <c r="W298">
        <v>1</v>
      </c>
      <c r="X298">
        <v>2.1234199999999999</v>
      </c>
      <c r="Y298">
        <v>1.8210200000000001</v>
      </c>
      <c r="Z298">
        <v>0</v>
      </c>
      <c r="AA298">
        <v>1.64025</v>
      </c>
      <c r="AB298">
        <v>2.9635199999999999</v>
      </c>
      <c r="AC298" s="2">
        <v>178566000</v>
      </c>
      <c r="AD298" s="1">
        <v>0</v>
      </c>
      <c r="AE298" s="1">
        <v>0</v>
      </c>
      <c r="AF298" s="1">
        <v>0</v>
      </c>
      <c r="AG298" s="1">
        <v>0</v>
      </c>
      <c r="AH298" s="2">
        <v>5493790</v>
      </c>
      <c r="AI298" s="1">
        <v>935955</v>
      </c>
      <c r="AJ298" s="1">
        <v>0</v>
      </c>
      <c r="AK298" s="8">
        <f t="shared" si="19"/>
        <v>37</v>
      </c>
      <c r="AL298" s="8">
        <f t="shared" si="18"/>
        <v>6</v>
      </c>
      <c r="AM298">
        <f t="shared" si="16"/>
        <v>0</v>
      </c>
      <c r="AN298">
        <f t="shared" si="17"/>
        <v>0</v>
      </c>
    </row>
    <row r="299" spans="1:40" x14ac:dyDescent="0.35">
      <c r="A299">
        <v>49.993099999999998</v>
      </c>
      <c r="B299">
        <v>85.138999999999996</v>
      </c>
      <c r="C299">
        <v>1.5130300000000001</v>
      </c>
      <c r="D299">
        <v>0.14000000000000001</v>
      </c>
      <c r="E299">
        <v>1</v>
      </c>
      <c r="F299">
        <v>2.6375600000000001</v>
      </c>
      <c r="G299">
        <v>2.9399600000000001</v>
      </c>
      <c r="H299">
        <v>0</v>
      </c>
      <c r="I299">
        <v>0.49416100000000002</v>
      </c>
      <c r="J299">
        <v>5.3222399999999999</v>
      </c>
      <c r="K299" s="2">
        <v>12125500</v>
      </c>
      <c r="L299" s="1">
        <v>0</v>
      </c>
      <c r="M299" s="1">
        <v>0</v>
      </c>
      <c r="N299" s="1">
        <v>0</v>
      </c>
      <c r="O299" s="1">
        <v>0</v>
      </c>
      <c r="P299" s="2">
        <v>3943080</v>
      </c>
      <c r="Q299" s="1">
        <v>-106305</v>
      </c>
      <c r="R299" s="1">
        <v>408539</v>
      </c>
      <c r="S299">
        <v>98.5441</v>
      </c>
      <c r="T299">
        <v>98.274000000000001</v>
      </c>
      <c r="U299">
        <v>2.762</v>
      </c>
      <c r="V299">
        <v>0</v>
      </c>
      <c r="W299">
        <v>1</v>
      </c>
      <c r="X299">
        <v>2.1238100000000002</v>
      </c>
      <c r="Y299">
        <v>1.82141</v>
      </c>
      <c r="Z299">
        <v>0</v>
      </c>
      <c r="AA299">
        <v>1.64055</v>
      </c>
      <c r="AB299">
        <v>2.9635199999999999</v>
      </c>
      <c r="AC299" s="2">
        <v>179502000</v>
      </c>
      <c r="AD299" s="1">
        <v>0</v>
      </c>
      <c r="AE299" s="1">
        <v>0</v>
      </c>
      <c r="AF299" s="1">
        <v>0</v>
      </c>
      <c r="AG299" s="1">
        <v>0</v>
      </c>
      <c r="AH299" s="2">
        <v>5494800</v>
      </c>
      <c r="AI299" s="1">
        <v>935987</v>
      </c>
      <c r="AJ299" s="1">
        <v>0</v>
      </c>
      <c r="AK299" s="8">
        <f t="shared" si="19"/>
        <v>38</v>
      </c>
      <c r="AL299" s="8">
        <f t="shared" si="18"/>
        <v>6</v>
      </c>
      <c r="AM299">
        <f t="shared" si="16"/>
        <v>0</v>
      </c>
      <c r="AN299">
        <f t="shared" si="17"/>
        <v>0</v>
      </c>
    </row>
    <row r="300" spans="1:40" x14ac:dyDescent="0.35">
      <c r="A300">
        <v>48.674700000000001</v>
      </c>
      <c r="B300">
        <v>85.138999999999996</v>
      </c>
      <c r="C300">
        <v>1.79932</v>
      </c>
      <c r="D300">
        <v>0.18</v>
      </c>
      <c r="E300">
        <v>1</v>
      </c>
      <c r="F300">
        <v>2.6381899999999998</v>
      </c>
      <c r="G300">
        <v>2.9405899999999998</v>
      </c>
      <c r="H300">
        <v>0</v>
      </c>
      <c r="I300">
        <v>0.49427900000000002</v>
      </c>
      <c r="J300">
        <v>5.3222399999999999</v>
      </c>
      <c r="K300" s="2">
        <v>12019200</v>
      </c>
      <c r="L300" s="1">
        <v>0</v>
      </c>
      <c r="M300" s="1">
        <v>0</v>
      </c>
      <c r="N300" s="1">
        <v>0</v>
      </c>
      <c r="O300" s="1">
        <v>0</v>
      </c>
      <c r="P300" s="2">
        <v>3944020</v>
      </c>
      <c r="Q300" s="1">
        <v>-106241</v>
      </c>
      <c r="R300" s="1">
        <v>408539</v>
      </c>
      <c r="S300">
        <v>98.764399999999995</v>
      </c>
      <c r="T300">
        <v>98.274000000000001</v>
      </c>
      <c r="U300">
        <v>4.4593600000000002</v>
      </c>
      <c r="V300">
        <v>0</v>
      </c>
      <c r="W300">
        <v>1</v>
      </c>
      <c r="X300">
        <v>2.1242000000000001</v>
      </c>
      <c r="Y300">
        <v>1.8218000000000001</v>
      </c>
      <c r="Z300">
        <v>0</v>
      </c>
      <c r="AA300">
        <v>1.6408499999999999</v>
      </c>
      <c r="AB300">
        <v>2.9635199999999999</v>
      </c>
      <c r="AC300" s="2">
        <v>180438000</v>
      </c>
      <c r="AD300" s="1">
        <v>0</v>
      </c>
      <c r="AE300" s="1">
        <v>0</v>
      </c>
      <c r="AF300" s="1">
        <v>0</v>
      </c>
      <c r="AG300" s="1">
        <v>0</v>
      </c>
      <c r="AH300" s="2">
        <v>5495800</v>
      </c>
      <c r="AI300" s="1">
        <v>936020</v>
      </c>
      <c r="AJ300" s="1">
        <v>0</v>
      </c>
      <c r="AK300" s="8">
        <f t="shared" si="19"/>
        <v>39</v>
      </c>
      <c r="AL300" s="8">
        <f t="shared" si="18"/>
        <v>6</v>
      </c>
      <c r="AM300">
        <f t="shared" si="16"/>
        <v>0</v>
      </c>
      <c r="AN300">
        <f t="shared" si="17"/>
        <v>0</v>
      </c>
    </row>
    <row r="301" spans="1:40" x14ac:dyDescent="0.35">
      <c r="A301">
        <v>47.090600000000002</v>
      </c>
      <c r="B301">
        <v>85.138999999999996</v>
      </c>
      <c r="C301">
        <v>1.4407399999999999</v>
      </c>
      <c r="D301">
        <v>0.17</v>
      </c>
      <c r="E301">
        <v>1</v>
      </c>
      <c r="F301">
        <v>2.5490699999999999</v>
      </c>
      <c r="G301">
        <v>2.8514699999999999</v>
      </c>
      <c r="H301">
        <v>0</v>
      </c>
      <c r="I301">
        <v>0.494396</v>
      </c>
      <c r="J301">
        <v>5.3222399999999999</v>
      </c>
      <c r="K301" s="2">
        <v>11903800</v>
      </c>
      <c r="L301" s="1">
        <v>0</v>
      </c>
      <c r="M301" s="1">
        <v>0</v>
      </c>
      <c r="N301" s="1">
        <v>0</v>
      </c>
      <c r="O301" s="1">
        <v>0</v>
      </c>
      <c r="P301" s="2">
        <v>3810800</v>
      </c>
      <c r="Q301" s="1">
        <v>-115402</v>
      </c>
      <c r="R301" s="1">
        <v>408539</v>
      </c>
      <c r="S301">
        <v>98.684600000000003</v>
      </c>
      <c r="T301">
        <v>98.274000000000001</v>
      </c>
      <c r="U301">
        <v>3.35608</v>
      </c>
      <c r="V301">
        <v>0</v>
      </c>
      <c r="W301">
        <v>1</v>
      </c>
      <c r="X301">
        <v>2.0369100000000002</v>
      </c>
      <c r="Y301">
        <v>1.73451</v>
      </c>
      <c r="Z301">
        <v>0</v>
      </c>
      <c r="AA301">
        <v>1.6411500000000001</v>
      </c>
      <c r="AB301">
        <v>2.9635199999999999</v>
      </c>
      <c r="AC301" s="2">
        <v>181367000</v>
      </c>
      <c r="AD301" s="1">
        <v>0</v>
      </c>
      <c r="AE301" s="1">
        <v>0</v>
      </c>
      <c r="AF301" s="1">
        <v>0</v>
      </c>
      <c r="AG301" s="1">
        <v>0</v>
      </c>
      <c r="AH301" s="2">
        <v>5269970</v>
      </c>
      <c r="AI301" s="1">
        <v>928659</v>
      </c>
      <c r="AJ301" s="1">
        <v>0</v>
      </c>
      <c r="AK301" s="8">
        <f t="shared" si="19"/>
        <v>40</v>
      </c>
      <c r="AL301" s="8">
        <f t="shared" si="18"/>
        <v>6</v>
      </c>
      <c r="AM301">
        <f t="shared" si="16"/>
        <v>0</v>
      </c>
      <c r="AN301">
        <f t="shared" si="17"/>
        <v>0</v>
      </c>
    </row>
    <row r="302" spans="1:40" x14ac:dyDescent="0.35">
      <c r="A302">
        <v>45.388100000000001</v>
      </c>
      <c r="B302">
        <v>85.138999999999996</v>
      </c>
      <c r="C302">
        <v>1.3127500000000001</v>
      </c>
      <c r="D302">
        <v>0.15</v>
      </c>
      <c r="E302">
        <v>1</v>
      </c>
      <c r="F302">
        <v>2.5496799999999999</v>
      </c>
      <c r="G302">
        <v>2.8520799999999999</v>
      </c>
      <c r="H302">
        <v>0</v>
      </c>
      <c r="I302">
        <v>0.47769600000000001</v>
      </c>
      <c r="J302">
        <v>5.3222399999999999</v>
      </c>
      <c r="K302" s="2">
        <v>11788500</v>
      </c>
      <c r="L302" s="1">
        <v>0</v>
      </c>
      <c r="M302" s="1">
        <v>0</v>
      </c>
      <c r="N302" s="1">
        <v>0</v>
      </c>
      <c r="O302" s="1">
        <v>0</v>
      </c>
      <c r="P302" s="2">
        <v>3811710</v>
      </c>
      <c r="Q302" s="1">
        <v>-115339</v>
      </c>
      <c r="R302" s="1">
        <v>408539</v>
      </c>
      <c r="S302">
        <v>98.971199999999996</v>
      </c>
      <c r="T302">
        <v>98.274000000000001</v>
      </c>
      <c r="U302">
        <v>5.50528</v>
      </c>
      <c r="V302">
        <v>0</v>
      </c>
      <c r="W302">
        <v>1</v>
      </c>
      <c r="X302">
        <v>2.03728</v>
      </c>
      <c r="Y302">
        <v>1.73488</v>
      </c>
      <c r="Z302">
        <v>0</v>
      </c>
      <c r="AA302">
        <v>1.57372</v>
      </c>
      <c r="AB302">
        <v>2.9635199999999999</v>
      </c>
      <c r="AC302" s="2">
        <v>182296000</v>
      </c>
      <c r="AD302" s="1">
        <v>0</v>
      </c>
      <c r="AE302" s="1">
        <v>0</v>
      </c>
      <c r="AF302" s="1">
        <v>0</v>
      </c>
      <c r="AG302" s="1">
        <v>0</v>
      </c>
      <c r="AH302" s="2">
        <v>5270930</v>
      </c>
      <c r="AI302" s="1">
        <v>928690</v>
      </c>
      <c r="AJ302" s="1">
        <v>0</v>
      </c>
      <c r="AK302" s="8">
        <f t="shared" si="19"/>
        <v>41</v>
      </c>
      <c r="AL302" s="8">
        <f t="shared" si="18"/>
        <v>6</v>
      </c>
      <c r="AM302">
        <f t="shared" si="16"/>
        <v>0</v>
      </c>
      <c r="AN302">
        <f t="shared" si="17"/>
        <v>0</v>
      </c>
    </row>
    <row r="303" spans="1:40" x14ac:dyDescent="0.35">
      <c r="A303">
        <v>43.506300000000003</v>
      </c>
      <c r="B303">
        <v>85.138999999999996</v>
      </c>
      <c r="C303">
        <v>1.1325099999999999</v>
      </c>
      <c r="D303">
        <v>0.18</v>
      </c>
      <c r="E303">
        <v>1</v>
      </c>
      <c r="F303">
        <v>2.5502899999999999</v>
      </c>
      <c r="G303">
        <v>2.8526899999999999</v>
      </c>
      <c r="H303">
        <v>0</v>
      </c>
      <c r="I303">
        <v>0.47781000000000001</v>
      </c>
      <c r="J303">
        <v>5.3222399999999999</v>
      </c>
      <c r="K303" s="2">
        <v>11673200</v>
      </c>
      <c r="L303" s="1">
        <v>0</v>
      </c>
      <c r="M303" s="1">
        <v>0</v>
      </c>
      <c r="N303" s="1">
        <v>0</v>
      </c>
      <c r="O303" s="1">
        <v>0</v>
      </c>
      <c r="P303" s="2">
        <v>3812620</v>
      </c>
      <c r="Q303" s="1">
        <v>-115276</v>
      </c>
      <c r="R303" s="1">
        <v>408539</v>
      </c>
      <c r="S303">
        <v>98.701999999999998</v>
      </c>
      <c r="T303">
        <v>98.274000000000001</v>
      </c>
      <c r="U303">
        <v>3.1543700000000001</v>
      </c>
      <c r="V303">
        <v>0</v>
      </c>
      <c r="W303">
        <v>1</v>
      </c>
      <c r="X303">
        <v>2.0376500000000002</v>
      </c>
      <c r="Y303">
        <v>1.73525</v>
      </c>
      <c r="Z303">
        <v>0</v>
      </c>
      <c r="AA303">
        <v>1.5740000000000001</v>
      </c>
      <c r="AB303">
        <v>2.9635199999999999</v>
      </c>
      <c r="AC303" s="2">
        <v>183224000</v>
      </c>
      <c r="AD303" s="1">
        <v>0</v>
      </c>
      <c r="AE303" s="1">
        <v>0</v>
      </c>
      <c r="AF303" s="1">
        <v>0</v>
      </c>
      <c r="AG303" s="1">
        <v>0</v>
      </c>
      <c r="AH303" s="2">
        <v>5271890</v>
      </c>
      <c r="AI303" s="1">
        <v>928721</v>
      </c>
      <c r="AJ303" s="1">
        <v>0</v>
      </c>
      <c r="AK303" s="8">
        <f t="shared" si="19"/>
        <v>42</v>
      </c>
      <c r="AL303" s="8">
        <f t="shared" si="18"/>
        <v>6</v>
      </c>
      <c r="AM303">
        <f t="shared" si="16"/>
        <v>0</v>
      </c>
      <c r="AN303">
        <f t="shared" si="17"/>
        <v>0</v>
      </c>
    </row>
    <row r="304" spans="1:40" x14ac:dyDescent="0.35">
      <c r="A304">
        <v>41.6556</v>
      </c>
      <c r="B304">
        <v>85.138999999999996</v>
      </c>
      <c r="C304">
        <v>1.1762999999999999</v>
      </c>
      <c r="D304">
        <v>0.18</v>
      </c>
      <c r="E304">
        <v>1</v>
      </c>
      <c r="F304">
        <v>2.5508999999999999</v>
      </c>
      <c r="G304">
        <v>2.8532999999999999</v>
      </c>
      <c r="H304">
        <v>0</v>
      </c>
      <c r="I304">
        <v>0.47792400000000002</v>
      </c>
      <c r="J304">
        <v>5.3222399999999999</v>
      </c>
      <c r="K304" s="2">
        <v>11558000</v>
      </c>
      <c r="L304" s="1">
        <v>0</v>
      </c>
      <c r="M304" s="1">
        <v>0</v>
      </c>
      <c r="N304" s="1">
        <v>0</v>
      </c>
      <c r="O304" s="1">
        <v>0</v>
      </c>
      <c r="P304" s="2">
        <v>3813530</v>
      </c>
      <c r="Q304" s="1">
        <v>-115214</v>
      </c>
      <c r="R304" s="1">
        <v>408539</v>
      </c>
      <c r="S304">
        <v>98.423900000000003</v>
      </c>
      <c r="T304">
        <v>98.274000000000001</v>
      </c>
      <c r="U304">
        <v>3.0667599999999999</v>
      </c>
      <c r="V304">
        <v>0</v>
      </c>
      <c r="W304">
        <v>1</v>
      </c>
      <c r="X304">
        <v>2.0380199999999999</v>
      </c>
      <c r="Y304">
        <v>1.7356199999999999</v>
      </c>
      <c r="Z304">
        <v>0</v>
      </c>
      <c r="AA304">
        <v>1.57429</v>
      </c>
      <c r="AB304">
        <v>2.9635199999999999</v>
      </c>
      <c r="AC304" s="2">
        <v>184153000</v>
      </c>
      <c r="AD304" s="1">
        <v>0</v>
      </c>
      <c r="AE304" s="1">
        <v>0</v>
      </c>
      <c r="AF304" s="1">
        <v>0</v>
      </c>
      <c r="AG304" s="1">
        <v>0</v>
      </c>
      <c r="AH304" s="2">
        <v>5272850</v>
      </c>
      <c r="AI304" s="1">
        <v>928753</v>
      </c>
      <c r="AJ304" s="1">
        <v>0</v>
      </c>
      <c r="AK304" s="8">
        <f t="shared" si="19"/>
        <v>43</v>
      </c>
      <c r="AL304" s="8">
        <f t="shared" si="18"/>
        <v>6</v>
      </c>
      <c r="AM304">
        <f t="shared" si="16"/>
        <v>0</v>
      </c>
      <c r="AN304">
        <f t="shared" si="17"/>
        <v>0</v>
      </c>
    </row>
    <row r="305" spans="1:40" x14ac:dyDescent="0.35">
      <c r="A305">
        <v>42.042400000000001</v>
      </c>
      <c r="B305">
        <v>85.138999999999996</v>
      </c>
      <c r="C305">
        <v>3.4193699999999998</v>
      </c>
      <c r="D305">
        <v>0.18</v>
      </c>
      <c r="E305">
        <v>1</v>
      </c>
      <c r="F305">
        <v>2.4777800000000001</v>
      </c>
      <c r="G305">
        <v>2.7801800000000001</v>
      </c>
      <c r="H305">
        <v>0</v>
      </c>
      <c r="I305">
        <v>0.47803800000000002</v>
      </c>
      <c r="J305">
        <v>5.3222399999999999</v>
      </c>
      <c r="K305" s="2">
        <v>11435300</v>
      </c>
      <c r="L305" s="1">
        <v>0</v>
      </c>
      <c r="M305" s="1">
        <v>0</v>
      </c>
      <c r="N305" s="1">
        <v>0</v>
      </c>
      <c r="O305" s="1">
        <v>0</v>
      </c>
      <c r="P305" s="2">
        <v>3704220</v>
      </c>
      <c r="Q305" s="1">
        <v>-122730</v>
      </c>
      <c r="R305" s="1">
        <v>408539</v>
      </c>
      <c r="S305">
        <v>99.179400000000001</v>
      </c>
      <c r="T305">
        <v>98.274000000000001</v>
      </c>
      <c r="U305">
        <v>5.6636600000000001</v>
      </c>
      <c r="V305">
        <v>0</v>
      </c>
      <c r="W305">
        <v>1</v>
      </c>
      <c r="X305">
        <v>1.95852</v>
      </c>
      <c r="Y305">
        <v>1.65612</v>
      </c>
      <c r="Z305">
        <v>0</v>
      </c>
      <c r="AA305">
        <v>1.5745800000000001</v>
      </c>
      <c r="AB305">
        <v>2.9635199999999999</v>
      </c>
      <c r="AC305" s="2">
        <v>185075000</v>
      </c>
      <c r="AD305" s="1">
        <v>0</v>
      </c>
      <c r="AE305" s="1">
        <v>0</v>
      </c>
      <c r="AF305" s="1">
        <v>0</v>
      </c>
      <c r="AG305" s="1">
        <v>0</v>
      </c>
      <c r="AH305" s="2">
        <v>5067150</v>
      </c>
      <c r="AI305" s="1">
        <v>922048</v>
      </c>
      <c r="AJ305" s="1">
        <v>0</v>
      </c>
      <c r="AK305" s="8">
        <f t="shared" si="19"/>
        <v>44</v>
      </c>
      <c r="AL305" s="8">
        <f t="shared" si="18"/>
        <v>6</v>
      </c>
      <c r="AM305">
        <f t="shared" si="16"/>
        <v>0</v>
      </c>
      <c r="AN305">
        <f t="shared" si="17"/>
        <v>0</v>
      </c>
    </row>
    <row r="306" spans="1:40" x14ac:dyDescent="0.35">
      <c r="A306">
        <v>40.837400000000002</v>
      </c>
      <c r="B306">
        <v>85.138999999999996</v>
      </c>
      <c r="C306">
        <v>1.75091</v>
      </c>
      <c r="D306">
        <v>0.18</v>
      </c>
      <c r="E306">
        <v>1</v>
      </c>
      <c r="F306">
        <v>2.47838</v>
      </c>
      <c r="G306">
        <v>2.78078</v>
      </c>
      <c r="H306">
        <v>0</v>
      </c>
      <c r="I306">
        <v>0.464337</v>
      </c>
      <c r="J306">
        <v>5.3222399999999999</v>
      </c>
      <c r="K306" s="2">
        <v>11312600</v>
      </c>
      <c r="L306" s="1">
        <v>0</v>
      </c>
      <c r="M306" s="1">
        <v>0</v>
      </c>
      <c r="N306" s="1">
        <v>0</v>
      </c>
      <c r="O306" s="1">
        <v>0</v>
      </c>
      <c r="P306" s="2">
        <v>3705110</v>
      </c>
      <c r="Q306" s="1">
        <v>-122669</v>
      </c>
      <c r="R306" s="1">
        <v>408539</v>
      </c>
      <c r="S306">
        <v>99.302199999999999</v>
      </c>
      <c r="T306">
        <v>98.274000000000001</v>
      </c>
      <c r="U306">
        <v>3.2917399999999999</v>
      </c>
      <c r="V306">
        <v>0</v>
      </c>
      <c r="W306">
        <v>1</v>
      </c>
      <c r="X306">
        <v>1.9588699999999999</v>
      </c>
      <c r="Y306">
        <v>1.6564700000000001</v>
      </c>
      <c r="Z306">
        <v>0</v>
      </c>
      <c r="AA306">
        <v>1.51315</v>
      </c>
      <c r="AB306">
        <v>2.9635199999999999</v>
      </c>
      <c r="AC306" s="2">
        <v>185997000</v>
      </c>
      <c r="AD306" s="1">
        <v>0</v>
      </c>
      <c r="AE306" s="1">
        <v>0</v>
      </c>
      <c r="AF306" s="1">
        <v>0</v>
      </c>
      <c r="AG306" s="1">
        <v>0</v>
      </c>
      <c r="AH306" s="2">
        <v>5068070</v>
      </c>
      <c r="AI306" s="1">
        <v>922078</v>
      </c>
      <c r="AJ306" s="1">
        <v>0</v>
      </c>
      <c r="AK306" s="8">
        <f t="shared" si="19"/>
        <v>45</v>
      </c>
      <c r="AL306" s="8">
        <f t="shared" si="18"/>
        <v>6</v>
      </c>
      <c r="AM306">
        <f t="shared" si="16"/>
        <v>0</v>
      </c>
      <c r="AN306">
        <f t="shared" si="17"/>
        <v>0</v>
      </c>
    </row>
    <row r="307" spans="1:40" x14ac:dyDescent="0.35">
      <c r="A307">
        <v>39.815300000000001</v>
      </c>
      <c r="B307">
        <v>85.138999999999996</v>
      </c>
      <c r="C307">
        <v>2.0170499999999998</v>
      </c>
      <c r="D307">
        <v>0.21</v>
      </c>
      <c r="E307">
        <v>1</v>
      </c>
      <c r="F307">
        <v>2.4789699999999999</v>
      </c>
      <c r="G307">
        <v>2.7813699999999999</v>
      </c>
      <c r="H307">
        <v>0</v>
      </c>
      <c r="I307">
        <v>0.46444800000000003</v>
      </c>
      <c r="J307">
        <v>5.3222399999999999</v>
      </c>
      <c r="K307" s="2">
        <v>11190000</v>
      </c>
      <c r="L307" s="1">
        <v>0</v>
      </c>
      <c r="M307" s="1">
        <v>0</v>
      </c>
      <c r="N307" s="1">
        <v>0</v>
      </c>
      <c r="O307" s="1">
        <v>0</v>
      </c>
      <c r="P307" s="2">
        <v>3706000</v>
      </c>
      <c r="Q307" s="1">
        <v>-122608</v>
      </c>
      <c r="R307" s="1">
        <v>408539</v>
      </c>
      <c r="S307">
        <v>99.260099999999994</v>
      </c>
      <c r="T307">
        <v>98.274000000000001</v>
      </c>
      <c r="U307">
        <v>2.5191699999999999</v>
      </c>
      <c r="V307">
        <v>0</v>
      </c>
      <c r="W307">
        <v>1</v>
      </c>
      <c r="X307">
        <v>1.95923</v>
      </c>
      <c r="Y307">
        <v>1.65683</v>
      </c>
      <c r="Z307">
        <v>0</v>
      </c>
      <c r="AA307">
        <v>1.51342</v>
      </c>
      <c r="AB307">
        <v>2.9635199999999999</v>
      </c>
      <c r="AC307" s="2">
        <v>186919000</v>
      </c>
      <c r="AD307" s="1">
        <v>0</v>
      </c>
      <c r="AE307" s="1">
        <v>0</v>
      </c>
      <c r="AF307" s="1">
        <v>0</v>
      </c>
      <c r="AG307" s="1">
        <v>0</v>
      </c>
      <c r="AH307" s="2">
        <v>5068980</v>
      </c>
      <c r="AI307" s="1">
        <v>922107</v>
      </c>
      <c r="AJ307" s="1">
        <v>0</v>
      </c>
      <c r="AK307" s="8">
        <f t="shared" si="19"/>
        <v>46</v>
      </c>
      <c r="AL307" s="8">
        <f t="shared" si="18"/>
        <v>6</v>
      </c>
      <c r="AM307">
        <f t="shared" si="16"/>
        <v>0</v>
      </c>
      <c r="AN307">
        <f t="shared" si="17"/>
        <v>0</v>
      </c>
    </row>
    <row r="308" spans="1:40" x14ac:dyDescent="0.35">
      <c r="A308">
        <v>38.442900000000002</v>
      </c>
      <c r="B308">
        <v>85.138999999999996</v>
      </c>
      <c r="C308">
        <v>1.6653500000000001</v>
      </c>
      <c r="D308">
        <v>0.22</v>
      </c>
      <c r="E308">
        <v>1</v>
      </c>
      <c r="F308">
        <v>2.4795600000000002</v>
      </c>
      <c r="G308">
        <v>2.7819600000000002</v>
      </c>
      <c r="H308">
        <v>0</v>
      </c>
      <c r="I308">
        <v>0.464559</v>
      </c>
      <c r="J308">
        <v>5.3222399999999999</v>
      </c>
      <c r="K308" s="2">
        <v>11067500</v>
      </c>
      <c r="L308" s="1">
        <v>0</v>
      </c>
      <c r="M308" s="1">
        <v>0</v>
      </c>
      <c r="N308" s="1">
        <v>0</v>
      </c>
      <c r="O308" s="1">
        <v>0</v>
      </c>
      <c r="P308" s="2">
        <v>3706880</v>
      </c>
      <c r="Q308" s="1">
        <v>-122547</v>
      </c>
      <c r="R308" s="1">
        <v>408539</v>
      </c>
      <c r="S308">
        <v>99.119299999999996</v>
      </c>
      <c r="T308">
        <v>98.274000000000001</v>
      </c>
      <c r="U308">
        <v>2.5293600000000001</v>
      </c>
      <c r="V308">
        <v>0</v>
      </c>
      <c r="W308">
        <v>1</v>
      </c>
      <c r="X308">
        <v>1.9595800000000001</v>
      </c>
      <c r="Y308">
        <v>1.6571800000000001</v>
      </c>
      <c r="Z308">
        <v>0</v>
      </c>
      <c r="AA308">
        <v>1.5137</v>
      </c>
      <c r="AB308">
        <v>2.9635199999999999</v>
      </c>
      <c r="AC308" s="2">
        <v>187842000</v>
      </c>
      <c r="AD308" s="1">
        <v>0</v>
      </c>
      <c r="AE308" s="1">
        <v>0</v>
      </c>
      <c r="AF308" s="1">
        <v>0</v>
      </c>
      <c r="AG308" s="1">
        <v>0</v>
      </c>
      <c r="AH308" s="2">
        <v>5069900</v>
      </c>
      <c r="AI308" s="1">
        <v>922137</v>
      </c>
      <c r="AJ308" s="1">
        <v>0</v>
      </c>
      <c r="AK308" s="8">
        <f t="shared" si="19"/>
        <v>47</v>
      </c>
      <c r="AL308" s="8">
        <f t="shared" si="18"/>
        <v>6</v>
      </c>
      <c r="AM308">
        <f t="shared" si="16"/>
        <v>0</v>
      </c>
      <c r="AN308">
        <f t="shared" si="17"/>
        <v>0</v>
      </c>
    </row>
    <row r="309" spans="1:40" x14ac:dyDescent="0.35">
      <c r="A309">
        <v>39.869999999999997</v>
      </c>
      <c r="B309">
        <v>85.138999999999996</v>
      </c>
      <c r="C309">
        <v>4.2530599999999996</v>
      </c>
      <c r="D309">
        <v>0.21</v>
      </c>
      <c r="E309">
        <v>1</v>
      </c>
      <c r="F309">
        <v>2.2706</v>
      </c>
      <c r="G309">
        <v>2.573</v>
      </c>
      <c r="H309">
        <v>0</v>
      </c>
      <c r="I309">
        <v>0.46467000000000003</v>
      </c>
      <c r="J309">
        <v>5.3222399999999999</v>
      </c>
      <c r="K309" s="2">
        <v>10923400</v>
      </c>
      <c r="L309" s="1">
        <v>0</v>
      </c>
      <c r="M309" s="1">
        <v>0</v>
      </c>
      <c r="N309" s="1">
        <v>0</v>
      </c>
      <c r="O309" s="1">
        <v>0</v>
      </c>
      <c r="P309" s="2">
        <v>3394490</v>
      </c>
      <c r="Q309" s="1">
        <v>-144029</v>
      </c>
      <c r="R309" s="1">
        <v>408539</v>
      </c>
      <c r="S309">
        <v>99.302199999999999</v>
      </c>
      <c r="T309">
        <v>98.274000000000001</v>
      </c>
      <c r="U309">
        <v>7.5252299999999996</v>
      </c>
      <c r="V309">
        <v>0</v>
      </c>
      <c r="W309">
        <v>1</v>
      </c>
      <c r="X309">
        <v>1.7934399999999999</v>
      </c>
      <c r="Y309">
        <v>1.4910399999999999</v>
      </c>
      <c r="Z309">
        <v>0</v>
      </c>
      <c r="AA309">
        <v>1.51397</v>
      </c>
      <c r="AB309">
        <v>2.9635199999999999</v>
      </c>
      <c r="AC309" s="2">
        <v>188750000</v>
      </c>
      <c r="AD309" s="1">
        <v>0</v>
      </c>
      <c r="AE309" s="1">
        <v>0</v>
      </c>
      <c r="AF309" s="1">
        <v>0</v>
      </c>
      <c r="AG309" s="1">
        <v>0</v>
      </c>
      <c r="AH309" s="2">
        <v>4640050</v>
      </c>
      <c r="AI309" s="1">
        <v>908126</v>
      </c>
      <c r="AJ309" s="1">
        <v>0</v>
      </c>
      <c r="AK309" s="8">
        <f t="shared" si="19"/>
        <v>48</v>
      </c>
      <c r="AL309" s="8">
        <f t="shared" si="18"/>
        <v>6</v>
      </c>
      <c r="AM309">
        <f t="shared" si="16"/>
        <v>0</v>
      </c>
      <c r="AN309">
        <f t="shared" si="17"/>
        <v>0</v>
      </c>
    </row>
    <row r="310" spans="1:40" x14ac:dyDescent="0.35">
      <c r="A310">
        <v>41.750700000000002</v>
      </c>
      <c r="B310">
        <v>85.138999999999996</v>
      </c>
      <c r="C310">
        <v>4.7190000000000003</v>
      </c>
      <c r="D310">
        <v>0.21</v>
      </c>
      <c r="E310">
        <v>1</v>
      </c>
      <c r="F310">
        <v>2.27115</v>
      </c>
      <c r="G310">
        <v>2.57355</v>
      </c>
      <c r="H310">
        <v>0</v>
      </c>
      <c r="I310">
        <v>0.42551</v>
      </c>
      <c r="J310">
        <v>5.3222399999999999</v>
      </c>
      <c r="K310" s="2">
        <v>10779500</v>
      </c>
      <c r="L310" s="1">
        <v>0</v>
      </c>
      <c r="M310" s="1">
        <v>0</v>
      </c>
      <c r="N310" s="1">
        <v>0</v>
      </c>
      <c r="O310" s="1">
        <v>0</v>
      </c>
      <c r="P310" s="2">
        <v>3395310</v>
      </c>
      <c r="Q310" s="1">
        <v>-143973</v>
      </c>
      <c r="R310" s="1">
        <v>408539</v>
      </c>
      <c r="S310">
        <v>99.302199999999999</v>
      </c>
      <c r="T310">
        <v>98.274000000000001</v>
      </c>
      <c r="U310">
        <v>7.1652800000000001</v>
      </c>
      <c r="V310">
        <v>0</v>
      </c>
      <c r="W310">
        <v>1</v>
      </c>
      <c r="X310">
        <v>1.79376</v>
      </c>
      <c r="Y310">
        <v>1.49136</v>
      </c>
      <c r="Z310">
        <v>0</v>
      </c>
      <c r="AA310">
        <v>1.38561</v>
      </c>
      <c r="AB310">
        <v>2.9635199999999999</v>
      </c>
      <c r="AC310" s="2">
        <v>189658000</v>
      </c>
      <c r="AD310" s="1">
        <v>0</v>
      </c>
      <c r="AE310" s="1">
        <v>0</v>
      </c>
      <c r="AF310" s="1">
        <v>0</v>
      </c>
      <c r="AG310" s="1">
        <v>0</v>
      </c>
      <c r="AH310" s="2">
        <v>4640880</v>
      </c>
      <c r="AI310" s="1">
        <v>908153</v>
      </c>
      <c r="AJ310" s="1">
        <v>0</v>
      </c>
      <c r="AK310" s="8">
        <f t="shared" si="19"/>
        <v>49</v>
      </c>
      <c r="AL310" s="8">
        <f t="shared" si="18"/>
        <v>6</v>
      </c>
      <c r="AM310">
        <f t="shared" si="16"/>
        <v>0</v>
      </c>
      <c r="AN310">
        <f t="shared" si="17"/>
        <v>0</v>
      </c>
    </row>
    <row r="311" spans="1:40" x14ac:dyDescent="0.35">
      <c r="A311">
        <v>42.09</v>
      </c>
      <c r="B311">
        <v>85.138999999999996</v>
      </c>
      <c r="C311">
        <v>3.1889699999999999</v>
      </c>
      <c r="D311">
        <v>0.17</v>
      </c>
      <c r="E311">
        <v>1</v>
      </c>
      <c r="F311">
        <v>2.2717000000000001</v>
      </c>
      <c r="G311">
        <v>2.5741000000000001</v>
      </c>
      <c r="H311">
        <v>0</v>
      </c>
      <c r="I311">
        <v>0.42561300000000002</v>
      </c>
      <c r="J311">
        <v>5.3222399999999999</v>
      </c>
      <c r="K311" s="2">
        <v>10635500</v>
      </c>
      <c r="L311" s="1">
        <v>0</v>
      </c>
      <c r="M311" s="1">
        <v>0</v>
      </c>
      <c r="N311" s="1">
        <v>0</v>
      </c>
      <c r="O311" s="1">
        <v>0</v>
      </c>
      <c r="P311" s="2">
        <v>3396130</v>
      </c>
      <c r="Q311" s="1">
        <v>-143916</v>
      </c>
      <c r="R311" s="1">
        <v>408539</v>
      </c>
      <c r="S311">
        <v>99.302199999999999</v>
      </c>
      <c r="T311">
        <v>98.274000000000001</v>
      </c>
      <c r="U311">
        <v>6.3165100000000001</v>
      </c>
      <c r="V311">
        <v>0</v>
      </c>
      <c r="W311">
        <v>1</v>
      </c>
      <c r="X311">
        <v>1.7940700000000001</v>
      </c>
      <c r="Y311">
        <v>1.4916700000000001</v>
      </c>
      <c r="Z311">
        <v>0</v>
      </c>
      <c r="AA311">
        <v>1.3858600000000001</v>
      </c>
      <c r="AB311">
        <v>2.9635199999999999</v>
      </c>
      <c r="AC311" s="2">
        <v>190566000</v>
      </c>
      <c r="AD311" s="1">
        <v>0</v>
      </c>
      <c r="AE311" s="1">
        <v>0</v>
      </c>
      <c r="AF311" s="1">
        <v>0</v>
      </c>
      <c r="AG311" s="1">
        <v>0</v>
      </c>
      <c r="AH311" s="2">
        <v>4641700</v>
      </c>
      <c r="AI311" s="1">
        <v>908180</v>
      </c>
      <c r="AJ311" s="1">
        <v>0</v>
      </c>
      <c r="AK311" s="8">
        <f t="shared" si="19"/>
        <v>50</v>
      </c>
      <c r="AL311" s="8">
        <f t="shared" si="18"/>
        <v>6</v>
      </c>
      <c r="AM311">
        <f t="shared" si="16"/>
        <v>0</v>
      </c>
      <c r="AN311">
        <f t="shared" si="17"/>
        <v>0</v>
      </c>
    </row>
    <row r="312" spans="1:40" x14ac:dyDescent="0.35">
      <c r="A312">
        <v>42.756399999999999</v>
      </c>
      <c r="B312">
        <v>85.138999999999996</v>
      </c>
      <c r="C312">
        <v>3.5208699999999999</v>
      </c>
      <c r="D312">
        <v>0.19</v>
      </c>
      <c r="E312">
        <v>1</v>
      </c>
      <c r="F312">
        <v>2.2722500000000001</v>
      </c>
      <c r="G312">
        <v>2.5746500000000001</v>
      </c>
      <c r="H312">
        <v>0</v>
      </c>
      <c r="I312">
        <v>0.42571599999999998</v>
      </c>
      <c r="J312">
        <v>5.3222399999999999</v>
      </c>
      <c r="K312" s="2">
        <v>10491700</v>
      </c>
      <c r="L312" s="1">
        <v>0</v>
      </c>
      <c r="M312" s="1">
        <v>0</v>
      </c>
      <c r="N312" s="1">
        <v>0</v>
      </c>
      <c r="O312" s="1">
        <v>0</v>
      </c>
      <c r="P312" s="2">
        <v>3396950</v>
      </c>
      <c r="Q312" s="1">
        <v>-143860</v>
      </c>
      <c r="R312" s="1">
        <v>408539</v>
      </c>
      <c r="S312">
        <v>99.302199999999999</v>
      </c>
      <c r="T312">
        <v>98.274000000000001</v>
      </c>
      <c r="U312">
        <v>6.4476100000000001</v>
      </c>
      <c r="V312">
        <v>0</v>
      </c>
      <c r="W312">
        <v>1</v>
      </c>
      <c r="X312">
        <v>1.7943899999999999</v>
      </c>
      <c r="Y312">
        <v>1.4919899999999999</v>
      </c>
      <c r="Z312">
        <v>0</v>
      </c>
      <c r="AA312">
        <v>1.3861000000000001</v>
      </c>
      <c r="AB312">
        <v>2.9635199999999999</v>
      </c>
      <c r="AC312" s="2">
        <v>191474000</v>
      </c>
      <c r="AD312" s="1">
        <v>0</v>
      </c>
      <c r="AE312" s="1">
        <v>0</v>
      </c>
      <c r="AF312" s="1">
        <v>0</v>
      </c>
      <c r="AG312" s="1">
        <v>0</v>
      </c>
      <c r="AH312" s="2">
        <v>4642520</v>
      </c>
      <c r="AI312" s="1">
        <v>908207</v>
      </c>
      <c r="AJ312" s="1">
        <v>0</v>
      </c>
      <c r="AK312" s="8">
        <f t="shared" si="19"/>
        <v>51</v>
      </c>
      <c r="AL312" s="8">
        <f t="shared" si="18"/>
        <v>6</v>
      </c>
      <c r="AM312">
        <f t="shared" si="16"/>
        <v>0</v>
      </c>
      <c r="AN312">
        <f t="shared" si="17"/>
        <v>0</v>
      </c>
    </row>
    <row r="313" spans="1:40" x14ac:dyDescent="0.35">
      <c r="A313">
        <v>43.855600000000003</v>
      </c>
      <c r="B313">
        <v>85.138999999999996</v>
      </c>
      <c r="C313">
        <v>3.9839799999999999</v>
      </c>
      <c r="D313">
        <v>0.19</v>
      </c>
      <c r="E313">
        <v>1</v>
      </c>
      <c r="F313">
        <v>2.2727900000000001</v>
      </c>
      <c r="G313">
        <v>2.5751900000000001</v>
      </c>
      <c r="H313">
        <v>0</v>
      </c>
      <c r="I313">
        <v>0.425819</v>
      </c>
      <c r="J313">
        <v>5.3222399999999999</v>
      </c>
      <c r="K313" s="2">
        <v>10347900</v>
      </c>
      <c r="L313" s="1">
        <v>0</v>
      </c>
      <c r="M313" s="1">
        <v>0</v>
      </c>
      <c r="N313" s="1">
        <v>0</v>
      </c>
      <c r="O313" s="1">
        <v>0</v>
      </c>
      <c r="P313" s="2">
        <v>3397770</v>
      </c>
      <c r="Q313" s="1">
        <v>-143804</v>
      </c>
      <c r="R313" s="1">
        <v>408539</v>
      </c>
      <c r="S313">
        <v>99.302199999999999</v>
      </c>
      <c r="T313">
        <v>98.274000000000001</v>
      </c>
      <c r="U313">
        <v>6.6906299999999996</v>
      </c>
      <c r="V313">
        <v>0</v>
      </c>
      <c r="W313">
        <v>1</v>
      </c>
      <c r="X313">
        <v>1.79471</v>
      </c>
      <c r="Y313">
        <v>1.49231</v>
      </c>
      <c r="Z313">
        <v>0</v>
      </c>
      <c r="AA313">
        <v>1.38635</v>
      </c>
      <c r="AB313">
        <v>2.9635199999999999</v>
      </c>
      <c r="AC313" s="2">
        <v>192383000</v>
      </c>
      <c r="AD313" s="1">
        <v>0</v>
      </c>
      <c r="AE313" s="1">
        <v>0</v>
      </c>
      <c r="AF313" s="1">
        <v>0</v>
      </c>
      <c r="AG313" s="1">
        <v>0</v>
      </c>
      <c r="AH313" s="2">
        <v>4643350</v>
      </c>
      <c r="AI313" s="1">
        <v>908233</v>
      </c>
      <c r="AJ313" s="1">
        <v>0</v>
      </c>
      <c r="AK313" s="8">
        <f t="shared" si="19"/>
        <v>52</v>
      </c>
      <c r="AL313" s="8">
        <f t="shared" si="18"/>
        <v>6</v>
      </c>
      <c r="AM313">
        <f t="shared" si="16"/>
        <v>192383000</v>
      </c>
      <c r="AN313">
        <f t="shared" si="17"/>
        <v>10347900</v>
      </c>
    </row>
    <row r="314" spans="1:40" x14ac:dyDescent="0.35">
      <c r="A314">
        <v>48.5807</v>
      </c>
      <c r="B314">
        <v>85.138999999999996</v>
      </c>
      <c r="C314">
        <v>7.6086099999999997</v>
      </c>
      <c r="D314">
        <v>0.22</v>
      </c>
      <c r="E314">
        <v>1</v>
      </c>
      <c r="F314">
        <v>2.2727900000000001</v>
      </c>
      <c r="G314">
        <v>2.5751900000000001</v>
      </c>
      <c r="H314">
        <v>0</v>
      </c>
      <c r="I314">
        <v>0.42592200000000002</v>
      </c>
      <c r="J314">
        <v>5.3222399999999999</v>
      </c>
      <c r="K314" s="2">
        <v>10204100</v>
      </c>
      <c r="L314" s="1">
        <v>0</v>
      </c>
      <c r="M314" s="1">
        <v>0</v>
      </c>
      <c r="N314" s="1">
        <v>0</v>
      </c>
      <c r="O314" s="1">
        <v>0</v>
      </c>
      <c r="P314" s="2">
        <v>3397770</v>
      </c>
      <c r="Q314" s="1">
        <v>-143804</v>
      </c>
      <c r="R314" s="1">
        <v>408539</v>
      </c>
      <c r="S314">
        <v>99.302199999999999</v>
      </c>
      <c r="T314">
        <v>98.274000000000001</v>
      </c>
      <c r="U314">
        <v>9.2109799999999993</v>
      </c>
      <c r="V314">
        <v>0</v>
      </c>
      <c r="W314">
        <v>1</v>
      </c>
      <c r="X314">
        <v>1.79471</v>
      </c>
      <c r="Y314">
        <v>1.49231</v>
      </c>
      <c r="Z314">
        <v>0</v>
      </c>
      <c r="AA314">
        <v>1.38659</v>
      </c>
      <c r="AB314">
        <v>2.9635199999999999</v>
      </c>
      <c r="AC314" s="2">
        <v>193291000</v>
      </c>
      <c r="AD314" s="1">
        <v>0</v>
      </c>
      <c r="AE314" s="1">
        <v>0</v>
      </c>
      <c r="AF314" s="1">
        <v>0</v>
      </c>
      <c r="AG314" s="1">
        <v>0</v>
      </c>
      <c r="AH314" s="2">
        <v>4643350</v>
      </c>
      <c r="AI314" s="1">
        <v>908233</v>
      </c>
      <c r="AJ314" s="1">
        <v>0</v>
      </c>
      <c r="AK314" s="8">
        <f t="shared" si="19"/>
        <v>1</v>
      </c>
      <c r="AL314" s="8">
        <f t="shared" si="18"/>
        <v>7</v>
      </c>
      <c r="AM314">
        <f t="shared" si="16"/>
        <v>0</v>
      </c>
      <c r="AN314">
        <f t="shared" si="17"/>
        <v>0</v>
      </c>
    </row>
    <row r="315" spans="1:40" x14ac:dyDescent="0.35">
      <c r="A315">
        <v>48.078600000000002</v>
      </c>
      <c r="B315">
        <v>85.138999999999996</v>
      </c>
      <c r="C315">
        <v>2.4836100000000001</v>
      </c>
      <c r="D315">
        <v>0.03</v>
      </c>
      <c r="E315">
        <v>0</v>
      </c>
      <c r="F315">
        <v>2.3540199999999998</v>
      </c>
      <c r="G315">
        <v>2.6564199999999998</v>
      </c>
      <c r="H315">
        <v>0</v>
      </c>
      <c r="I315">
        <v>0.42592200000000002</v>
      </c>
      <c r="J315">
        <v>5.3222399999999999</v>
      </c>
      <c r="K315" s="2">
        <v>10068600</v>
      </c>
      <c r="L315" s="1">
        <v>0</v>
      </c>
      <c r="M315" s="1">
        <v>0</v>
      </c>
      <c r="N315" s="1">
        <v>0</v>
      </c>
      <c r="O315" s="2">
        <v>29016000</v>
      </c>
      <c r="P315" s="2">
        <v>3519210</v>
      </c>
      <c r="Q315" s="1">
        <v>-135453</v>
      </c>
      <c r="R315" s="1">
        <v>408539</v>
      </c>
      <c r="S315">
        <v>99.302199999999999</v>
      </c>
      <c r="T315">
        <v>98.274000000000001</v>
      </c>
      <c r="U315">
        <v>4.2004000000000001</v>
      </c>
      <c r="V315">
        <v>0</v>
      </c>
      <c r="W315">
        <v>0</v>
      </c>
      <c r="X315">
        <v>1.8432900000000001</v>
      </c>
      <c r="Y315">
        <v>1.5408900000000001</v>
      </c>
      <c r="Z315">
        <v>0</v>
      </c>
      <c r="AA315">
        <v>1.38659</v>
      </c>
      <c r="AB315">
        <v>2.9635199999999999</v>
      </c>
      <c r="AC315" s="2">
        <v>194203000</v>
      </c>
      <c r="AD315" s="1">
        <v>0</v>
      </c>
      <c r="AE315" s="1">
        <v>0</v>
      </c>
      <c r="AF315" s="1">
        <v>0</v>
      </c>
      <c r="AG315" s="2">
        <v>7883220</v>
      </c>
      <c r="AH315" s="2">
        <v>4769020</v>
      </c>
      <c r="AI315" s="1">
        <v>912330</v>
      </c>
      <c r="AJ315" s="1">
        <v>0</v>
      </c>
      <c r="AK315" s="8">
        <f t="shared" si="19"/>
        <v>2</v>
      </c>
      <c r="AL315" s="8">
        <f t="shared" si="18"/>
        <v>7</v>
      </c>
      <c r="AM315">
        <f t="shared" si="16"/>
        <v>0</v>
      </c>
      <c r="AN315">
        <f t="shared" si="17"/>
        <v>0</v>
      </c>
    </row>
    <row r="316" spans="1:40" x14ac:dyDescent="0.35">
      <c r="A316">
        <v>48.5062</v>
      </c>
      <c r="B316">
        <v>85.138999999999996</v>
      </c>
      <c r="C316">
        <v>3.4123000000000001</v>
      </c>
      <c r="D316">
        <v>0.03</v>
      </c>
      <c r="E316">
        <v>0</v>
      </c>
      <c r="F316">
        <v>2.3545699999999998</v>
      </c>
      <c r="G316">
        <v>2.6569699999999998</v>
      </c>
      <c r="H316">
        <v>0</v>
      </c>
      <c r="I316">
        <v>0.44114399999999998</v>
      </c>
      <c r="J316">
        <v>5.3222399999999999</v>
      </c>
      <c r="K316" s="2">
        <v>9933220</v>
      </c>
      <c r="L316" s="1">
        <v>0</v>
      </c>
      <c r="M316" s="1">
        <v>0</v>
      </c>
      <c r="N316" s="1">
        <v>0</v>
      </c>
      <c r="O316" s="1">
        <v>0</v>
      </c>
      <c r="P316" s="2">
        <v>3520020</v>
      </c>
      <c r="Q316" s="1">
        <v>-135397</v>
      </c>
      <c r="R316" s="1">
        <v>408539</v>
      </c>
      <c r="S316">
        <v>99.302199999999999</v>
      </c>
      <c r="T316">
        <v>98.274000000000001</v>
      </c>
      <c r="U316">
        <v>4.7814500000000004</v>
      </c>
      <c r="V316">
        <v>0</v>
      </c>
      <c r="W316">
        <v>0</v>
      </c>
      <c r="X316">
        <v>1.8435999999999999</v>
      </c>
      <c r="Y316">
        <v>1.5411999999999999</v>
      </c>
      <c r="Z316">
        <v>0</v>
      </c>
      <c r="AA316">
        <v>1.4241200000000001</v>
      </c>
      <c r="AB316">
        <v>2.9635199999999999</v>
      </c>
      <c r="AC316" s="2">
        <v>195115000</v>
      </c>
      <c r="AD316" s="1">
        <v>0</v>
      </c>
      <c r="AE316" s="1">
        <v>0</v>
      </c>
      <c r="AF316" s="1">
        <v>0</v>
      </c>
      <c r="AG316" s="1">
        <v>0</v>
      </c>
      <c r="AH316" s="2">
        <v>4769840</v>
      </c>
      <c r="AI316" s="1">
        <v>912357</v>
      </c>
      <c r="AJ316" s="1">
        <v>0</v>
      </c>
      <c r="AK316" s="8">
        <f t="shared" si="19"/>
        <v>3</v>
      </c>
      <c r="AL316" s="8">
        <f t="shared" si="18"/>
        <v>7</v>
      </c>
      <c r="AM316">
        <f t="shared" si="16"/>
        <v>0</v>
      </c>
      <c r="AN316">
        <f t="shared" si="17"/>
        <v>0</v>
      </c>
    </row>
    <row r="317" spans="1:40" x14ac:dyDescent="0.35">
      <c r="A317">
        <v>51.094700000000003</v>
      </c>
      <c r="B317">
        <v>85.138999999999996</v>
      </c>
      <c r="C317">
        <v>5.5746099999999998</v>
      </c>
      <c r="D317">
        <v>0.04</v>
      </c>
      <c r="E317">
        <v>0</v>
      </c>
      <c r="F317">
        <v>2.3551099999999998</v>
      </c>
      <c r="G317">
        <v>2.6575099999999998</v>
      </c>
      <c r="H317">
        <v>0</v>
      </c>
      <c r="I317">
        <v>0.44124600000000003</v>
      </c>
      <c r="J317">
        <v>5.3222399999999999</v>
      </c>
      <c r="K317" s="2">
        <v>9797880</v>
      </c>
      <c r="L317" s="1">
        <v>0</v>
      </c>
      <c r="M317" s="1">
        <v>0</v>
      </c>
      <c r="N317" s="1">
        <v>0</v>
      </c>
      <c r="O317" s="1">
        <v>0</v>
      </c>
      <c r="P317" s="2">
        <v>3520840</v>
      </c>
      <c r="Q317" s="1">
        <v>-135341</v>
      </c>
      <c r="R317" s="1">
        <v>408539</v>
      </c>
      <c r="S317">
        <v>99.302199999999999</v>
      </c>
      <c r="T317">
        <v>98.274000000000001</v>
      </c>
      <c r="U317">
        <v>13.5694</v>
      </c>
      <c r="V317">
        <v>0</v>
      </c>
      <c r="W317">
        <v>0</v>
      </c>
      <c r="X317">
        <v>1.84392</v>
      </c>
      <c r="Y317">
        <v>1.54152</v>
      </c>
      <c r="Z317">
        <v>0</v>
      </c>
      <c r="AA317">
        <v>1.4243699999999999</v>
      </c>
      <c r="AB317">
        <v>2.9635199999999999</v>
      </c>
      <c r="AC317" s="2">
        <v>196028000</v>
      </c>
      <c r="AD317" s="1">
        <v>0</v>
      </c>
      <c r="AE317" s="1">
        <v>0</v>
      </c>
      <c r="AF317" s="1">
        <v>0</v>
      </c>
      <c r="AG317" s="1">
        <v>0</v>
      </c>
      <c r="AH317" s="2">
        <v>4770660</v>
      </c>
      <c r="AI317" s="1">
        <v>912383</v>
      </c>
      <c r="AJ317" s="1">
        <v>0</v>
      </c>
      <c r="AK317" s="8">
        <f t="shared" si="19"/>
        <v>4</v>
      </c>
      <c r="AL317" s="8">
        <f t="shared" si="18"/>
        <v>7</v>
      </c>
      <c r="AM317">
        <f t="shared" si="16"/>
        <v>0</v>
      </c>
      <c r="AN317">
        <f t="shared" si="17"/>
        <v>0</v>
      </c>
    </row>
    <row r="318" spans="1:40" x14ac:dyDescent="0.35">
      <c r="A318">
        <v>52.5197</v>
      </c>
      <c r="B318">
        <v>85.138999999999996</v>
      </c>
      <c r="C318">
        <v>4.39229</v>
      </c>
      <c r="D318">
        <v>0.03</v>
      </c>
      <c r="E318">
        <v>0</v>
      </c>
      <c r="F318">
        <v>2.3556599999999999</v>
      </c>
      <c r="G318">
        <v>2.6580599999999999</v>
      </c>
      <c r="H318">
        <v>0</v>
      </c>
      <c r="I318">
        <v>0.44134899999999999</v>
      </c>
      <c r="J318">
        <v>5.3222399999999999</v>
      </c>
      <c r="K318" s="2">
        <v>9662600</v>
      </c>
      <c r="L318" s="1">
        <v>0</v>
      </c>
      <c r="M318" s="1">
        <v>0</v>
      </c>
      <c r="N318" s="1">
        <v>0</v>
      </c>
      <c r="O318" s="1">
        <v>0</v>
      </c>
      <c r="P318" s="2">
        <v>3521650</v>
      </c>
      <c r="Q318" s="1">
        <v>-135285</v>
      </c>
      <c r="R318" s="1">
        <v>408539</v>
      </c>
      <c r="S318">
        <v>99.302199999999999</v>
      </c>
      <c r="T318">
        <v>98.274000000000001</v>
      </c>
      <c r="U318">
        <v>9.2429900000000007</v>
      </c>
      <c r="V318">
        <v>0</v>
      </c>
      <c r="W318">
        <v>0</v>
      </c>
      <c r="X318">
        <v>1.84423</v>
      </c>
      <c r="Y318">
        <v>1.54183</v>
      </c>
      <c r="Z318">
        <v>0</v>
      </c>
      <c r="AA318">
        <v>1.4246099999999999</v>
      </c>
      <c r="AB318">
        <v>2.9635199999999999</v>
      </c>
      <c r="AC318" s="2">
        <v>196940000</v>
      </c>
      <c r="AD318" s="1">
        <v>0</v>
      </c>
      <c r="AE318" s="1">
        <v>0</v>
      </c>
      <c r="AF318" s="1">
        <v>0</v>
      </c>
      <c r="AG318" s="1">
        <v>0</v>
      </c>
      <c r="AH318" s="2">
        <v>4771470</v>
      </c>
      <c r="AI318" s="1">
        <v>912410</v>
      </c>
      <c r="AJ318" s="1">
        <v>0</v>
      </c>
      <c r="AK318" s="8">
        <f t="shared" si="19"/>
        <v>5</v>
      </c>
      <c r="AL318" s="8">
        <f t="shared" si="18"/>
        <v>7</v>
      </c>
      <c r="AM318">
        <f t="shared" si="16"/>
        <v>0</v>
      </c>
      <c r="AN318">
        <f t="shared" si="17"/>
        <v>0</v>
      </c>
    </row>
    <row r="319" spans="1:40" x14ac:dyDescent="0.35">
      <c r="A319">
        <v>52.854999999999997</v>
      </c>
      <c r="B319">
        <v>85.138999999999996</v>
      </c>
      <c r="C319">
        <v>3.5796000000000001</v>
      </c>
      <c r="D319">
        <v>0.02</v>
      </c>
      <c r="E319">
        <v>0</v>
      </c>
      <c r="F319">
        <v>2.6155200000000001</v>
      </c>
      <c r="G319">
        <v>2.9179200000000001</v>
      </c>
      <c r="H319">
        <v>0</v>
      </c>
      <c r="I319">
        <v>0.44145099999999998</v>
      </c>
      <c r="J319">
        <v>5.3222399999999999</v>
      </c>
      <c r="K319" s="2">
        <v>9554030</v>
      </c>
      <c r="L319" s="1">
        <v>0</v>
      </c>
      <c r="M319" s="1">
        <v>0</v>
      </c>
      <c r="N319" s="1">
        <v>0</v>
      </c>
      <c r="O319" s="1">
        <v>0</v>
      </c>
      <c r="P319" s="2">
        <v>3910140</v>
      </c>
      <c r="Q319" s="1">
        <v>-108571</v>
      </c>
      <c r="R319" s="1">
        <v>408539</v>
      </c>
      <c r="S319">
        <v>99.302199999999999</v>
      </c>
      <c r="T319">
        <v>98.274000000000001</v>
      </c>
      <c r="U319">
        <v>6.6186100000000003</v>
      </c>
      <c r="V319">
        <v>0</v>
      </c>
      <c r="W319">
        <v>0</v>
      </c>
      <c r="X319">
        <v>2.0258799999999999</v>
      </c>
      <c r="Y319">
        <v>1.7234799999999999</v>
      </c>
      <c r="Z319">
        <v>0</v>
      </c>
      <c r="AA319">
        <v>1.42486</v>
      </c>
      <c r="AB319">
        <v>2.9635199999999999</v>
      </c>
      <c r="AC319" s="2">
        <v>197868000</v>
      </c>
      <c r="AD319" s="1">
        <v>0</v>
      </c>
      <c r="AE319" s="1">
        <v>0</v>
      </c>
      <c r="AF319" s="1">
        <v>0</v>
      </c>
      <c r="AG319" s="1">
        <v>0</v>
      </c>
      <c r="AH319" s="2">
        <v>5241420</v>
      </c>
      <c r="AI319" s="1">
        <v>927728</v>
      </c>
      <c r="AJ319" s="1">
        <v>0</v>
      </c>
      <c r="AK319" s="8">
        <f t="shared" si="19"/>
        <v>6</v>
      </c>
      <c r="AL319" s="8">
        <f t="shared" si="18"/>
        <v>7</v>
      </c>
      <c r="AM319">
        <f t="shared" si="16"/>
        <v>0</v>
      </c>
      <c r="AN319">
        <f t="shared" si="17"/>
        <v>0</v>
      </c>
    </row>
    <row r="320" spans="1:40" x14ac:dyDescent="0.35">
      <c r="A320">
        <v>54.347900000000003</v>
      </c>
      <c r="B320">
        <v>85.138999999999996</v>
      </c>
      <c r="C320">
        <v>4.7439999999999998</v>
      </c>
      <c r="D320">
        <v>0.04</v>
      </c>
      <c r="E320">
        <v>0</v>
      </c>
      <c r="F320">
        <v>2.61612</v>
      </c>
      <c r="G320">
        <v>2.91852</v>
      </c>
      <c r="H320">
        <v>0</v>
      </c>
      <c r="I320">
        <v>0.49014799999999997</v>
      </c>
      <c r="J320">
        <v>5.3222399999999999</v>
      </c>
      <c r="K320" s="2">
        <v>9445520</v>
      </c>
      <c r="L320" s="1">
        <v>0</v>
      </c>
      <c r="M320" s="1">
        <v>0</v>
      </c>
      <c r="N320" s="1">
        <v>0</v>
      </c>
      <c r="O320" s="1">
        <v>0</v>
      </c>
      <c r="P320" s="2">
        <v>3911030</v>
      </c>
      <c r="Q320" s="1">
        <v>-108509</v>
      </c>
      <c r="R320" s="1">
        <v>408539</v>
      </c>
      <c r="S320">
        <v>99.302199999999999</v>
      </c>
      <c r="T320">
        <v>98.274000000000001</v>
      </c>
      <c r="U320">
        <v>6.8299099999999999</v>
      </c>
      <c r="V320">
        <v>0</v>
      </c>
      <c r="W320">
        <v>0</v>
      </c>
      <c r="X320">
        <v>2.02623</v>
      </c>
      <c r="Y320">
        <v>1.72383</v>
      </c>
      <c r="Z320">
        <v>0</v>
      </c>
      <c r="AA320">
        <v>1.5651900000000001</v>
      </c>
      <c r="AB320">
        <v>2.9635199999999999</v>
      </c>
      <c r="AC320" s="2">
        <v>198796000</v>
      </c>
      <c r="AD320" s="1">
        <v>0</v>
      </c>
      <c r="AE320" s="1">
        <v>0</v>
      </c>
      <c r="AF320" s="1">
        <v>0</v>
      </c>
      <c r="AG320" s="1">
        <v>0</v>
      </c>
      <c r="AH320" s="2">
        <v>5242340</v>
      </c>
      <c r="AI320" s="1">
        <v>927758</v>
      </c>
      <c r="AJ320" s="1">
        <v>0</v>
      </c>
      <c r="AK320" s="8">
        <f t="shared" si="19"/>
        <v>7</v>
      </c>
      <c r="AL320" s="8">
        <f t="shared" si="18"/>
        <v>7</v>
      </c>
      <c r="AM320">
        <f t="shared" si="16"/>
        <v>0</v>
      </c>
      <c r="AN320">
        <f t="shared" si="17"/>
        <v>0</v>
      </c>
    </row>
    <row r="321" spans="1:40" x14ac:dyDescent="0.35">
      <c r="A321">
        <v>54.321199999999997</v>
      </c>
      <c r="B321">
        <v>85.138999999999996</v>
      </c>
      <c r="C321">
        <v>3.2284000000000002</v>
      </c>
      <c r="D321">
        <v>0.04</v>
      </c>
      <c r="E321">
        <v>0</v>
      </c>
      <c r="F321">
        <v>2.6167199999999999</v>
      </c>
      <c r="G321">
        <v>2.9191199999999999</v>
      </c>
      <c r="H321">
        <v>0</v>
      </c>
      <c r="I321">
        <v>0.490261</v>
      </c>
      <c r="J321">
        <v>5.3222399999999999</v>
      </c>
      <c r="K321" s="2">
        <v>9337070</v>
      </c>
      <c r="L321" s="1">
        <v>0</v>
      </c>
      <c r="M321" s="1">
        <v>0</v>
      </c>
      <c r="N321" s="1">
        <v>0</v>
      </c>
      <c r="O321" s="1">
        <v>0</v>
      </c>
      <c r="P321" s="2">
        <v>3911930</v>
      </c>
      <c r="Q321" s="1">
        <v>-108448</v>
      </c>
      <c r="R321" s="1">
        <v>408539</v>
      </c>
      <c r="S321">
        <v>99.302199999999999</v>
      </c>
      <c r="T321">
        <v>98.274000000000001</v>
      </c>
      <c r="U321">
        <v>5.7321</v>
      </c>
      <c r="V321">
        <v>0</v>
      </c>
      <c r="W321">
        <v>0</v>
      </c>
      <c r="X321">
        <v>2.02658</v>
      </c>
      <c r="Y321">
        <v>1.72418</v>
      </c>
      <c r="Z321">
        <v>0</v>
      </c>
      <c r="AA321">
        <v>1.5654600000000001</v>
      </c>
      <c r="AB321">
        <v>2.9635199999999999</v>
      </c>
      <c r="AC321" s="2">
        <v>199724000</v>
      </c>
      <c r="AD321" s="1">
        <v>0</v>
      </c>
      <c r="AE321" s="1">
        <v>0</v>
      </c>
      <c r="AF321" s="1">
        <v>0</v>
      </c>
      <c r="AG321" s="1">
        <v>0</v>
      </c>
      <c r="AH321" s="2">
        <v>5243250</v>
      </c>
      <c r="AI321" s="1">
        <v>927788</v>
      </c>
      <c r="AJ321" s="1">
        <v>0</v>
      </c>
      <c r="AK321" s="8">
        <f t="shared" si="19"/>
        <v>8</v>
      </c>
      <c r="AL321" s="8">
        <f t="shared" si="18"/>
        <v>7</v>
      </c>
      <c r="AM321">
        <f t="shared" si="16"/>
        <v>0</v>
      </c>
      <c r="AN321">
        <f t="shared" si="17"/>
        <v>0</v>
      </c>
    </row>
    <row r="322" spans="1:40" x14ac:dyDescent="0.35">
      <c r="A322">
        <v>54.786900000000003</v>
      </c>
      <c r="B322">
        <v>85.138999999999996</v>
      </c>
      <c r="C322">
        <v>3.6924199999999998</v>
      </c>
      <c r="D322">
        <v>0.04</v>
      </c>
      <c r="E322">
        <v>0</v>
      </c>
      <c r="F322">
        <v>2.6173199999999999</v>
      </c>
      <c r="G322">
        <v>2.9197199999999999</v>
      </c>
      <c r="H322">
        <v>0</v>
      </c>
      <c r="I322">
        <v>0.490373</v>
      </c>
      <c r="J322">
        <v>5.3222399999999999</v>
      </c>
      <c r="K322" s="2">
        <v>9228680</v>
      </c>
      <c r="L322" s="1">
        <v>0</v>
      </c>
      <c r="M322" s="1">
        <v>0</v>
      </c>
      <c r="N322" s="1">
        <v>0</v>
      </c>
      <c r="O322" s="1">
        <v>0</v>
      </c>
      <c r="P322" s="2">
        <v>3912820</v>
      </c>
      <c r="Q322" s="1">
        <v>-108386</v>
      </c>
      <c r="R322" s="1">
        <v>408539</v>
      </c>
      <c r="S322">
        <v>99.302199999999999</v>
      </c>
      <c r="T322">
        <v>98.274000000000001</v>
      </c>
      <c r="U322">
        <v>6.0851199999999999</v>
      </c>
      <c r="V322">
        <v>0</v>
      </c>
      <c r="W322">
        <v>0</v>
      </c>
      <c r="X322">
        <v>2.0269400000000002</v>
      </c>
      <c r="Y322">
        <v>1.72454</v>
      </c>
      <c r="Z322">
        <v>0</v>
      </c>
      <c r="AA322">
        <v>1.5657399999999999</v>
      </c>
      <c r="AB322">
        <v>2.9635199999999999</v>
      </c>
      <c r="AC322" s="2">
        <v>200651000</v>
      </c>
      <c r="AD322" s="1">
        <v>0</v>
      </c>
      <c r="AE322" s="1">
        <v>0</v>
      </c>
      <c r="AF322" s="1">
        <v>0</v>
      </c>
      <c r="AG322" s="1">
        <v>0</v>
      </c>
      <c r="AH322" s="2">
        <v>5244170</v>
      </c>
      <c r="AI322" s="1">
        <v>927818</v>
      </c>
      <c r="AJ322" s="1">
        <v>0</v>
      </c>
      <c r="AK322" s="8">
        <f t="shared" si="19"/>
        <v>9</v>
      </c>
      <c r="AL322" s="8">
        <f t="shared" si="18"/>
        <v>7</v>
      </c>
      <c r="AM322">
        <f t="shared" si="16"/>
        <v>0</v>
      </c>
      <c r="AN322">
        <f t="shared" si="17"/>
        <v>0</v>
      </c>
    </row>
    <row r="323" spans="1:40" x14ac:dyDescent="0.35">
      <c r="A323">
        <v>55.717100000000002</v>
      </c>
      <c r="B323">
        <v>85.138999999999996</v>
      </c>
      <c r="C323">
        <v>3.8027700000000002</v>
      </c>
      <c r="D323">
        <v>0.02</v>
      </c>
      <c r="E323">
        <v>0</v>
      </c>
      <c r="F323">
        <v>2.2477499999999999</v>
      </c>
      <c r="G323">
        <v>2.5501499999999999</v>
      </c>
      <c r="H323">
        <v>0</v>
      </c>
      <c r="I323">
        <v>0.490485</v>
      </c>
      <c r="J323">
        <v>5.3222399999999999</v>
      </c>
      <c r="K323" s="2">
        <v>9082310</v>
      </c>
      <c r="L323" s="1">
        <v>0</v>
      </c>
      <c r="M323" s="1">
        <v>0</v>
      </c>
      <c r="N323" s="1">
        <v>0</v>
      </c>
      <c r="O323" s="1">
        <v>0</v>
      </c>
      <c r="P323" s="2">
        <v>3360320</v>
      </c>
      <c r="Q323" s="1">
        <v>-146378</v>
      </c>
      <c r="R323" s="1">
        <v>408539</v>
      </c>
      <c r="S323">
        <v>99.302199999999999</v>
      </c>
      <c r="T323">
        <v>98.274000000000001</v>
      </c>
      <c r="U323">
        <v>4.3038100000000004</v>
      </c>
      <c r="V323">
        <v>0</v>
      </c>
      <c r="W323">
        <v>0</v>
      </c>
      <c r="X323">
        <v>1.7837499999999999</v>
      </c>
      <c r="Y323">
        <v>1.4813499999999999</v>
      </c>
      <c r="Z323">
        <v>0</v>
      </c>
      <c r="AA323">
        <v>1.5660099999999999</v>
      </c>
      <c r="AB323">
        <v>2.9635199999999999</v>
      </c>
      <c r="AC323" s="2">
        <v>201559000</v>
      </c>
      <c r="AD323" s="1">
        <v>0</v>
      </c>
      <c r="AE323" s="1">
        <v>0</v>
      </c>
      <c r="AF323" s="1">
        <v>0</v>
      </c>
      <c r="AG323" s="1">
        <v>0</v>
      </c>
      <c r="AH323" s="2">
        <v>4614990</v>
      </c>
      <c r="AI323" s="1">
        <v>907309</v>
      </c>
      <c r="AJ323" s="1">
        <v>0</v>
      </c>
      <c r="AK323" s="8">
        <f t="shared" si="19"/>
        <v>10</v>
      </c>
      <c r="AL323" s="8">
        <f t="shared" si="18"/>
        <v>7</v>
      </c>
      <c r="AM323">
        <f t="shared" ref="AM323:AM386" si="20">IF(AK323=52,AC323,0)</f>
        <v>0</v>
      </c>
      <c r="AN323">
        <f t="shared" ref="AN323:AN386" si="21">IF(AK323=52,K323,0)</f>
        <v>0</v>
      </c>
    </row>
    <row r="324" spans="1:40" x14ac:dyDescent="0.35">
      <c r="A324">
        <v>56.174700000000001</v>
      </c>
      <c r="B324">
        <v>85.138999999999996</v>
      </c>
      <c r="C324">
        <v>3.3389500000000001</v>
      </c>
      <c r="D324">
        <v>0.03</v>
      </c>
      <c r="E324">
        <v>0</v>
      </c>
      <c r="F324">
        <v>2.2482700000000002</v>
      </c>
      <c r="G324">
        <v>2.5506700000000002</v>
      </c>
      <c r="H324">
        <v>0</v>
      </c>
      <c r="I324">
        <v>0.42122799999999999</v>
      </c>
      <c r="J324">
        <v>5.3222399999999999</v>
      </c>
      <c r="K324" s="2">
        <v>8935980</v>
      </c>
      <c r="L324" s="1">
        <v>0</v>
      </c>
      <c r="M324" s="1">
        <v>0</v>
      </c>
      <c r="N324" s="1">
        <v>0</v>
      </c>
      <c r="O324" s="1">
        <v>0</v>
      </c>
      <c r="P324" s="2">
        <v>3361110</v>
      </c>
      <c r="Q324" s="1">
        <v>-146325</v>
      </c>
      <c r="R324" s="1">
        <v>408539</v>
      </c>
      <c r="S324">
        <v>99.302199999999999</v>
      </c>
      <c r="T324">
        <v>98.274000000000001</v>
      </c>
      <c r="U324">
        <v>3.4312100000000001</v>
      </c>
      <c r="V324">
        <v>0</v>
      </c>
      <c r="W324">
        <v>0</v>
      </c>
      <c r="X324">
        <v>1.78406</v>
      </c>
      <c r="Y324">
        <v>1.48166</v>
      </c>
      <c r="Z324">
        <v>0</v>
      </c>
      <c r="AA324">
        <v>1.3781300000000001</v>
      </c>
      <c r="AB324">
        <v>2.9635199999999999</v>
      </c>
      <c r="AC324" s="2">
        <v>202466000</v>
      </c>
      <c r="AD324" s="1">
        <v>0</v>
      </c>
      <c r="AE324" s="1">
        <v>0</v>
      </c>
      <c r="AF324" s="1">
        <v>0</v>
      </c>
      <c r="AG324" s="1">
        <v>0</v>
      </c>
      <c r="AH324" s="2">
        <v>4615780</v>
      </c>
      <c r="AI324" s="1">
        <v>907335</v>
      </c>
      <c r="AJ324" s="1">
        <v>0</v>
      </c>
      <c r="AK324" s="8">
        <f t="shared" si="19"/>
        <v>11</v>
      </c>
      <c r="AL324" s="8">
        <f t="shared" ref="AL324:AL387" si="22">IF(AK323=52,AL323+1,AL323)</f>
        <v>7</v>
      </c>
      <c r="AM324">
        <f t="shared" si="20"/>
        <v>0</v>
      </c>
      <c r="AN324">
        <f t="shared" si="21"/>
        <v>0</v>
      </c>
    </row>
    <row r="325" spans="1:40" x14ac:dyDescent="0.35">
      <c r="A325">
        <v>59.007899999999999</v>
      </c>
      <c r="B325">
        <v>85.138999999999996</v>
      </c>
      <c r="C325">
        <v>5.7162199999999999</v>
      </c>
      <c r="D325">
        <v>0.03</v>
      </c>
      <c r="E325">
        <v>0</v>
      </c>
      <c r="F325">
        <v>2.2487900000000001</v>
      </c>
      <c r="G325">
        <v>2.5511900000000001</v>
      </c>
      <c r="H325">
        <v>0</v>
      </c>
      <c r="I325">
        <v>0.42132599999999998</v>
      </c>
      <c r="J325">
        <v>5.3222399999999999</v>
      </c>
      <c r="K325" s="2">
        <v>8789710</v>
      </c>
      <c r="L325" s="1">
        <v>0</v>
      </c>
      <c r="M325" s="1">
        <v>0</v>
      </c>
      <c r="N325" s="1">
        <v>0</v>
      </c>
      <c r="O325" s="1">
        <v>0</v>
      </c>
      <c r="P325" s="2">
        <v>3361890</v>
      </c>
      <c r="Q325" s="1">
        <v>-146271</v>
      </c>
      <c r="R325" s="1">
        <v>408539</v>
      </c>
      <c r="S325">
        <v>99.302199999999999</v>
      </c>
      <c r="T325">
        <v>98.274000000000001</v>
      </c>
      <c r="U325">
        <v>5.5024899999999999</v>
      </c>
      <c r="V325">
        <v>0</v>
      </c>
      <c r="W325">
        <v>0</v>
      </c>
      <c r="X325">
        <v>1.7843599999999999</v>
      </c>
      <c r="Y325">
        <v>1.4819599999999999</v>
      </c>
      <c r="Z325">
        <v>0</v>
      </c>
      <c r="AA325">
        <v>1.37836</v>
      </c>
      <c r="AB325">
        <v>2.9635199999999999</v>
      </c>
      <c r="AC325" s="2">
        <v>203373000</v>
      </c>
      <c r="AD325" s="1">
        <v>0</v>
      </c>
      <c r="AE325" s="1">
        <v>0</v>
      </c>
      <c r="AF325" s="1">
        <v>0</v>
      </c>
      <c r="AG325" s="1">
        <v>0</v>
      </c>
      <c r="AH325" s="2">
        <v>4616560</v>
      </c>
      <c r="AI325" s="1">
        <v>907360</v>
      </c>
      <c r="AJ325" s="1">
        <v>0</v>
      </c>
      <c r="AK325" s="8">
        <f t="shared" si="19"/>
        <v>12</v>
      </c>
      <c r="AL325" s="8">
        <f t="shared" si="22"/>
        <v>7</v>
      </c>
      <c r="AM325">
        <f t="shared" si="20"/>
        <v>0</v>
      </c>
      <c r="AN325">
        <f t="shared" si="21"/>
        <v>0</v>
      </c>
    </row>
    <row r="326" spans="1:40" x14ac:dyDescent="0.35">
      <c r="A326">
        <v>69.807599999999994</v>
      </c>
      <c r="B326">
        <v>85.138999999999996</v>
      </c>
      <c r="C326">
        <v>5.6706700000000003</v>
      </c>
      <c r="D326">
        <v>0.03</v>
      </c>
      <c r="E326">
        <v>0</v>
      </c>
      <c r="F326">
        <v>2.24932</v>
      </c>
      <c r="G326">
        <v>2.55172</v>
      </c>
      <c r="H326">
        <v>0</v>
      </c>
      <c r="I326">
        <v>0.42142400000000002</v>
      </c>
      <c r="J326">
        <v>5.3222399999999999</v>
      </c>
      <c r="K326" s="2">
        <v>8643490</v>
      </c>
      <c r="L326" s="1">
        <v>0</v>
      </c>
      <c r="M326" s="1">
        <v>0</v>
      </c>
      <c r="N326" s="1">
        <v>0</v>
      </c>
      <c r="O326" s="1">
        <v>0</v>
      </c>
      <c r="P326" s="2">
        <v>3362670</v>
      </c>
      <c r="Q326" s="1">
        <v>-146217</v>
      </c>
      <c r="R326" s="1">
        <v>408539</v>
      </c>
      <c r="S326">
        <v>99.302199999999999</v>
      </c>
      <c r="T326">
        <v>98.274000000000001</v>
      </c>
      <c r="U326">
        <v>7.4461000000000004</v>
      </c>
      <c r="V326">
        <v>0</v>
      </c>
      <c r="W326">
        <v>0</v>
      </c>
      <c r="X326">
        <v>1.7846599999999999</v>
      </c>
      <c r="Y326">
        <v>1.4822599999999999</v>
      </c>
      <c r="Z326">
        <v>0</v>
      </c>
      <c r="AA326">
        <v>1.3786</v>
      </c>
      <c r="AB326">
        <v>2.9635199999999999</v>
      </c>
      <c r="AC326" s="2">
        <v>204281000</v>
      </c>
      <c r="AD326" s="1">
        <v>0</v>
      </c>
      <c r="AE326" s="1">
        <v>0</v>
      </c>
      <c r="AF326" s="1">
        <v>0</v>
      </c>
      <c r="AG326" s="1">
        <v>0</v>
      </c>
      <c r="AH326" s="2">
        <v>4617350</v>
      </c>
      <c r="AI326" s="1">
        <v>907386</v>
      </c>
      <c r="AJ326" s="1">
        <v>0</v>
      </c>
      <c r="AK326" s="8">
        <f t="shared" si="19"/>
        <v>13</v>
      </c>
      <c r="AL326" s="8">
        <f t="shared" si="22"/>
        <v>7</v>
      </c>
      <c r="AM326">
        <f t="shared" si="20"/>
        <v>0</v>
      </c>
      <c r="AN326">
        <f t="shared" si="21"/>
        <v>0</v>
      </c>
    </row>
    <row r="327" spans="1:40" x14ac:dyDescent="0.35">
      <c r="A327">
        <v>71.645099999999999</v>
      </c>
      <c r="B327">
        <v>85.138999999999996</v>
      </c>
      <c r="C327">
        <v>5.0930600000000004</v>
      </c>
      <c r="D327">
        <v>0</v>
      </c>
      <c r="E327">
        <v>0</v>
      </c>
      <c r="F327">
        <v>2.5522399999999998</v>
      </c>
      <c r="G327">
        <v>2.5522399999999998</v>
      </c>
      <c r="H327">
        <v>0</v>
      </c>
      <c r="I327">
        <v>0.42152200000000001</v>
      </c>
      <c r="J327">
        <v>5.3222399999999999</v>
      </c>
      <c r="K327" s="2">
        <v>8905870</v>
      </c>
      <c r="L327" s="1">
        <v>0</v>
      </c>
      <c r="M327" s="1">
        <v>0</v>
      </c>
      <c r="N327" s="1">
        <v>0</v>
      </c>
      <c r="O327" s="1">
        <v>0</v>
      </c>
      <c r="P327" s="2">
        <v>3815540</v>
      </c>
      <c r="Q327" s="1">
        <v>262375</v>
      </c>
      <c r="R327" s="1">
        <v>0</v>
      </c>
      <c r="S327">
        <v>99.302199999999999</v>
      </c>
      <c r="T327">
        <v>98.274000000000001</v>
      </c>
      <c r="U327">
        <v>5.6583899999999998</v>
      </c>
      <c r="V327">
        <v>0</v>
      </c>
      <c r="W327">
        <v>0</v>
      </c>
      <c r="X327">
        <v>1.4825699999999999</v>
      </c>
      <c r="Y327">
        <v>1.4825699999999999</v>
      </c>
      <c r="Z327">
        <v>0</v>
      </c>
      <c r="AA327">
        <v>1.37883</v>
      </c>
      <c r="AB327">
        <v>2.9635199999999999</v>
      </c>
      <c r="AC327" s="2">
        <v>204406000</v>
      </c>
      <c r="AD327" s="1">
        <v>0</v>
      </c>
      <c r="AE327" s="1">
        <v>0</v>
      </c>
      <c r="AF327" s="1">
        <v>0</v>
      </c>
      <c r="AG327" s="1">
        <v>0</v>
      </c>
      <c r="AH327" s="2">
        <v>3835760</v>
      </c>
      <c r="AI327" s="1">
        <v>125031</v>
      </c>
      <c r="AJ327" s="1">
        <v>0</v>
      </c>
      <c r="AK327" s="8">
        <f t="shared" si="19"/>
        <v>14</v>
      </c>
      <c r="AL327" s="8">
        <f t="shared" si="22"/>
        <v>7</v>
      </c>
      <c r="AM327">
        <f t="shared" si="20"/>
        <v>0</v>
      </c>
      <c r="AN327">
        <f t="shared" si="21"/>
        <v>0</v>
      </c>
    </row>
    <row r="328" spans="1:40" x14ac:dyDescent="0.35">
      <c r="A328">
        <v>75.451700000000002</v>
      </c>
      <c r="B328">
        <v>85.138999999999996</v>
      </c>
      <c r="C328">
        <v>7.3139200000000004</v>
      </c>
      <c r="D328">
        <v>0</v>
      </c>
      <c r="E328">
        <v>0</v>
      </c>
      <c r="F328">
        <v>2.6460400000000002</v>
      </c>
      <c r="G328">
        <v>2.6460400000000002</v>
      </c>
      <c r="H328">
        <v>0</v>
      </c>
      <c r="I328">
        <v>0.47828999999999999</v>
      </c>
      <c r="J328">
        <v>5.3222399999999999</v>
      </c>
      <c r="K328" s="2">
        <v>9177890</v>
      </c>
      <c r="L328" s="1">
        <v>0</v>
      </c>
      <c r="M328" s="1">
        <v>0</v>
      </c>
      <c r="N328" s="1">
        <v>0</v>
      </c>
      <c r="O328" s="1">
        <v>0</v>
      </c>
      <c r="P328" s="2">
        <v>3955760</v>
      </c>
      <c r="Q328" s="1">
        <v>272018</v>
      </c>
      <c r="R328" s="1">
        <v>0</v>
      </c>
      <c r="S328">
        <v>99.302199999999999</v>
      </c>
      <c r="T328">
        <v>98.274000000000001</v>
      </c>
      <c r="U328">
        <v>6.9677600000000002</v>
      </c>
      <c r="V328">
        <v>0</v>
      </c>
      <c r="W328">
        <v>0</v>
      </c>
      <c r="X328">
        <v>1.54251</v>
      </c>
      <c r="Y328">
        <v>1.54251</v>
      </c>
      <c r="Z328">
        <v>0</v>
      </c>
      <c r="AA328">
        <v>1.1454299999999999</v>
      </c>
      <c r="AB328">
        <v>2.9635199999999999</v>
      </c>
      <c r="AC328" s="2">
        <v>204536000</v>
      </c>
      <c r="AD328" s="1">
        <v>0</v>
      </c>
      <c r="AE328" s="1">
        <v>0</v>
      </c>
      <c r="AF328" s="1">
        <v>0</v>
      </c>
      <c r="AG328" s="1">
        <v>0</v>
      </c>
      <c r="AH328" s="2">
        <v>3990850</v>
      </c>
      <c r="AI328" s="1">
        <v>130086</v>
      </c>
      <c r="AJ328" s="1">
        <v>0</v>
      </c>
      <c r="AK328" s="8">
        <f t="shared" ref="AK328:AK391" si="23">IF(AK327=52, 1, AK327+1)</f>
        <v>15</v>
      </c>
      <c r="AL328" s="8">
        <f t="shared" si="22"/>
        <v>7</v>
      </c>
      <c r="AM328">
        <f t="shared" si="20"/>
        <v>0</v>
      </c>
      <c r="AN328">
        <f t="shared" si="21"/>
        <v>0</v>
      </c>
    </row>
    <row r="329" spans="1:40" x14ac:dyDescent="0.35">
      <c r="A329">
        <v>78.542699999999996</v>
      </c>
      <c r="B329">
        <v>85.138999999999996</v>
      </c>
      <c r="C329">
        <v>6.4288699999999999</v>
      </c>
      <c r="D329">
        <v>0</v>
      </c>
      <c r="E329">
        <v>0</v>
      </c>
      <c r="F329">
        <v>2.6465800000000002</v>
      </c>
      <c r="G329">
        <v>2.6465800000000002</v>
      </c>
      <c r="H329">
        <v>0</v>
      </c>
      <c r="I329">
        <v>0.495867</v>
      </c>
      <c r="J329">
        <v>5.3222399999999999</v>
      </c>
      <c r="K329" s="2">
        <v>9449960</v>
      </c>
      <c r="L329" s="1">
        <v>0</v>
      </c>
      <c r="M329" s="1">
        <v>0</v>
      </c>
      <c r="N329" s="1">
        <v>0</v>
      </c>
      <c r="O329" s="1">
        <v>0</v>
      </c>
      <c r="P329" s="2">
        <v>3956570</v>
      </c>
      <c r="Q329" s="1">
        <v>272074</v>
      </c>
      <c r="R329" s="1">
        <v>0</v>
      </c>
      <c r="S329">
        <v>99.302199999999999</v>
      </c>
      <c r="T329">
        <v>98.274000000000001</v>
      </c>
      <c r="U329">
        <v>6.6119500000000002</v>
      </c>
      <c r="V329">
        <v>0</v>
      </c>
      <c r="W329">
        <v>0</v>
      </c>
      <c r="X329">
        <v>1.5428299999999999</v>
      </c>
      <c r="Y329">
        <v>1.5428299999999999</v>
      </c>
      <c r="Z329">
        <v>0</v>
      </c>
      <c r="AA329">
        <v>1.19174</v>
      </c>
      <c r="AB329">
        <v>2.9635199999999999</v>
      </c>
      <c r="AC329" s="2">
        <v>204666000</v>
      </c>
      <c r="AD329" s="1">
        <v>0</v>
      </c>
      <c r="AE329" s="1">
        <v>0</v>
      </c>
      <c r="AF329" s="1">
        <v>0</v>
      </c>
      <c r="AG329" s="1">
        <v>0</v>
      </c>
      <c r="AH329" s="2">
        <v>3991660</v>
      </c>
      <c r="AI329" s="1">
        <v>130113</v>
      </c>
      <c r="AJ329" s="1">
        <v>0</v>
      </c>
      <c r="AK329" s="8">
        <f t="shared" si="23"/>
        <v>16</v>
      </c>
      <c r="AL329" s="8">
        <f t="shared" si="22"/>
        <v>7</v>
      </c>
      <c r="AM329">
        <f t="shared" si="20"/>
        <v>0</v>
      </c>
      <c r="AN329">
        <f t="shared" si="21"/>
        <v>0</v>
      </c>
    </row>
    <row r="330" spans="1:40" x14ac:dyDescent="0.35">
      <c r="A330">
        <v>80.0685</v>
      </c>
      <c r="B330">
        <v>85.138999999999996</v>
      </c>
      <c r="C330">
        <v>4.7987399999999996</v>
      </c>
      <c r="D330">
        <v>0</v>
      </c>
      <c r="E330">
        <v>0</v>
      </c>
      <c r="F330">
        <v>2.6471200000000001</v>
      </c>
      <c r="G330">
        <v>2.6471200000000001</v>
      </c>
      <c r="H330">
        <v>0</v>
      </c>
      <c r="I330">
        <v>0.49596899999999999</v>
      </c>
      <c r="J330">
        <v>5.3222399999999999</v>
      </c>
      <c r="K330" s="2">
        <v>9722090</v>
      </c>
      <c r="L330" s="1">
        <v>0</v>
      </c>
      <c r="M330" s="1">
        <v>0</v>
      </c>
      <c r="N330" s="1">
        <v>0</v>
      </c>
      <c r="O330" s="1">
        <v>0</v>
      </c>
      <c r="P330" s="2">
        <v>3957380</v>
      </c>
      <c r="Q330" s="1">
        <v>272129</v>
      </c>
      <c r="R330" s="1">
        <v>0</v>
      </c>
      <c r="S330">
        <v>99.302199999999999</v>
      </c>
      <c r="T330">
        <v>98.274000000000001</v>
      </c>
      <c r="U330">
        <v>5.3406399999999996</v>
      </c>
      <c r="V330">
        <v>0</v>
      </c>
      <c r="W330">
        <v>0</v>
      </c>
      <c r="X330">
        <v>1.54314</v>
      </c>
      <c r="Y330">
        <v>1.54314</v>
      </c>
      <c r="Z330">
        <v>0</v>
      </c>
      <c r="AA330">
        <v>1.1919900000000001</v>
      </c>
      <c r="AB330">
        <v>2.9635199999999999</v>
      </c>
      <c r="AC330" s="2">
        <v>204796000</v>
      </c>
      <c r="AD330" s="1">
        <v>0</v>
      </c>
      <c r="AE330" s="1">
        <v>0</v>
      </c>
      <c r="AF330" s="1">
        <v>0</v>
      </c>
      <c r="AG330" s="1">
        <v>0</v>
      </c>
      <c r="AH330" s="2">
        <v>3992480</v>
      </c>
      <c r="AI330" s="1">
        <v>130140</v>
      </c>
      <c r="AJ330" s="1">
        <v>0</v>
      </c>
      <c r="AK330" s="8">
        <f t="shared" si="23"/>
        <v>17</v>
      </c>
      <c r="AL330" s="8">
        <f t="shared" si="22"/>
        <v>7</v>
      </c>
      <c r="AM330">
        <f t="shared" si="20"/>
        <v>0</v>
      </c>
      <c r="AN330">
        <f t="shared" si="21"/>
        <v>0</v>
      </c>
    </row>
    <row r="331" spans="1:40" x14ac:dyDescent="0.35">
      <c r="A331">
        <v>81.224500000000006</v>
      </c>
      <c r="B331">
        <v>85.138999999999996</v>
      </c>
      <c r="C331">
        <v>4.4051499999999999</v>
      </c>
      <c r="D331">
        <v>0</v>
      </c>
      <c r="E331">
        <v>0</v>
      </c>
      <c r="F331">
        <v>2.6476700000000002</v>
      </c>
      <c r="G331">
        <v>2.6476700000000002</v>
      </c>
      <c r="H331">
        <v>0</v>
      </c>
      <c r="I331">
        <v>0.49607099999999998</v>
      </c>
      <c r="J331">
        <v>5.3222399999999999</v>
      </c>
      <c r="K331" s="2">
        <v>9994270</v>
      </c>
      <c r="L331" s="1">
        <v>0</v>
      </c>
      <c r="M331" s="1">
        <v>0</v>
      </c>
      <c r="N331" s="1">
        <v>0</v>
      </c>
      <c r="O331" s="1">
        <v>0</v>
      </c>
      <c r="P331" s="2">
        <v>3958190</v>
      </c>
      <c r="Q331" s="1">
        <v>272185</v>
      </c>
      <c r="R331" s="1">
        <v>0</v>
      </c>
      <c r="S331">
        <v>99.302199999999999</v>
      </c>
      <c r="T331">
        <v>98.274000000000001</v>
      </c>
      <c r="U331">
        <v>5.6041800000000004</v>
      </c>
      <c r="V331">
        <v>0</v>
      </c>
      <c r="W331">
        <v>0</v>
      </c>
      <c r="X331">
        <v>1.5434600000000001</v>
      </c>
      <c r="Y331">
        <v>1.5434600000000001</v>
      </c>
      <c r="Z331">
        <v>0</v>
      </c>
      <c r="AA331">
        <v>1.1922299999999999</v>
      </c>
      <c r="AB331">
        <v>2.9635199999999999</v>
      </c>
      <c r="AC331" s="2">
        <v>204926000</v>
      </c>
      <c r="AD331" s="1">
        <v>0</v>
      </c>
      <c r="AE331" s="1">
        <v>0</v>
      </c>
      <c r="AF331" s="1">
        <v>0</v>
      </c>
      <c r="AG331" s="1">
        <v>0</v>
      </c>
      <c r="AH331" s="2">
        <v>3993300</v>
      </c>
      <c r="AI331" s="1">
        <v>130166</v>
      </c>
      <c r="AJ331" s="1">
        <v>0</v>
      </c>
      <c r="AK331" s="8">
        <f t="shared" si="23"/>
        <v>18</v>
      </c>
      <c r="AL331" s="8">
        <f t="shared" si="22"/>
        <v>7</v>
      </c>
      <c r="AM331">
        <f t="shared" si="20"/>
        <v>0</v>
      </c>
      <c r="AN331">
        <f t="shared" si="21"/>
        <v>0</v>
      </c>
    </row>
    <row r="332" spans="1:40" x14ac:dyDescent="0.35">
      <c r="A332">
        <v>82.079800000000006</v>
      </c>
      <c r="B332">
        <v>85.138999999999996</v>
      </c>
      <c r="C332">
        <v>3.9759199999999999</v>
      </c>
      <c r="D332">
        <v>0</v>
      </c>
      <c r="E332">
        <v>0</v>
      </c>
      <c r="F332">
        <v>2.61171</v>
      </c>
      <c r="G332">
        <v>2.61171</v>
      </c>
      <c r="H332">
        <v>0</v>
      </c>
      <c r="I332">
        <v>0.49617299999999998</v>
      </c>
      <c r="J332">
        <v>5.3222399999999999</v>
      </c>
      <c r="K332" s="2">
        <v>10262800</v>
      </c>
      <c r="L332" s="1">
        <v>0</v>
      </c>
      <c r="M332" s="1">
        <v>0</v>
      </c>
      <c r="N332" s="1">
        <v>0</v>
      </c>
      <c r="O332" s="1">
        <v>0</v>
      </c>
      <c r="P332" s="2">
        <v>3904440</v>
      </c>
      <c r="Q332" s="1">
        <v>268489</v>
      </c>
      <c r="R332" s="1">
        <v>0</v>
      </c>
      <c r="S332">
        <v>99.302199999999999</v>
      </c>
      <c r="T332">
        <v>98.274000000000001</v>
      </c>
      <c r="U332">
        <v>5.0088299999999997</v>
      </c>
      <c r="V332">
        <v>0</v>
      </c>
      <c r="W332">
        <v>0</v>
      </c>
      <c r="X332">
        <v>1.5206</v>
      </c>
      <c r="Y332">
        <v>1.5206</v>
      </c>
      <c r="Z332">
        <v>0</v>
      </c>
      <c r="AA332">
        <v>1.19248</v>
      </c>
      <c r="AB332">
        <v>2.9635199999999999</v>
      </c>
      <c r="AC332" s="2">
        <v>205054000</v>
      </c>
      <c r="AD332" s="1">
        <v>0</v>
      </c>
      <c r="AE332" s="1">
        <v>0</v>
      </c>
      <c r="AF332" s="1">
        <v>0</v>
      </c>
      <c r="AG332" s="1">
        <v>0</v>
      </c>
      <c r="AH332" s="2">
        <v>3934140</v>
      </c>
      <c r="AI332" s="1">
        <v>128238</v>
      </c>
      <c r="AJ332" s="1">
        <v>0</v>
      </c>
      <c r="AK332" s="8">
        <f t="shared" si="23"/>
        <v>19</v>
      </c>
      <c r="AL332" s="8">
        <f t="shared" si="22"/>
        <v>7</v>
      </c>
      <c r="AM332">
        <f t="shared" si="20"/>
        <v>0</v>
      </c>
      <c r="AN332">
        <f t="shared" si="21"/>
        <v>0</v>
      </c>
    </row>
    <row r="333" spans="1:40" x14ac:dyDescent="0.35">
      <c r="A333">
        <v>82.725099999999998</v>
      </c>
      <c r="B333">
        <v>85.138999999999996</v>
      </c>
      <c r="C333">
        <v>3.7450899999999998</v>
      </c>
      <c r="D333">
        <v>0</v>
      </c>
      <c r="E333">
        <v>0</v>
      </c>
      <c r="F333">
        <v>2.61225</v>
      </c>
      <c r="G333">
        <v>2.61225</v>
      </c>
      <c r="H333">
        <v>0</v>
      </c>
      <c r="I333">
        <v>0.48943500000000001</v>
      </c>
      <c r="J333">
        <v>5.3222399999999999</v>
      </c>
      <c r="K333" s="2">
        <v>10531300</v>
      </c>
      <c r="L333" s="1">
        <v>0</v>
      </c>
      <c r="M333" s="1">
        <v>0</v>
      </c>
      <c r="N333" s="1">
        <v>0</v>
      </c>
      <c r="O333" s="1">
        <v>0</v>
      </c>
      <c r="P333" s="2">
        <v>3905240</v>
      </c>
      <c r="Q333" s="1">
        <v>268544</v>
      </c>
      <c r="R333" s="1">
        <v>0</v>
      </c>
      <c r="S333">
        <v>99.302199999999999</v>
      </c>
      <c r="T333">
        <v>98.274000000000001</v>
      </c>
      <c r="U333">
        <v>4.3078399999999997</v>
      </c>
      <c r="V333">
        <v>0</v>
      </c>
      <c r="W333">
        <v>0</v>
      </c>
      <c r="X333">
        <v>1.52091</v>
      </c>
      <c r="Y333">
        <v>1.52091</v>
      </c>
      <c r="Z333">
        <v>0</v>
      </c>
      <c r="AA333">
        <v>1.1748099999999999</v>
      </c>
      <c r="AB333">
        <v>2.9635199999999999</v>
      </c>
      <c r="AC333" s="2">
        <v>205183000</v>
      </c>
      <c r="AD333" s="1">
        <v>0</v>
      </c>
      <c r="AE333" s="1">
        <v>0</v>
      </c>
      <c r="AF333" s="1">
        <v>0</v>
      </c>
      <c r="AG333" s="1">
        <v>0</v>
      </c>
      <c r="AH333" s="2">
        <v>3934950</v>
      </c>
      <c r="AI333" s="1">
        <v>128264</v>
      </c>
      <c r="AJ333" s="1">
        <v>0</v>
      </c>
      <c r="AK333" s="8">
        <f t="shared" si="23"/>
        <v>20</v>
      </c>
      <c r="AL333" s="8">
        <f t="shared" si="22"/>
        <v>7</v>
      </c>
      <c r="AM333">
        <f t="shared" si="20"/>
        <v>0</v>
      </c>
      <c r="AN333">
        <f t="shared" si="21"/>
        <v>0</v>
      </c>
    </row>
    <row r="334" spans="1:40" x14ac:dyDescent="0.35">
      <c r="A334">
        <v>83.109700000000004</v>
      </c>
      <c r="B334">
        <v>85.138999999999996</v>
      </c>
      <c r="C334">
        <v>3.4630700000000001</v>
      </c>
      <c r="D334">
        <v>0</v>
      </c>
      <c r="E334">
        <v>0</v>
      </c>
      <c r="F334">
        <v>2.6127799999999999</v>
      </c>
      <c r="G334">
        <v>2.6127799999999999</v>
      </c>
      <c r="H334">
        <v>0</v>
      </c>
      <c r="I334">
        <v>0.489535</v>
      </c>
      <c r="J334">
        <v>5.3222399999999999</v>
      </c>
      <c r="K334" s="2">
        <v>10799900</v>
      </c>
      <c r="L334" s="1">
        <v>0</v>
      </c>
      <c r="M334" s="1">
        <v>0</v>
      </c>
      <c r="N334" s="1">
        <v>0</v>
      </c>
      <c r="O334" s="1">
        <v>0</v>
      </c>
      <c r="P334" s="2">
        <v>3906040</v>
      </c>
      <c r="Q334" s="1">
        <v>268599</v>
      </c>
      <c r="R334" s="1">
        <v>0</v>
      </c>
      <c r="S334">
        <v>99.302199999999999</v>
      </c>
      <c r="T334">
        <v>98.274000000000001</v>
      </c>
      <c r="U334">
        <v>3.9879500000000001</v>
      </c>
      <c r="V334">
        <v>0</v>
      </c>
      <c r="W334">
        <v>0</v>
      </c>
      <c r="X334">
        <v>1.52122</v>
      </c>
      <c r="Y334">
        <v>1.52122</v>
      </c>
      <c r="Z334">
        <v>0</v>
      </c>
      <c r="AA334">
        <v>1.1750499999999999</v>
      </c>
      <c r="AB334">
        <v>2.9635199999999999</v>
      </c>
      <c r="AC334" s="2">
        <v>205311000</v>
      </c>
      <c r="AD334" s="1">
        <v>0</v>
      </c>
      <c r="AE334" s="1">
        <v>0</v>
      </c>
      <c r="AF334" s="1">
        <v>0</v>
      </c>
      <c r="AG334" s="1">
        <v>0</v>
      </c>
      <c r="AH334" s="2">
        <v>3935760</v>
      </c>
      <c r="AI334" s="1">
        <v>128291</v>
      </c>
      <c r="AJ334" s="1">
        <v>0</v>
      </c>
      <c r="AK334" s="8">
        <f t="shared" si="23"/>
        <v>21</v>
      </c>
      <c r="AL334" s="8">
        <f t="shared" si="22"/>
        <v>7</v>
      </c>
      <c r="AM334">
        <f t="shared" si="20"/>
        <v>0</v>
      </c>
      <c r="AN334">
        <f t="shared" si="21"/>
        <v>0</v>
      </c>
    </row>
    <row r="335" spans="1:40" x14ac:dyDescent="0.35">
      <c r="A335">
        <v>83.261399999999995</v>
      </c>
      <c r="B335">
        <v>85.138999999999996</v>
      </c>
      <c r="C335">
        <v>3.1693500000000001</v>
      </c>
      <c r="D335">
        <v>0</v>
      </c>
      <c r="E335">
        <v>0</v>
      </c>
      <c r="F335">
        <v>2.6133199999999999</v>
      </c>
      <c r="G335">
        <v>2.6133199999999999</v>
      </c>
      <c r="H335">
        <v>0</v>
      </c>
      <c r="I335">
        <v>0.48963499999999999</v>
      </c>
      <c r="J335">
        <v>5.3222399999999999</v>
      </c>
      <c r="K335" s="2">
        <v>11068600</v>
      </c>
      <c r="L335" s="1">
        <v>0</v>
      </c>
      <c r="M335" s="1">
        <v>0</v>
      </c>
      <c r="N335" s="1">
        <v>0</v>
      </c>
      <c r="O335" s="1">
        <v>0</v>
      </c>
      <c r="P335" s="2">
        <v>3906850</v>
      </c>
      <c r="Q335" s="1">
        <v>268654</v>
      </c>
      <c r="R335" s="1">
        <v>0</v>
      </c>
      <c r="S335">
        <v>99.302199999999999</v>
      </c>
      <c r="T335">
        <v>98.274000000000001</v>
      </c>
      <c r="U335">
        <v>3.7851499999999998</v>
      </c>
      <c r="V335">
        <v>0</v>
      </c>
      <c r="W335">
        <v>0</v>
      </c>
      <c r="X335">
        <v>1.52153</v>
      </c>
      <c r="Y335">
        <v>1.52153</v>
      </c>
      <c r="Z335">
        <v>0</v>
      </c>
      <c r="AA335">
        <v>1.1752899999999999</v>
      </c>
      <c r="AB335">
        <v>2.9635199999999999</v>
      </c>
      <c r="AC335" s="2">
        <v>205439000</v>
      </c>
      <c r="AD335" s="1">
        <v>0</v>
      </c>
      <c r="AE335" s="1">
        <v>0</v>
      </c>
      <c r="AF335" s="1">
        <v>0</v>
      </c>
      <c r="AG335" s="1">
        <v>0</v>
      </c>
      <c r="AH335" s="2">
        <v>3936570</v>
      </c>
      <c r="AI335" s="1">
        <v>128317</v>
      </c>
      <c r="AJ335" s="1">
        <v>0</v>
      </c>
      <c r="AK335" s="8">
        <f t="shared" si="23"/>
        <v>22</v>
      </c>
      <c r="AL335" s="8">
        <f t="shared" si="22"/>
        <v>7</v>
      </c>
      <c r="AM335">
        <f t="shared" si="20"/>
        <v>0</v>
      </c>
      <c r="AN335">
        <f t="shared" si="21"/>
        <v>0</v>
      </c>
    </row>
    <row r="336" spans="1:40" x14ac:dyDescent="0.35">
      <c r="A336">
        <v>83.487099999999998</v>
      </c>
      <c r="B336">
        <v>85.138999999999996</v>
      </c>
      <c r="C336">
        <v>3.38619</v>
      </c>
      <c r="D336">
        <v>0</v>
      </c>
      <c r="E336">
        <v>0</v>
      </c>
      <c r="F336">
        <v>2.7378499999999999</v>
      </c>
      <c r="G336">
        <v>2.7378499999999999</v>
      </c>
      <c r="H336">
        <v>0</v>
      </c>
      <c r="I336">
        <v>0.489736</v>
      </c>
      <c r="J336">
        <v>5.3222399999999999</v>
      </c>
      <c r="K336" s="2">
        <v>11350000</v>
      </c>
      <c r="L336" s="1">
        <v>0</v>
      </c>
      <c r="M336" s="1">
        <v>0</v>
      </c>
      <c r="N336" s="1">
        <v>0</v>
      </c>
      <c r="O336" s="1">
        <v>0</v>
      </c>
      <c r="P336" s="2">
        <v>4093010</v>
      </c>
      <c r="Q336" s="1">
        <v>281456</v>
      </c>
      <c r="R336" s="1">
        <v>0</v>
      </c>
      <c r="S336">
        <v>99.302199999999999</v>
      </c>
      <c r="T336">
        <v>98.274000000000001</v>
      </c>
      <c r="U336">
        <v>4.0073400000000001</v>
      </c>
      <c r="V336">
        <v>0</v>
      </c>
      <c r="W336">
        <v>0</v>
      </c>
      <c r="X336">
        <v>1.60412</v>
      </c>
      <c r="Y336">
        <v>1.60412</v>
      </c>
      <c r="Z336">
        <v>0</v>
      </c>
      <c r="AA336">
        <v>1.17554</v>
      </c>
      <c r="AB336">
        <v>2.9635199999999999</v>
      </c>
      <c r="AC336" s="2">
        <v>205575000</v>
      </c>
      <c r="AD336" s="1">
        <v>0</v>
      </c>
      <c r="AE336" s="1">
        <v>0</v>
      </c>
      <c r="AF336" s="1">
        <v>0</v>
      </c>
      <c r="AG336" s="1">
        <v>0</v>
      </c>
      <c r="AH336" s="2">
        <v>4150250</v>
      </c>
      <c r="AI336" s="1">
        <v>135282</v>
      </c>
      <c r="AJ336" s="1">
        <v>0</v>
      </c>
      <c r="AK336" s="8">
        <f t="shared" si="23"/>
        <v>23</v>
      </c>
      <c r="AL336" s="8">
        <f t="shared" si="22"/>
        <v>7</v>
      </c>
      <c r="AM336">
        <f t="shared" si="20"/>
        <v>0</v>
      </c>
      <c r="AN336">
        <f t="shared" si="21"/>
        <v>0</v>
      </c>
    </row>
    <row r="337" spans="1:40" x14ac:dyDescent="0.35">
      <c r="A337">
        <v>83.391099999999994</v>
      </c>
      <c r="B337">
        <v>85.138999999999996</v>
      </c>
      <c r="C337">
        <v>2.96793</v>
      </c>
      <c r="D337">
        <v>0</v>
      </c>
      <c r="E337">
        <v>0</v>
      </c>
      <c r="F337">
        <v>2.73841</v>
      </c>
      <c r="G337">
        <v>2.73841</v>
      </c>
      <c r="H337">
        <v>0</v>
      </c>
      <c r="I337">
        <v>0.513073</v>
      </c>
      <c r="J337">
        <v>5.3222399999999999</v>
      </c>
      <c r="K337" s="2">
        <v>11631500</v>
      </c>
      <c r="L337" s="1">
        <v>0</v>
      </c>
      <c r="M337" s="1">
        <v>0</v>
      </c>
      <c r="N337" s="1">
        <v>0</v>
      </c>
      <c r="O337" s="1">
        <v>0</v>
      </c>
      <c r="P337" s="2">
        <v>4093850</v>
      </c>
      <c r="Q337" s="1">
        <v>281514</v>
      </c>
      <c r="R337" s="1">
        <v>0</v>
      </c>
      <c r="S337">
        <v>99.302199999999999</v>
      </c>
      <c r="T337">
        <v>98.274000000000001</v>
      </c>
      <c r="U337">
        <v>3.9304299999999999</v>
      </c>
      <c r="V337">
        <v>0</v>
      </c>
      <c r="W337">
        <v>0</v>
      </c>
      <c r="X337">
        <v>1.6044499999999999</v>
      </c>
      <c r="Y337">
        <v>1.6044499999999999</v>
      </c>
      <c r="Z337">
        <v>0</v>
      </c>
      <c r="AA337">
        <v>1.23935</v>
      </c>
      <c r="AB337">
        <v>2.9635199999999999</v>
      </c>
      <c r="AC337" s="2">
        <v>205710000</v>
      </c>
      <c r="AD337" s="1">
        <v>0</v>
      </c>
      <c r="AE337" s="1">
        <v>0</v>
      </c>
      <c r="AF337" s="1">
        <v>0</v>
      </c>
      <c r="AG337" s="1">
        <v>0</v>
      </c>
      <c r="AH337" s="2">
        <v>4151100</v>
      </c>
      <c r="AI337" s="1">
        <v>135310</v>
      </c>
      <c r="AJ337" s="1">
        <v>0</v>
      </c>
      <c r="AK337" s="8">
        <f t="shared" si="23"/>
        <v>24</v>
      </c>
      <c r="AL337" s="8">
        <f t="shared" si="22"/>
        <v>7</v>
      </c>
      <c r="AM337">
        <f t="shared" si="20"/>
        <v>0</v>
      </c>
      <c r="AN337">
        <f t="shared" si="21"/>
        <v>0</v>
      </c>
    </row>
    <row r="338" spans="1:40" x14ac:dyDescent="0.35">
      <c r="A338">
        <v>83.174499999999995</v>
      </c>
      <c r="B338">
        <v>85.138999999999996</v>
      </c>
      <c r="C338">
        <v>2.7526600000000001</v>
      </c>
      <c r="D338">
        <v>0</v>
      </c>
      <c r="E338">
        <v>0</v>
      </c>
      <c r="F338">
        <v>2.7389700000000001</v>
      </c>
      <c r="G338">
        <v>2.7389700000000001</v>
      </c>
      <c r="H338">
        <v>0</v>
      </c>
      <c r="I338">
        <v>0.51317800000000002</v>
      </c>
      <c r="J338">
        <v>5.3222399999999999</v>
      </c>
      <c r="K338" s="2">
        <v>11913100</v>
      </c>
      <c r="L338" s="1">
        <v>0</v>
      </c>
      <c r="M338" s="1">
        <v>0</v>
      </c>
      <c r="N338" s="1">
        <v>0</v>
      </c>
      <c r="O338" s="1">
        <v>0</v>
      </c>
      <c r="P338" s="2">
        <v>4094690</v>
      </c>
      <c r="Q338" s="1">
        <v>281572</v>
      </c>
      <c r="R338" s="1">
        <v>0</v>
      </c>
      <c r="S338">
        <v>99.302199999999999</v>
      </c>
      <c r="T338">
        <v>98.274000000000001</v>
      </c>
      <c r="U338">
        <v>3.5752199999999998</v>
      </c>
      <c r="V338">
        <v>0</v>
      </c>
      <c r="W338">
        <v>0</v>
      </c>
      <c r="X338">
        <v>1.6047800000000001</v>
      </c>
      <c r="Y338">
        <v>1.6047800000000001</v>
      </c>
      <c r="Z338">
        <v>0</v>
      </c>
      <c r="AA338">
        <v>1.2396</v>
      </c>
      <c r="AB338">
        <v>2.9635199999999999</v>
      </c>
      <c r="AC338" s="2">
        <v>205845000</v>
      </c>
      <c r="AD338" s="1">
        <v>0</v>
      </c>
      <c r="AE338" s="1">
        <v>0</v>
      </c>
      <c r="AF338" s="1">
        <v>0</v>
      </c>
      <c r="AG338" s="1">
        <v>0</v>
      </c>
      <c r="AH338" s="2">
        <v>4151950</v>
      </c>
      <c r="AI338" s="1">
        <v>135338</v>
      </c>
      <c r="AJ338" s="1">
        <v>0</v>
      </c>
      <c r="AK338" s="8">
        <f t="shared" si="23"/>
        <v>25</v>
      </c>
      <c r="AL338" s="8">
        <f t="shared" si="22"/>
        <v>7</v>
      </c>
      <c r="AM338">
        <f t="shared" si="20"/>
        <v>0</v>
      </c>
      <c r="AN338">
        <f t="shared" si="21"/>
        <v>0</v>
      </c>
    </row>
    <row r="339" spans="1:40" x14ac:dyDescent="0.35">
      <c r="A339">
        <v>82.919600000000003</v>
      </c>
      <c r="B339">
        <v>85.138999999999996</v>
      </c>
      <c r="C339">
        <v>2.7016</v>
      </c>
      <c r="D339">
        <v>0</v>
      </c>
      <c r="E339">
        <v>0</v>
      </c>
      <c r="F339">
        <v>2.7395299999999998</v>
      </c>
      <c r="G339">
        <v>2.7395299999999998</v>
      </c>
      <c r="H339">
        <v>0</v>
      </c>
      <c r="I339">
        <v>0.51328300000000004</v>
      </c>
      <c r="J339">
        <v>5.3222399999999999</v>
      </c>
      <c r="K339" s="2">
        <v>12194700</v>
      </c>
      <c r="L339" s="1">
        <v>0</v>
      </c>
      <c r="M339" s="1">
        <v>0</v>
      </c>
      <c r="N339" s="1">
        <v>0</v>
      </c>
      <c r="O339" s="1">
        <v>0</v>
      </c>
      <c r="P339" s="2">
        <v>4095530</v>
      </c>
      <c r="Q339" s="1">
        <v>281629</v>
      </c>
      <c r="R339" s="1">
        <v>0</v>
      </c>
      <c r="S339">
        <v>99.302199999999999</v>
      </c>
      <c r="T339">
        <v>98.274000000000001</v>
      </c>
      <c r="U339">
        <v>3.5975199999999998</v>
      </c>
      <c r="V339">
        <v>0</v>
      </c>
      <c r="W339">
        <v>0</v>
      </c>
      <c r="X339">
        <v>1.60511</v>
      </c>
      <c r="Y339">
        <v>1.60511</v>
      </c>
      <c r="Z339">
        <v>0</v>
      </c>
      <c r="AA339">
        <v>1.2398499999999999</v>
      </c>
      <c r="AB339">
        <v>2.9635199999999999</v>
      </c>
      <c r="AC339" s="2">
        <v>205981000</v>
      </c>
      <c r="AD339" s="1">
        <v>0</v>
      </c>
      <c r="AE339" s="1">
        <v>0</v>
      </c>
      <c r="AF339" s="1">
        <v>0</v>
      </c>
      <c r="AG339" s="1">
        <v>0</v>
      </c>
      <c r="AH339" s="2">
        <v>4152800</v>
      </c>
      <c r="AI339" s="1">
        <v>135365</v>
      </c>
      <c r="AJ339" s="1">
        <v>0</v>
      </c>
      <c r="AK339" s="8">
        <f t="shared" si="23"/>
        <v>26</v>
      </c>
      <c r="AL339" s="8">
        <f t="shared" si="22"/>
        <v>7</v>
      </c>
      <c r="AM339">
        <f t="shared" si="20"/>
        <v>0</v>
      </c>
      <c r="AN339">
        <f t="shared" si="21"/>
        <v>0</v>
      </c>
    </row>
    <row r="340" spans="1:40" x14ac:dyDescent="0.35">
      <c r="A340">
        <v>82.559399999999997</v>
      </c>
      <c r="B340">
        <v>85.138999999999996</v>
      </c>
      <c r="C340">
        <v>2.5867200000000001</v>
      </c>
      <c r="D340">
        <v>0</v>
      </c>
      <c r="E340">
        <v>0</v>
      </c>
      <c r="F340">
        <v>2.7401</v>
      </c>
      <c r="G340">
        <v>2.7401</v>
      </c>
      <c r="H340">
        <v>0</v>
      </c>
      <c r="I340">
        <v>0.51338899999999998</v>
      </c>
      <c r="J340">
        <v>5.3222399999999999</v>
      </c>
      <c r="K340" s="2">
        <v>12476400</v>
      </c>
      <c r="L340" s="1">
        <v>0</v>
      </c>
      <c r="M340" s="1">
        <v>0</v>
      </c>
      <c r="N340" s="1">
        <v>0</v>
      </c>
      <c r="O340" s="1">
        <v>0</v>
      </c>
      <c r="P340" s="2">
        <v>4096370</v>
      </c>
      <c r="Q340" s="1">
        <v>281687</v>
      </c>
      <c r="R340" s="1">
        <v>0</v>
      </c>
      <c r="S340">
        <v>99.302199999999999</v>
      </c>
      <c r="T340">
        <v>98.274000000000001</v>
      </c>
      <c r="U340">
        <v>3.4502799999999998</v>
      </c>
      <c r="V340">
        <v>0</v>
      </c>
      <c r="W340">
        <v>0</v>
      </c>
      <c r="X340">
        <v>1.60544</v>
      </c>
      <c r="Y340">
        <v>1.60544</v>
      </c>
      <c r="Z340">
        <v>0</v>
      </c>
      <c r="AA340">
        <v>1.24011</v>
      </c>
      <c r="AB340">
        <v>2.9635199999999999</v>
      </c>
      <c r="AC340" s="2">
        <v>206116000</v>
      </c>
      <c r="AD340" s="1">
        <v>0</v>
      </c>
      <c r="AE340" s="1">
        <v>0</v>
      </c>
      <c r="AF340" s="1">
        <v>0</v>
      </c>
      <c r="AG340" s="1">
        <v>0</v>
      </c>
      <c r="AH340" s="2">
        <v>4153660</v>
      </c>
      <c r="AI340" s="1">
        <v>135393</v>
      </c>
      <c r="AJ340" s="1">
        <v>0</v>
      </c>
      <c r="AK340" s="8">
        <f t="shared" si="23"/>
        <v>27</v>
      </c>
      <c r="AL340" s="8">
        <f t="shared" si="22"/>
        <v>7</v>
      </c>
      <c r="AM340">
        <f t="shared" si="20"/>
        <v>0</v>
      </c>
      <c r="AN340">
        <f t="shared" si="21"/>
        <v>0</v>
      </c>
    </row>
    <row r="341" spans="1:40" x14ac:dyDescent="0.35">
      <c r="A341">
        <v>82.493499999999997</v>
      </c>
      <c r="B341">
        <v>85.138999999999996</v>
      </c>
      <c r="C341">
        <v>2.8495200000000001</v>
      </c>
      <c r="D341">
        <v>0</v>
      </c>
      <c r="E341">
        <v>0</v>
      </c>
      <c r="F341">
        <v>2.71611</v>
      </c>
      <c r="G341">
        <v>2.71611</v>
      </c>
      <c r="H341">
        <v>0</v>
      </c>
      <c r="I341">
        <v>0.51349400000000001</v>
      </c>
      <c r="J341">
        <v>5.3222399999999999</v>
      </c>
      <c r="K341" s="2">
        <v>12755600</v>
      </c>
      <c r="L341" s="1">
        <v>0</v>
      </c>
      <c r="M341" s="1">
        <v>0</v>
      </c>
      <c r="N341" s="1">
        <v>0</v>
      </c>
      <c r="O341" s="1">
        <v>0</v>
      </c>
      <c r="P341" s="2">
        <v>4060520</v>
      </c>
      <c r="Q341" s="1">
        <v>279222</v>
      </c>
      <c r="R341" s="1">
        <v>0</v>
      </c>
      <c r="S341">
        <v>99.302199999999999</v>
      </c>
      <c r="T341">
        <v>98.274000000000001</v>
      </c>
      <c r="U341">
        <v>2.8354499999999998</v>
      </c>
      <c r="V341">
        <v>0</v>
      </c>
      <c r="W341">
        <v>0</v>
      </c>
      <c r="X341">
        <v>1.6510400000000001</v>
      </c>
      <c r="Y341">
        <v>1.6510400000000001</v>
      </c>
      <c r="Z341">
        <v>0</v>
      </c>
      <c r="AA341">
        <v>1.2403599999999999</v>
      </c>
      <c r="AB341">
        <v>2.9635199999999999</v>
      </c>
      <c r="AC341" s="2">
        <v>206255000</v>
      </c>
      <c r="AD341" s="1">
        <v>0</v>
      </c>
      <c r="AE341" s="1">
        <v>0</v>
      </c>
      <c r="AF341" s="1">
        <v>0</v>
      </c>
      <c r="AG341" s="1">
        <v>0</v>
      </c>
      <c r="AH341" s="2">
        <v>4271630</v>
      </c>
      <c r="AI341" s="1">
        <v>139239</v>
      </c>
      <c r="AJ341" s="1">
        <v>0</v>
      </c>
      <c r="AK341" s="8">
        <f t="shared" si="23"/>
        <v>28</v>
      </c>
      <c r="AL341" s="8">
        <f t="shared" si="22"/>
        <v>7</v>
      </c>
      <c r="AM341">
        <f t="shared" si="20"/>
        <v>0</v>
      </c>
      <c r="AN341">
        <f t="shared" si="21"/>
        <v>0</v>
      </c>
    </row>
    <row r="342" spans="1:40" x14ac:dyDescent="0.35">
      <c r="A342">
        <v>82.292599999999993</v>
      </c>
      <c r="B342">
        <v>85.138999999999996</v>
      </c>
      <c r="C342">
        <v>2.7109899999999998</v>
      </c>
      <c r="D342">
        <v>0</v>
      </c>
      <c r="E342">
        <v>0</v>
      </c>
      <c r="F342">
        <v>2.7166700000000001</v>
      </c>
      <c r="G342">
        <v>2.7166700000000001</v>
      </c>
      <c r="H342">
        <v>0</v>
      </c>
      <c r="I342">
        <v>0.50899899999999998</v>
      </c>
      <c r="J342">
        <v>5.3222399999999999</v>
      </c>
      <c r="K342" s="2">
        <v>13034900</v>
      </c>
      <c r="L342" s="1">
        <v>0</v>
      </c>
      <c r="M342" s="1">
        <v>0</v>
      </c>
      <c r="N342" s="1">
        <v>0</v>
      </c>
      <c r="O342" s="1">
        <v>0</v>
      </c>
      <c r="P342" s="2">
        <v>4061350</v>
      </c>
      <c r="Q342" s="1">
        <v>279279</v>
      </c>
      <c r="R342" s="1">
        <v>0</v>
      </c>
      <c r="S342">
        <v>99.302199999999999</v>
      </c>
      <c r="T342">
        <v>98.274000000000001</v>
      </c>
      <c r="U342">
        <v>2.7304900000000001</v>
      </c>
      <c r="V342">
        <v>0</v>
      </c>
      <c r="W342">
        <v>0</v>
      </c>
      <c r="X342">
        <v>1.6513800000000001</v>
      </c>
      <c r="Y342">
        <v>1.6513800000000001</v>
      </c>
      <c r="Z342">
        <v>0</v>
      </c>
      <c r="AA342">
        <v>1.27559</v>
      </c>
      <c r="AB342">
        <v>2.9635199999999999</v>
      </c>
      <c r="AC342" s="2">
        <v>206395000</v>
      </c>
      <c r="AD342" s="1">
        <v>0</v>
      </c>
      <c r="AE342" s="1">
        <v>0</v>
      </c>
      <c r="AF342" s="1">
        <v>0</v>
      </c>
      <c r="AG342" s="1">
        <v>0</v>
      </c>
      <c r="AH342" s="2">
        <v>4272500</v>
      </c>
      <c r="AI342" s="1">
        <v>139267</v>
      </c>
      <c r="AJ342" s="1">
        <v>0</v>
      </c>
      <c r="AK342" s="8">
        <f t="shared" si="23"/>
        <v>29</v>
      </c>
      <c r="AL342" s="8">
        <f t="shared" si="22"/>
        <v>7</v>
      </c>
      <c r="AM342">
        <f t="shared" si="20"/>
        <v>0</v>
      </c>
      <c r="AN342">
        <f t="shared" si="21"/>
        <v>0</v>
      </c>
    </row>
    <row r="343" spans="1:40" x14ac:dyDescent="0.35">
      <c r="A343">
        <v>81.982600000000005</v>
      </c>
      <c r="B343">
        <v>85.138999999999996</v>
      </c>
      <c r="C343">
        <v>2.57172</v>
      </c>
      <c r="D343">
        <v>0</v>
      </c>
      <c r="E343">
        <v>0</v>
      </c>
      <c r="F343">
        <v>2.7172299999999998</v>
      </c>
      <c r="G343">
        <v>2.7172299999999998</v>
      </c>
      <c r="H343">
        <v>0</v>
      </c>
      <c r="I343">
        <v>0.509104</v>
      </c>
      <c r="J343">
        <v>5.3222399999999999</v>
      </c>
      <c r="K343" s="2">
        <v>13314300</v>
      </c>
      <c r="L343" s="1">
        <v>0</v>
      </c>
      <c r="M343" s="1">
        <v>0</v>
      </c>
      <c r="N343" s="1">
        <v>0</v>
      </c>
      <c r="O343" s="1">
        <v>0</v>
      </c>
      <c r="P343" s="2">
        <v>4062190</v>
      </c>
      <c r="Q343" s="1">
        <v>279336</v>
      </c>
      <c r="R343" s="1">
        <v>0</v>
      </c>
      <c r="S343">
        <v>99.302199999999999</v>
      </c>
      <c r="T343">
        <v>98.274000000000001</v>
      </c>
      <c r="U343">
        <v>2.6596199999999999</v>
      </c>
      <c r="V343">
        <v>0</v>
      </c>
      <c r="W343">
        <v>0</v>
      </c>
      <c r="X343">
        <v>1.6517200000000001</v>
      </c>
      <c r="Y343">
        <v>1.6517200000000001</v>
      </c>
      <c r="Z343">
        <v>0</v>
      </c>
      <c r="AA343">
        <v>1.2758499999999999</v>
      </c>
      <c r="AB343">
        <v>2.9635199999999999</v>
      </c>
      <c r="AC343" s="2">
        <v>206534000</v>
      </c>
      <c r="AD343" s="1">
        <v>0</v>
      </c>
      <c r="AE343" s="1">
        <v>0</v>
      </c>
      <c r="AF343" s="1">
        <v>0</v>
      </c>
      <c r="AG343" s="1">
        <v>0</v>
      </c>
      <c r="AH343" s="2">
        <v>4273380</v>
      </c>
      <c r="AI343" s="1">
        <v>139296</v>
      </c>
      <c r="AJ343" s="1">
        <v>0</v>
      </c>
      <c r="AK343" s="8">
        <f t="shared" si="23"/>
        <v>30</v>
      </c>
      <c r="AL343" s="8">
        <f t="shared" si="22"/>
        <v>7</v>
      </c>
      <c r="AM343">
        <f t="shared" si="20"/>
        <v>0</v>
      </c>
      <c r="AN343">
        <f t="shared" si="21"/>
        <v>0</v>
      </c>
    </row>
    <row r="344" spans="1:40" x14ac:dyDescent="0.35">
      <c r="A344">
        <v>81.512699999999995</v>
      </c>
      <c r="B344">
        <v>85.138999999999996</v>
      </c>
      <c r="C344">
        <v>2.4091999999999998</v>
      </c>
      <c r="D344">
        <v>0</v>
      </c>
      <c r="E344">
        <v>0</v>
      </c>
      <c r="F344">
        <v>2.7177799999999999</v>
      </c>
      <c r="G344">
        <v>2.7177799999999999</v>
      </c>
      <c r="H344">
        <v>0</v>
      </c>
      <c r="I344">
        <v>0.50920799999999999</v>
      </c>
      <c r="J344">
        <v>5.3222399999999999</v>
      </c>
      <c r="K344" s="2">
        <v>13593600</v>
      </c>
      <c r="L344" s="1">
        <v>0</v>
      </c>
      <c r="M344" s="1">
        <v>0</v>
      </c>
      <c r="N344" s="1">
        <v>0</v>
      </c>
      <c r="O344" s="1">
        <v>0</v>
      </c>
      <c r="P344" s="2">
        <v>4063020</v>
      </c>
      <c r="Q344" s="1">
        <v>279394</v>
      </c>
      <c r="R344" s="1">
        <v>0</v>
      </c>
      <c r="S344">
        <v>99.302199999999999</v>
      </c>
      <c r="T344">
        <v>98.274000000000001</v>
      </c>
      <c r="U344">
        <v>2.6747000000000001</v>
      </c>
      <c r="V344">
        <v>0</v>
      </c>
      <c r="W344">
        <v>0</v>
      </c>
      <c r="X344">
        <v>1.65205</v>
      </c>
      <c r="Y344">
        <v>1.65205</v>
      </c>
      <c r="Z344">
        <v>0</v>
      </c>
      <c r="AA344">
        <v>1.2761199999999999</v>
      </c>
      <c r="AB344">
        <v>2.9635199999999999</v>
      </c>
      <c r="AC344" s="2">
        <v>206673000</v>
      </c>
      <c r="AD344" s="1">
        <v>0</v>
      </c>
      <c r="AE344" s="1">
        <v>0</v>
      </c>
      <c r="AF344" s="1">
        <v>0</v>
      </c>
      <c r="AG344" s="1">
        <v>0</v>
      </c>
      <c r="AH344" s="2">
        <v>4274260</v>
      </c>
      <c r="AI344" s="1">
        <v>139324</v>
      </c>
      <c r="AJ344" s="1">
        <v>0</v>
      </c>
      <c r="AK344" s="8">
        <f t="shared" si="23"/>
        <v>31</v>
      </c>
      <c r="AL344" s="8">
        <f t="shared" si="22"/>
        <v>7</v>
      </c>
      <c r="AM344">
        <f t="shared" si="20"/>
        <v>0</v>
      </c>
      <c r="AN344">
        <f t="shared" si="21"/>
        <v>0</v>
      </c>
    </row>
    <row r="345" spans="1:40" x14ac:dyDescent="0.35">
      <c r="A345">
        <v>81.0505</v>
      </c>
      <c r="B345">
        <v>85.138999999999996</v>
      </c>
      <c r="C345">
        <v>2.4484499999999998</v>
      </c>
      <c r="D345">
        <v>0</v>
      </c>
      <c r="E345">
        <v>0</v>
      </c>
      <c r="F345">
        <v>2.7817799999999999</v>
      </c>
      <c r="G345">
        <v>2.7817799999999999</v>
      </c>
      <c r="H345">
        <v>0</v>
      </c>
      <c r="I345">
        <v>0.50931300000000002</v>
      </c>
      <c r="J345">
        <v>5.3222399999999999</v>
      </c>
      <c r="K345" s="2">
        <v>13879600</v>
      </c>
      <c r="L345" s="1">
        <v>0</v>
      </c>
      <c r="M345" s="1">
        <v>0</v>
      </c>
      <c r="N345" s="1">
        <v>0</v>
      </c>
      <c r="O345" s="1">
        <v>0</v>
      </c>
      <c r="P345" s="2">
        <v>4158700</v>
      </c>
      <c r="Q345" s="1">
        <v>285973</v>
      </c>
      <c r="R345" s="1">
        <v>0</v>
      </c>
      <c r="S345">
        <v>99.302199999999999</v>
      </c>
      <c r="T345">
        <v>98.274000000000001</v>
      </c>
      <c r="U345">
        <v>2.3216100000000002</v>
      </c>
      <c r="V345">
        <v>0</v>
      </c>
      <c r="W345">
        <v>0</v>
      </c>
      <c r="X345">
        <v>1.6927700000000001</v>
      </c>
      <c r="Y345">
        <v>1.6927700000000001</v>
      </c>
      <c r="Z345">
        <v>0</v>
      </c>
      <c r="AA345">
        <v>1.2763800000000001</v>
      </c>
      <c r="AB345">
        <v>2.9635199999999999</v>
      </c>
      <c r="AC345" s="2">
        <v>206816000</v>
      </c>
      <c r="AD345" s="1">
        <v>0</v>
      </c>
      <c r="AE345" s="1">
        <v>0</v>
      </c>
      <c r="AF345" s="1">
        <v>0</v>
      </c>
      <c r="AG345" s="1">
        <v>0</v>
      </c>
      <c r="AH345" s="2">
        <v>4379600</v>
      </c>
      <c r="AI345" s="1">
        <v>142758</v>
      </c>
      <c r="AJ345" s="1">
        <v>0</v>
      </c>
      <c r="AK345" s="8">
        <f t="shared" si="23"/>
        <v>32</v>
      </c>
      <c r="AL345" s="8">
        <f t="shared" si="22"/>
        <v>7</v>
      </c>
      <c r="AM345">
        <f t="shared" si="20"/>
        <v>0</v>
      </c>
      <c r="AN345">
        <f t="shared" si="21"/>
        <v>0</v>
      </c>
    </row>
    <row r="346" spans="1:40" x14ac:dyDescent="0.35">
      <c r="A346">
        <v>80.527799999999999</v>
      </c>
      <c r="B346">
        <v>85.138999999999996</v>
      </c>
      <c r="C346">
        <v>2.37893</v>
      </c>
      <c r="D346">
        <v>0</v>
      </c>
      <c r="E346">
        <v>0</v>
      </c>
      <c r="F346">
        <v>2.7823500000000001</v>
      </c>
      <c r="G346">
        <v>2.7823500000000001</v>
      </c>
      <c r="H346">
        <v>0</v>
      </c>
      <c r="I346">
        <v>0.52130600000000005</v>
      </c>
      <c r="J346">
        <v>5.3222399999999999</v>
      </c>
      <c r="K346" s="2">
        <v>14165700</v>
      </c>
      <c r="L346" s="1">
        <v>0</v>
      </c>
      <c r="M346" s="1">
        <v>0</v>
      </c>
      <c r="N346" s="1">
        <v>0</v>
      </c>
      <c r="O346" s="1">
        <v>0</v>
      </c>
      <c r="P346" s="2">
        <v>4159550</v>
      </c>
      <c r="Q346" s="1">
        <v>286031</v>
      </c>
      <c r="R346" s="1">
        <v>0</v>
      </c>
      <c r="S346">
        <v>99.247600000000006</v>
      </c>
      <c r="T346">
        <v>98.274000000000001</v>
      </c>
      <c r="U346">
        <v>2.2835299999999998</v>
      </c>
      <c r="V346">
        <v>0</v>
      </c>
      <c r="W346">
        <v>0</v>
      </c>
      <c r="X346">
        <v>1.69312</v>
      </c>
      <c r="Y346">
        <v>1.69312</v>
      </c>
      <c r="Z346">
        <v>0</v>
      </c>
      <c r="AA346">
        <v>1.30783</v>
      </c>
      <c r="AB346">
        <v>2.9635199999999999</v>
      </c>
      <c r="AC346" s="2">
        <v>206959000</v>
      </c>
      <c r="AD346" s="1">
        <v>0</v>
      </c>
      <c r="AE346" s="1">
        <v>0</v>
      </c>
      <c r="AF346" s="1">
        <v>0</v>
      </c>
      <c r="AG346" s="1">
        <v>0</v>
      </c>
      <c r="AH346" s="2">
        <v>4380500</v>
      </c>
      <c r="AI346" s="1">
        <v>142787</v>
      </c>
      <c r="AJ346" s="1">
        <v>0</v>
      </c>
      <c r="AK346" s="8">
        <f t="shared" si="23"/>
        <v>33</v>
      </c>
      <c r="AL346" s="8">
        <f t="shared" si="22"/>
        <v>7</v>
      </c>
      <c r="AM346">
        <f t="shared" si="20"/>
        <v>0</v>
      </c>
      <c r="AN346">
        <f t="shared" si="21"/>
        <v>0</v>
      </c>
    </row>
    <row r="347" spans="1:40" x14ac:dyDescent="0.35">
      <c r="A347">
        <v>79.863900000000001</v>
      </c>
      <c r="B347">
        <v>85.138999999999996</v>
      </c>
      <c r="C347">
        <v>2.2214399999999999</v>
      </c>
      <c r="D347">
        <v>0</v>
      </c>
      <c r="E347">
        <v>0</v>
      </c>
      <c r="F347">
        <v>2.7829199999999998</v>
      </c>
      <c r="G347">
        <v>2.7829199999999998</v>
      </c>
      <c r="H347">
        <v>0</v>
      </c>
      <c r="I347">
        <v>0.52141300000000002</v>
      </c>
      <c r="J347">
        <v>5.3222399999999999</v>
      </c>
      <c r="K347" s="2">
        <v>14451700</v>
      </c>
      <c r="L347" s="1">
        <v>0</v>
      </c>
      <c r="M347" s="1">
        <v>0</v>
      </c>
      <c r="N347" s="1">
        <v>0</v>
      </c>
      <c r="O347" s="1">
        <v>0</v>
      </c>
      <c r="P347" s="2">
        <v>4160400</v>
      </c>
      <c r="Q347" s="1">
        <v>286090</v>
      </c>
      <c r="R347" s="1">
        <v>0</v>
      </c>
      <c r="S347">
        <v>99.068299999999994</v>
      </c>
      <c r="T347">
        <v>98.274000000000001</v>
      </c>
      <c r="U347">
        <v>2.1480999999999999</v>
      </c>
      <c r="V347">
        <v>0</v>
      </c>
      <c r="W347">
        <v>0</v>
      </c>
      <c r="X347">
        <v>1.69347</v>
      </c>
      <c r="Y347">
        <v>1.69347</v>
      </c>
      <c r="Z347">
        <v>0</v>
      </c>
      <c r="AA347">
        <v>1.3081</v>
      </c>
      <c r="AB347">
        <v>2.9635199999999999</v>
      </c>
      <c r="AC347" s="2">
        <v>207102000</v>
      </c>
      <c r="AD347" s="1">
        <v>0</v>
      </c>
      <c r="AE347" s="1">
        <v>0</v>
      </c>
      <c r="AF347" s="1">
        <v>0</v>
      </c>
      <c r="AG347" s="1">
        <v>0</v>
      </c>
      <c r="AH347" s="2">
        <v>4381400</v>
      </c>
      <c r="AI347" s="1">
        <v>142817</v>
      </c>
      <c r="AJ347" s="1">
        <v>0</v>
      </c>
      <c r="AK347" s="8">
        <f t="shared" si="23"/>
        <v>34</v>
      </c>
      <c r="AL347" s="8">
        <f t="shared" si="22"/>
        <v>7</v>
      </c>
      <c r="AM347">
        <f t="shared" si="20"/>
        <v>0</v>
      </c>
      <c r="AN347">
        <f t="shared" si="21"/>
        <v>0</v>
      </c>
    </row>
    <row r="348" spans="1:40" x14ac:dyDescent="0.35">
      <c r="A348">
        <v>79.0321</v>
      </c>
      <c r="B348">
        <v>85.138999999999996</v>
      </c>
      <c r="C348">
        <v>2.0388700000000002</v>
      </c>
      <c r="D348">
        <v>0</v>
      </c>
      <c r="E348">
        <v>0</v>
      </c>
      <c r="F348">
        <v>2.7835000000000001</v>
      </c>
      <c r="G348">
        <v>2.7835000000000001</v>
      </c>
      <c r="H348">
        <v>0</v>
      </c>
      <c r="I348">
        <v>0.52151999999999998</v>
      </c>
      <c r="J348">
        <v>5.3222399999999999</v>
      </c>
      <c r="K348" s="2">
        <v>14737900</v>
      </c>
      <c r="L348" s="1">
        <v>0</v>
      </c>
      <c r="M348" s="1">
        <v>0</v>
      </c>
      <c r="N348" s="1">
        <v>0</v>
      </c>
      <c r="O348" s="1">
        <v>0</v>
      </c>
      <c r="P348" s="2">
        <v>4161260</v>
      </c>
      <c r="Q348" s="1">
        <v>286149</v>
      </c>
      <c r="R348" s="1">
        <v>0</v>
      </c>
      <c r="S348">
        <v>98.982600000000005</v>
      </c>
      <c r="T348">
        <v>98.274000000000001</v>
      </c>
      <c r="U348">
        <v>2.0304600000000002</v>
      </c>
      <c r="V348">
        <v>0</v>
      </c>
      <c r="W348">
        <v>0</v>
      </c>
      <c r="X348">
        <v>1.69381</v>
      </c>
      <c r="Y348">
        <v>1.69381</v>
      </c>
      <c r="Z348">
        <v>0</v>
      </c>
      <c r="AA348">
        <v>1.30837</v>
      </c>
      <c r="AB348">
        <v>2.9635199999999999</v>
      </c>
      <c r="AC348" s="2">
        <v>207244000</v>
      </c>
      <c r="AD348" s="1">
        <v>0</v>
      </c>
      <c r="AE348" s="1">
        <v>0</v>
      </c>
      <c r="AF348" s="1">
        <v>0</v>
      </c>
      <c r="AG348" s="1">
        <v>0</v>
      </c>
      <c r="AH348" s="2">
        <v>4382300</v>
      </c>
      <c r="AI348" s="1">
        <v>142846</v>
      </c>
      <c r="AJ348" s="1">
        <v>0</v>
      </c>
      <c r="AK348" s="8">
        <f t="shared" si="23"/>
        <v>35</v>
      </c>
      <c r="AL348" s="8">
        <f t="shared" si="22"/>
        <v>7</v>
      </c>
      <c r="AM348">
        <f t="shared" si="20"/>
        <v>0</v>
      </c>
      <c r="AN348">
        <f t="shared" si="21"/>
        <v>0</v>
      </c>
    </row>
    <row r="349" spans="1:40" x14ac:dyDescent="0.35">
      <c r="A349">
        <v>78.431399999999996</v>
      </c>
      <c r="B349">
        <v>85.138999999999996</v>
      </c>
      <c r="C349">
        <v>2.4138799999999998</v>
      </c>
      <c r="D349">
        <v>0</v>
      </c>
      <c r="E349">
        <v>0</v>
      </c>
      <c r="F349">
        <v>2.97</v>
      </c>
      <c r="G349">
        <v>2.97</v>
      </c>
      <c r="H349">
        <v>0</v>
      </c>
      <c r="I349">
        <v>0.52162699999999995</v>
      </c>
      <c r="J349">
        <v>5.3222399999999999</v>
      </c>
      <c r="K349" s="2">
        <v>15043200</v>
      </c>
      <c r="L349" s="1">
        <v>0</v>
      </c>
      <c r="M349" s="1">
        <v>0</v>
      </c>
      <c r="N349" s="1">
        <v>0</v>
      </c>
      <c r="O349" s="1">
        <v>0</v>
      </c>
      <c r="P349" s="2">
        <v>4440080</v>
      </c>
      <c r="Q349" s="1">
        <v>305322</v>
      </c>
      <c r="R349" s="1">
        <v>0</v>
      </c>
      <c r="S349">
        <v>98.845200000000006</v>
      </c>
      <c r="T349">
        <v>98.274000000000001</v>
      </c>
      <c r="U349">
        <v>2.4619300000000002</v>
      </c>
      <c r="V349">
        <v>0</v>
      </c>
      <c r="W349">
        <v>0</v>
      </c>
      <c r="X349">
        <v>1.84002</v>
      </c>
      <c r="Y349">
        <v>1.84002</v>
      </c>
      <c r="Z349">
        <v>0</v>
      </c>
      <c r="AA349">
        <v>1.30864</v>
      </c>
      <c r="AB349">
        <v>2.9635199999999999</v>
      </c>
      <c r="AC349" s="2">
        <v>207400000</v>
      </c>
      <c r="AD349" s="1">
        <v>0</v>
      </c>
      <c r="AE349" s="1">
        <v>0</v>
      </c>
      <c r="AF349" s="1">
        <v>0</v>
      </c>
      <c r="AG349" s="1">
        <v>0</v>
      </c>
      <c r="AH349" s="2">
        <v>4760570</v>
      </c>
      <c r="AI349" s="1">
        <v>155176</v>
      </c>
      <c r="AJ349" s="1">
        <v>0</v>
      </c>
      <c r="AK349" s="8">
        <f t="shared" si="23"/>
        <v>36</v>
      </c>
      <c r="AL349" s="8">
        <f t="shared" si="22"/>
        <v>7</v>
      </c>
      <c r="AM349">
        <f t="shared" si="20"/>
        <v>0</v>
      </c>
      <c r="AN349">
        <f t="shared" si="21"/>
        <v>0</v>
      </c>
    </row>
    <row r="350" spans="1:40" x14ac:dyDescent="0.35">
      <c r="A350">
        <v>77.663300000000007</v>
      </c>
      <c r="B350">
        <v>85.138999999999996</v>
      </c>
      <c r="C350">
        <v>2.2373699999999999</v>
      </c>
      <c r="D350">
        <v>0</v>
      </c>
      <c r="E350">
        <v>0</v>
      </c>
      <c r="F350">
        <v>2.9706100000000002</v>
      </c>
      <c r="G350">
        <v>2.9706100000000002</v>
      </c>
      <c r="H350">
        <v>0</v>
      </c>
      <c r="I350">
        <v>0.55657900000000005</v>
      </c>
      <c r="J350">
        <v>5.3222399999999999</v>
      </c>
      <c r="K350" s="2">
        <v>15348600</v>
      </c>
      <c r="L350" s="1">
        <v>0</v>
      </c>
      <c r="M350" s="1">
        <v>0</v>
      </c>
      <c r="N350" s="1">
        <v>0</v>
      </c>
      <c r="O350" s="1">
        <v>0</v>
      </c>
      <c r="P350" s="2">
        <v>4440990</v>
      </c>
      <c r="Q350" s="1">
        <v>305385</v>
      </c>
      <c r="R350" s="1">
        <v>0</v>
      </c>
      <c r="S350">
        <v>98.636200000000002</v>
      </c>
      <c r="T350">
        <v>98.274000000000001</v>
      </c>
      <c r="U350">
        <v>2.0259399999999999</v>
      </c>
      <c r="V350">
        <v>0</v>
      </c>
      <c r="W350">
        <v>0</v>
      </c>
      <c r="X350">
        <v>1.8404</v>
      </c>
      <c r="Y350">
        <v>1.8404</v>
      </c>
      <c r="Z350">
        <v>0</v>
      </c>
      <c r="AA350">
        <v>1.4216</v>
      </c>
      <c r="AB350">
        <v>2.9635199999999999</v>
      </c>
      <c r="AC350" s="2">
        <v>207555000</v>
      </c>
      <c r="AD350" s="1">
        <v>0</v>
      </c>
      <c r="AE350" s="1">
        <v>0</v>
      </c>
      <c r="AF350" s="1">
        <v>0</v>
      </c>
      <c r="AG350" s="1">
        <v>0</v>
      </c>
      <c r="AH350" s="2">
        <v>4761550</v>
      </c>
      <c r="AI350" s="1">
        <v>155208</v>
      </c>
      <c r="AJ350" s="1">
        <v>0</v>
      </c>
      <c r="AK350" s="8">
        <f t="shared" si="23"/>
        <v>37</v>
      </c>
      <c r="AL350" s="8">
        <f t="shared" si="22"/>
        <v>7</v>
      </c>
      <c r="AM350">
        <f t="shared" si="20"/>
        <v>0</v>
      </c>
      <c r="AN350">
        <f t="shared" si="21"/>
        <v>0</v>
      </c>
    </row>
    <row r="351" spans="1:40" x14ac:dyDescent="0.35">
      <c r="A351">
        <v>77.037400000000005</v>
      </c>
      <c r="B351">
        <v>85.138999999999996</v>
      </c>
      <c r="C351">
        <v>2.4059200000000001</v>
      </c>
      <c r="D351">
        <v>0</v>
      </c>
      <c r="E351">
        <v>0</v>
      </c>
      <c r="F351">
        <v>2.9712200000000002</v>
      </c>
      <c r="G351">
        <v>2.9712200000000002</v>
      </c>
      <c r="H351">
        <v>0</v>
      </c>
      <c r="I351">
        <v>0.55669299999999999</v>
      </c>
      <c r="J351">
        <v>5.3222399999999999</v>
      </c>
      <c r="K351" s="2">
        <v>15654000</v>
      </c>
      <c r="L351" s="1">
        <v>0</v>
      </c>
      <c r="M351" s="1">
        <v>0</v>
      </c>
      <c r="N351" s="1">
        <v>0</v>
      </c>
      <c r="O351" s="1">
        <v>0</v>
      </c>
      <c r="P351" s="2">
        <v>4441900</v>
      </c>
      <c r="Q351" s="1">
        <v>305447</v>
      </c>
      <c r="R351" s="1">
        <v>0</v>
      </c>
      <c r="S351">
        <v>98.354100000000003</v>
      </c>
      <c r="T351">
        <v>98.274000000000001</v>
      </c>
      <c r="U351">
        <v>2.4723899999999999</v>
      </c>
      <c r="V351">
        <v>0</v>
      </c>
      <c r="W351">
        <v>0</v>
      </c>
      <c r="X351">
        <v>1.8407800000000001</v>
      </c>
      <c r="Y351">
        <v>1.8407800000000001</v>
      </c>
      <c r="Z351">
        <v>0</v>
      </c>
      <c r="AA351">
        <v>1.4218900000000001</v>
      </c>
      <c r="AB351">
        <v>2.9635199999999999</v>
      </c>
      <c r="AC351" s="2">
        <v>207710000</v>
      </c>
      <c r="AD351" s="1">
        <v>0</v>
      </c>
      <c r="AE351" s="1">
        <v>0</v>
      </c>
      <c r="AF351" s="1">
        <v>0</v>
      </c>
      <c r="AG351" s="1">
        <v>0</v>
      </c>
      <c r="AH351" s="2">
        <v>4762520</v>
      </c>
      <c r="AI351" s="1">
        <v>155240</v>
      </c>
      <c r="AJ351" s="1">
        <v>0</v>
      </c>
      <c r="AK351" s="8">
        <f t="shared" si="23"/>
        <v>38</v>
      </c>
      <c r="AL351" s="8">
        <f t="shared" si="22"/>
        <v>7</v>
      </c>
      <c r="AM351">
        <f t="shared" si="20"/>
        <v>0</v>
      </c>
      <c r="AN351">
        <f t="shared" si="21"/>
        <v>0</v>
      </c>
    </row>
    <row r="352" spans="1:40" x14ac:dyDescent="0.35">
      <c r="A352">
        <v>76.014200000000002</v>
      </c>
      <c r="B352">
        <v>85.138999999999996</v>
      </c>
      <c r="C352">
        <v>1.9927600000000001</v>
      </c>
      <c r="D352">
        <v>0</v>
      </c>
      <c r="E352">
        <v>0</v>
      </c>
      <c r="F352">
        <v>2.9718300000000002</v>
      </c>
      <c r="G352">
        <v>2.9718300000000002</v>
      </c>
      <c r="H352">
        <v>0</v>
      </c>
      <c r="I352">
        <v>0.55680700000000005</v>
      </c>
      <c r="J352">
        <v>5.3222399999999999</v>
      </c>
      <c r="K352" s="2">
        <v>15959600</v>
      </c>
      <c r="L352" s="1">
        <v>0</v>
      </c>
      <c r="M352" s="1">
        <v>0</v>
      </c>
      <c r="N352" s="1">
        <v>0</v>
      </c>
      <c r="O352" s="1">
        <v>0</v>
      </c>
      <c r="P352" s="2">
        <v>4442810</v>
      </c>
      <c r="Q352" s="1">
        <v>305510</v>
      </c>
      <c r="R352" s="1">
        <v>0</v>
      </c>
      <c r="S352">
        <v>98.148200000000003</v>
      </c>
      <c r="T352">
        <v>98.274000000000001</v>
      </c>
      <c r="U352">
        <v>1.7532099999999999</v>
      </c>
      <c r="V352">
        <v>0</v>
      </c>
      <c r="W352">
        <v>0</v>
      </c>
      <c r="X352">
        <v>1.8411500000000001</v>
      </c>
      <c r="Y352">
        <v>1.8411500000000001</v>
      </c>
      <c r="Z352">
        <v>0</v>
      </c>
      <c r="AA352">
        <v>1.42218</v>
      </c>
      <c r="AB352">
        <v>2.9635199999999999</v>
      </c>
      <c r="AC352" s="2">
        <v>207865000</v>
      </c>
      <c r="AD352" s="1">
        <v>0</v>
      </c>
      <c r="AE352" s="1">
        <v>0</v>
      </c>
      <c r="AF352" s="1">
        <v>0</v>
      </c>
      <c r="AG352" s="1">
        <v>0</v>
      </c>
      <c r="AH352" s="2">
        <v>4763500</v>
      </c>
      <c r="AI352" s="1">
        <v>155272</v>
      </c>
      <c r="AJ352" s="1">
        <v>0</v>
      </c>
      <c r="AK352" s="8">
        <f t="shared" si="23"/>
        <v>39</v>
      </c>
      <c r="AL352" s="8">
        <f t="shared" si="22"/>
        <v>7</v>
      </c>
      <c r="AM352">
        <f t="shared" si="20"/>
        <v>0</v>
      </c>
      <c r="AN352">
        <f t="shared" si="21"/>
        <v>0</v>
      </c>
    </row>
    <row r="353" spans="1:40" x14ac:dyDescent="0.35">
      <c r="A353">
        <v>75.634799999999998</v>
      </c>
      <c r="B353">
        <v>85.138999999999996</v>
      </c>
      <c r="C353">
        <v>2.63009</v>
      </c>
      <c r="D353">
        <v>0</v>
      </c>
      <c r="E353">
        <v>0</v>
      </c>
      <c r="F353">
        <v>2.9724400000000002</v>
      </c>
      <c r="G353">
        <v>2.9724400000000002</v>
      </c>
      <c r="H353">
        <v>0</v>
      </c>
      <c r="I353">
        <v>0.556921</v>
      </c>
      <c r="J353">
        <v>5.3222399999999999</v>
      </c>
      <c r="K353" s="2">
        <v>16265100</v>
      </c>
      <c r="L353" s="1">
        <v>0</v>
      </c>
      <c r="M353" s="1">
        <v>0</v>
      </c>
      <c r="N353" s="1">
        <v>0</v>
      </c>
      <c r="O353" s="1">
        <v>0</v>
      </c>
      <c r="P353" s="2">
        <v>4443720</v>
      </c>
      <c r="Q353" s="1">
        <v>305573</v>
      </c>
      <c r="R353" s="1">
        <v>0</v>
      </c>
      <c r="S353">
        <v>98.326700000000002</v>
      </c>
      <c r="T353">
        <v>98.274000000000001</v>
      </c>
      <c r="U353">
        <v>3.44909</v>
      </c>
      <c r="V353">
        <v>0</v>
      </c>
      <c r="W353">
        <v>0</v>
      </c>
      <c r="X353">
        <v>1.8415299999999999</v>
      </c>
      <c r="Y353">
        <v>1.8415299999999999</v>
      </c>
      <c r="Z353">
        <v>0</v>
      </c>
      <c r="AA353">
        <v>1.42248</v>
      </c>
      <c r="AB353">
        <v>2.9635199999999999</v>
      </c>
      <c r="AC353" s="2">
        <v>208021000</v>
      </c>
      <c r="AD353" s="1">
        <v>0</v>
      </c>
      <c r="AE353" s="1">
        <v>0</v>
      </c>
      <c r="AF353" s="1">
        <v>0</v>
      </c>
      <c r="AG353" s="1">
        <v>0</v>
      </c>
      <c r="AH353" s="2">
        <v>4764480</v>
      </c>
      <c r="AI353" s="1">
        <v>155304</v>
      </c>
      <c r="AJ353" s="1">
        <v>0</v>
      </c>
      <c r="AK353" s="8">
        <f t="shared" si="23"/>
        <v>40</v>
      </c>
      <c r="AL353" s="8">
        <f t="shared" si="22"/>
        <v>7</v>
      </c>
      <c r="AM353">
        <f t="shared" si="20"/>
        <v>0</v>
      </c>
      <c r="AN353">
        <f t="shared" si="21"/>
        <v>0</v>
      </c>
    </row>
    <row r="354" spans="1:40" x14ac:dyDescent="0.35">
      <c r="A354">
        <v>74.793300000000002</v>
      </c>
      <c r="B354">
        <v>85.138999999999996</v>
      </c>
      <c r="C354">
        <v>2.1458599999999999</v>
      </c>
      <c r="D354">
        <v>0</v>
      </c>
      <c r="E354">
        <v>0</v>
      </c>
      <c r="F354">
        <v>2.8823400000000001</v>
      </c>
      <c r="G354">
        <v>2.8823400000000001</v>
      </c>
      <c r="H354">
        <v>0</v>
      </c>
      <c r="I354">
        <v>0.55703599999999998</v>
      </c>
      <c r="J354">
        <v>5.3222399999999999</v>
      </c>
      <c r="K354" s="2">
        <v>16561400</v>
      </c>
      <c r="L354" s="1">
        <v>0</v>
      </c>
      <c r="M354" s="1">
        <v>0</v>
      </c>
      <c r="N354" s="1">
        <v>0</v>
      </c>
      <c r="O354" s="1">
        <v>0</v>
      </c>
      <c r="P354" s="2">
        <v>4309030</v>
      </c>
      <c r="Q354" s="1">
        <v>296310</v>
      </c>
      <c r="R354" s="1">
        <v>0</v>
      </c>
      <c r="S354">
        <v>98.235399999999998</v>
      </c>
      <c r="T354">
        <v>98.274000000000001</v>
      </c>
      <c r="U354">
        <v>2.5045299999999999</v>
      </c>
      <c r="V354">
        <v>0</v>
      </c>
      <c r="W354">
        <v>0</v>
      </c>
      <c r="X354">
        <v>1.75329</v>
      </c>
      <c r="Y354">
        <v>1.75329</v>
      </c>
      <c r="Z354">
        <v>0</v>
      </c>
      <c r="AA354">
        <v>1.4227700000000001</v>
      </c>
      <c r="AB354">
        <v>2.9635199999999999</v>
      </c>
      <c r="AC354" s="2">
        <v>208168000</v>
      </c>
      <c r="AD354" s="1">
        <v>0</v>
      </c>
      <c r="AE354" s="1">
        <v>0</v>
      </c>
      <c r="AF354" s="1">
        <v>0</v>
      </c>
      <c r="AG354" s="1">
        <v>0</v>
      </c>
      <c r="AH354" s="2">
        <v>4536170</v>
      </c>
      <c r="AI354" s="1">
        <v>147862</v>
      </c>
      <c r="AJ354" s="1">
        <v>0</v>
      </c>
      <c r="AK354" s="8">
        <f t="shared" si="23"/>
        <v>41</v>
      </c>
      <c r="AL354" s="8">
        <f t="shared" si="22"/>
        <v>7</v>
      </c>
      <c r="AM354">
        <f t="shared" si="20"/>
        <v>0</v>
      </c>
      <c r="AN354">
        <f t="shared" si="21"/>
        <v>0</v>
      </c>
    </row>
    <row r="355" spans="1:40" x14ac:dyDescent="0.35">
      <c r="A355">
        <v>73.602400000000003</v>
      </c>
      <c r="B355">
        <v>85.138999999999996</v>
      </c>
      <c r="C355">
        <v>1.71757</v>
      </c>
      <c r="D355">
        <v>0</v>
      </c>
      <c r="E355">
        <v>0</v>
      </c>
      <c r="F355">
        <v>2.88293</v>
      </c>
      <c r="G355">
        <v>2.88293</v>
      </c>
      <c r="H355">
        <v>0</v>
      </c>
      <c r="I355">
        <v>0.54015100000000005</v>
      </c>
      <c r="J355">
        <v>5.3222399999999999</v>
      </c>
      <c r="K355" s="2">
        <v>16857800</v>
      </c>
      <c r="L355" s="1">
        <v>0</v>
      </c>
      <c r="M355" s="1">
        <v>0</v>
      </c>
      <c r="N355" s="1">
        <v>0</v>
      </c>
      <c r="O355" s="1">
        <v>0</v>
      </c>
      <c r="P355" s="2">
        <v>4309910</v>
      </c>
      <c r="Q355" s="1">
        <v>296371</v>
      </c>
      <c r="R355" s="1">
        <v>0</v>
      </c>
      <c r="S355">
        <v>98.270200000000003</v>
      </c>
      <c r="T355">
        <v>98.274000000000001</v>
      </c>
      <c r="U355">
        <v>1.89131</v>
      </c>
      <c r="V355">
        <v>0</v>
      </c>
      <c r="W355">
        <v>0</v>
      </c>
      <c r="X355">
        <v>1.7536499999999999</v>
      </c>
      <c r="Y355">
        <v>1.7536499999999999</v>
      </c>
      <c r="Z355">
        <v>0</v>
      </c>
      <c r="AA355">
        <v>1.35459</v>
      </c>
      <c r="AB355">
        <v>2.9635199999999999</v>
      </c>
      <c r="AC355" s="2">
        <v>208316000</v>
      </c>
      <c r="AD355" s="1">
        <v>0</v>
      </c>
      <c r="AE355" s="1">
        <v>0</v>
      </c>
      <c r="AF355" s="1">
        <v>0</v>
      </c>
      <c r="AG355" s="1">
        <v>0</v>
      </c>
      <c r="AH355" s="2">
        <v>4537100</v>
      </c>
      <c r="AI355" s="1">
        <v>147892</v>
      </c>
      <c r="AJ355" s="1">
        <v>0</v>
      </c>
      <c r="AK355" s="8">
        <f t="shared" si="23"/>
        <v>42</v>
      </c>
      <c r="AL355" s="8">
        <f t="shared" si="22"/>
        <v>7</v>
      </c>
      <c r="AM355">
        <f t="shared" si="20"/>
        <v>0</v>
      </c>
      <c r="AN355">
        <f t="shared" si="21"/>
        <v>0</v>
      </c>
    </row>
    <row r="356" spans="1:40" x14ac:dyDescent="0.35">
      <c r="A356">
        <v>74.709100000000007</v>
      </c>
      <c r="B356">
        <v>85.138999999999996</v>
      </c>
      <c r="C356">
        <v>4.1111800000000001</v>
      </c>
      <c r="D356">
        <v>0</v>
      </c>
      <c r="E356">
        <v>0</v>
      </c>
      <c r="F356">
        <v>2.8835199999999999</v>
      </c>
      <c r="G356">
        <v>2.8835199999999999</v>
      </c>
      <c r="H356">
        <v>0</v>
      </c>
      <c r="I356">
        <v>0.54026099999999999</v>
      </c>
      <c r="J356">
        <v>5.3222399999999999</v>
      </c>
      <c r="K356" s="2">
        <v>17154200</v>
      </c>
      <c r="L356" s="1">
        <v>0</v>
      </c>
      <c r="M356" s="1">
        <v>0</v>
      </c>
      <c r="N356" s="1">
        <v>0</v>
      </c>
      <c r="O356" s="1">
        <v>0</v>
      </c>
      <c r="P356" s="2">
        <v>4310790</v>
      </c>
      <c r="Q356" s="1">
        <v>296432</v>
      </c>
      <c r="R356" s="1">
        <v>0</v>
      </c>
      <c r="S356">
        <v>98.632900000000006</v>
      </c>
      <c r="T356">
        <v>98.274000000000001</v>
      </c>
      <c r="U356">
        <v>3.8686799999999999</v>
      </c>
      <c r="V356">
        <v>0</v>
      </c>
      <c r="W356">
        <v>0</v>
      </c>
      <c r="X356">
        <v>1.7540100000000001</v>
      </c>
      <c r="Y356">
        <v>1.7540100000000001</v>
      </c>
      <c r="Z356">
        <v>0</v>
      </c>
      <c r="AA356">
        <v>1.35487</v>
      </c>
      <c r="AB356">
        <v>2.9635199999999999</v>
      </c>
      <c r="AC356" s="2">
        <v>208464000</v>
      </c>
      <c r="AD356" s="1">
        <v>0</v>
      </c>
      <c r="AE356" s="1">
        <v>0</v>
      </c>
      <c r="AF356" s="1">
        <v>0</v>
      </c>
      <c r="AG356" s="1">
        <v>0</v>
      </c>
      <c r="AH356" s="2">
        <v>4538030</v>
      </c>
      <c r="AI356" s="1">
        <v>147922</v>
      </c>
      <c r="AJ356" s="1">
        <v>0</v>
      </c>
      <c r="AK356" s="8">
        <f t="shared" si="23"/>
        <v>43</v>
      </c>
      <c r="AL356" s="8">
        <f t="shared" si="22"/>
        <v>7</v>
      </c>
      <c r="AM356">
        <f t="shared" si="20"/>
        <v>0</v>
      </c>
      <c r="AN356">
        <f t="shared" si="21"/>
        <v>0</v>
      </c>
    </row>
    <row r="357" spans="1:40" x14ac:dyDescent="0.35">
      <c r="A357">
        <v>75.3416</v>
      </c>
      <c r="B357">
        <v>85.138999999999996</v>
      </c>
      <c r="C357">
        <v>3.7762099999999998</v>
      </c>
      <c r="D357">
        <v>0</v>
      </c>
      <c r="E357">
        <v>0</v>
      </c>
      <c r="F357">
        <v>2.8841100000000002</v>
      </c>
      <c r="G357">
        <v>2.8841100000000002</v>
      </c>
      <c r="H357">
        <v>0</v>
      </c>
      <c r="I357">
        <v>0.54037199999999996</v>
      </c>
      <c r="J357">
        <v>5.3222399999999999</v>
      </c>
      <c r="K357" s="2">
        <v>17450700</v>
      </c>
      <c r="L357" s="1">
        <v>0</v>
      </c>
      <c r="M357" s="1">
        <v>0</v>
      </c>
      <c r="N357" s="1">
        <v>0</v>
      </c>
      <c r="O357" s="1">
        <v>0</v>
      </c>
      <c r="P357" s="2">
        <v>4311680</v>
      </c>
      <c r="Q357" s="1">
        <v>296493</v>
      </c>
      <c r="R357" s="1">
        <v>0</v>
      </c>
      <c r="S357">
        <v>99.108699999999999</v>
      </c>
      <c r="T357">
        <v>98.274000000000001</v>
      </c>
      <c r="U357">
        <v>3.33413</v>
      </c>
      <c r="V357">
        <v>0</v>
      </c>
      <c r="W357">
        <v>0</v>
      </c>
      <c r="X357">
        <v>1.75437</v>
      </c>
      <c r="Y357">
        <v>1.75437</v>
      </c>
      <c r="Z357">
        <v>0</v>
      </c>
      <c r="AA357">
        <v>1.3551500000000001</v>
      </c>
      <c r="AB357">
        <v>2.9635199999999999</v>
      </c>
      <c r="AC357" s="2">
        <v>208612000</v>
      </c>
      <c r="AD357" s="1">
        <v>0</v>
      </c>
      <c r="AE357" s="1">
        <v>0</v>
      </c>
      <c r="AF357" s="1">
        <v>0</v>
      </c>
      <c r="AG357" s="1">
        <v>0</v>
      </c>
      <c r="AH357" s="2">
        <v>4538960</v>
      </c>
      <c r="AI357" s="1">
        <v>147953</v>
      </c>
      <c r="AJ357" s="1">
        <v>0</v>
      </c>
      <c r="AK357" s="8">
        <f t="shared" si="23"/>
        <v>44</v>
      </c>
      <c r="AL357" s="8">
        <f t="shared" si="22"/>
        <v>7</v>
      </c>
      <c r="AM357">
        <f t="shared" si="20"/>
        <v>0</v>
      </c>
      <c r="AN357">
        <f t="shared" si="21"/>
        <v>0</v>
      </c>
    </row>
    <row r="358" spans="1:40" x14ac:dyDescent="0.35">
      <c r="A358">
        <v>75.034199999999998</v>
      </c>
      <c r="B358">
        <v>85.138999999999996</v>
      </c>
      <c r="C358">
        <v>2.77698</v>
      </c>
      <c r="D358">
        <v>0</v>
      </c>
      <c r="E358">
        <v>0</v>
      </c>
      <c r="F358">
        <v>2.81019</v>
      </c>
      <c r="G358">
        <v>2.81019</v>
      </c>
      <c r="H358">
        <v>0</v>
      </c>
      <c r="I358">
        <v>0.54048300000000005</v>
      </c>
      <c r="J358">
        <v>5.3222399999999999</v>
      </c>
      <c r="K358" s="2">
        <v>17739600</v>
      </c>
      <c r="L358" s="1">
        <v>0</v>
      </c>
      <c r="M358" s="1">
        <v>0</v>
      </c>
      <c r="N358" s="1">
        <v>0</v>
      </c>
      <c r="O358" s="1">
        <v>0</v>
      </c>
      <c r="P358" s="2">
        <v>4201160</v>
      </c>
      <c r="Q358" s="1">
        <v>288893</v>
      </c>
      <c r="R358" s="1">
        <v>0</v>
      </c>
      <c r="S358">
        <v>99.3005</v>
      </c>
      <c r="T358">
        <v>98.274000000000001</v>
      </c>
      <c r="U358">
        <v>3.04853</v>
      </c>
      <c r="V358">
        <v>0</v>
      </c>
      <c r="W358">
        <v>0</v>
      </c>
      <c r="X358">
        <v>1.6739900000000001</v>
      </c>
      <c r="Y358">
        <v>1.6739900000000001</v>
      </c>
      <c r="Z358">
        <v>0</v>
      </c>
      <c r="AA358">
        <v>1.3554200000000001</v>
      </c>
      <c r="AB358">
        <v>2.9635199999999999</v>
      </c>
      <c r="AC358" s="2">
        <v>208753000</v>
      </c>
      <c r="AD358" s="1">
        <v>0</v>
      </c>
      <c r="AE358" s="1">
        <v>0</v>
      </c>
      <c r="AF358" s="1">
        <v>0</v>
      </c>
      <c r="AG358" s="1">
        <v>0</v>
      </c>
      <c r="AH358" s="2">
        <v>4331010</v>
      </c>
      <c r="AI358" s="1">
        <v>141174</v>
      </c>
      <c r="AJ358" s="1">
        <v>0</v>
      </c>
      <c r="AK358" s="8">
        <f t="shared" si="23"/>
        <v>45</v>
      </c>
      <c r="AL358" s="8">
        <f t="shared" si="22"/>
        <v>7</v>
      </c>
      <c r="AM358">
        <f t="shared" si="20"/>
        <v>0</v>
      </c>
      <c r="AN358">
        <f t="shared" si="21"/>
        <v>0</v>
      </c>
    </row>
    <row r="359" spans="1:40" x14ac:dyDescent="0.35">
      <c r="A359">
        <v>76.572900000000004</v>
      </c>
      <c r="B359">
        <v>85.138999999999996</v>
      </c>
      <c r="C359">
        <v>4.8285200000000001</v>
      </c>
      <c r="D359">
        <v>0</v>
      </c>
      <c r="E359">
        <v>0</v>
      </c>
      <c r="F359">
        <v>2.8107600000000001</v>
      </c>
      <c r="G359">
        <v>2.8107600000000001</v>
      </c>
      <c r="H359">
        <v>0</v>
      </c>
      <c r="I359">
        <v>0.52662900000000001</v>
      </c>
      <c r="J359">
        <v>5.3222399999999999</v>
      </c>
      <c r="K359" s="2">
        <v>18028600</v>
      </c>
      <c r="L359" s="1">
        <v>0</v>
      </c>
      <c r="M359" s="1">
        <v>0</v>
      </c>
      <c r="N359" s="1">
        <v>0</v>
      </c>
      <c r="O359" s="1">
        <v>0</v>
      </c>
      <c r="P359" s="2">
        <v>4202020</v>
      </c>
      <c r="Q359" s="1">
        <v>288952</v>
      </c>
      <c r="R359" s="1">
        <v>0</v>
      </c>
      <c r="S359">
        <v>99.302199999999999</v>
      </c>
      <c r="T359">
        <v>98.274000000000001</v>
      </c>
      <c r="U359">
        <v>4.6093200000000003</v>
      </c>
      <c r="V359">
        <v>0</v>
      </c>
      <c r="W359">
        <v>0</v>
      </c>
      <c r="X359">
        <v>1.6743399999999999</v>
      </c>
      <c r="Y359">
        <v>1.6743399999999999</v>
      </c>
      <c r="Z359">
        <v>0</v>
      </c>
      <c r="AA359">
        <v>1.2933300000000001</v>
      </c>
      <c r="AB359">
        <v>2.9635199999999999</v>
      </c>
      <c r="AC359" s="2">
        <v>208895000</v>
      </c>
      <c r="AD359" s="1">
        <v>0</v>
      </c>
      <c r="AE359" s="1">
        <v>0</v>
      </c>
      <c r="AF359" s="1">
        <v>0</v>
      </c>
      <c r="AG359" s="1">
        <v>0</v>
      </c>
      <c r="AH359" s="2">
        <v>4331900</v>
      </c>
      <c r="AI359" s="1">
        <v>141203</v>
      </c>
      <c r="AJ359" s="1">
        <v>0</v>
      </c>
      <c r="AK359" s="8">
        <f t="shared" si="23"/>
        <v>46</v>
      </c>
      <c r="AL359" s="8">
        <f t="shared" si="22"/>
        <v>7</v>
      </c>
      <c r="AM359">
        <f t="shared" si="20"/>
        <v>0</v>
      </c>
      <c r="AN359">
        <f t="shared" si="21"/>
        <v>0</v>
      </c>
    </row>
    <row r="360" spans="1:40" x14ac:dyDescent="0.35">
      <c r="A360">
        <v>77.673900000000003</v>
      </c>
      <c r="B360">
        <v>85.138999999999996</v>
      </c>
      <c r="C360">
        <v>4.3591199999999999</v>
      </c>
      <c r="D360">
        <v>0</v>
      </c>
      <c r="E360">
        <v>0</v>
      </c>
      <c r="F360">
        <v>2.81134</v>
      </c>
      <c r="G360">
        <v>2.81134</v>
      </c>
      <c r="H360">
        <v>0</v>
      </c>
      <c r="I360">
        <v>0.52673700000000001</v>
      </c>
      <c r="J360">
        <v>5.3222399999999999</v>
      </c>
      <c r="K360" s="2">
        <v>18317600</v>
      </c>
      <c r="L360" s="1">
        <v>0</v>
      </c>
      <c r="M360" s="1">
        <v>0</v>
      </c>
      <c r="N360" s="1">
        <v>0</v>
      </c>
      <c r="O360" s="1">
        <v>0</v>
      </c>
      <c r="P360" s="2">
        <v>4202880</v>
      </c>
      <c r="Q360" s="1">
        <v>289011</v>
      </c>
      <c r="R360" s="1">
        <v>0</v>
      </c>
      <c r="S360">
        <v>99.302199999999999</v>
      </c>
      <c r="T360">
        <v>98.274000000000001</v>
      </c>
      <c r="U360">
        <v>4.9055099999999996</v>
      </c>
      <c r="V360">
        <v>0</v>
      </c>
      <c r="W360">
        <v>0</v>
      </c>
      <c r="X360">
        <v>1.6746799999999999</v>
      </c>
      <c r="Y360">
        <v>1.6746799999999999</v>
      </c>
      <c r="Z360">
        <v>0</v>
      </c>
      <c r="AA360">
        <v>1.29359</v>
      </c>
      <c r="AB360">
        <v>2.9635199999999999</v>
      </c>
      <c r="AC360" s="2">
        <v>209036000</v>
      </c>
      <c r="AD360" s="1">
        <v>0</v>
      </c>
      <c r="AE360" s="1">
        <v>0</v>
      </c>
      <c r="AF360" s="1">
        <v>0</v>
      </c>
      <c r="AG360" s="1">
        <v>0</v>
      </c>
      <c r="AH360" s="2">
        <v>4332790</v>
      </c>
      <c r="AI360" s="1">
        <v>141232</v>
      </c>
      <c r="AJ360" s="1">
        <v>0</v>
      </c>
      <c r="AK360" s="8">
        <f t="shared" si="23"/>
        <v>47</v>
      </c>
      <c r="AL360" s="8">
        <f t="shared" si="22"/>
        <v>7</v>
      </c>
      <c r="AM360">
        <f t="shared" si="20"/>
        <v>0</v>
      </c>
      <c r="AN360">
        <f t="shared" si="21"/>
        <v>0</v>
      </c>
    </row>
    <row r="361" spans="1:40" x14ac:dyDescent="0.35">
      <c r="A361">
        <v>78.326599999999999</v>
      </c>
      <c r="B361">
        <v>85.138999999999996</v>
      </c>
      <c r="C361">
        <v>3.9208599999999998</v>
      </c>
      <c r="D361">
        <v>0</v>
      </c>
      <c r="E361">
        <v>0</v>
      </c>
      <c r="F361">
        <v>2.8119200000000002</v>
      </c>
      <c r="G361">
        <v>2.8119200000000002</v>
      </c>
      <c r="H361">
        <v>0</v>
      </c>
      <c r="I361">
        <v>0.52684500000000001</v>
      </c>
      <c r="J361">
        <v>5.3222399999999999</v>
      </c>
      <c r="K361" s="2">
        <v>18606700</v>
      </c>
      <c r="L361" s="1">
        <v>0</v>
      </c>
      <c r="M361" s="1">
        <v>0</v>
      </c>
      <c r="N361" s="1">
        <v>0</v>
      </c>
      <c r="O361" s="1">
        <v>0</v>
      </c>
      <c r="P361" s="2">
        <v>4203750</v>
      </c>
      <c r="Q361" s="1">
        <v>289071</v>
      </c>
      <c r="R361" s="1">
        <v>0</v>
      </c>
      <c r="S361">
        <v>99.302199999999999</v>
      </c>
      <c r="T361">
        <v>98.274000000000001</v>
      </c>
      <c r="U361">
        <v>4.0733899999999998</v>
      </c>
      <c r="V361">
        <v>0</v>
      </c>
      <c r="W361">
        <v>0</v>
      </c>
      <c r="X361">
        <v>1.67502</v>
      </c>
      <c r="Y361">
        <v>1.67502</v>
      </c>
      <c r="Z361">
        <v>0</v>
      </c>
      <c r="AA361">
        <v>1.29386</v>
      </c>
      <c r="AB361">
        <v>2.9635199999999999</v>
      </c>
      <c r="AC361" s="2">
        <v>209177000</v>
      </c>
      <c r="AD361" s="1">
        <v>0</v>
      </c>
      <c r="AE361" s="1">
        <v>0</v>
      </c>
      <c r="AF361" s="1">
        <v>0</v>
      </c>
      <c r="AG361" s="1">
        <v>0</v>
      </c>
      <c r="AH361" s="2">
        <v>4333680</v>
      </c>
      <c r="AI361" s="1">
        <v>141261</v>
      </c>
      <c r="AJ361" s="1">
        <v>0</v>
      </c>
      <c r="AK361" s="8">
        <f t="shared" si="23"/>
        <v>48</v>
      </c>
      <c r="AL361" s="8">
        <f t="shared" si="22"/>
        <v>7</v>
      </c>
      <c r="AM361">
        <f t="shared" si="20"/>
        <v>0</v>
      </c>
      <c r="AN361">
        <f t="shared" si="21"/>
        <v>0</v>
      </c>
    </row>
    <row r="362" spans="1:40" x14ac:dyDescent="0.35">
      <c r="A362">
        <v>79.575900000000004</v>
      </c>
      <c r="B362">
        <v>85.138999999999996</v>
      </c>
      <c r="C362">
        <v>4.4470000000000001</v>
      </c>
      <c r="D362">
        <v>0</v>
      </c>
      <c r="E362">
        <v>0</v>
      </c>
      <c r="F362">
        <v>2.6006800000000001</v>
      </c>
      <c r="G362">
        <v>2.6006800000000001</v>
      </c>
      <c r="H362">
        <v>0</v>
      </c>
      <c r="I362">
        <v>0.526953</v>
      </c>
      <c r="J362">
        <v>5.3222399999999999</v>
      </c>
      <c r="K362" s="2">
        <v>18874000</v>
      </c>
      <c r="L362" s="1">
        <v>0</v>
      </c>
      <c r="M362" s="1">
        <v>0</v>
      </c>
      <c r="N362" s="1">
        <v>0</v>
      </c>
      <c r="O362" s="1">
        <v>0</v>
      </c>
      <c r="P362" s="2">
        <v>3887950</v>
      </c>
      <c r="Q362" s="1">
        <v>267355</v>
      </c>
      <c r="R362" s="1">
        <v>0</v>
      </c>
      <c r="S362">
        <v>99.302199999999999</v>
      </c>
      <c r="T362">
        <v>98.274000000000001</v>
      </c>
      <c r="U362">
        <v>4.0524399999999998</v>
      </c>
      <c r="V362">
        <v>0</v>
      </c>
      <c r="W362">
        <v>0</v>
      </c>
      <c r="X362">
        <v>1.50708</v>
      </c>
      <c r="Y362">
        <v>1.50708</v>
      </c>
      <c r="Z362">
        <v>0</v>
      </c>
      <c r="AA362">
        <v>1.2941199999999999</v>
      </c>
      <c r="AB362">
        <v>2.9635199999999999</v>
      </c>
      <c r="AC362" s="2">
        <v>209304000</v>
      </c>
      <c r="AD362" s="1">
        <v>0</v>
      </c>
      <c r="AE362" s="1">
        <v>0</v>
      </c>
      <c r="AF362" s="1">
        <v>0</v>
      </c>
      <c r="AG362" s="1">
        <v>0</v>
      </c>
      <c r="AH362" s="2">
        <v>3899180</v>
      </c>
      <c r="AI362" s="1">
        <v>127098</v>
      </c>
      <c r="AJ362" s="1">
        <v>0</v>
      </c>
      <c r="AK362" s="8">
        <f t="shared" si="23"/>
        <v>49</v>
      </c>
      <c r="AL362" s="8">
        <f t="shared" si="22"/>
        <v>7</v>
      </c>
      <c r="AM362">
        <f t="shared" si="20"/>
        <v>0</v>
      </c>
      <c r="AN362">
        <f t="shared" si="21"/>
        <v>0</v>
      </c>
    </row>
    <row r="363" spans="1:40" x14ac:dyDescent="0.35">
      <c r="A363">
        <v>82.561899999999994</v>
      </c>
      <c r="B363">
        <v>85.138999999999996</v>
      </c>
      <c r="C363">
        <v>6.3039800000000001</v>
      </c>
      <c r="D363">
        <v>0</v>
      </c>
      <c r="E363">
        <v>0</v>
      </c>
      <c r="F363">
        <v>2.6012200000000001</v>
      </c>
      <c r="G363">
        <v>2.6012200000000001</v>
      </c>
      <c r="H363">
        <v>0</v>
      </c>
      <c r="I363">
        <v>0.48736800000000002</v>
      </c>
      <c r="J363">
        <v>5.3222399999999999</v>
      </c>
      <c r="K363" s="2">
        <v>19141400</v>
      </c>
      <c r="L363" s="1">
        <v>0</v>
      </c>
      <c r="M363" s="1">
        <v>0</v>
      </c>
      <c r="N363" s="1">
        <v>0</v>
      </c>
      <c r="O363" s="1">
        <v>0</v>
      </c>
      <c r="P363" s="2">
        <v>3888750</v>
      </c>
      <c r="Q363" s="1">
        <v>267410</v>
      </c>
      <c r="R363" s="1">
        <v>0</v>
      </c>
      <c r="S363">
        <v>99.302199999999999</v>
      </c>
      <c r="T363">
        <v>98.274000000000001</v>
      </c>
      <c r="U363">
        <v>5.1826699999999999</v>
      </c>
      <c r="V363">
        <v>0</v>
      </c>
      <c r="W363">
        <v>0</v>
      </c>
      <c r="X363">
        <v>1.50739</v>
      </c>
      <c r="Y363">
        <v>1.50739</v>
      </c>
      <c r="Z363">
        <v>0</v>
      </c>
      <c r="AA363">
        <v>1.1643699999999999</v>
      </c>
      <c r="AB363">
        <v>2.9635199999999999</v>
      </c>
      <c r="AC363" s="2">
        <v>209431000</v>
      </c>
      <c r="AD363" s="1">
        <v>0</v>
      </c>
      <c r="AE363" s="1">
        <v>0</v>
      </c>
      <c r="AF363" s="1">
        <v>0</v>
      </c>
      <c r="AG363" s="1">
        <v>0</v>
      </c>
      <c r="AH363" s="2">
        <v>3899980</v>
      </c>
      <c r="AI363" s="1">
        <v>127124</v>
      </c>
      <c r="AJ363" s="1">
        <v>0</v>
      </c>
      <c r="AK363" s="8">
        <f t="shared" si="23"/>
        <v>50</v>
      </c>
      <c r="AL363" s="8">
        <f t="shared" si="22"/>
        <v>7</v>
      </c>
      <c r="AM363">
        <f t="shared" si="20"/>
        <v>0</v>
      </c>
      <c r="AN363">
        <f t="shared" si="21"/>
        <v>0</v>
      </c>
    </row>
    <row r="364" spans="1:40" x14ac:dyDescent="0.35">
      <c r="A364">
        <v>85.138999999999996</v>
      </c>
      <c r="B364">
        <v>85.138999999999996</v>
      </c>
      <c r="C364">
        <v>6.2554400000000001</v>
      </c>
      <c r="D364">
        <v>0</v>
      </c>
      <c r="E364">
        <v>0</v>
      </c>
      <c r="F364">
        <v>2.60175</v>
      </c>
      <c r="G364">
        <v>2.60175</v>
      </c>
      <c r="H364">
        <v>0</v>
      </c>
      <c r="I364">
        <v>0.48746800000000001</v>
      </c>
      <c r="J364">
        <v>5.3222399999999999</v>
      </c>
      <c r="K364" s="2">
        <v>19408900</v>
      </c>
      <c r="L364" s="1">
        <v>0</v>
      </c>
      <c r="M364" s="1">
        <v>0</v>
      </c>
      <c r="N364" s="1">
        <v>0</v>
      </c>
      <c r="O364" s="1">
        <v>0</v>
      </c>
      <c r="P364" s="2">
        <v>3889550</v>
      </c>
      <c r="Q364" s="1">
        <v>267465</v>
      </c>
      <c r="R364" s="1">
        <v>0</v>
      </c>
      <c r="S364">
        <v>99.302199999999999</v>
      </c>
      <c r="T364">
        <v>98.274000000000001</v>
      </c>
      <c r="U364">
        <v>4.7763499999999999</v>
      </c>
      <c r="V364">
        <v>0</v>
      </c>
      <c r="W364">
        <v>0</v>
      </c>
      <c r="X364">
        <v>1.5077</v>
      </c>
      <c r="Y364">
        <v>1.5077</v>
      </c>
      <c r="Z364">
        <v>0</v>
      </c>
      <c r="AA364">
        <v>1.1646099999999999</v>
      </c>
      <c r="AB364">
        <v>2.9635199999999999</v>
      </c>
      <c r="AC364" s="2">
        <v>209558000</v>
      </c>
      <c r="AD364" s="1">
        <v>0</v>
      </c>
      <c r="AE364" s="1">
        <v>0</v>
      </c>
      <c r="AF364" s="1">
        <v>0</v>
      </c>
      <c r="AG364" s="1">
        <v>0</v>
      </c>
      <c r="AH364" s="2">
        <v>3900780</v>
      </c>
      <c r="AI364" s="1">
        <v>127150</v>
      </c>
      <c r="AJ364" s="1">
        <v>0</v>
      </c>
      <c r="AK364" s="8">
        <f t="shared" si="23"/>
        <v>51</v>
      </c>
      <c r="AL364" s="8">
        <f t="shared" si="22"/>
        <v>7</v>
      </c>
      <c r="AM364">
        <f t="shared" si="20"/>
        <v>0</v>
      </c>
      <c r="AN364">
        <f t="shared" si="21"/>
        <v>0</v>
      </c>
    </row>
    <row r="365" spans="1:40" x14ac:dyDescent="0.35">
      <c r="A365">
        <v>85.138999999999996</v>
      </c>
      <c r="B365">
        <v>85.138999999999996</v>
      </c>
      <c r="C365">
        <v>6.61219</v>
      </c>
      <c r="D365">
        <v>0</v>
      </c>
      <c r="E365">
        <v>0</v>
      </c>
      <c r="F365">
        <v>2.6022799999999999</v>
      </c>
      <c r="G365">
        <v>2.6022799999999999</v>
      </c>
      <c r="H365">
        <v>0</v>
      </c>
      <c r="I365">
        <v>0.487568</v>
      </c>
      <c r="J365">
        <v>5.3222399999999999</v>
      </c>
      <c r="K365" s="2">
        <v>19676400</v>
      </c>
      <c r="L365" s="1">
        <v>0</v>
      </c>
      <c r="M365" s="1">
        <v>0</v>
      </c>
      <c r="N365" s="1">
        <v>0</v>
      </c>
      <c r="O365" s="1">
        <v>0</v>
      </c>
      <c r="P365" s="2">
        <v>3890350</v>
      </c>
      <c r="Q365" s="1">
        <v>267520</v>
      </c>
      <c r="R365" s="1">
        <v>0</v>
      </c>
      <c r="S365">
        <v>99.302199999999999</v>
      </c>
      <c r="T365">
        <v>98.274000000000001</v>
      </c>
      <c r="U365">
        <v>6.35731</v>
      </c>
      <c r="V365">
        <v>0</v>
      </c>
      <c r="W365">
        <v>0</v>
      </c>
      <c r="X365">
        <v>1.5080100000000001</v>
      </c>
      <c r="Y365">
        <v>1.5080100000000001</v>
      </c>
      <c r="Z365">
        <v>0</v>
      </c>
      <c r="AA365">
        <v>1.1648499999999999</v>
      </c>
      <c r="AB365">
        <v>2.9635199999999999</v>
      </c>
      <c r="AC365" s="2">
        <v>209686000</v>
      </c>
      <c r="AD365" s="1">
        <v>0</v>
      </c>
      <c r="AE365" s="1">
        <v>0</v>
      </c>
      <c r="AF365" s="1">
        <v>0</v>
      </c>
      <c r="AG365" s="1">
        <v>0</v>
      </c>
      <c r="AH365" s="2">
        <v>3901580</v>
      </c>
      <c r="AI365" s="1">
        <v>127176</v>
      </c>
      <c r="AJ365" s="1">
        <v>0</v>
      </c>
      <c r="AK365" s="8">
        <f t="shared" si="23"/>
        <v>52</v>
      </c>
      <c r="AL365" s="8">
        <f t="shared" si="22"/>
        <v>7</v>
      </c>
      <c r="AM365">
        <f t="shared" si="20"/>
        <v>209686000</v>
      </c>
      <c r="AN365">
        <f t="shared" si="21"/>
        <v>19676400</v>
      </c>
    </row>
    <row r="366" spans="1:40" x14ac:dyDescent="0.35">
      <c r="A366">
        <v>85.138999999999996</v>
      </c>
      <c r="B366">
        <v>85.138999999999996</v>
      </c>
      <c r="C366">
        <v>4.9903000000000004</v>
      </c>
      <c r="D366">
        <v>0</v>
      </c>
      <c r="E366">
        <v>0</v>
      </c>
      <c r="F366">
        <v>2.6028199999999999</v>
      </c>
      <c r="G366">
        <v>2.6028199999999999</v>
      </c>
      <c r="H366">
        <v>0</v>
      </c>
      <c r="I366">
        <v>0.48766799999999999</v>
      </c>
      <c r="J366">
        <v>5.3222399999999999</v>
      </c>
      <c r="K366" s="2">
        <v>19944000</v>
      </c>
      <c r="L366" s="1">
        <v>0</v>
      </c>
      <c r="M366" s="1">
        <v>0</v>
      </c>
      <c r="N366" s="1">
        <v>0</v>
      </c>
      <c r="O366" s="1">
        <v>0</v>
      </c>
      <c r="P366" s="2">
        <v>3891150</v>
      </c>
      <c r="Q366" s="1">
        <v>267575</v>
      </c>
      <c r="R366" s="1">
        <v>0</v>
      </c>
      <c r="S366">
        <v>99.302199999999999</v>
      </c>
      <c r="T366">
        <v>98.274000000000001</v>
      </c>
      <c r="U366">
        <v>4.3507800000000003</v>
      </c>
      <c r="V366">
        <v>0</v>
      </c>
      <c r="W366">
        <v>0</v>
      </c>
      <c r="X366">
        <v>1.5083200000000001</v>
      </c>
      <c r="Y366">
        <v>1.5083200000000001</v>
      </c>
      <c r="Z366">
        <v>0</v>
      </c>
      <c r="AA366">
        <v>1.16509</v>
      </c>
      <c r="AB366">
        <v>2.9635199999999999</v>
      </c>
      <c r="AC366" s="2">
        <v>209813000</v>
      </c>
      <c r="AD366" s="1">
        <v>0</v>
      </c>
      <c r="AE366" s="1">
        <v>0</v>
      </c>
      <c r="AF366" s="1">
        <v>0</v>
      </c>
      <c r="AG366" s="1">
        <v>0</v>
      </c>
      <c r="AH366" s="2">
        <v>3902380</v>
      </c>
      <c r="AI366" s="1">
        <v>127202</v>
      </c>
      <c r="AJ366" s="1">
        <v>0</v>
      </c>
      <c r="AK366" s="8">
        <f t="shared" si="23"/>
        <v>1</v>
      </c>
      <c r="AL366" s="8">
        <f t="shared" si="22"/>
        <v>8</v>
      </c>
      <c r="AM366">
        <f t="shared" si="20"/>
        <v>0</v>
      </c>
      <c r="AN366">
        <f t="shared" si="21"/>
        <v>0</v>
      </c>
    </row>
    <row r="367" spans="1:40" x14ac:dyDescent="0.35">
      <c r="A367">
        <v>85.138999999999996</v>
      </c>
      <c r="B367">
        <v>85.138999999999996</v>
      </c>
      <c r="C367">
        <v>6.0231500000000002</v>
      </c>
      <c r="D367">
        <v>0</v>
      </c>
      <c r="E367">
        <v>0</v>
      </c>
      <c r="F367">
        <v>2.6848999999999998</v>
      </c>
      <c r="G367">
        <v>2.6848999999999998</v>
      </c>
      <c r="H367">
        <v>0</v>
      </c>
      <c r="I367">
        <v>0.48776799999999998</v>
      </c>
      <c r="J367">
        <v>5.3222399999999999</v>
      </c>
      <c r="K367" s="2">
        <v>20220000</v>
      </c>
      <c r="L367" s="1">
        <v>0</v>
      </c>
      <c r="M367" s="1">
        <v>0</v>
      </c>
      <c r="N367" s="1">
        <v>0</v>
      </c>
      <c r="O367" s="2">
        <v>29016000</v>
      </c>
      <c r="P367" s="2">
        <v>4013850</v>
      </c>
      <c r="Q367" s="1">
        <v>276013</v>
      </c>
      <c r="R367" s="1">
        <v>0</v>
      </c>
      <c r="S367">
        <v>99.302199999999999</v>
      </c>
      <c r="T367">
        <v>98.274000000000001</v>
      </c>
      <c r="U367">
        <v>4.3513299999999999</v>
      </c>
      <c r="V367">
        <v>0</v>
      </c>
      <c r="W367">
        <v>0</v>
      </c>
      <c r="X367">
        <v>1.5573999999999999</v>
      </c>
      <c r="Y367">
        <v>1.5573999999999999</v>
      </c>
      <c r="Z367">
        <v>0</v>
      </c>
      <c r="AA367">
        <v>1.16533</v>
      </c>
      <c r="AB367">
        <v>2.9635199999999999</v>
      </c>
      <c r="AC367" s="2">
        <v>209944000</v>
      </c>
      <c r="AD367" s="1">
        <v>0</v>
      </c>
      <c r="AE367" s="1">
        <v>0</v>
      </c>
      <c r="AF367" s="1">
        <v>0</v>
      </c>
      <c r="AG367" s="2">
        <v>7883220</v>
      </c>
      <c r="AH367" s="2">
        <v>4029370</v>
      </c>
      <c r="AI367" s="1">
        <v>131342</v>
      </c>
      <c r="AJ367" s="1">
        <v>0</v>
      </c>
      <c r="AK367" s="8">
        <f t="shared" si="23"/>
        <v>2</v>
      </c>
      <c r="AL367" s="8">
        <f t="shared" si="22"/>
        <v>8</v>
      </c>
      <c r="AM367">
        <f t="shared" si="20"/>
        <v>0</v>
      </c>
      <c r="AN367">
        <f t="shared" si="21"/>
        <v>0</v>
      </c>
    </row>
    <row r="368" spans="1:40" x14ac:dyDescent="0.35">
      <c r="A368">
        <v>85.138999999999996</v>
      </c>
      <c r="B368">
        <v>85.138999999999996</v>
      </c>
      <c r="C368">
        <v>5.4754399999999999</v>
      </c>
      <c r="D368">
        <v>0</v>
      </c>
      <c r="E368">
        <v>0</v>
      </c>
      <c r="F368">
        <v>2.6854300000000002</v>
      </c>
      <c r="G368">
        <v>2.6854300000000002</v>
      </c>
      <c r="H368">
        <v>0</v>
      </c>
      <c r="I368">
        <v>0.50314999999999999</v>
      </c>
      <c r="J368">
        <v>5.3222399999999999</v>
      </c>
      <c r="K368" s="2">
        <v>20496100</v>
      </c>
      <c r="L368" s="1">
        <v>0</v>
      </c>
      <c r="M368" s="1">
        <v>0</v>
      </c>
      <c r="N368" s="1">
        <v>0</v>
      </c>
      <c r="O368" s="1">
        <v>0</v>
      </c>
      <c r="P368" s="2">
        <v>4014640</v>
      </c>
      <c r="Q368" s="1">
        <v>276067</v>
      </c>
      <c r="R368" s="1">
        <v>0</v>
      </c>
      <c r="S368">
        <v>99.302199999999999</v>
      </c>
      <c r="T368">
        <v>98.274000000000001</v>
      </c>
      <c r="U368">
        <v>3.9693000000000001</v>
      </c>
      <c r="V368">
        <v>0</v>
      </c>
      <c r="W368">
        <v>0</v>
      </c>
      <c r="X368">
        <v>1.5577099999999999</v>
      </c>
      <c r="Y368">
        <v>1.5577099999999999</v>
      </c>
      <c r="Z368">
        <v>0</v>
      </c>
      <c r="AA368">
        <v>1.2032499999999999</v>
      </c>
      <c r="AB368">
        <v>2.9635199999999999</v>
      </c>
      <c r="AC368" s="2">
        <v>210076000</v>
      </c>
      <c r="AD368" s="1">
        <v>0</v>
      </c>
      <c r="AE368" s="1">
        <v>0</v>
      </c>
      <c r="AF368" s="1">
        <v>0</v>
      </c>
      <c r="AG368" s="1">
        <v>0</v>
      </c>
      <c r="AH368" s="2">
        <v>4030160</v>
      </c>
      <c r="AI368" s="1">
        <v>131368</v>
      </c>
      <c r="AJ368" s="1">
        <v>0</v>
      </c>
      <c r="AK368" s="8">
        <f t="shared" si="23"/>
        <v>3</v>
      </c>
      <c r="AL368" s="8">
        <f t="shared" si="22"/>
        <v>8</v>
      </c>
      <c r="AM368">
        <f t="shared" si="20"/>
        <v>0</v>
      </c>
      <c r="AN368">
        <f t="shared" si="21"/>
        <v>0</v>
      </c>
    </row>
    <row r="369" spans="1:40" x14ac:dyDescent="0.35">
      <c r="A369">
        <v>85.138999999999996</v>
      </c>
      <c r="B369">
        <v>85.138999999999996</v>
      </c>
      <c r="C369">
        <v>5.3705999999999996</v>
      </c>
      <c r="D369">
        <v>0</v>
      </c>
      <c r="E369">
        <v>0</v>
      </c>
      <c r="F369">
        <v>2.6859600000000001</v>
      </c>
      <c r="G369">
        <v>2.6859600000000001</v>
      </c>
      <c r="H369">
        <v>0</v>
      </c>
      <c r="I369">
        <v>0.50324899999999995</v>
      </c>
      <c r="J369">
        <v>5.3222399999999999</v>
      </c>
      <c r="K369" s="2">
        <v>20772200</v>
      </c>
      <c r="L369" s="1">
        <v>0</v>
      </c>
      <c r="M369" s="1">
        <v>0</v>
      </c>
      <c r="N369" s="1">
        <v>0</v>
      </c>
      <c r="O369" s="1">
        <v>0</v>
      </c>
      <c r="P369" s="2">
        <v>4015430</v>
      </c>
      <c r="Q369" s="1">
        <v>276121</v>
      </c>
      <c r="R369" s="1">
        <v>0</v>
      </c>
      <c r="S369">
        <v>99.302199999999999</v>
      </c>
      <c r="T369">
        <v>98.274000000000001</v>
      </c>
      <c r="U369">
        <v>4.0476900000000002</v>
      </c>
      <c r="V369">
        <v>0</v>
      </c>
      <c r="W369">
        <v>0</v>
      </c>
      <c r="X369">
        <v>1.55802</v>
      </c>
      <c r="Y369">
        <v>1.55802</v>
      </c>
      <c r="Z369">
        <v>0</v>
      </c>
      <c r="AA369">
        <v>1.2034899999999999</v>
      </c>
      <c r="AB369">
        <v>2.9635199999999999</v>
      </c>
      <c r="AC369" s="2">
        <v>210207000</v>
      </c>
      <c r="AD369" s="1">
        <v>0</v>
      </c>
      <c r="AE369" s="1">
        <v>0</v>
      </c>
      <c r="AF369" s="1">
        <v>0</v>
      </c>
      <c r="AG369" s="1">
        <v>0</v>
      </c>
      <c r="AH369" s="2">
        <v>4030960</v>
      </c>
      <c r="AI369" s="1">
        <v>131394</v>
      </c>
      <c r="AJ369" s="1">
        <v>0</v>
      </c>
      <c r="AK369" s="8">
        <f t="shared" si="23"/>
        <v>4</v>
      </c>
      <c r="AL369" s="8">
        <f t="shared" si="22"/>
        <v>8</v>
      </c>
      <c r="AM369">
        <f t="shared" si="20"/>
        <v>0</v>
      </c>
      <c r="AN369">
        <f t="shared" si="21"/>
        <v>0</v>
      </c>
    </row>
    <row r="370" spans="1:40" x14ac:dyDescent="0.35">
      <c r="A370">
        <v>85.138999999999996</v>
      </c>
      <c r="B370">
        <v>85.138999999999996</v>
      </c>
      <c r="C370">
        <v>5.3649100000000001</v>
      </c>
      <c r="D370">
        <v>0</v>
      </c>
      <c r="E370">
        <v>0</v>
      </c>
      <c r="F370">
        <v>2.68648</v>
      </c>
      <c r="G370">
        <v>2.68648</v>
      </c>
      <c r="H370">
        <v>0</v>
      </c>
      <c r="I370">
        <v>0.50334800000000002</v>
      </c>
      <c r="J370">
        <v>5.3222399999999999</v>
      </c>
      <c r="K370" s="2">
        <v>21048400</v>
      </c>
      <c r="L370" s="1">
        <v>0</v>
      </c>
      <c r="M370" s="1">
        <v>0</v>
      </c>
      <c r="N370" s="1">
        <v>0</v>
      </c>
      <c r="O370" s="1">
        <v>0</v>
      </c>
      <c r="P370" s="2">
        <v>4016230</v>
      </c>
      <c r="Q370" s="1">
        <v>276176</v>
      </c>
      <c r="R370" s="1">
        <v>0</v>
      </c>
      <c r="S370">
        <v>99.302199999999999</v>
      </c>
      <c r="T370">
        <v>98.274000000000001</v>
      </c>
      <c r="U370">
        <v>3.9008400000000001</v>
      </c>
      <c r="V370">
        <v>0</v>
      </c>
      <c r="W370">
        <v>0</v>
      </c>
      <c r="X370">
        <v>1.5583199999999999</v>
      </c>
      <c r="Y370">
        <v>1.5583199999999999</v>
      </c>
      <c r="Z370">
        <v>0</v>
      </c>
      <c r="AA370">
        <v>1.2037199999999999</v>
      </c>
      <c r="AB370">
        <v>2.9635199999999999</v>
      </c>
      <c r="AC370" s="2">
        <v>210338000</v>
      </c>
      <c r="AD370" s="1">
        <v>0</v>
      </c>
      <c r="AE370" s="1">
        <v>0</v>
      </c>
      <c r="AF370" s="1">
        <v>0</v>
      </c>
      <c r="AG370" s="1">
        <v>0</v>
      </c>
      <c r="AH370" s="2">
        <v>4031750</v>
      </c>
      <c r="AI370" s="1">
        <v>131420</v>
      </c>
      <c r="AJ370" s="1">
        <v>0</v>
      </c>
      <c r="AK370" s="8">
        <f t="shared" si="23"/>
        <v>5</v>
      </c>
      <c r="AL370" s="8">
        <f t="shared" si="22"/>
        <v>8</v>
      </c>
      <c r="AM370">
        <f t="shared" si="20"/>
        <v>0</v>
      </c>
      <c r="AN370">
        <f t="shared" si="21"/>
        <v>0</v>
      </c>
    </row>
    <row r="371" spans="1:40" x14ac:dyDescent="0.35">
      <c r="A371">
        <v>85.138999999999996</v>
      </c>
      <c r="B371">
        <v>85.138999999999996</v>
      </c>
      <c r="C371">
        <v>5.8098000000000001</v>
      </c>
      <c r="D371">
        <v>0</v>
      </c>
      <c r="E371">
        <v>0</v>
      </c>
      <c r="F371">
        <v>2.9491000000000001</v>
      </c>
      <c r="G371">
        <v>2.9491000000000001</v>
      </c>
      <c r="H371">
        <v>0</v>
      </c>
      <c r="I371">
        <v>0.50344699999999998</v>
      </c>
      <c r="J371">
        <v>5.3222399999999999</v>
      </c>
      <c r="K371" s="2">
        <v>21351500</v>
      </c>
      <c r="L371" s="1">
        <v>0</v>
      </c>
      <c r="M371" s="1">
        <v>0</v>
      </c>
      <c r="N371" s="1">
        <v>0</v>
      </c>
      <c r="O371" s="1">
        <v>0</v>
      </c>
      <c r="P371" s="2">
        <v>4408830</v>
      </c>
      <c r="Q371" s="1">
        <v>303173</v>
      </c>
      <c r="R371" s="1">
        <v>0</v>
      </c>
      <c r="S371">
        <v>99.302199999999999</v>
      </c>
      <c r="T371">
        <v>98.274000000000001</v>
      </c>
      <c r="U371">
        <v>4.7312700000000003</v>
      </c>
      <c r="V371">
        <v>0</v>
      </c>
      <c r="W371">
        <v>0</v>
      </c>
      <c r="X371">
        <v>1.7418899999999999</v>
      </c>
      <c r="Y371">
        <v>1.7418899999999999</v>
      </c>
      <c r="Z371">
        <v>0</v>
      </c>
      <c r="AA371">
        <v>1.2039599999999999</v>
      </c>
      <c r="AB371">
        <v>2.9635199999999999</v>
      </c>
      <c r="AC371" s="2">
        <v>210485000</v>
      </c>
      <c r="AD371" s="1">
        <v>0</v>
      </c>
      <c r="AE371" s="1">
        <v>0</v>
      </c>
      <c r="AF371" s="1">
        <v>0</v>
      </c>
      <c r="AG371" s="1">
        <v>0</v>
      </c>
      <c r="AH371" s="2">
        <v>4506690</v>
      </c>
      <c r="AI371" s="1">
        <v>146901</v>
      </c>
      <c r="AJ371" s="1">
        <v>0</v>
      </c>
      <c r="AK371" s="8">
        <f t="shared" si="23"/>
        <v>6</v>
      </c>
      <c r="AL371" s="8">
        <f t="shared" si="22"/>
        <v>8</v>
      </c>
      <c r="AM371">
        <f t="shared" si="20"/>
        <v>0</v>
      </c>
      <c r="AN371">
        <f t="shared" si="21"/>
        <v>0</v>
      </c>
    </row>
    <row r="372" spans="1:40" x14ac:dyDescent="0.35">
      <c r="A372">
        <v>85.138999999999996</v>
      </c>
      <c r="B372">
        <v>85.138999999999996</v>
      </c>
      <c r="C372">
        <v>6.9598699999999996</v>
      </c>
      <c r="D372">
        <v>0</v>
      </c>
      <c r="E372">
        <v>0</v>
      </c>
      <c r="F372">
        <v>2.9496799999999999</v>
      </c>
      <c r="G372">
        <v>2.9496799999999999</v>
      </c>
      <c r="H372">
        <v>0</v>
      </c>
      <c r="I372">
        <v>0.55266099999999996</v>
      </c>
      <c r="J372">
        <v>5.3222399999999999</v>
      </c>
      <c r="K372" s="2">
        <v>21654800</v>
      </c>
      <c r="L372" s="1">
        <v>0</v>
      </c>
      <c r="M372" s="1">
        <v>0</v>
      </c>
      <c r="N372" s="1">
        <v>0</v>
      </c>
      <c r="O372" s="1">
        <v>0</v>
      </c>
      <c r="P372" s="2">
        <v>4409700</v>
      </c>
      <c r="Q372" s="1">
        <v>303233</v>
      </c>
      <c r="R372" s="1">
        <v>0</v>
      </c>
      <c r="S372">
        <v>99.302199999999999</v>
      </c>
      <c r="T372">
        <v>98.274000000000001</v>
      </c>
      <c r="U372">
        <v>4.3904699999999997</v>
      </c>
      <c r="V372">
        <v>0</v>
      </c>
      <c r="W372">
        <v>0</v>
      </c>
      <c r="X372">
        <v>1.7422299999999999</v>
      </c>
      <c r="Y372">
        <v>1.7422299999999999</v>
      </c>
      <c r="Z372">
        <v>0</v>
      </c>
      <c r="AA372">
        <v>1.34579</v>
      </c>
      <c r="AB372">
        <v>2.9635199999999999</v>
      </c>
      <c r="AC372" s="2">
        <v>210632000</v>
      </c>
      <c r="AD372" s="1">
        <v>0</v>
      </c>
      <c r="AE372" s="1">
        <v>0</v>
      </c>
      <c r="AF372" s="1">
        <v>0</v>
      </c>
      <c r="AG372" s="1">
        <v>0</v>
      </c>
      <c r="AH372" s="2">
        <v>4507580</v>
      </c>
      <c r="AI372" s="1">
        <v>146930</v>
      </c>
      <c r="AJ372" s="1">
        <v>0</v>
      </c>
      <c r="AK372" s="8">
        <f t="shared" si="23"/>
        <v>7</v>
      </c>
      <c r="AL372" s="8">
        <f t="shared" si="22"/>
        <v>8</v>
      </c>
      <c r="AM372">
        <f t="shared" si="20"/>
        <v>0</v>
      </c>
      <c r="AN372">
        <f t="shared" si="21"/>
        <v>0</v>
      </c>
    </row>
    <row r="373" spans="1:40" x14ac:dyDescent="0.35">
      <c r="A373">
        <v>85.138999999999996</v>
      </c>
      <c r="B373">
        <v>85.138999999999996</v>
      </c>
      <c r="C373">
        <v>5.0958500000000004</v>
      </c>
      <c r="D373">
        <v>0</v>
      </c>
      <c r="E373">
        <v>0</v>
      </c>
      <c r="F373">
        <v>2.9502600000000001</v>
      </c>
      <c r="G373">
        <v>2.9502600000000001</v>
      </c>
      <c r="H373">
        <v>0</v>
      </c>
      <c r="I373">
        <v>0.55276999999999998</v>
      </c>
      <c r="J373">
        <v>5.3222399999999999</v>
      </c>
      <c r="K373" s="2">
        <v>21958100</v>
      </c>
      <c r="L373" s="1">
        <v>0</v>
      </c>
      <c r="M373" s="1">
        <v>0</v>
      </c>
      <c r="N373" s="1">
        <v>0</v>
      </c>
      <c r="O373" s="1">
        <v>0</v>
      </c>
      <c r="P373" s="2">
        <v>4410570</v>
      </c>
      <c r="Q373" s="1">
        <v>303293</v>
      </c>
      <c r="R373" s="1">
        <v>0</v>
      </c>
      <c r="S373">
        <v>99.302199999999999</v>
      </c>
      <c r="T373">
        <v>98.274000000000001</v>
      </c>
      <c r="U373">
        <v>3.9279099999999998</v>
      </c>
      <c r="V373">
        <v>0</v>
      </c>
      <c r="W373">
        <v>0</v>
      </c>
      <c r="X373">
        <v>1.74258</v>
      </c>
      <c r="Y373">
        <v>1.74258</v>
      </c>
      <c r="Z373">
        <v>0</v>
      </c>
      <c r="AA373">
        <v>1.34605</v>
      </c>
      <c r="AB373">
        <v>2.9635199999999999</v>
      </c>
      <c r="AC373" s="2">
        <v>210779000</v>
      </c>
      <c r="AD373" s="1">
        <v>0</v>
      </c>
      <c r="AE373" s="1">
        <v>0</v>
      </c>
      <c r="AF373" s="1">
        <v>0</v>
      </c>
      <c r="AG373" s="1">
        <v>0</v>
      </c>
      <c r="AH373" s="2">
        <v>4508460</v>
      </c>
      <c r="AI373" s="1">
        <v>146959</v>
      </c>
      <c r="AJ373" s="1">
        <v>0</v>
      </c>
      <c r="AK373" s="8">
        <f t="shared" si="23"/>
        <v>8</v>
      </c>
      <c r="AL373" s="8">
        <f t="shared" si="22"/>
        <v>8</v>
      </c>
      <c r="AM373">
        <f t="shared" si="20"/>
        <v>0</v>
      </c>
      <c r="AN373">
        <f t="shared" si="21"/>
        <v>0</v>
      </c>
    </row>
    <row r="374" spans="1:40" x14ac:dyDescent="0.35">
      <c r="A374">
        <v>85.138999999999996</v>
      </c>
      <c r="B374">
        <v>85.138999999999996</v>
      </c>
      <c r="C374">
        <v>7.5218699999999998</v>
      </c>
      <c r="D374">
        <v>0</v>
      </c>
      <c r="E374">
        <v>0</v>
      </c>
      <c r="F374">
        <v>2.9508399999999999</v>
      </c>
      <c r="G374">
        <v>2.9508399999999999</v>
      </c>
      <c r="H374">
        <v>0</v>
      </c>
      <c r="I374">
        <v>0.55287900000000001</v>
      </c>
      <c r="J374">
        <v>5.3222399999999999</v>
      </c>
      <c r="K374" s="2">
        <v>22261400</v>
      </c>
      <c r="L374" s="1">
        <v>0</v>
      </c>
      <c r="M374" s="1">
        <v>0</v>
      </c>
      <c r="N374" s="1">
        <v>0</v>
      </c>
      <c r="O374" s="1">
        <v>0</v>
      </c>
      <c r="P374" s="2">
        <v>4411440</v>
      </c>
      <c r="Q374" s="1">
        <v>303352</v>
      </c>
      <c r="R374" s="1">
        <v>0</v>
      </c>
      <c r="S374">
        <v>99.302199999999999</v>
      </c>
      <c r="T374">
        <v>98.274000000000001</v>
      </c>
      <c r="U374">
        <v>4.5452000000000004</v>
      </c>
      <c r="V374">
        <v>0</v>
      </c>
      <c r="W374">
        <v>0</v>
      </c>
      <c r="X374">
        <v>1.74292</v>
      </c>
      <c r="Y374">
        <v>1.74292</v>
      </c>
      <c r="Z374">
        <v>0</v>
      </c>
      <c r="AA374">
        <v>1.34632</v>
      </c>
      <c r="AB374">
        <v>2.9635199999999999</v>
      </c>
      <c r="AC374" s="2">
        <v>210926000</v>
      </c>
      <c r="AD374" s="1">
        <v>0</v>
      </c>
      <c r="AE374" s="1">
        <v>0</v>
      </c>
      <c r="AF374" s="1">
        <v>0</v>
      </c>
      <c r="AG374" s="1">
        <v>0</v>
      </c>
      <c r="AH374" s="2">
        <v>4509350</v>
      </c>
      <c r="AI374" s="1">
        <v>146987</v>
      </c>
      <c r="AJ374" s="1">
        <v>0</v>
      </c>
      <c r="AK374" s="8">
        <f t="shared" si="23"/>
        <v>9</v>
      </c>
      <c r="AL374" s="8">
        <f t="shared" si="22"/>
        <v>8</v>
      </c>
      <c r="AM374">
        <f t="shared" si="20"/>
        <v>0</v>
      </c>
      <c r="AN374">
        <f t="shared" si="21"/>
        <v>0</v>
      </c>
    </row>
    <row r="375" spans="1:40" x14ac:dyDescent="0.35">
      <c r="A375">
        <v>85.138999999999996</v>
      </c>
      <c r="B375">
        <v>85.138999999999996</v>
      </c>
      <c r="C375">
        <v>7.4458900000000003</v>
      </c>
      <c r="D375">
        <v>0</v>
      </c>
      <c r="E375">
        <v>0</v>
      </c>
      <c r="F375">
        <v>2.5773100000000002</v>
      </c>
      <c r="G375">
        <v>2.5773100000000002</v>
      </c>
      <c r="H375">
        <v>0</v>
      </c>
      <c r="I375">
        <v>0.55298800000000004</v>
      </c>
      <c r="J375">
        <v>5.3222399999999999</v>
      </c>
      <c r="K375" s="2">
        <v>22526400</v>
      </c>
      <c r="L375" s="1">
        <v>0</v>
      </c>
      <c r="M375" s="1">
        <v>0</v>
      </c>
      <c r="N375" s="1">
        <v>0</v>
      </c>
      <c r="O375" s="1">
        <v>0</v>
      </c>
      <c r="P375" s="2">
        <v>3853020</v>
      </c>
      <c r="Q375" s="1">
        <v>264953</v>
      </c>
      <c r="R375" s="1">
        <v>0</v>
      </c>
      <c r="S375">
        <v>99.302199999999999</v>
      </c>
      <c r="T375">
        <v>98.274000000000001</v>
      </c>
      <c r="U375">
        <v>5.1105099999999997</v>
      </c>
      <c r="V375">
        <v>0</v>
      </c>
      <c r="W375">
        <v>0</v>
      </c>
      <c r="X375">
        <v>1.4971300000000001</v>
      </c>
      <c r="Y375">
        <v>1.4971300000000001</v>
      </c>
      <c r="Z375">
        <v>0</v>
      </c>
      <c r="AA375">
        <v>1.3465800000000001</v>
      </c>
      <c r="AB375">
        <v>2.9635199999999999</v>
      </c>
      <c r="AC375" s="2">
        <v>211052000</v>
      </c>
      <c r="AD375" s="1">
        <v>0</v>
      </c>
      <c r="AE375" s="1">
        <v>0</v>
      </c>
      <c r="AF375" s="1">
        <v>0</v>
      </c>
      <c r="AG375" s="1">
        <v>0</v>
      </c>
      <c r="AH375" s="2">
        <v>3873440</v>
      </c>
      <c r="AI375" s="1">
        <v>126259</v>
      </c>
      <c r="AJ375" s="1">
        <v>0</v>
      </c>
      <c r="AK375" s="8">
        <f t="shared" si="23"/>
        <v>10</v>
      </c>
      <c r="AL375" s="8">
        <f t="shared" si="22"/>
        <v>8</v>
      </c>
      <c r="AM375">
        <f t="shared" si="20"/>
        <v>0</v>
      </c>
      <c r="AN375">
        <f t="shared" si="21"/>
        <v>0</v>
      </c>
    </row>
    <row r="376" spans="1:40" x14ac:dyDescent="0.35">
      <c r="A376">
        <v>85.138999999999996</v>
      </c>
      <c r="B376">
        <v>85.138999999999996</v>
      </c>
      <c r="C376">
        <v>6.5424899999999999</v>
      </c>
      <c r="D376">
        <v>0</v>
      </c>
      <c r="E376">
        <v>0</v>
      </c>
      <c r="F376">
        <v>2.57782</v>
      </c>
      <c r="G376">
        <v>2.57782</v>
      </c>
      <c r="H376">
        <v>0</v>
      </c>
      <c r="I376">
        <v>0.48298799999999997</v>
      </c>
      <c r="J376">
        <v>5.3222399999999999</v>
      </c>
      <c r="K376" s="2">
        <v>22791400</v>
      </c>
      <c r="L376" s="1">
        <v>0</v>
      </c>
      <c r="M376" s="1">
        <v>0</v>
      </c>
      <c r="N376" s="1">
        <v>0</v>
      </c>
      <c r="O376" s="1">
        <v>0</v>
      </c>
      <c r="P376" s="2">
        <v>3853780</v>
      </c>
      <c r="Q376" s="1">
        <v>265005</v>
      </c>
      <c r="R376" s="1">
        <v>0</v>
      </c>
      <c r="S376">
        <v>99.302199999999999</v>
      </c>
      <c r="T376">
        <v>98.274000000000001</v>
      </c>
      <c r="U376">
        <v>8.1172900000000006</v>
      </c>
      <c r="V376">
        <v>0</v>
      </c>
      <c r="W376">
        <v>0</v>
      </c>
      <c r="X376">
        <v>1.49743</v>
      </c>
      <c r="Y376">
        <v>1.49743</v>
      </c>
      <c r="Z376">
        <v>0</v>
      </c>
      <c r="AA376">
        <v>1.1566799999999999</v>
      </c>
      <c r="AB376">
        <v>2.9635199999999999</v>
      </c>
      <c r="AC376" s="2">
        <v>211179000</v>
      </c>
      <c r="AD376" s="1">
        <v>0</v>
      </c>
      <c r="AE376" s="1">
        <v>0</v>
      </c>
      <c r="AF376" s="1">
        <v>0</v>
      </c>
      <c r="AG376" s="1">
        <v>0</v>
      </c>
      <c r="AH376" s="2">
        <v>3874200</v>
      </c>
      <c r="AI376" s="1">
        <v>126284</v>
      </c>
      <c r="AJ376" s="1">
        <v>0</v>
      </c>
      <c r="AK376" s="8">
        <f t="shared" si="23"/>
        <v>11</v>
      </c>
      <c r="AL376" s="8">
        <f t="shared" si="22"/>
        <v>8</v>
      </c>
      <c r="AM376">
        <f t="shared" si="20"/>
        <v>0</v>
      </c>
      <c r="AN376">
        <f t="shared" si="21"/>
        <v>0</v>
      </c>
    </row>
    <row r="377" spans="1:40" x14ac:dyDescent="0.35">
      <c r="A377">
        <v>85.138999999999996</v>
      </c>
      <c r="B377">
        <v>85.138999999999996</v>
      </c>
      <c r="C377">
        <v>5.8551399999999996</v>
      </c>
      <c r="D377">
        <v>0</v>
      </c>
      <c r="E377">
        <v>0</v>
      </c>
      <c r="F377">
        <v>2.5783299999999998</v>
      </c>
      <c r="G377">
        <v>2.5783299999999998</v>
      </c>
      <c r="H377">
        <v>0</v>
      </c>
      <c r="I377">
        <v>0.48308400000000001</v>
      </c>
      <c r="J377">
        <v>5.3222399999999999</v>
      </c>
      <c r="K377" s="2">
        <v>23056400</v>
      </c>
      <c r="L377" s="1">
        <v>0</v>
      </c>
      <c r="M377" s="1">
        <v>0</v>
      </c>
      <c r="N377" s="1">
        <v>0</v>
      </c>
      <c r="O377" s="1">
        <v>0</v>
      </c>
      <c r="P377" s="2">
        <v>3854540</v>
      </c>
      <c r="Q377" s="1">
        <v>265057</v>
      </c>
      <c r="R377" s="1">
        <v>0</v>
      </c>
      <c r="S377">
        <v>99.302199999999999</v>
      </c>
      <c r="T377">
        <v>98.274000000000001</v>
      </c>
      <c r="U377">
        <v>5.9649799999999997</v>
      </c>
      <c r="V377">
        <v>0</v>
      </c>
      <c r="W377">
        <v>0</v>
      </c>
      <c r="X377">
        <v>1.4977199999999999</v>
      </c>
      <c r="Y377">
        <v>1.4977199999999999</v>
      </c>
      <c r="Z377">
        <v>0</v>
      </c>
      <c r="AA377">
        <v>1.1569100000000001</v>
      </c>
      <c r="AB377">
        <v>2.9635199999999999</v>
      </c>
      <c r="AC377" s="2">
        <v>211305000</v>
      </c>
      <c r="AD377" s="1">
        <v>0</v>
      </c>
      <c r="AE377" s="1">
        <v>0</v>
      </c>
      <c r="AF377" s="1">
        <v>0</v>
      </c>
      <c r="AG377" s="1">
        <v>0</v>
      </c>
      <c r="AH377" s="2">
        <v>3874960</v>
      </c>
      <c r="AI377" s="1">
        <v>126309</v>
      </c>
      <c r="AJ377" s="1">
        <v>0</v>
      </c>
      <c r="AK377" s="8">
        <f t="shared" si="23"/>
        <v>12</v>
      </c>
      <c r="AL377" s="8">
        <f t="shared" si="22"/>
        <v>8</v>
      </c>
      <c r="AM377">
        <f t="shared" si="20"/>
        <v>0</v>
      </c>
      <c r="AN377">
        <f t="shared" si="21"/>
        <v>0</v>
      </c>
    </row>
    <row r="378" spans="1:40" x14ac:dyDescent="0.35">
      <c r="A378">
        <v>85.138999999999996</v>
      </c>
      <c r="B378">
        <v>85.138999999999996</v>
      </c>
      <c r="C378">
        <v>8.4366299999999992</v>
      </c>
      <c r="D378">
        <v>0</v>
      </c>
      <c r="E378">
        <v>0</v>
      </c>
      <c r="F378">
        <v>2.57884</v>
      </c>
      <c r="G378">
        <v>2.57884</v>
      </c>
      <c r="H378">
        <v>0</v>
      </c>
      <c r="I378">
        <v>0.48317900000000003</v>
      </c>
      <c r="J378">
        <v>5.3222399999999999</v>
      </c>
      <c r="K378" s="2">
        <v>23321500</v>
      </c>
      <c r="L378" s="1">
        <v>0</v>
      </c>
      <c r="M378" s="1">
        <v>0</v>
      </c>
      <c r="N378" s="1">
        <v>0</v>
      </c>
      <c r="O378" s="1">
        <v>0</v>
      </c>
      <c r="P378" s="2">
        <v>3855300</v>
      </c>
      <c r="Q378" s="1">
        <v>265109</v>
      </c>
      <c r="R378" s="1">
        <v>0</v>
      </c>
      <c r="S378">
        <v>99.302199999999999</v>
      </c>
      <c r="T378">
        <v>98.274000000000001</v>
      </c>
      <c r="U378">
        <v>10.1503</v>
      </c>
      <c r="V378">
        <v>0</v>
      </c>
      <c r="W378">
        <v>0</v>
      </c>
      <c r="X378">
        <v>1.4980199999999999</v>
      </c>
      <c r="Y378">
        <v>1.4980199999999999</v>
      </c>
      <c r="Z378">
        <v>0</v>
      </c>
      <c r="AA378">
        <v>1.1571400000000001</v>
      </c>
      <c r="AB378">
        <v>2.9635199999999999</v>
      </c>
      <c r="AC378" s="2">
        <v>211431000</v>
      </c>
      <c r="AD378" s="1">
        <v>0</v>
      </c>
      <c r="AE378" s="1">
        <v>0</v>
      </c>
      <c r="AF378" s="1">
        <v>0</v>
      </c>
      <c r="AG378" s="1">
        <v>0</v>
      </c>
      <c r="AH378" s="2">
        <v>3875730</v>
      </c>
      <c r="AI378" s="1">
        <v>126334</v>
      </c>
      <c r="AJ378" s="1">
        <v>0</v>
      </c>
      <c r="AK378" s="8">
        <f t="shared" si="23"/>
        <v>13</v>
      </c>
      <c r="AL378" s="8">
        <f t="shared" si="22"/>
        <v>8</v>
      </c>
      <c r="AM378">
        <f t="shared" si="20"/>
        <v>0</v>
      </c>
      <c r="AN378">
        <f t="shared" si="21"/>
        <v>0</v>
      </c>
    </row>
    <row r="379" spans="1:40" x14ac:dyDescent="0.35">
      <c r="A379">
        <v>85.138999999999996</v>
      </c>
      <c r="B379">
        <v>85.138999999999996</v>
      </c>
      <c r="C379">
        <v>9.7631200000000007</v>
      </c>
      <c r="D379">
        <v>0</v>
      </c>
      <c r="E379">
        <v>0</v>
      </c>
      <c r="F379">
        <v>2.5793400000000002</v>
      </c>
      <c r="G379">
        <v>2.5793400000000002</v>
      </c>
      <c r="H379">
        <v>0</v>
      </c>
      <c r="I379">
        <v>0.48327399999999998</v>
      </c>
      <c r="J379">
        <v>5.3222399999999999</v>
      </c>
      <c r="K379" s="2">
        <v>23586700</v>
      </c>
      <c r="L379" s="1">
        <v>0</v>
      </c>
      <c r="M379" s="1">
        <v>0</v>
      </c>
      <c r="N379" s="1">
        <v>0</v>
      </c>
      <c r="O379" s="1">
        <v>0</v>
      </c>
      <c r="P379" s="2">
        <v>3856060</v>
      </c>
      <c r="Q379" s="1">
        <v>265162</v>
      </c>
      <c r="R379" s="1">
        <v>0</v>
      </c>
      <c r="S379">
        <v>99.302199999999999</v>
      </c>
      <c r="T379">
        <v>98.274000000000001</v>
      </c>
      <c r="U379">
        <v>11.2171</v>
      </c>
      <c r="V379">
        <v>0</v>
      </c>
      <c r="W379">
        <v>0</v>
      </c>
      <c r="X379">
        <v>1.49831</v>
      </c>
      <c r="Y379">
        <v>1.49831</v>
      </c>
      <c r="Z379">
        <v>0</v>
      </c>
      <c r="AA379">
        <v>1.15737</v>
      </c>
      <c r="AB379">
        <v>2.9635199999999999</v>
      </c>
      <c r="AC379" s="2">
        <v>211558000</v>
      </c>
      <c r="AD379" s="1">
        <v>0</v>
      </c>
      <c r="AE379" s="1">
        <v>0</v>
      </c>
      <c r="AF379" s="1">
        <v>0</v>
      </c>
      <c r="AG379" s="1">
        <v>0</v>
      </c>
      <c r="AH379" s="2">
        <v>3876490</v>
      </c>
      <c r="AI379" s="1">
        <v>126359</v>
      </c>
      <c r="AJ379" s="1">
        <v>0</v>
      </c>
      <c r="AK379" s="8">
        <f t="shared" si="23"/>
        <v>14</v>
      </c>
      <c r="AL379" s="8">
        <f t="shared" si="22"/>
        <v>8</v>
      </c>
      <c r="AM379">
        <f t="shared" si="20"/>
        <v>0</v>
      </c>
      <c r="AN379">
        <f t="shared" si="21"/>
        <v>0</v>
      </c>
    </row>
    <row r="380" spans="1:40" x14ac:dyDescent="0.35">
      <c r="A380">
        <v>85.138999999999996</v>
      </c>
      <c r="B380">
        <v>85.138999999999996</v>
      </c>
      <c r="C380">
        <v>4.9817499999999999</v>
      </c>
      <c r="D380">
        <v>0</v>
      </c>
      <c r="E380">
        <v>0</v>
      </c>
      <c r="F380">
        <v>2.6741199999999998</v>
      </c>
      <c r="G380">
        <v>2.6741199999999998</v>
      </c>
      <c r="H380">
        <v>0</v>
      </c>
      <c r="I380">
        <v>0.48336899999999999</v>
      </c>
      <c r="J380">
        <v>5.3222399999999999</v>
      </c>
      <c r="K380" s="2">
        <v>23861600</v>
      </c>
      <c r="L380" s="1">
        <v>0</v>
      </c>
      <c r="M380" s="1">
        <v>0</v>
      </c>
      <c r="N380" s="1">
        <v>0</v>
      </c>
      <c r="O380" s="1">
        <v>0</v>
      </c>
      <c r="P380" s="2">
        <v>3997730</v>
      </c>
      <c r="Q380" s="1">
        <v>274904</v>
      </c>
      <c r="R380" s="1">
        <v>0</v>
      </c>
      <c r="S380">
        <v>99.302199999999999</v>
      </c>
      <c r="T380">
        <v>98.274000000000001</v>
      </c>
      <c r="U380">
        <v>5.0798199999999998</v>
      </c>
      <c r="V380">
        <v>0</v>
      </c>
      <c r="W380">
        <v>0</v>
      </c>
      <c r="X380">
        <v>1.55888</v>
      </c>
      <c r="Y380">
        <v>1.55888</v>
      </c>
      <c r="Z380">
        <v>0</v>
      </c>
      <c r="AA380">
        <v>1.1576</v>
      </c>
      <c r="AB380">
        <v>2.9635199999999999</v>
      </c>
      <c r="AC380" s="2">
        <v>211689000</v>
      </c>
      <c r="AD380" s="1">
        <v>0</v>
      </c>
      <c r="AE380" s="1">
        <v>0</v>
      </c>
      <c r="AF380" s="1">
        <v>0</v>
      </c>
      <c r="AG380" s="1">
        <v>0</v>
      </c>
      <c r="AH380" s="2">
        <v>4033190</v>
      </c>
      <c r="AI380" s="1">
        <v>131467</v>
      </c>
      <c r="AJ380" s="1">
        <v>0</v>
      </c>
      <c r="AK380" s="8">
        <f t="shared" si="23"/>
        <v>15</v>
      </c>
      <c r="AL380" s="8">
        <f t="shared" si="22"/>
        <v>8</v>
      </c>
      <c r="AM380">
        <f t="shared" si="20"/>
        <v>0</v>
      </c>
      <c r="AN380">
        <f t="shared" si="21"/>
        <v>0</v>
      </c>
    </row>
    <row r="381" spans="1:40" x14ac:dyDescent="0.35">
      <c r="A381">
        <v>85.138999999999996</v>
      </c>
      <c r="B381">
        <v>85.138999999999996</v>
      </c>
      <c r="C381">
        <v>5.3291399999999998</v>
      </c>
      <c r="D381">
        <v>0</v>
      </c>
      <c r="E381">
        <v>0</v>
      </c>
      <c r="F381">
        <v>2.6746400000000001</v>
      </c>
      <c r="G381">
        <v>2.6746400000000001</v>
      </c>
      <c r="H381">
        <v>0</v>
      </c>
      <c r="I381">
        <v>0.50112900000000005</v>
      </c>
      <c r="J381">
        <v>5.3222399999999999</v>
      </c>
      <c r="K381" s="2">
        <v>24136600</v>
      </c>
      <c r="L381" s="1">
        <v>0</v>
      </c>
      <c r="M381" s="1">
        <v>0</v>
      </c>
      <c r="N381" s="1">
        <v>0</v>
      </c>
      <c r="O381" s="1">
        <v>0</v>
      </c>
      <c r="P381" s="2">
        <v>3998520</v>
      </c>
      <c r="Q381" s="1">
        <v>274958</v>
      </c>
      <c r="R381" s="1">
        <v>0</v>
      </c>
      <c r="S381">
        <v>99.302199999999999</v>
      </c>
      <c r="T381">
        <v>98.274000000000001</v>
      </c>
      <c r="U381">
        <v>6.3766100000000003</v>
      </c>
      <c r="V381">
        <v>0</v>
      </c>
      <c r="W381">
        <v>0</v>
      </c>
      <c r="X381">
        <v>1.5591900000000001</v>
      </c>
      <c r="Y381">
        <v>1.5591900000000001</v>
      </c>
      <c r="Z381">
        <v>0</v>
      </c>
      <c r="AA381">
        <v>1.2043900000000001</v>
      </c>
      <c r="AB381">
        <v>2.9635199999999999</v>
      </c>
      <c r="AC381" s="2">
        <v>211821000</v>
      </c>
      <c r="AD381" s="1">
        <v>0</v>
      </c>
      <c r="AE381" s="1">
        <v>0</v>
      </c>
      <c r="AF381" s="1">
        <v>0</v>
      </c>
      <c r="AG381" s="1">
        <v>0</v>
      </c>
      <c r="AH381" s="2">
        <v>4033990</v>
      </c>
      <c r="AI381" s="1">
        <v>131492</v>
      </c>
      <c r="AJ381" s="1">
        <v>0</v>
      </c>
      <c r="AK381" s="8">
        <f t="shared" si="23"/>
        <v>16</v>
      </c>
      <c r="AL381" s="8">
        <f t="shared" si="22"/>
        <v>8</v>
      </c>
      <c r="AM381">
        <f t="shared" si="20"/>
        <v>0</v>
      </c>
      <c r="AN381">
        <f t="shared" si="21"/>
        <v>0</v>
      </c>
    </row>
    <row r="382" spans="1:40" x14ac:dyDescent="0.35">
      <c r="A382">
        <v>85.138999999999996</v>
      </c>
      <c r="B382">
        <v>85.138999999999996</v>
      </c>
      <c r="C382">
        <v>3.8121399999999999</v>
      </c>
      <c r="D382">
        <v>0</v>
      </c>
      <c r="E382">
        <v>0</v>
      </c>
      <c r="F382">
        <v>2.67517</v>
      </c>
      <c r="G382">
        <v>2.67517</v>
      </c>
      <c r="H382">
        <v>0</v>
      </c>
      <c r="I382">
        <v>0.50122800000000001</v>
      </c>
      <c r="J382">
        <v>5.3222399999999999</v>
      </c>
      <c r="K382" s="2">
        <v>24411600</v>
      </c>
      <c r="L382" s="1">
        <v>0</v>
      </c>
      <c r="M382" s="1">
        <v>0</v>
      </c>
      <c r="N382" s="1">
        <v>0</v>
      </c>
      <c r="O382" s="1">
        <v>0</v>
      </c>
      <c r="P382" s="2">
        <v>3999310</v>
      </c>
      <c r="Q382" s="1">
        <v>275013</v>
      </c>
      <c r="R382" s="1">
        <v>0</v>
      </c>
      <c r="S382">
        <v>99.302199999999999</v>
      </c>
      <c r="T382">
        <v>98.274000000000001</v>
      </c>
      <c r="U382">
        <v>3.9962200000000001</v>
      </c>
      <c r="V382">
        <v>0</v>
      </c>
      <c r="W382">
        <v>0</v>
      </c>
      <c r="X382">
        <v>1.55949</v>
      </c>
      <c r="Y382">
        <v>1.55949</v>
      </c>
      <c r="Z382">
        <v>0</v>
      </c>
      <c r="AA382">
        <v>1.2046300000000001</v>
      </c>
      <c r="AB382">
        <v>2.9635199999999999</v>
      </c>
      <c r="AC382" s="2">
        <v>211952000</v>
      </c>
      <c r="AD382" s="1">
        <v>0</v>
      </c>
      <c r="AE382" s="1">
        <v>0</v>
      </c>
      <c r="AF382" s="1">
        <v>0</v>
      </c>
      <c r="AG382" s="1">
        <v>0</v>
      </c>
      <c r="AH382" s="2">
        <v>4034780</v>
      </c>
      <c r="AI382" s="1">
        <v>131518</v>
      </c>
      <c r="AJ382" s="1">
        <v>0</v>
      </c>
      <c r="AK382" s="8">
        <f t="shared" si="23"/>
        <v>17</v>
      </c>
      <c r="AL382" s="8">
        <f t="shared" si="22"/>
        <v>8</v>
      </c>
      <c r="AM382">
        <f t="shared" si="20"/>
        <v>0</v>
      </c>
      <c r="AN382">
        <f t="shared" si="21"/>
        <v>0</v>
      </c>
    </row>
    <row r="383" spans="1:40" x14ac:dyDescent="0.35">
      <c r="A383">
        <v>85.138999999999996</v>
      </c>
      <c r="B383">
        <v>85.138999999999996</v>
      </c>
      <c r="C383">
        <v>3.57497</v>
      </c>
      <c r="D383">
        <v>0</v>
      </c>
      <c r="E383">
        <v>0</v>
      </c>
      <c r="F383">
        <v>2.6757</v>
      </c>
      <c r="G383">
        <v>2.6757</v>
      </c>
      <c r="H383">
        <v>0</v>
      </c>
      <c r="I383">
        <v>0.50132699999999997</v>
      </c>
      <c r="J383">
        <v>5.3222399999999999</v>
      </c>
      <c r="K383" s="2">
        <v>24686600</v>
      </c>
      <c r="L383" s="1">
        <v>0</v>
      </c>
      <c r="M383" s="1">
        <v>0</v>
      </c>
      <c r="N383" s="1">
        <v>0</v>
      </c>
      <c r="O383" s="1">
        <v>0</v>
      </c>
      <c r="P383" s="2">
        <v>4000100</v>
      </c>
      <c r="Q383" s="1">
        <v>275067</v>
      </c>
      <c r="R383" s="1">
        <v>0</v>
      </c>
      <c r="S383">
        <v>99.302199999999999</v>
      </c>
      <c r="T383">
        <v>98.274000000000001</v>
      </c>
      <c r="U383">
        <v>4.2544700000000004</v>
      </c>
      <c r="V383">
        <v>0</v>
      </c>
      <c r="W383">
        <v>0</v>
      </c>
      <c r="X383">
        <v>1.5598000000000001</v>
      </c>
      <c r="Y383">
        <v>1.5598000000000001</v>
      </c>
      <c r="Z383">
        <v>0</v>
      </c>
      <c r="AA383">
        <v>1.2048700000000001</v>
      </c>
      <c r="AB383">
        <v>2.9635199999999999</v>
      </c>
      <c r="AC383" s="2">
        <v>212084000</v>
      </c>
      <c r="AD383" s="1">
        <v>0</v>
      </c>
      <c r="AE383" s="1">
        <v>0</v>
      </c>
      <c r="AF383" s="1">
        <v>0</v>
      </c>
      <c r="AG383" s="1">
        <v>0</v>
      </c>
      <c r="AH383" s="2">
        <v>4035580</v>
      </c>
      <c r="AI383" s="1">
        <v>131544</v>
      </c>
      <c r="AJ383" s="1">
        <v>0</v>
      </c>
      <c r="AK383" s="8">
        <f t="shared" si="23"/>
        <v>18</v>
      </c>
      <c r="AL383" s="8">
        <f t="shared" si="22"/>
        <v>8</v>
      </c>
      <c r="AM383">
        <f t="shared" si="20"/>
        <v>0</v>
      </c>
      <c r="AN383">
        <f t="shared" si="21"/>
        <v>0</v>
      </c>
    </row>
    <row r="384" spans="1:40" x14ac:dyDescent="0.35">
      <c r="A384">
        <v>85.138999999999996</v>
      </c>
      <c r="B384">
        <v>85.138999999999996</v>
      </c>
      <c r="C384">
        <v>4.0952099999999998</v>
      </c>
      <c r="D384">
        <v>0</v>
      </c>
      <c r="E384">
        <v>0</v>
      </c>
      <c r="F384">
        <v>2.6393399999999998</v>
      </c>
      <c r="G384">
        <v>2.6393399999999998</v>
      </c>
      <c r="H384">
        <v>0</v>
      </c>
      <c r="I384">
        <v>0.50142600000000004</v>
      </c>
      <c r="J384">
        <v>5.3222399999999999</v>
      </c>
      <c r="K384" s="2">
        <v>24958000</v>
      </c>
      <c r="L384" s="1">
        <v>0</v>
      </c>
      <c r="M384" s="1">
        <v>0</v>
      </c>
      <c r="N384" s="1">
        <v>0</v>
      </c>
      <c r="O384" s="1">
        <v>0</v>
      </c>
      <c r="P384" s="2">
        <v>3945740</v>
      </c>
      <c r="Q384" s="1">
        <v>271329</v>
      </c>
      <c r="R384" s="1">
        <v>0</v>
      </c>
      <c r="S384">
        <v>99.302199999999999</v>
      </c>
      <c r="T384">
        <v>98.274000000000001</v>
      </c>
      <c r="U384">
        <v>4.1354600000000001</v>
      </c>
      <c r="V384">
        <v>0</v>
      </c>
      <c r="W384">
        <v>0</v>
      </c>
      <c r="X384">
        <v>1.53668</v>
      </c>
      <c r="Y384">
        <v>1.53668</v>
      </c>
      <c r="Z384">
        <v>0</v>
      </c>
      <c r="AA384">
        <v>1.2051000000000001</v>
      </c>
      <c r="AB384">
        <v>2.9635199999999999</v>
      </c>
      <c r="AC384" s="2">
        <v>212213000</v>
      </c>
      <c r="AD384" s="1">
        <v>0</v>
      </c>
      <c r="AE384" s="1">
        <v>0</v>
      </c>
      <c r="AF384" s="1">
        <v>0</v>
      </c>
      <c r="AG384" s="1">
        <v>0</v>
      </c>
      <c r="AH384" s="2">
        <v>3975760</v>
      </c>
      <c r="AI384" s="1">
        <v>129594</v>
      </c>
      <c r="AJ384" s="1">
        <v>0</v>
      </c>
      <c r="AK384" s="8">
        <f t="shared" si="23"/>
        <v>19</v>
      </c>
      <c r="AL384" s="8">
        <f t="shared" si="22"/>
        <v>8</v>
      </c>
      <c r="AM384">
        <f t="shared" si="20"/>
        <v>0</v>
      </c>
      <c r="AN384">
        <f t="shared" si="21"/>
        <v>0</v>
      </c>
    </row>
    <row r="385" spans="1:40" x14ac:dyDescent="0.35">
      <c r="A385">
        <v>85.138999999999996</v>
      </c>
      <c r="B385">
        <v>85.138999999999996</v>
      </c>
      <c r="C385">
        <v>3.4403299999999999</v>
      </c>
      <c r="D385">
        <v>0</v>
      </c>
      <c r="E385">
        <v>0</v>
      </c>
      <c r="F385">
        <v>2.6398600000000001</v>
      </c>
      <c r="G385">
        <v>2.6398600000000001</v>
      </c>
      <c r="H385">
        <v>0</v>
      </c>
      <c r="I385">
        <v>0.494612</v>
      </c>
      <c r="J385">
        <v>5.3222399999999999</v>
      </c>
      <c r="K385" s="2">
        <v>25229400</v>
      </c>
      <c r="L385" s="1">
        <v>0</v>
      </c>
      <c r="M385" s="1">
        <v>0</v>
      </c>
      <c r="N385" s="1">
        <v>0</v>
      </c>
      <c r="O385" s="1">
        <v>0</v>
      </c>
      <c r="P385" s="2">
        <v>3946520</v>
      </c>
      <c r="Q385" s="1">
        <v>271383</v>
      </c>
      <c r="R385" s="1">
        <v>0</v>
      </c>
      <c r="S385">
        <v>99.302199999999999</v>
      </c>
      <c r="T385">
        <v>98.274000000000001</v>
      </c>
      <c r="U385">
        <v>3.3286600000000002</v>
      </c>
      <c r="V385">
        <v>0</v>
      </c>
      <c r="W385">
        <v>0</v>
      </c>
      <c r="X385">
        <v>1.53698</v>
      </c>
      <c r="Y385">
        <v>1.53698</v>
      </c>
      <c r="Z385">
        <v>0</v>
      </c>
      <c r="AA385">
        <v>1.1872400000000001</v>
      </c>
      <c r="AB385">
        <v>2.9635199999999999</v>
      </c>
      <c r="AC385" s="2">
        <v>212343000</v>
      </c>
      <c r="AD385" s="1">
        <v>0</v>
      </c>
      <c r="AE385" s="1">
        <v>0</v>
      </c>
      <c r="AF385" s="1">
        <v>0</v>
      </c>
      <c r="AG385" s="1">
        <v>0</v>
      </c>
      <c r="AH385" s="2">
        <v>3976540</v>
      </c>
      <c r="AI385" s="1">
        <v>129620</v>
      </c>
      <c r="AJ385" s="1">
        <v>0</v>
      </c>
      <c r="AK385" s="8">
        <f t="shared" si="23"/>
        <v>20</v>
      </c>
      <c r="AL385" s="8">
        <f t="shared" si="22"/>
        <v>8</v>
      </c>
      <c r="AM385">
        <f t="shared" si="20"/>
        <v>0</v>
      </c>
      <c r="AN385">
        <f t="shared" si="21"/>
        <v>0</v>
      </c>
    </row>
    <row r="386" spans="1:40" x14ac:dyDescent="0.35">
      <c r="A386">
        <v>85.052599999999998</v>
      </c>
      <c r="B386">
        <v>85.138999999999996</v>
      </c>
      <c r="C386">
        <v>2.91255</v>
      </c>
      <c r="D386">
        <v>0</v>
      </c>
      <c r="E386">
        <v>0</v>
      </c>
      <c r="F386">
        <v>2.6403799999999999</v>
      </c>
      <c r="G386">
        <v>2.6403799999999999</v>
      </c>
      <c r="H386">
        <v>0</v>
      </c>
      <c r="I386">
        <v>0.49470999999999998</v>
      </c>
      <c r="J386">
        <v>5.3222399999999999</v>
      </c>
      <c r="K386" s="2">
        <v>25500800</v>
      </c>
      <c r="L386" s="1">
        <v>0</v>
      </c>
      <c r="M386" s="1">
        <v>0</v>
      </c>
      <c r="N386" s="1">
        <v>0</v>
      </c>
      <c r="O386" s="1">
        <v>0</v>
      </c>
      <c r="P386" s="2">
        <v>3947300</v>
      </c>
      <c r="Q386" s="1">
        <v>271436</v>
      </c>
      <c r="R386" s="1">
        <v>0</v>
      </c>
      <c r="S386">
        <v>99.238600000000005</v>
      </c>
      <c r="T386">
        <v>98.274000000000001</v>
      </c>
      <c r="U386">
        <v>3.0143800000000001</v>
      </c>
      <c r="V386">
        <v>0</v>
      </c>
      <c r="W386">
        <v>0</v>
      </c>
      <c r="X386">
        <v>1.53729</v>
      </c>
      <c r="Y386">
        <v>1.53729</v>
      </c>
      <c r="Z386">
        <v>0</v>
      </c>
      <c r="AA386">
        <v>1.18747</v>
      </c>
      <c r="AB386">
        <v>2.9635199999999999</v>
      </c>
      <c r="AC386" s="2">
        <v>212473000</v>
      </c>
      <c r="AD386" s="1">
        <v>0</v>
      </c>
      <c r="AE386" s="1">
        <v>0</v>
      </c>
      <c r="AF386" s="1">
        <v>0</v>
      </c>
      <c r="AG386" s="1">
        <v>0</v>
      </c>
      <c r="AH386" s="2">
        <v>3977330</v>
      </c>
      <c r="AI386" s="1">
        <v>129646</v>
      </c>
      <c r="AJ386" s="1">
        <v>0</v>
      </c>
      <c r="AK386" s="8">
        <f t="shared" si="23"/>
        <v>21</v>
      </c>
      <c r="AL386" s="8">
        <f t="shared" si="22"/>
        <v>8</v>
      </c>
      <c r="AM386">
        <f t="shared" si="20"/>
        <v>0</v>
      </c>
      <c r="AN386">
        <f t="shared" si="21"/>
        <v>0</v>
      </c>
    </row>
    <row r="387" spans="1:40" x14ac:dyDescent="0.35">
      <c r="A387">
        <v>84.727999999999994</v>
      </c>
      <c r="B387">
        <v>85.138999999999996</v>
      </c>
      <c r="C387">
        <v>2.67245</v>
      </c>
      <c r="D387">
        <v>0</v>
      </c>
      <c r="E387">
        <v>0</v>
      </c>
      <c r="F387">
        <v>2.6408999999999998</v>
      </c>
      <c r="G387">
        <v>2.6408999999999998</v>
      </c>
      <c r="H387">
        <v>0</v>
      </c>
      <c r="I387">
        <v>0.494807</v>
      </c>
      <c r="J387">
        <v>5.3222399999999999</v>
      </c>
      <c r="K387" s="2">
        <v>25772300</v>
      </c>
      <c r="L387" s="1">
        <v>0</v>
      </c>
      <c r="M387" s="1">
        <v>0</v>
      </c>
      <c r="N387" s="1">
        <v>0</v>
      </c>
      <c r="O387" s="1">
        <v>0</v>
      </c>
      <c r="P387" s="2">
        <v>3948080</v>
      </c>
      <c r="Q387" s="1">
        <v>271490</v>
      </c>
      <c r="R387" s="1">
        <v>0</v>
      </c>
      <c r="S387">
        <v>99.302199999999999</v>
      </c>
      <c r="T387">
        <v>98.274000000000001</v>
      </c>
      <c r="U387">
        <v>2.51031</v>
      </c>
      <c r="V387">
        <v>0</v>
      </c>
      <c r="W387">
        <v>0</v>
      </c>
      <c r="X387">
        <v>1.53759</v>
      </c>
      <c r="Y387">
        <v>1.53759</v>
      </c>
      <c r="Z387">
        <v>0</v>
      </c>
      <c r="AA387">
        <v>1.18771</v>
      </c>
      <c r="AB387">
        <v>2.9635199999999999</v>
      </c>
      <c r="AC387" s="2">
        <v>212602000</v>
      </c>
      <c r="AD387" s="1">
        <v>0</v>
      </c>
      <c r="AE387" s="1">
        <v>0</v>
      </c>
      <c r="AF387" s="1">
        <v>0</v>
      </c>
      <c r="AG387" s="1">
        <v>0</v>
      </c>
      <c r="AH387" s="2">
        <v>3978110</v>
      </c>
      <c r="AI387" s="1">
        <v>129671</v>
      </c>
      <c r="AJ387" s="1">
        <v>0</v>
      </c>
      <c r="AK387" s="8">
        <f t="shared" si="23"/>
        <v>22</v>
      </c>
      <c r="AL387" s="8">
        <f t="shared" si="22"/>
        <v>8</v>
      </c>
      <c r="AM387">
        <f t="shared" ref="AM387:AM450" si="24">IF(AK387=52,AC387,0)</f>
        <v>0</v>
      </c>
      <c r="AN387">
        <f t="shared" ref="AN387:AN450" si="25">IF(AK387=52,K387,0)</f>
        <v>0</v>
      </c>
    </row>
    <row r="388" spans="1:40" x14ac:dyDescent="0.35">
      <c r="A388">
        <v>85.051199999999994</v>
      </c>
      <c r="B388">
        <v>85.138999999999996</v>
      </c>
      <c r="C388">
        <v>3.4523199999999998</v>
      </c>
      <c r="D388">
        <v>0</v>
      </c>
      <c r="E388">
        <v>0</v>
      </c>
      <c r="F388">
        <v>2.7667199999999998</v>
      </c>
      <c r="G388">
        <v>2.7667199999999998</v>
      </c>
      <c r="H388">
        <v>0</v>
      </c>
      <c r="I388">
        <v>0.49490499999999998</v>
      </c>
      <c r="J388">
        <v>5.3222399999999999</v>
      </c>
      <c r="K388" s="2">
        <v>26056700</v>
      </c>
      <c r="L388" s="1">
        <v>0</v>
      </c>
      <c r="M388" s="1">
        <v>0</v>
      </c>
      <c r="N388" s="1">
        <v>0</v>
      </c>
      <c r="O388" s="1">
        <v>0</v>
      </c>
      <c r="P388" s="2">
        <v>4136180</v>
      </c>
      <c r="Q388" s="1">
        <v>284424</v>
      </c>
      <c r="R388" s="1">
        <v>0</v>
      </c>
      <c r="S388">
        <v>99.302199999999999</v>
      </c>
      <c r="T388">
        <v>98.274000000000001</v>
      </c>
      <c r="U388">
        <v>2.93879</v>
      </c>
      <c r="V388">
        <v>0</v>
      </c>
      <c r="W388">
        <v>0</v>
      </c>
      <c r="X388">
        <v>1.62104</v>
      </c>
      <c r="Y388">
        <v>1.62104</v>
      </c>
      <c r="Z388">
        <v>0</v>
      </c>
      <c r="AA388">
        <v>1.18794</v>
      </c>
      <c r="AB388">
        <v>2.9635199999999999</v>
      </c>
      <c r="AC388" s="2">
        <v>212739000</v>
      </c>
      <c r="AD388" s="1">
        <v>0</v>
      </c>
      <c r="AE388" s="1">
        <v>0</v>
      </c>
      <c r="AF388" s="1">
        <v>0</v>
      </c>
      <c r="AG388" s="1">
        <v>0</v>
      </c>
      <c r="AH388" s="2">
        <v>4194020</v>
      </c>
      <c r="AI388" s="1">
        <v>136709</v>
      </c>
      <c r="AJ388" s="1">
        <v>0</v>
      </c>
      <c r="AK388" s="8">
        <f t="shared" si="23"/>
        <v>23</v>
      </c>
      <c r="AL388" s="8">
        <f t="shared" ref="AL388:AL451" si="26">IF(AK387=52,AL387+1,AL387)</f>
        <v>8</v>
      </c>
      <c r="AM388">
        <f t="shared" si="24"/>
        <v>0</v>
      </c>
      <c r="AN388">
        <f t="shared" si="25"/>
        <v>0</v>
      </c>
    </row>
    <row r="389" spans="1:40" x14ac:dyDescent="0.35">
      <c r="A389">
        <v>85.118899999999996</v>
      </c>
      <c r="B389">
        <v>85.138999999999996</v>
      </c>
      <c r="C389">
        <v>3.1907800000000002</v>
      </c>
      <c r="D389">
        <v>0</v>
      </c>
      <c r="E389">
        <v>0</v>
      </c>
      <c r="F389">
        <v>2.7672699999999999</v>
      </c>
      <c r="G389">
        <v>2.7672699999999999</v>
      </c>
      <c r="H389">
        <v>0</v>
      </c>
      <c r="I389">
        <v>0.51848399999999994</v>
      </c>
      <c r="J389">
        <v>5.3222399999999999</v>
      </c>
      <c r="K389" s="2">
        <v>26341200</v>
      </c>
      <c r="L389" s="1">
        <v>0</v>
      </c>
      <c r="M389" s="1">
        <v>0</v>
      </c>
      <c r="N389" s="1">
        <v>0</v>
      </c>
      <c r="O389" s="1">
        <v>0</v>
      </c>
      <c r="P389" s="2">
        <v>4136990</v>
      </c>
      <c r="Q389" s="1">
        <v>284480</v>
      </c>
      <c r="R389" s="1">
        <v>0</v>
      </c>
      <c r="S389">
        <v>99.302199999999999</v>
      </c>
      <c r="T389">
        <v>98.274000000000001</v>
      </c>
      <c r="U389">
        <v>2.9272499999999999</v>
      </c>
      <c r="V389">
        <v>0</v>
      </c>
      <c r="W389">
        <v>0</v>
      </c>
      <c r="X389">
        <v>1.6213599999999999</v>
      </c>
      <c r="Y389">
        <v>1.6213599999999999</v>
      </c>
      <c r="Z389">
        <v>0</v>
      </c>
      <c r="AA389">
        <v>1.2524200000000001</v>
      </c>
      <c r="AB389">
        <v>2.9635199999999999</v>
      </c>
      <c r="AC389" s="2">
        <v>212876000</v>
      </c>
      <c r="AD389" s="1">
        <v>0</v>
      </c>
      <c r="AE389" s="1">
        <v>0</v>
      </c>
      <c r="AF389" s="1">
        <v>0</v>
      </c>
      <c r="AG389" s="1">
        <v>0</v>
      </c>
      <c r="AH389" s="2">
        <v>4194840</v>
      </c>
      <c r="AI389" s="1">
        <v>136736</v>
      </c>
      <c r="AJ389" s="1">
        <v>0</v>
      </c>
      <c r="AK389" s="8">
        <f t="shared" si="23"/>
        <v>24</v>
      </c>
      <c r="AL389" s="8">
        <f t="shared" si="26"/>
        <v>8</v>
      </c>
      <c r="AM389">
        <f t="shared" si="24"/>
        <v>0</v>
      </c>
      <c r="AN389">
        <f t="shared" si="25"/>
        <v>0</v>
      </c>
    </row>
    <row r="390" spans="1:40" x14ac:dyDescent="0.35">
      <c r="A390">
        <v>84.882900000000006</v>
      </c>
      <c r="B390">
        <v>85.138999999999996</v>
      </c>
      <c r="C390">
        <v>2.8036500000000002</v>
      </c>
      <c r="D390">
        <v>0</v>
      </c>
      <c r="E390">
        <v>0</v>
      </c>
      <c r="F390">
        <v>2.7678099999999999</v>
      </c>
      <c r="G390">
        <v>2.7678099999999999</v>
      </c>
      <c r="H390">
        <v>0</v>
      </c>
      <c r="I390">
        <v>0.51858599999999999</v>
      </c>
      <c r="J390">
        <v>5.3222399999999999</v>
      </c>
      <c r="K390" s="2">
        <v>26625700</v>
      </c>
      <c r="L390" s="1">
        <v>0</v>
      </c>
      <c r="M390" s="1">
        <v>0</v>
      </c>
      <c r="N390" s="1">
        <v>0</v>
      </c>
      <c r="O390" s="1">
        <v>0</v>
      </c>
      <c r="P390" s="2">
        <v>4137810</v>
      </c>
      <c r="Q390" s="1">
        <v>284536</v>
      </c>
      <c r="R390" s="1">
        <v>0</v>
      </c>
      <c r="S390">
        <v>99.302199999999999</v>
      </c>
      <c r="T390">
        <v>98.274000000000001</v>
      </c>
      <c r="U390">
        <v>2.7681800000000001</v>
      </c>
      <c r="V390">
        <v>0</v>
      </c>
      <c r="W390">
        <v>0</v>
      </c>
      <c r="X390">
        <v>1.62168</v>
      </c>
      <c r="Y390">
        <v>1.62168</v>
      </c>
      <c r="Z390">
        <v>0</v>
      </c>
      <c r="AA390">
        <v>1.2526600000000001</v>
      </c>
      <c r="AB390">
        <v>2.9635199999999999</v>
      </c>
      <c r="AC390" s="2">
        <v>213012000</v>
      </c>
      <c r="AD390" s="1">
        <v>0</v>
      </c>
      <c r="AE390" s="1">
        <v>0</v>
      </c>
      <c r="AF390" s="1">
        <v>0</v>
      </c>
      <c r="AG390" s="1">
        <v>0</v>
      </c>
      <c r="AH390" s="2">
        <v>4195670</v>
      </c>
      <c r="AI390" s="1">
        <v>136763</v>
      </c>
      <c r="AJ390" s="1">
        <v>0</v>
      </c>
      <c r="AK390" s="8">
        <f t="shared" si="23"/>
        <v>25</v>
      </c>
      <c r="AL390" s="8">
        <f t="shared" si="26"/>
        <v>8</v>
      </c>
      <c r="AM390">
        <f t="shared" si="24"/>
        <v>0</v>
      </c>
      <c r="AN390">
        <f t="shared" si="25"/>
        <v>0</v>
      </c>
    </row>
    <row r="391" spans="1:40" x14ac:dyDescent="0.35">
      <c r="A391">
        <v>84.571200000000005</v>
      </c>
      <c r="B391">
        <v>85.138999999999996</v>
      </c>
      <c r="C391">
        <v>2.7180300000000002</v>
      </c>
      <c r="D391">
        <v>0</v>
      </c>
      <c r="E391">
        <v>0</v>
      </c>
      <c r="F391">
        <v>2.7683599999999999</v>
      </c>
      <c r="G391">
        <v>2.7683599999999999</v>
      </c>
      <c r="H391">
        <v>0</v>
      </c>
      <c r="I391">
        <v>0.51868800000000004</v>
      </c>
      <c r="J391">
        <v>5.3222399999999999</v>
      </c>
      <c r="K391" s="2">
        <v>26910300</v>
      </c>
      <c r="L391" s="1">
        <v>0</v>
      </c>
      <c r="M391" s="1">
        <v>0</v>
      </c>
      <c r="N391" s="1">
        <v>0</v>
      </c>
      <c r="O391" s="1">
        <v>0</v>
      </c>
      <c r="P391" s="2">
        <v>4138620</v>
      </c>
      <c r="Q391" s="1">
        <v>284592</v>
      </c>
      <c r="R391" s="1">
        <v>0</v>
      </c>
      <c r="S391">
        <v>99.302199999999999</v>
      </c>
      <c r="T391">
        <v>98.274000000000001</v>
      </c>
      <c r="U391">
        <v>2.8201100000000001</v>
      </c>
      <c r="V391">
        <v>0</v>
      </c>
      <c r="W391">
        <v>0</v>
      </c>
      <c r="X391">
        <v>1.6220000000000001</v>
      </c>
      <c r="Y391">
        <v>1.6220000000000001</v>
      </c>
      <c r="Z391">
        <v>0</v>
      </c>
      <c r="AA391">
        <v>1.25291</v>
      </c>
      <c r="AB391">
        <v>2.9635199999999999</v>
      </c>
      <c r="AC391" s="2">
        <v>213149000</v>
      </c>
      <c r="AD391" s="1">
        <v>0</v>
      </c>
      <c r="AE391" s="1">
        <v>0</v>
      </c>
      <c r="AF391" s="1">
        <v>0</v>
      </c>
      <c r="AG391" s="1">
        <v>0</v>
      </c>
      <c r="AH391" s="2">
        <v>4196500</v>
      </c>
      <c r="AI391" s="1">
        <v>136790</v>
      </c>
      <c r="AJ391" s="1">
        <v>0</v>
      </c>
      <c r="AK391" s="8">
        <f t="shared" si="23"/>
        <v>26</v>
      </c>
      <c r="AL391" s="8">
        <f t="shared" si="26"/>
        <v>8</v>
      </c>
      <c r="AM391">
        <f t="shared" si="24"/>
        <v>0</v>
      </c>
      <c r="AN391">
        <f t="shared" si="25"/>
        <v>0</v>
      </c>
    </row>
    <row r="392" spans="1:40" x14ac:dyDescent="0.35">
      <c r="A392">
        <v>84.114699999999999</v>
      </c>
      <c r="B392">
        <v>85.138999999999996</v>
      </c>
      <c r="C392">
        <v>2.54691</v>
      </c>
      <c r="D392">
        <v>0</v>
      </c>
      <c r="E392">
        <v>0</v>
      </c>
      <c r="F392">
        <v>2.7688999999999999</v>
      </c>
      <c r="G392">
        <v>2.7688999999999999</v>
      </c>
      <c r="H392">
        <v>0</v>
      </c>
      <c r="I392">
        <v>0.51878999999999997</v>
      </c>
      <c r="J392">
        <v>5.3222399999999999</v>
      </c>
      <c r="K392" s="2">
        <v>27195000</v>
      </c>
      <c r="L392" s="1">
        <v>0</v>
      </c>
      <c r="M392" s="1">
        <v>0</v>
      </c>
      <c r="N392" s="1">
        <v>0</v>
      </c>
      <c r="O392" s="1">
        <v>0</v>
      </c>
      <c r="P392" s="2">
        <v>4139440</v>
      </c>
      <c r="Q392" s="1">
        <v>284649</v>
      </c>
      <c r="R392" s="1">
        <v>0</v>
      </c>
      <c r="S392">
        <v>99.117900000000006</v>
      </c>
      <c r="T392">
        <v>98.274000000000001</v>
      </c>
      <c r="U392">
        <v>2.5840100000000001</v>
      </c>
      <c r="V392">
        <v>0</v>
      </c>
      <c r="W392">
        <v>0</v>
      </c>
      <c r="X392">
        <v>1.62232</v>
      </c>
      <c r="Y392">
        <v>1.62232</v>
      </c>
      <c r="Z392">
        <v>0</v>
      </c>
      <c r="AA392">
        <v>1.2531600000000001</v>
      </c>
      <c r="AB392">
        <v>2.9635199999999999</v>
      </c>
      <c r="AC392" s="2">
        <v>213286000</v>
      </c>
      <c r="AD392" s="1">
        <v>0</v>
      </c>
      <c r="AE392" s="1">
        <v>0</v>
      </c>
      <c r="AF392" s="1">
        <v>0</v>
      </c>
      <c r="AG392" s="1">
        <v>0</v>
      </c>
      <c r="AH392" s="2">
        <v>4197320</v>
      </c>
      <c r="AI392" s="1">
        <v>136817</v>
      </c>
      <c r="AJ392" s="1">
        <v>0</v>
      </c>
      <c r="AK392" s="8">
        <f t="shared" ref="AK392:AK455" si="27">IF(AK391=52, 1, AK391+1)</f>
        <v>27</v>
      </c>
      <c r="AL392" s="8">
        <f t="shared" si="26"/>
        <v>8</v>
      </c>
      <c r="AM392">
        <f t="shared" si="24"/>
        <v>0</v>
      </c>
      <c r="AN392">
        <f t="shared" si="25"/>
        <v>0</v>
      </c>
    </row>
    <row r="393" spans="1:40" x14ac:dyDescent="0.35">
      <c r="A393">
        <v>83.226100000000002</v>
      </c>
      <c r="B393">
        <v>85.138999999999996</v>
      </c>
      <c r="C393">
        <v>2.0018600000000002</v>
      </c>
      <c r="D393">
        <v>0</v>
      </c>
      <c r="E393">
        <v>0</v>
      </c>
      <c r="F393">
        <v>2.74464</v>
      </c>
      <c r="G393">
        <v>2.74464</v>
      </c>
      <c r="H393">
        <v>0</v>
      </c>
      <c r="I393">
        <v>0.51889200000000002</v>
      </c>
      <c r="J393">
        <v>5.3222399999999999</v>
      </c>
      <c r="K393" s="2">
        <v>27477100</v>
      </c>
      <c r="L393" s="1">
        <v>0</v>
      </c>
      <c r="M393" s="1">
        <v>0</v>
      </c>
      <c r="N393" s="1">
        <v>0</v>
      </c>
      <c r="O393" s="1">
        <v>0</v>
      </c>
      <c r="P393" s="2">
        <v>4103170</v>
      </c>
      <c r="Q393" s="1">
        <v>282155</v>
      </c>
      <c r="R393" s="1">
        <v>0</v>
      </c>
      <c r="S393">
        <v>98.828000000000003</v>
      </c>
      <c r="T393">
        <v>98.274000000000001</v>
      </c>
      <c r="U393">
        <v>1.9920500000000001</v>
      </c>
      <c r="V393">
        <v>0</v>
      </c>
      <c r="W393">
        <v>0</v>
      </c>
      <c r="X393">
        <v>1.66838</v>
      </c>
      <c r="Y393">
        <v>1.66838</v>
      </c>
      <c r="Z393">
        <v>0</v>
      </c>
      <c r="AA393">
        <v>1.2534000000000001</v>
      </c>
      <c r="AB393">
        <v>2.9635199999999999</v>
      </c>
      <c r="AC393" s="2">
        <v>213427000</v>
      </c>
      <c r="AD393" s="1">
        <v>0</v>
      </c>
      <c r="AE393" s="1">
        <v>0</v>
      </c>
      <c r="AF393" s="1">
        <v>0</v>
      </c>
      <c r="AG393" s="1">
        <v>0</v>
      </c>
      <c r="AH393" s="2">
        <v>4316500</v>
      </c>
      <c r="AI393" s="1">
        <v>140701</v>
      </c>
      <c r="AJ393" s="1">
        <v>0</v>
      </c>
      <c r="AK393" s="8">
        <f t="shared" si="27"/>
        <v>28</v>
      </c>
      <c r="AL393" s="8">
        <f t="shared" si="26"/>
        <v>8</v>
      </c>
      <c r="AM393">
        <f t="shared" si="24"/>
        <v>0</v>
      </c>
      <c r="AN393">
        <f t="shared" si="25"/>
        <v>0</v>
      </c>
    </row>
    <row r="394" spans="1:40" x14ac:dyDescent="0.35">
      <c r="A394">
        <v>82.154799999999994</v>
      </c>
      <c r="B394">
        <v>85.138999999999996</v>
      </c>
      <c r="C394">
        <v>1.80684</v>
      </c>
      <c r="D394">
        <v>0</v>
      </c>
      <c r="E394">
        <v>0</v>
      </c>
      <c r="F394">
        <v>2.74518</v>
      </c>
      <c r="G394">
        <v>2.74518</v>
      </c>
      <c r="H394">
        <v>0</v>
      </c>
      <c r="I394">
        <v>0.51434599999999997</v>
      </c>
      <c r="J394">
        <v>5.3222399999999999</v>
      </c>
      <c r="K394" s="2">
        <v>27759300</v>
      </c>
      <c r="L394" s="1">
        <v>0</v>
      </c>
      <c r="M394" s="1">
        <v>0</v>
      </c>
      <c r="N394" s="1">
        <v>0</v>
      </c>
      <c r="O394" s="1">
        <v>0</v>
      </c>
      <c r="P394" s="2">
        <v>4103980</v>
      </c>
      <c r="Q394" s="1">
        <v>282210</v>
      </c>
      <c r="R394" s="1">
        <v>0</v>
      </c>
      <c r="S394">
        <v>98.527699999999996</v>
      </c>
      <c r="T394">
        <v>98.274000000000001</v>
      </c>
      <c r="U394">
        <v>1.794</v>
      </c>
      <c r="V394">
        <v>0</v>
      </c>
      <c r="W394">
        <v>0</v>
      </c>
      <c r="X394">
        <v>1.6687099999999999</v>
      </c>
      <c r="Y394">
        <v>1.6687099999999999</v>
      </c>
      <c r="Z394">
        <v>0</v>
      </c>
      <c r="AA394">
        <v>1.2889900000000001</v>
      </c>
      <c r="AB394">
        <v>2.9635199999999999</v>
      </c>
      <c r="AC394" s="2">
        <v>213567000</v>
      </c>
      <c r="AD394" s="1">
        <v>0</v>
      </c>
      <c r="AE394" s="1">
        <v>0</v>
      </c>
      <c r="AF394" s="1">
        <v>0</v>
      </c>
      <c r="AG394" s="1">
        <v>0</v>
      </c>
      <c r="AH394" s="2">
        <v>4317350</v>
      </c>
      <c r="AI394" s="1">
        <v>140729</v>
      </c>
      <c r="AJ394" s="1">
        <v>0</v>
      </c>
      <c r="AK394" s="8">
        <f t="shared" si="27"/>
        <v>29</v>
      </c>
      <c r="AL394" s="8">
        <f t="shared" si="26"/>
        <v>8</v>
      </c>
      <c r="AM394">
        <f t="shared" si="24"/>
        <v>0</v>
      </c>
      <c r="AN394">
        <f t="shared" si="25"/>
        <v>0</v>
      </c>
    </row>
    <row r="395" spans="1:40" x14ac:dyDescent="0.35">
      <c r="A395">
        <v>81.037700000000001</v>
      </c>
      <c r="B395">
        <v>85.138999999999996</v>
      </c>
      <c r="C395">
        <v>1.7225299999999999</v>
      </c>
      <c r="D395">
        <v>0</v>
      </c>
      <c r="E395">
        <v>0</v>
      </c>
      <c r="F395">
        <v>2.74573</v>
      </c>
      <c r="G395">
        <v>2.74573</v>
      </c>
      <c r="H395">
        <v>0</v>
      </c>
      <c r="I395">
        <v>0.51444800000000002</v>
      </c>
      <c r="J395">
        <v>5.3222399999999999</v>
      </c>
      <c r="K395" s="2">
        <v>28041600</v>
      </c>
      <c r="L395" s="1">
        <v>0</v>
      </c>
      <c r="M395" s="1">
        <v>0</v>
      </c>
      <c r="N395" s="1">
        <v>0</v>
      </c>
      <c r="O395" s="1">
        <v>0</v>
      </c>
      <c r="P395" s="2">
        <v>4104790</v>
      </c>
      <c r="Q395" s="1">
        <v>282266</v>
      </c>
      <c r="R395" s="1">
        <v>0</v>
      </c>
      <c r="S395">
        <v>98.130799999999994</v>
      </c>
      <c r="T395">
        <v>98.274000000000001</v>
      </c>
      <c r="U395">
        <v>1.7392700000000001</v>
      </c>
      <c r="V395">
        <v>0</v>
      </c>
      <c r="W395">
        <v>0</v>
      </c>
      <c r="X395">
        <v>1.6690400000000001</v>
      </c>
      <c r="Y395">
        <v>1.6690400000000001</v>
      </c>
      <c r="Z395">
        <v>0</v>
      </c>
      <c r="AA395">
        <v>1.28925</v>
      </c>
      <c r="AB395">
        <v>2.9635199999999999</v>
      </c>
      <c r="AC395" s="2">
        <v>213708000</v>
      </c>
      <c r="AD395" s="1">
        <v>0</v>
      </c>
      <c r="AE395" s="1">
        <v>0</v>
      </c>
      <c r="AF395" s="1">
        <v>0</v>
      </c>
      <c r="AG395" s="1">
        <v>0</v>
      </c>
      <c r="AH395" s="2">
        <v>4318200</v>
      </c>
      <c r="AI395" s="1">
        <v>140757</v>
      </c>
      <c r="AJ395" s="1">
        <v>0</v>
      </c>
      <c r="AK395" s="8">
        <f t="shared" si="27"/>
        <v>30</v>
      </c>
      <c r="AL395" s="8">
        <f t="shared" si="26"/>
        <v>8</v>
      </c>
      <c r="AM395">
        <f t="shared" si="24"/>
        <v>0</v>
      </c>
      <c r="AN395">
        <f t="shared" si="25"/>
        <v>0</v>
      </c>
    </row>
    <row r="396" spans="1:40" x14ac:dyDescent="0.35">
      <c r="A396">
        <v>79.758200000000002</v>
      </c>
      <c r="B396">
        <v>85.138999999999996</v>
      </c>
      <c r="C396">
        <v>1.53685</v>
      </c>
      <c r="D396">
        <v>0</v>
      </c>
      <c r="E396">
        <v>0</v>
      </c>
      <c r="F396">
        <v>2.74627</v>
      </c>
      <c r="G396">
        <v>2.74627</v>
      </c>
      <c r="H396">
        <v>0</v>
      </c>
      <c r="I396">
        <v>0.51454900000000003</v>
      </c>
      <c r="J396">
        <v>5.3222399999999999</v>
      </c>
      <c r="K396" s="2">
        <v>28323900</v>
      </c>
      <c r="L396" s="1">
        <v>0</v>
      </c>
      <c r="M396" s="1">
        <v>0</v>
      </c>
      <c r="N396" s="1">
        <v>0</v>
      </c>
      <c r="O396" s="1">
        <v>0</v>
      </c>
      <c r="P396" s="2">
        <v>4105600</v>
      </c>
      <c r="Q396" s="1">
        <v>282322</v>
      </c>
      <c r="R396" s="1">
        <v>0</v>
      </c>
      <c r="S396">
        <v>97.862300000000005</v>
      </c>
      <c r="T396">
        <v>98.274000000000001</v>
      </c>
      <c r="U396">
        <v>1.6806000000000001</v>
      </c>
      <c r="V396">
        <v>0</v>
      </c>
      <c r="W396">
        <v>0</v>
      </c>
      <c r="X396">
        <v>1.66937</v>
      </c>
      <c r="Y396">
        <v>1.66937</v>
      </c>
      <c r="Z396">
        <v>0</v>
      </c>
      <c r="AA396">
        <v>1.2895000000000001</v>
      </c>
      <c r="AB396">
        <v>2.9635199999999999</v>
      </c>
      <c r="AC396" s="2">
        <v>213849000</v>
      </c>
      <c r="AD396" s="1">
        <v>0</v>
      </c>
      <c r="AE396" s="1">
        <v>0</v>
      </c>
      <c r="AF396" s="1">
        <v>0</v>
      </c>
      <c r="AG396" s="1">
        <v>0</v>
      </c>
      <c r="AH396" s="2">
        <v>4319050</v>
      </c>
      <c r="AI396" s="1">
        <v>140784</v>
      </c>
      <c r="AJ396" s="1">
        <v>0</v>
      </c>
      <c r="AK396" s="8">
        <f t="shared" si="27"/>
        <v>31</v>
      </c>
      <c r="AL396" s="8">
        <f t="shared" si="26"/>
        <v>8</v>
      </c>
      <c r="AM396">
        <f t="shared" si="24"/>
        <v>0</v>
      </c>
      <c r="AN396">
        <f t="shared" si="25"/>
        <v>0</v>
      </c>
    </row>
    <row r="397" spans="1:40" x14ac:dyDescent="0.35">
      <c r="A397">
        <v>78.7898</v>
      </c>
      <c r="B397">
        <v>85.138999999999996</v>
      </c>
      <c r="C397">
        <v>1.90326</v>
      </c>
      <c r="D397">
        <v>0</v>
      </c>
      <c r="E397">
        <v>0</v>
      </c>
      <c r="F397">
        <v>2.8109099999999998</v>
      </c>
      <c r="G397">
        <v>2.8109099999999998</v>
      </c>
      <c r="H397">
        <v>0</v>
      </c>
      <c r="I397">
        <v>0.51465000000000005</v>
      </c>
      <c r="J397">
        <v>5.3222399999999999</v>
      </c>
      <c r="K397" s="2">
        <v>28612900</v>
      </c>
      <c r="L397" s="1">
        <v>0</v>
      </c>
      <c r="M397" s="1">
        <v>0</v>
      </c>
      <c r="N397" s="1">
        <v>0</v>
      </c>
      <c r="O397" s="1">
        <v>0</v>
      </c>
      <c r="P397" s="2">
        <v>4202240</v>
      </c>
      <c r="Q397" s="1">
        <v>288967</v>
      </c>
      <c r="R397" s="1">
        <v>0</v>
      </c>
      <c r="S397">
        <v>97.508499999999998</v>
      </c>
      <c r="T397">
        <v>98.274000000000001</v>
      </c>
      <c r="U397">
        <v>1.9573400000000001</v>
      </c>
      <c r="V397">
        <v>0</v>
      </c>
      <c r="W397">
        <v>0</v>
      </c>
      <c r="X397">
        <v>1.7104999999999999</v>
      </c>
      <c r="Y397">
        <v>1.7104999999999999</v>
      </c>
      <c r="Z397">
        <v>0</v>
      </c>
      <c r="AA397">
        <v>1.28975</v>
      </c>
      <c r="AB397">
        <v>2.9635199999999999</v>
      </c>
      <c r="AC397" s="2">
        <v>213993000</v>
      </c>
      <c r="AD397" s="1">
        <v>0</v>
      </c>
      <c r="AE397" s="1">
        <v>0</v>
      </c>
      <c r="AF397" s="1">
        <v>0</v>
      </c>
      <c r="AG397" s="1">
        <v>0</v>
      </c>
      <c r="AH397" s="2">
        <v>4425460</v>
      </c>
      <c r="AI397" s="1">
        <v>144253</v>
      </c>
      <c r="AJ397" s="1">
        <v>0</v>
      </c>
      <c r="AK397" s="8">
        <f t="shared" si="27"/>
        <v>32</v>
      </c>
      <c r="AL397" s="8">
        <f t="shared" si="26"/>
        <v>8</v>
      </c>
      <c r="AM397">
        <f t="shared" si="24"/>
        <v>0</v>
      </c>
      <c r="AN397">
        <f t="shared" si="25"/>
        <v>0</v>
      </c>
    </row>
    <row r="398" spans="1:40" x14ac:dyDescent="0.35">
      <c r="A398">
        <v>77.791899999999998</v>
      </c>
      <c r="B398">
        <v>85.138999999999996</v>
      </c>
      <c r="C398">
        <v>1.8675200000000001</v>
      </c>
      <c r="D398">
        <v>0</v>
      </c>
      <c r="E398">
        <v>0</v>
      </c>
      <c r="F398">
        <v>2.8114699999999999</v>
      </c>
      <c r="G398">
        <v>2.8114699999999999</v>
      </c>
      <c r="H398">
        <v>0</v>
      </c>
      <c r="I398">
        <v>0.52676500000000004</v>
      </c>
      <c r="J398">
        <v>5.3222399999999999</v>
      </c>
      <c r="K398" s="2">
        <v>28901900</v>
      </c>
      <c r="L398" s="1">
        <v>0</v>
      </c>
      <c r="M398" s="1">
        <v>0</v>
      </c>
      <c r="N398" s="1">
        <v>0</v>
      </c>
      <c r="O398" s="1">
        <v>0</v>
      </c>
      <c r="P398" s="2">
        <v>4203070</v>
      </c>
      <c r="Q398" s="1">
        <v>289024</v>
      </c>
      <c r="R398" s="1">
        <v>0</v>
      </c>
      <c r="S398">
        <v>97.113500000000002</v>
      </c>
      <c r="T398">
        <v>98.274000000000001</v>
      </c>
      <c r="U398">
        <v>1.9568399999999999</v>
      </c>
      <c r="V398">
        <v>0</v>
      </c>
      <c r="W398">
        <v>0</v>
      </c>
      <c r="X398">
        <v>1.7108300000000001</v>
      </c>
      <c r="Y398">
        <v>1.7108300000000001</v>
      </c>
      <c r="Z398">
        <v>0</v>
      </c>
      <c r="AA398">
        <v>1.3215300000000001</v>
      </c>
      <c r="AB398">
        <v>2.9635199999999999</v>
      </c>
      <c r="AC398" s="2">
        <v>214138000</v>
      </c>
      <c r="AD398" s="1">
        <v>0</v>
      </c>
      <c r="AE398" s="1">
        <v>0</v>
      </c>
      <c r="AF398" s="1">
        <v>0</v>
      </c>
      <c r="AG398" s="1">
        <v>0</v>
      </c>
      <c r="AH398" s="2">
        <v>4426340</v>
      </c>
      <c r="AI398" s="1">
        <v>144281</v>
      </c>
      <c r="AJ398" s="1">
        <v>0</v>
      </c>
      <c r="AK398" s="8">
        <f t="shared" si="27"/>
        <v>33</v>
      </c>
      <c r="AL398" s="8">
        <f t="shared" si="26"/>
        <v>8</v>
      </c>
      <c r="AM398">
        <f t="shared" si="24"/>
        <v>0</v>
      </c>
      <c r="AN398">
        <f t="shared" si="25"/>
        <v>0</v>
      </c>
    </row>
    <row r="399" spans="1:40" x14ac:dyDescent="0.35">
      <c r="A399">
        <v>76.636600000000001</v>
      </c>
      <c r="B399">
        <v>85.138999999999996</v>
      </c>
      <c r="C399">
        <v>1.6992400000000001</v>
      </c>
      <c r="D399">
        <v>0</v>
      </c>
      <c r="E399">
        <v>0</v>
      </c>
      <c r="F399">
        <v>2.81202</v>
      </c>
      <c r="G399">
        <v>2.81202</v>
      </c>
      <c r="H399">
        <v>0</v>
      </c>
      <c r="I399">
        <v>0.52686900000000003</v>
      </c>
      <c r="J399">
        <v>5.3222399999999999</v>
      </c>
      <c r="K399" s="2">
        <v>29191000</v>
      </c>
      <c r="L399" s="1">
        <v>0</v>
      </c>
      <c r="M399" s="1">
        <v>0</v>
      </c>
      <c r="N399" s="1">
        <v>0</v>
      </c>
      <c r="O399" s="1">
        <v>0</v>
      </c>
      <c r="P399" s="2">
        <v>4203900</v>
      </c>
      <c r="Q399" s="1">
        <v>289081</v>
      </c>
      <c r="R399" s="1">
        <v>0</v>
      </c>
      <c r="S399">
        <v>96.712100000000007</v>
      </c>
      <c r="T399">
        <v>98.274000000000001</v>
      </c>
      <c r="U399">
        <v>1.8591200000000001</v>
      </c>
      <c r="V399">
        <v>0</v>
      </c>
      <c r="W399">
        <v>0</v>
      </c>
      <c r="X399">
        <v>1.7111700000000001</v>
      </c>
      <c r="Y399">
        <v>1.7111700000000001</v>
      </c>
      <c r="Z399">
        <v>0</v>
      </c>
      <c r="AA399">
        <v>1.32179</v>
      </c>
      <c r="AB399">
        <v>2.9635199999999999</v>
      </c>
      <c r="AC399" s="2">
        <v>214282000</v>
      </c>
      <c r="AD399" s="1">
        <v>0</v>
      </c>
      <c r="AE399" s="1">
        <v>0</v>
      </c>
      <c r="AF399" s="1">
        <v>0</v>
      </c>
      <c r="AG399" s="1">
        <v>0</v>
      </c>
      <c r="AH399" s="2">
        <v>4427210</v>
      </c>
      <c r="AI399" s="1">
        <v>144310</v>
      </c>
      <c r="AJ399" s="1">
        <v>0</v>
      </c>
      <c r="AK399" s="8">
        <f t="shared" si="27"/>
        <v>34</v>
      </c>
      <c r="AL399" s="8">
        <f t="shared" si="26"/>
        <v>8</v>
      </c>
      <c r="AM399">
        <f t="shared" si="24"/>
        <v>0</v>
      </c>
      <c r="AN399">
        <f t="shared" si="25"/>
        <v>0</v>
      </c>
    </row>
    <row r="400" spans="1:40" x14ac:dyDescent="0.35">
      <c r="A400">
        <v>75.256900000000002</v>
      </c>
      <c r="B400">
        <v>85.138999999999996</v>
      </c>
      <c r="C400">
        <v>1.4477500000000001</v>
      </c>
      <c r="D400">
        <v>0</v>
      </c>
      <c r="E400">
        <v>0</v>
      </c>
      <c r="F400">
        <v>2.8125800000000001</v>
      </c>
      <c r="G400">
        <v>2.8125800000000001</v>
      </c>
      <c r="H400">
        <v>0</v>
      </c>
      <c r="I400">
        <v>0.52697300000000002</v>
      </c>
      <c r="J400">
        <v>5.3222399999999999</v>
      </c>
      <c r="K400" s="2">
        <v>29480100</v>
      </c>
      <c r="L400" s="1">
        <v>0</v>
      </c>
      <c r="M400" s="1">
        <v>0</v>
      </c>
      <c r="N400" s="1">
        <v>0</v>
      </c>
      <c r="O400" s="1">
        <v>0</v>
      </c>
      <c r="P400" s="2">
        <v>4204730</v>
      </c>
      <c r="Q400" s="1">
        <v>289138</v>
      </c>
      <c r="R400" s="1">
        <v>0</v>
      </c>
      <c r="S400">
        <v>96.278199999999998</v>
      </c>
      <c r="T400">
        <v>98.274000000000001</v>
      </c>
      <c r="U400">
        <v>1.8415999999999999</v>
      </c>
      <c r="V400">
        <v>0</v>
      </c>
      <c r="W400">
        <v>0</v>
      </c>
      <c r="X400">
        <v>1.7115100000000001</v>
      </c>
      <c r="Y400">
        <v>1.7115100000000001</v>
      </c>
      <c r="Z400">
        <v>0</v>
      </c>
      <c r="AA400">
        <v>1.3220499999999999</v>
      </c>
      <c r="AB400">
        <v>2.9635199999999999</v>
      </c>
      <c r="AC400" s="2">
        <v>214426000</v>
      </c>
      <c r="AD400" s="1">
        <v>0</v>
      </c>
      <c r="AE400" s="1">
        <v>0</v>
      </c>
      <c r="AF400" s="1">
        <v>0</v>
      </c>
      <c r="AG400" s="1">
        <v>0</v>
      </c>
      <c r="AH400" s="2">
        <v>4428080</v>
      </c>
      <c r="AI400" s="1">
        <v>144338</v>
      </c>
      <c r="AJ400" s="1">
        <v>0</v>
      </c>
      <c r="AK400" s="8">
        <f t="shared" si="27"/>
        <v>35</v>
      </c>
      <c r="AL400" s="8">
        <f t="shared" si="26"/>
        <v>8</v>
      </c>
      <c r="AM400">
        <f t="shared" si="24"/>
        <v>0</v>
      </c>
      <c r="AN400">
        <f t="shared" si="25"/>
        <v>0</v>
      </c>
    </row>
    <row r="401" spans="1:40" x14ac:dyDescent="0.35">
      <c r="A401">
        <v>73.722300000000004</v>
      </c>
      <c r="B401">
        <v>85.138999999999996</v>
      </c>
      <c r="C401">
        <v>1.4491799999999999</v>
      </c>
      <c r="D401">
        <v>0</v>
      </c>
      <c r="E401">
        <v>0</v>
      </c>
      <c r="F401">
        <v>3.00101</v>
      </c>
      <c r="G401">
        <v>3.00101</v>
      </c>
      <c r="H401">
        <v>0</v>
      </c>
      <c r="I401">
        <v>0.52707700000000002</v>
      </c>
      <c r="J401">
        <v>5.3222399999999999</v>
      </c>
      <c r="K401" s="2">
        <v>29788600</v>
      </c>
      <c r="L401" s="1">
        <v>0</v>
      </c>
      <c r="M401" s="1">
        <v>0</v>
      </c>
      <c r="N401" s="1">
        <v>0</v>
      </c>
      <c r="O401" s="1">
        <v>0</v>
      </c>
      <c r="P401" s="2">
        <v>4486430</v>
      </c>
      <c r="Q401" s="1">
        <v>308509</v>
      </c>
      <c r="R401" s="1">
        <v>0</v>
      </c>
      <c r="S401">
        <v>95.812700000000007</v>
      </c>
      <c r="T401">
        <v>98.274000000000001</v>
      </c>
      <c r="U401">
        <v>1.8002400000000001</v>
      </c>
      <c r="V401">
        <v>0</v>
      </c>
      <c r="W401">
        <v>0</v>
      </c>
      <c r="X401">
        <v>1.8592299999999999</v>
      </c>
      <c r="Y401">
        <v>1.8592299999999999</v>
      </c>
      <c r="Z401">
        <v>0</v>
      </c>
      <c r="AA401">
        <v>1.3223100000000001</v>
      </c>
      <c r="AB401">
        <v>2.9635199999999999</v>
      </c>
      <c r="AC401" s="2">
        <v>214583000</v>
      </c>
      <c r="AD401" s="1">
        <v>0</v>
      </c>
      <c r="AE401" s="1">
        <v>0</v>
      </c>
      <c r="AF401" s="1">
        <v>0</v>
      </c>
      <c r="AG401" s="1">
        <v>0</v>
      </c>
      <c r="AH401" s="2">
        <v>4810270</v>
      </c>
      <c r="AI401" s="1">
        <v>156796</v>
      </c>
      <c r="AJ401" s="1">
        <v>0</v>
      </c>
      <c r="AK401" s="8">
        <f t="shared" si="27"/>
        <v>36</v>
      </c>
      <c r="AL401" s="8">
        <f t="shared" si="26"/>
        <v>8</v>
      </c>
      <c r="AM401">
        <f t="shared" si="24"/>
        <v>0</v>
      </c>
      <c r="AN401">
        <f t="shared" si="25"/>
        <v>0</v>
      </c>
    </row>
    <row r="402" spans="1:40" x14ac:dyDescent="0.35">
      <c r="A402">
        <v>72.604100000000003</v>
      </c>
      <c r="B402">
        <v>85.138999999999996</v>
      </c>
      <c r="C402">
        <v>1.8663700000000001</v>
      </c>
      <c r="D402">
        <v>0</v>
      </c>
      <c r="E402">
        <v>0</v>
      </c>
      <c r="F402">
        <v>3.0015999999999998</v>
      </c>
      <c r="G402">
        <v>3.0015999999999998</v>
      </c>
      <c r="H402">
        <v>0</v>
      </c>
      <c r="I402">
        <v>0.56238900000000003</v>
      </c>
      <c r="J402">
        <v>5.3222399999999999</v>
      </c>
      <c r="K402" s="2">
        <v>30097200</v>
      </c>
      <c r="L402" s="1">
        <v>0</v>
      </c>
      <c r="M402" s="1">
        <v>0</v>
      </c>
      <c r="N402" s="1">
        <v>0</v>
      </c>
      <c r="O402" s="1">
        <v>0</v>
      </c>
      <c r="P402" s="2">
        <v>4487310</v>
      </c>
      <c r="Q402" s="1">
        <v>308570</v>
      </c>
      <c r="R402" s="1">
        <v>0</v>
      </c>
      <c r="S402">
        <v>95.366900000000001</v>
      </c>
      <c r="T402">
        <v>98.274000000000001</v>
      </c>
      <c r="U402">
        <v>1.89219</v>
      </c>
      <c r="V402">
        <v>0</v>
      </c>
      <c r="W402">
        <v>0</v>
      </c>
      <c r="X402">
        <v>1.8595900000000001</v>
      </c>
      <c r="Y402">
        <v>1.8595900000000001</v>
      </c>
      <c r="Z402">
        <v>0</v>
      </c>
      <c r="AA402">
        <v>1.4364399999999999</v>
      </c>
      <c r="AB402">
        <v>2.9635199999999999</v>
      </c>
      <c r="AC402" s="2">
        <v>214740000</v>
      </c>
      <c r="AD402" s="1">
        <v>0</v>
      </c>
      <c r="AE402" s="1">
        <v>0</v>
      </c>
      <c r="AF402" s="1">
        <v>0</v>
      </c>
      <c r="AG402" s="1">
        <v>0</v>
      </c>
      <c r="AH402" s="2">
        <v>4811210</v>
      </c>
      <c r="AI402" s="1">
        <v>156827</v>
      </c>
      <c r="AJ402" s="1">
        <v>0</v>
      </c>
      <c r="AK402" s="8">
        <f t="shared" si="27"/>
        <v>37</v>
      </c>
      <c r="AL402" s="8">
        <f t="shared" si="26"/>
        <v>8</v>
      </c>
      <c r="AM402">
        <f t="shared" si="24"/>
        <v>0</v>
      </c>
      <c r="AN402">
        <f t="shared" si="25"/>
        <v>0</v>
      </c>
    </row>
    <row r="403" spans="1:40" x14ac:dyDescent="0.35">
      <c r="A403">
        <v>71.275599999999997</v>
      </c>
      <c r="B403">
        <v>85.138999999999996</v>
      </c>
      <c r="C403">
        <v>1.67066</v>
      </c>
      <c r="D403">
        <v>0</v>
      </c>
      <c r="E403">
        <v>0</v>
      </c>
      <c r="F403">
        <v>3.0021900000000001</v>
      </c>
      <c r="G403">
        <v>3.0021900000000001</v>
      </c>
      <c r="H403">
        <v>0</v>
      </c>
      <c r="I403">
        <v>0.56249899999999997</v>
      </c>
      <c r="J403">
        <v>5.3222399999999999</v>
      </c>
      <c r="K403" s="2">
        <v>30405800</v>
      </c>
      <c r="L403" s="1">
        <v>0</v>
      </c>
      <c r="M403" s="1">
        <v>0</v>
      </c>
      <c r="N403" s="1">
        <v>0</v>
      </c>
      <c r="O403" s="1">
        <v>0</v>
      </c>
      <c r="P403" s="2">
        <v>4488200</v>
      </c>
      <c r="Q403" s="1">
        <v>308631</v>
      </c>
      <c r="R403" s="1">
        <v>0</v>
      </c>
      <c r="S403">
        <v>94.971299999999999</v>
      </c>
      <c r="T403">
        <v>98.274000000000001</v>
      </c>
      <c r="U403">
        <v>1.81429</v>
      </c>
      <c r="V403">
        <v>0</v>
      </c>
      <c r="W403">
        <v>0</v>
      </c>
      <c r="X403">
        <v>1.8599600000000001</v>
      </c>
      <c r="Y403">
        <v>1.8599600000000001</v>
      </c>
      <c r="Z403">
        <v>0</v>
      </c>
      <c r="AA403">
        <v>1.43672</v>
      </c>
      <c r="AB403">
        <v>2.9635199999999999</v>
      </c>
      <c r="AC403" s="2">
        <v>214897000</v>
      </c>
      <c r="AD403" s="1">
        <v>0</v>
      </c>
      <c r="AE403" s="1">
        <v>0</v>
      </c>
      <c r="AF403" s="1">
        <v>0</v>
      </c>
      <c r="AG403" s="1">
        <v>0</v>
      </c>
      <c r="AH403" s="2">
        <v>4812160</v>
      </c>
      <c r="AI403" s="1">
        <v>156858</v>
      </c>
      <c r="AJ403" s="1">
        <v>0</v>
      </c>
      <c r="AK403" s="8">
        <f t="shared" si="27"/>
        <v>38</v>
      </c>
      <c r="AL403" s="8">
        <f t="shared" si="26"/>
        <v>8</v>
      </c>
      <c r="AM403">
        <f t="shared" si="24"/>
        <v>0</v>
      </c>
      <c r="AN403">
        <f t="shared" si="25"/>
        <v>0</v>
      </c>
    </row>
    <row r="404" spans="1:40" x14ac:dyDescent="0.35">
      <c r="A404">
        <v>69.990700000000004</v>
      </c>
      <c r="B404">
        <v>85.138999999999996</v>
      </c>
      <c r="C404">
        <v>1.6898200000000001</v>
      </c>
      <c r="D404">
        <v>0</v>
      </c>
      <c r="E404">
        <v>0</v>
      </c>
      <c r="F404">
        <v>3.00278</v>
      </c>
      <c r="G404">
        <v>3.00278</v>
      </c>
      <c r="H404">
        <v>0</v>
      </c>
      <c r="I404">
        <v>0.56261000000000005</v>
      </c>
      <c r="J404">
        <v>5.3222399999999999</v>
      </c>
      <c r="K404" s="2">
        <v>30714500</v>
      </c>
      <c r="L404" s="1">
        <v>0</v>
      </c>
      <c r="M404" s="1">
        <v>0</v>
      </c>
      <c r="N404" s="1">
        <v>0</v>
      </c>
      <c r="O404" s="1">
        <v>0</v>
      </c>
      <c r="P404" s="2">
        <v>4489080</v>
      </c>
      <c r="Q404" s="1">
        <v>308692</v>
      </c>
      <c r="R404" s="1">
        <v>0</v>
      </c>
      <c r="S404">
        <v>94.799800000000005</v>
      </c>
      <c r="T404">
        <v>98.274000000000001</v>
      </c>
      <c r="U404">
        <v>1.95764</v>
      </c>
      <c r="V404">
        <v>0</v>
      </c>
      <c r="W404">
        <v>0</v>
      </c>
      <c r="X404">
        <v>1.86033</v>
      </c>
      <c r="Y404">
        <v>1.86033</v>
      </c>
      <c r="Z404">
        <v>0</v>
      </c>
      <c r="AA404">
        <v>1.4370099999999999</v>
      </c>
      <c r="AB404">
        <v>2.9635199999999999</v>
      </c>
      <c r="AC404" s="2">
        <v>215054000</v>
      </c>
      <c r="AD404" s="1">
        <v>0</v>
      </c>
      <c r="AE404" s="1">
        <v>0</v>
      </c>
      <c r="AF404" s="1">
        <v>0</v>
      </c>
      <c r="AG404" s="1">
        <v>0</v>
      </c>
      <c r="AH404" s="2">
        <v>4813110</v>
      </c>
      <c r="AI404" s="1">
        <v>156889</v>
      </c>
      <c r="AJ404" s="1">
        <v>0</v>
      </c>
      <c r="AK404" s="8">
        <f t="shared" si="27"/>
        <v>39</v>
      </c>
      <c r="AL404" s="8">
        <f t="shared" si="26"/>
        <v>8</v>
      </c>
      <c r="AM404">
        <f t="shared" si="24"/>
        <v>0</v>
      </c>
      <c r="AN404">
        <f t="shared" si="25"/>
        <v>0</v>
      </c>
    </row>
    <row r="405" spans="1:40" x14ac:dyDescent="0.35">
      <c r="A405">
        <v>68.729200000000006</v>
      </c>
      <c r="B405">
        <v>85.138999999999996</v>
      </c>
      <c r="C405">
        <v>1.7055199999999999</v>
      </c>
      <c r="D405">
        <v>0</v>
      </c>
      <c r="E405">
        <v>0</v>
      </c>
      <c r="F405">
        <v>3.0033699999999999</v>
      </c>
      <c r="G405">
        <v>3.0033699999999999</v>
      </c>
      <c r="H405">
        <v>0</v>
      </c>
      <c r="I405">
        <v>0.56272100000000003</v>
      </c>
      <c r="J405">
        <v>5.3222399999999999</v>
      </c>
      <c r="K405" s="2">
        <v>31023300</v>
      </c>
      <c r="L405" s="1">
        <v>0</v>
      </c>
      <c r="M405" s="1">
        <v>0</v>
      </c>
      <c r="N405" s="1">
        <v>0</v>
      </c>
      <c r="O405" s="1">
        <v>0</v>
      </c>
      <c r="P405" s="2">
        <v>4489970</v>
      </c>
      <c r="Q405" s="1">
        <v>308753</v>
      </c>
      <c r="R405" s="1">
        <v>0</v>
      </c>
      <c r="S405">
        <v>94.574700000000007</v>
      </c>
      <c r="T405">
        <v>98.274000000000001</v>
      </c>
      <c r="U405">
        <v>2.3086899999999999</v>
      </c>
      <c r="V405">
        <v>0</v>
      </c>
      <c r="W405">
        <v>0</v>
      </c>
      <c r="X405">
        <v>1.86069</v>
      </c>
      <c r="Y405">
        <v>1.86069</v>
      </c>
      <c r="Z405">
        <v>0</v>
      </c>
      <c r="AA405">
        <v>1.43729</v>
      </c>
      <c r="AB405">
        <v>2.9635199999999999</v>
      </c>
      <c r="AC405" s="2">
        <v>215210000</v>
      </c>
      <c r="AD405" s="1">
        <v>0</v>
      </c>
      <c r="AE405" s="1">
        <v>0</v>
      </c>
      <c r="AF405" s="1">
        <v>0</v>
      </c>
      <c r="AG405" s="1">
        <v>0</v>
      </c>
      <c r="AH405" s="2">
        <v>4814060</v>
      </c>
      <c r="AI405" s="1">
        <v>156920</v>
      </c>
      <c r="AJ405" s="1">
        <v>0</v>
      </c>
      <c r="AK405" s="8">
        <f t="shared" si="27"/>
        <v>40</v>
      </c>
      <c r="AL405" s="8">
        <f t="shared" si="26"/>
        <v>8</v>
      </c>
      <c r="AM405">
        <f t="shared" si="24"/>
        <v>0</v>
      </c>
      <c r="AN405">
        <f t="shared" si="25"/>
        <v>0</v>
      </c>
    </row>
    <row r="406" spans="1:40" x14ac:dyDescent="0.35">
      <c r="A406">
        <v>68.479399999999998</v>
      </c>
      <c r="B406">
        <v>85.138999999999996</v>
      </c>
      <c r="C406">
        <v>2.6353499999999999</v>
      </c>
      <c r="D406">
        <v>0</v>
      </c>
      <c r="E406">
        <v>0</v>
      </c>
      <c r="F406">
        <v>2.9123100000000002</v>
      </c>
      <c r="G406">
        <v>2.9123100000000002</v>
      </c>
      <c r="H406">
        <v>0</v>
      </c>
      <c r="I406">
        <v>0.562832</v>
      </c>
      <c r="J406">
        <v>5.3222399999999999</v>
      </c>
      <c r="K406" s="2">
        <v>31322700</v>
      </c>
      <c r="L406" s="1">
        <v>0</v>
      </c>
      <c r="M406" s="1">
        <v>0</v>
      </c>
      <c r="N406" s="1">
        <v>0</v>
      </c>
      <c r="O406" s="1">
        <v>0</v>
      </c>
      <c r="P406" s="2">
        <v>4353830</v>
      </c>
      <c r="Q406" s="1">
        <v>299391</v>
      </c>
      <c r="R406" s="1">
        <v>0</v>
      </c>
      <c r="S406">
        <v>94.456599999999995</v>
      </c>
      <c r="T406">
        <v>98.274000000000001</v>
      </c>
      <c r="U406">
        <v>2.6312700000000002</v>
      </c>
      <c r="V406">
        <v>0</v>
      </c>
      <c r="W406">
        <v>0</v>
      </c>
      <c r="X406">
        <v>1.77152</v>
      </c>
      <c r="Y406">
        <v>1.77152</v>
      </c>
      <c r="Z406">
        <v>0</v>
      </c>
      <c r="AA406">
        <v>1.43757</v>
      </c>
      <c r="AB406">
        <v>2.9635199999999999</v>
      </c>
      <c r="AC406" s="2">
        <v>215360000</v>
      </c>
      <c r="AD406" s="1">
        <v>0</v>
      </c>
      <c r="AE406" s="1">
        <v>0</v>
      </c>
      <c r="AF406" s="1">
        <v>0</v>
      </c>
      <c r="AG406" s="1">
        <v>0</v>
      </c>
      <c r="AH406" s="2">
        <v>4583340</v>
      </c>
      <c r="AI406" s="1">
        <v>149399</v>
      </c>
      <c r="AJ406" s="1">
        <v>0</v>
      </c>
      <c r="AK406" s="8">
        <f t="shared" si="27"/>
        <v>41</v>
      </c>
      <c r="AL406" s="8">
        <f t="shared" si="26"/>
        <v>8</v>
      </c>
      <c r="AM406">
        <f t="shared" si="24"/>
        <v>0</v>
      </c>
      <c r="AN406">
        <f t="shared" si="25"/>
        <v>0</v>
      </c>
    </row>
    <row r="407" spans="1:40" x14ac:dyDescent="0.35">
      <c r="A407">
        <v>67.963499999999996</v>
      </c>
      <c r="B407">
        <v>85.138999999999996</v>
      </c>
      <c r="C407">
        <v>2.4718800000000001</v>
      </c>
      <c r="D407">
        <v>0</v>
      </c>
      <c r="E407">
        <v>0</v>
      </c>
      <c r="F407">
        <v>2.9128799999999999</v>
      </c>
      <c r="G407">
        <v>2.9128799999999999</v>
      </c>
      <c r="H407">
        <v>0</v>
      </c>
      <c r="I407">
        <v>0.545767</v>
      </c>
      <c r="J407">
        <v>5.3222399999999999</v>
      </c>
      <c r="K407" s="2">
        <v>31622100</v>
      </c>
      <c r="L407" s="1">
        <v>0</v>
      </c>
      <c r="M407" s="1">
        <v>0</v>
      </c>
      <c r="N407" s="1">
        <v>0</v>
      </c>
      <c r="O407" s="1">
        <v>0</v>
      </c>
      <c r="P407" s="2">
        <v>4354690</v>
      </c>
      <c r="Q407" s="1">
        <v>299450</v>
      </c>
      <c r="R407" s="1">
        <v>0</v>
      </c>
      <c r="S407">
        <v>94.510199999999998</v>
      </c>
      <c r="T407">
        <v>98.274000000000001</v>
      </c>
      <c r="U407">
        <v>2.7985099999999998</v>
      </c>
      <c r="V407">
        <v>0</v>
      </c>
      <c r="W407">
        <v>0</v>
      </c>
      <c r="X407">
        <v>1.7718700000000001</v>
      </c>
      <c r="Y407">
        <v>1.7718700000000001</v>
      </c>
      <c r="Z407">
        <v>0</v>
      </c>
      <c r="AA407">
        <v>1.3686700000000001</v>
      </c>
      <c r="AB407">
        <v>2.9635199999999999</v>
      </c>
      <c r="AC407" s="2">
        <v>215509000</v>
      </c>
      <c r="AD407" s="1">
        <v>0</v>
      </c>
      <c r="AE407" s="1">
        <v>0</v>
      </c>
      <c r="AF407" s="1">
        <v>0</v>
      </c>
      <c r="AG407" s="1">
        <v>0</v>
      </c>
      <c r="AH407" s="2">
        <v>4584240</v>
      </c>
      <c r="AI407" s="1">
        <v>149429</v>
      </c>
      <c r="AJ407" s="1">
        <v>0</v>
      </c>
      <c r="AK407" s="8">
        <f t="shared" si="27"/>
        <v>42</v>
      </c>
      <c r="AL407" s="8">
        <f t="shared" si="26"/>
        <v>8</v>
      </c>
      <c r="AM407">
        <f t="shared" si="24"/>
        <v>0</v>
      </c>
      <c r="AN407">
        <f t="shared" si="25"/>
        <v>0</v>
      </c>
    </row>
    <row r="408" spans="1:40" x14ac:dyDescent="0.35">
      <c r="A408">
        <v>67.812799999999996</v>
      </c>
      <c r="B408">
        <v>85.138999999999996</v>
      </c>
      <c r="C408">
        <v>2.8525100000000001</v>
      </c>
      <c r="D408">
        <v>0</v>
      </c>
      <c r="E408">
        <v>0</v>
      </c>
      <c r="F408">
        <v>2.9134600000000002</v>
      </c>
      <c r="G408">
        <v>2.9134600000000002</v>
      </c>
      <c r="H408">
        <v>0</v>
      </c>
      <c r="I408">
        <v>0.545875</v>
      </c>
      <c r="J408">
        <v>5.3222399999999999</v>
      </c>
      <c r="K408" s="2">
        <v>31921600</v>
      </c>
      <c r="L408" s="1">
        <v>0</v>
      </c>
      <c r="M408" s="1">
        <v>0</v>
      </c>
      <c r="N408" s="1">
        <v>0</v>
      </c>
      <c r="O408" s="1">
        <v>0</v>
      </c>
      <c r="P408" s="2">
        <v>4355550</v>
      </c>
      <c r="Q408" s="1">
        <v>299509</v>
      </c>
      <c r="R408" s="1">
        <v>0</v>
      </c>
      <c r="S408">
        <v>94.7791</v>
      </c>
      <c r="T408">
        <v>98.274000000000001</v>
      </c>
      <c r="U408">
        <v>3.53748</v>
      </c>
      <c r="V408">
        <v>0</v>
      </c>
      <c r="W408">
        <v>0</v>
      </c>
      <c r="X408">
        <v>1.7722199999999999</v>
      </c>
      <c r="Y408">
        <v>1.7722199999999999</v>
      </c>
      <c r="Z408">
        <v>0</v>
      </c>
      <c r="AA408">
        <v>1.36894</v>
      </c>
      <c r="AB408">
        <v>2.9635199999999999</v>
      </c>
      <c r="AC408" s="2">
        <v>215659000</v>
      </c>
      <c r="AD408" s="1">
        <v>0</v>
      </c>
      <c r="AE408" s="1">
        <v>0</v>
      </c>
      <c r="AF408" s="1">
        <v>0</v>
      </c>
      <c r="AG408" s="1">
        <v>0</v>
      </c>
      <c r="AH408" s="2">
        <v>4585140</v>
      </c>
      <c r="AI408" s="1">
        <v>149458</v>
      </c>
      <c r="AJ408" s="1">
        <v>0</v>
      </c>
      <c r="AK408" s="8">
        <f t="shared" si="27"/>
        <v>43</v>
      </c>
      <c r="AL408" s="8">
        <f t="shared" si="26"/>
        <v>8</v>
      </c>
      <c r="AM408">
        <f t="shared" si="24"/>
        <v>0</v>
      </c>
      <c r="AN408">
        <f t="shared" si="25"/>
        <v>0</v>
      </c>
    </row>
    <row r="409" spans="1:40" x14ac:dyDescent="0.35">
      <c r="A409">
        <v>67.580799999999996</v>
      </c>
      <c r="B409">
        <v>85.138999999999996</v>
      </c>
      <c r="C409">
        <v>2.82064</v>
      </c>
      <c r="D409">
        <v>0</v>
      </c>
      <c r="E409">
        <v>0</v>
      </c>
      <c r="F409">
        <v>2.9140299999999999</v>
      </c>
      <c r="G409">
        <v>2.9140299999999999</v>
      </c>
      <c r="H409">
        <v>0</v>
      </c>
      <c r="I409">
        <v>0.54598199999999997</v>
      </c>
      <c r="J409">
        <v>5.3222399999999999</v>
      </c>
      <c r="K409" s="2">
        <v>32221200</v>
      </c>
      <c r="L409" s="1">
        <v>0</v>
      </c>
      <c r="M409" s="1">
        <v>0</v>
      </c>
      <c r="N409" s="1">
        <v>0</v>
      </c>
      <c r="O409" s="1">
        <v>0</v>
      </c>
      <c r="P409" s="2">
        <v>4356410</v>
      </c>
      <c r="Q409" s="1">
        <v>299568</v>
      </c>
      <c r="R409" s="1">
        <v>0</v>
      </c>
      <c r="S409">
        <v>95.042199999999994</v>
      </c>
      <c r="T409">
        <v>98.274000000000001</v>
      </c>
      <c r="U409">
        <v>3.5232100000000002</v>
      </c>
      <c r="V409">
        <v>0</v>
      </c>
      <c r="W409">
        <v>0</v>
      </c>
      <c r="X409">
        <v>1.7725599999999999</v>
      </c>
      <c r="Y409">
        <v>1.7725599999999999</v>
      </c>
      <c r="Z409">
        <v>0</v>
      </c>
      <c r="AA409">
        <v>1.36921</v>
      </c>
      <c r="AB409">
        <v>2.9635199999999999</v>
      </c>
      <c r="AC409" s="2">
        <v>215808000</v>
      </c>
      <c r="AD409" s="1">
        <v>0</v>
      </c>
      <c r="AE409" s="1">
        <v>0</v>
      </c>
      <c r="AF409" s="1">
        <v>0</v>
      </c>
      <c r="AG409" s="1">
        <v>0</v>
      </c>
      <c r="AH409" s="2">
        <v>4586050</v>
      </c>
      <c r="AI409" s="1">
        <v>149487</v>
      </c>
      <c r="AJ409" s="1">
        <v>0</v>
      </c>
      <c r="AK409" s="8">
        <f t="shared" si="27"/>
        <v>44</v>
      </c>
      <c r="AL409" s="8">
        <f t="shared" si="26"/>
        <v>8</v>
      </c>
      <c r="AM409">
        <f t="shared" si="24"/>
        <v>0</v>
      </c>
      <c r="AN409">
        <f t="shared" si="25"/>
        <v>0</v>
      </c>
    </row>
    <row r="410" spans="1:40" x14ac:dyDescent="0.35">
      <c r="A410">
        <v>68.838499999999996</v>
      </c>
      <c r="B410">
        <v>85.138999999999996</v>
      </c>
      <c r="C410">
        <v>4.09727</v>
      </c>
      <c r="D410">
        <v>0.01</v>
      </c>
      <c r="E410">
        <v>0</v>
      </c>
      <c r="F410">
        <v>2.5369199999999998</v>
      </c>
      <c r="G410">
        <v>2.8393199999999998</v>
      </c>
      <c r="H410">
        <v>0</v>
      </c>
      <c r="I410">
        <v>0.54608999999999996</v>
      </c>
      <c r="J410">
        <v>5.3222399999999999</v>
      </c>
      <c r="K410" s="2">
        <v>32104500</v>
      </c>
      <c r="L410" s="1">
        <v>0</v>
      </c>
      <c r="M410" s="1">
        <v>0</v>
      </c>
      <c r="N410" s="1">
        <v>0</v>
      </c>
      <c r="O410" s="1">
        <v>0</v>
      </c>
      <c r="P410" s="2">
        <v>3792620</v>
      </c>
      <c r="Q410" s="1">
        <v>-116651</v>
      </c>
      <c r="R410" s="1">
        <v>408539</v>
      </c>
      <c r="S410">
        <v>95.4191</v>
      </c>
      <c r="T410">
        <v>98.274000000000001</v>
      </c>
      <c r="U410">
        <v>4.1671500000000004</v>
      </c>
      <c r="V410">
        <v>0</v>
      </c>
      <c r="W410">
        <v>0</v>
      </c>
      <c r="X410">
        <v>1.9937400000000001</v>
      </c>
      <c r="Y410">
        <v>1.6913400000000001</v>
      </c>
      <c r="Z410">
        <v>0</v>
      </c>
      <c r="AA410">
        <v>1.36948</v>
      </c>
      <c r="AB410">
        <v>2.9635199999999999</v>
      </c>
      <c r="AC410" s="2">
        <v>216733000</v>
      </c>
      <c r="AD410" s="1">
        <v>0</v>
      </c>
      <c r="AE410" s="1">
        <v>0</v>
      </c>
      <c r="AF410" s="1">
        <v>0</v>
      </c>
      <c r="AG410" s="1">
        <v>0</v>
      </c>
      <c r="AH410" s="2">
        <v>5158290</v>
      </c>
      <c r="AI410" s="1">
        <v>925018</v>
      </c>
      <c r="AJ410" s="1">
        <v>0</v>
      </c>
      <c r="AK410" s="8">
        <f t="shared" si="27"/>
        <v>45</v>
      </c>
      <c r="AL410" s="8">
        <f t="shared" si="26"/>
        <v>8</v>
      </c>
      <c r="AM410">
        <f t="shared" si="24"/>
        <v>0</v>
      </c>
      <c r="AN410">
        <f t="shared" si="25"/>
        <v>0</v>
      </c>
    </row>
    <row r="411" spans="1:40" x14ac:dyDescent="0.35">
      <c r="A411">
        <v>70.889799999999994</v>
      </c>
      <c r="B411">
        <v>85.138999999999996</v>
      </c>
      <c r="C411">
        <v>5.2515799999999997</v>
      </c>
      <c r="D411">
        <v>0</v>
      </c>
      <c r="E411">
        <v>0</v>
      </c>
      <c r="F411">
        <v>2.8398699999999999</v>
      </c>
      <c r="G411">
        <v>2.8398699999999999</v>
      </c>
      <c r="H411">
        <v>0</v>
      </c>
      <c r="I411">
        <v>0.47541800000000001</v>
      </c>
      <c r="J411">
        <v>5.3222399999999999</v>
      </c>
      <c r="K411" s="2">
        <v>32396500</v>
      </c>
      <c r="L411" s="1">
        <v>0</v>
      </c>
      <c r="M411" s="1">
        <v>0</v>
      </c>
      <c r="N411" s="1">
        <v>0</v>
      </c>
      <c r="O411" s="1">
        <v>0</v>
      </c>
      <c r="P411" s="2">
        <v>4245540</v>
      </c>
      <c r="Q411" s="1">
        <v>291945</v>
      </c>
      <c r="R411" s="1">
        <v>0</v>
      </c>
      <c r="S411">
        <v>96.544499999999999</v>
      </c>
      <c r="T411">
        <v>98.274000000000001</v>
      </c>
      <c r="U411">
        <v>5.4173200000000001</v>
      </c>
      <c r="V411">
        <v>0</v>
      </c>
      <c r="W411">
        <v>0</v>
      </c>
      <c r="X411">
        <v>1.6916800000000001</v>
      </c>
      <c r="Y411">
        <v>1.6916800000000001</v>
      </c>
      <c r="Z411">
        <v>0</v>
      </c>
      <c r="AA411">
        <v>1.54037</v>
      </c>
      <c r="AB411">
        <v>2.9635199999999999</v>
      </c>
      <c r="AC411" s="2">
        <v>216876000</v>
      </c>
      <c r="AD411" s="1">
        <v>0</v>
      </c>
      <c r="AE411" s="1">
        <v>0</v>
      </c>
      <c r="AF411" s="1">
        <v>0</v>
      </c>
      <c r="AG411" s="1">
        <v>0</v>
      </c>
      <c r="AH411" s="2">
        <v>4376770</v>
      </c>
      <c r="AI411" s="1">
        <v>142666</v>
      </c>
      <c r="AJ411" s="1">
        <v>0</v>
      </c>
      <c r="AK411" s="8">
        <f t="shared" si="27"/>
        <v>46</v>
      </c>
      <c r="AL411" s="8">
        <f t="shared" si="26"/>
        <v>8</v>
      </c>
      <c r="AM411">
        <f t="shared" si="24"/>
        <v>0</v>
      </c>
      <c r="AN411">
        <f t="shared" si="25"/>
        <v>0</v>
      </c>
    </row>
    <row r="412" spans="1:40" x14ac:dyDescent="0.35">
      <c r="A412">
        <v>72.627200000000002</v>
      </c>
      <c r="B412">
        <v>85.138999999999996</v>
      </c>
      <c r="C412">
        <v>4.9158299999999997</v>
      </c>
      <c r="D412">
        <v>0</v>
      </c>
      <c r="E412">
        <v>0</v>
      </c>
      <c r="F412">
        <v>2.84043</v>
      </c>
      <c r="G412">
        <v>2.84043</v>
      </c>
      <c r="H412">
        <v>0</v>
      </c>
      <c r="I412">
        <v>0.53219300000000003</v>
      </c>
      <c r="J412">
        <v>5.3222399999999999</v>
      </c>
      <c r="K412" s="2">
        <v>32688500</v>
      </c>
      <c r="L412" s="1">
        <v>0</v>
      </c>
      <c r="M412" s="1">
        <v>0</v>
      </c>
      <c r="N412" s="1">
        <v>0</v>
      </c>
      <c r="O412" s="1">
        <v>0</v>
      </c>
      <c r="P412" s="2">
        <v>4246380</v>
      </c>
      <c r="Q412" s="1">
        <v>292002</v>
      </c>
      <c r="R412" s="1">
        <v>0</v>
      </c>
      <c r="S412">
        <v>97.275499999999994</v>
      </c>
      <c r="T412">
        <v>98.274000000000001</v>
      </c>
      <c r="U412">
        <v>6.4956699999999996</v>
      </c>
      <c r="V412">
        <v>0</v>
      </c>
      <c r="W412">
        <v>0</v>
      </c>
      <c r="X412">
        <v>1.69201</v>
      </c>
      <c r="Y412">
        <v>1.69201</v>
      </c>
      <c r="Z412">
        <v>0</v>
      </c>
      <c r="AA412">
        <v>1.3069900000000001</v>
      </c>
      <c r="AB412">
        <v>2.9635199999999999</v>
      </c>
      <c r="AC412" s="2">
        <v>217019000</v>
      </c>
      <c r="AD412" s="1">
        <v>0</v>
      </c>
      <c r="AE412" s="1">
        <v>0</v>
      </c>
      <c r="AF412" s="1">
        <v>0</v>
      </c>
      <c r="AG412" s="1">
        <v>0</v>
      </c>
      <c r="AH412" s="2">
        <v>4377630</v>
      </c>
      <c r="AI412" s="1">
        <v>142694</v>
      </c>
      <c r="AJ412" s="1">
        <v>0</v>
      </c>
      <c r="AK412" s="8">
        <f t="shared" si="27"/>
        <v>47</v>
      </c>
      <c r="AL412" s="8">
        <f t="shared" si="26"/>
        <v>8</v>
      </c>
      <c r="AM412">
        <f t="shared" si="24"/>
        <v>0</v>
      </c>
      <c r="AN412">
        <f t="shared" si="25"/>
        <v>0</v>
      </c>
    </row>
    <row r="413" spans="1:40" x14ac:dyDescent="0.35">
      <c r="A413">
        <v>75.305899999999994</v>
      </c>
      <c r="B413">
        <v>85.138999999999996</v>
      </c>
      <c r="C413">
        <v>5.9742699999999997</v>
      </c>
      <c r="D413">
        <v>0</v>
      </c>
      <c r="E413">
        <v>0</v>
      </c>
      <c r="F413">
        <v>2.8409900000000001</v>
      </c>
      <c r="G413">
        <v>2.8409900000000001</v>
      </c>
      <c r="H413">
        <v>0</v>
      </c>
      <c r="I413">
        <v>0.53229700000000002</v>
      </c>
      <c r="J413">
        <v>5.3222399999999999</v>
      </c>
      <c r="K413" s="2">
        <v>32980600</v>
      </c>
      <c r="L413" s="1">
        <v>0</v>
      </c>
      <c r="M413" s="1">
        <v>0</v>
      </c>
      <c r="N413" s="1">
        <v>0</v>
      </c>
      <c r="O413" s="1">
        <v>0</v>
      </c>
      <c r="P413" s="2">
        <v>4247210</v>
      </c>
      <c r="Q413" s="1">
        <v>292060</v>
      </c>
      <c r="R413" s="1">
        <v>0</v>
      </c>
      <c r="S413">
        <v>98.119399999999999</v>
      </c>
      <c r="T413">
        <v>98.274000000000001</v>
      </c>
      <c r="U413">
        <v>6.2802100000000003</v>
      </c>
      <c r="V413">
        <v>0</v>
      </c>
      <c r="W413">
        <v>0</v>
      </c>
      <c r="X413">
        <v>1.69234</v>
      </c>
      <c r="Y413">
        <v>1.69234</v>
      </c>
      <c r="Z413">
        <v>0</v>
      </c>
      <c r="AA413">
        <v>1.30725</v>
      </c>
      <c r="AB413">
        <v>2.9635199999999999</v>
      </c>
      <c r="AC413" s="2">
        <v>217161000</v>
      </c>
      <c r="AD413" s="1">
        <v>0</v>
      </c>
      <c r="AE413" s="1">
        <v>0</v>
      </c>
      <c r="AF413" s="1">
        <v>0</v>
      </c>
      <c r="AG413" s="1">
        <v>0</v>
      </c>
      <c r="AH413" s="2">
        <v>4378490</v>
      </c>
      <c r="AI413" s="1">
        <v>142722</v>
      </c>
      <c r="AJ413" s="1">
        <v>0</v>
      </c>
      <c r="AK413" s="8">
        <f t="shared" si="27"/>
        <v>48</v>
      </c>
      <c r="AL413" s="8">
        <f t="shared" si="26"/>
        <v>8</v>
      </c>
      <c r="AM413">
        <f t="shared" si="24"/>
        <v>0</v>
      </c>
      <c r="AN413">
        <f t="shared" si="25"/>
        <v>0</v>
      </c>
    </row>
    <row r="414" spans="1:40" x14ac:dyDescent="0.35">
      <c r="A414">
        <v>80.074399999999997</v>
      </c>
      <c r="B414">
        <v>85.138999999999996</v>
      </c>
      <c r="C414">
        <v>8.1618999999999993</v>
      </c>
      <c r="D414">
        <v>0</v>
      </c>
      <c r="E414">
        <v>0</v>
      </c>
      <c r="F414">
        <v>2.6275499999999998</v>
      </c>
      <c r="G414">
        <v>2.6275499999999998</v>
      </c>
      <c r="H414">
        <v>0</v>
      </c>
      <c r="I414">
        <v>0.53240200000000004</v>
      </c>
      <c r="J414">
        <v>5.3222399999999999</v>
      </c>
      <c r="K414" s="2">
        <v>33250700</v>
      </c>
      <c r="L414" s="1">
        <v>0</v>
      </c>
      <c r="M414" s="1">
        <v>0</v>
      </c>
      <c r="N414" s="1">
        <v>0</v>
      </c>
      <c r="O414" s="1">
        <v>0</v>
      </c>
      <c r="P414" s="2">
        <v>3928120</v>
      </c>
      <c r="Q414" s="1">
        <v>270118</v>
      </c>
      <c r="R414" s="1">
        <v>0</v>
      </c>
      <c r="S414">
        <v>99.302199999999999</v>
      </c>
      <c r="T414">
        <v>98.274000000000001</v>
      </c>
      <c r="U414">
        <v>7.0656800000000004</v>
      </c>
      <c r="V414">
        <v>0</v>
      </c>
      <c r="W414">
        <v>0</v>
      </c>
      <c r="X414">
        <v>1.5226500000000001</v>
      </c>
      <c r="Y414">
        <v>1.5226500000000001</v>
      </c>
      <c r="Z414">
        <v>0</v>
      </c>
      <c r="AA414">
        <v>1.3075000000000001</v>
      </c>
      <c r="AB414">
        <v>2.9635199999999999</v>
      </c>
      <c r="AC414" s="2">
        <v>217290000</v>
      </c>
      <c r="AD414" s="1">
        <v>0</v>
      </c>
      <c r="AE414" s="1">
        <v>0</v>
      </c>
      <c r="AF414" s="1">
        <v>0</v>
      </c>
      <c r="AG414" s="1">
        <v>0</v>
      </c>
      <c r="AH414" s="2">
        <v>3939460</v>
      </c>
      <c r="AI414" s="1">
        <v>128411</v>
      </c>
      <c r="AJ414" s="1">
        <v>0</v>
      </c>
      <c r="AK414" s="8">
        <f t="shared" si="27"/>
        <v>49</v>
      </c>
      <c r="AL414" s="8">
        <f t="shared" si="26"/>
        <v>8</v>
      </c>
      <c r="AM414">
        <f t="shared" si="24"/>
        <v>0</v>
      </c>
      <c r="AN414">
        <f t="shared" si="25"/>
        <v>0</v>
      </c>
    </row>
    <row r="415" spans="1:40" x14ac:dyDescent="0.35">
      <c r="A415">
        <v>85.138999999999996</v>
      </c>
      <c r="B415">
        <v>85.138999999999996</v>
      </c>
      <c r="C415">
        <v>9.55002</v>
      </c>
      <c r="D415">
        <v>0</v>
      </c>
      <c r="E415">
        <v>0</v>
      </c>
      <c r="F415">
        <v>2.6280700000000001</v>
      </c>
      <c r="G415">
        <v>2.6280700000000001</v>
      </c>
      <c r="H415">
        <v>0</v>
      </c>
      <c r="I415">
        <v>0.49240299999999998</v>
      </c>
      <c r="J415">
        <v>5.3222399999999999</v>
      </c>
      <c r="K415" s="2">
        <v>33520800</v>
      </c>
      <c r="L415" s="1">
        <v>0</v>
      </c>
      <c r="M415" s="1">
        <v>0</v>
      </c>
      <c r="N415" s="1">
        <v>0</v>
      </c>
      <c r="O415" s="1">
        <v>0</v>
      </c>
      <c r="P415" s="2">
        <v>3928900</v>
      </c>
      <c r="Q415" s="1">
        <v>270171</v>
      </c>
      <c r="R415" s="1">
        <v>0</v>
      </c>
      <c r="S415">
        <v>99.302199999999999</v>
      </c>
      <c r="T415">
        <v>98.274000000000001</v>
      </c>
      <c r="U415">
        <v>9.5220099999999999</v>
      </c>
      <c r="V415">
        <v>0</v>
      </c>
      <c r="W415">
        <v>0</v>
      </c>
      <c r="X415">
        <v>1.52295</v>
      </c>
      <c r="Y415">
        <v>1.52295</v>
      </c>
      <c r="Z415">
        <v>0</v>
      </c>
      <c r="AA415">
        <v>1.1763999999999999</v>
      </c>
      <c r="AB415">
        <v>2.9635199999999999</v>
      </c>
      <c r="AC415" s="2">
        <v>217418000</v>
      </c>
      <c r="AD415" s="1">
        <v>0</v>
      </c>
      <c r="AE415" s="1">
        <v>0</v>
      </c>
      <c r="AF415" s="1">
        <v>0</v>
      </c>
      <c r="AG415" s="1">
        <v>0</v>
      </c>
      <c r="AH415" s="2">
        <v>3940240</v>
      </c>
      <c r="AI415" s="1">
        <v>128437</v>
      </c>
      <c r="AJ415" s="1">
        <v>0</v>
      </c>
      <c r="AK415" s="8">
        <f t="shared" si="27"/>
        <v>50</v>
      </c>
      <c r="AL415" s="8">
        <f t="shared" si="26"/>
        <v>8</v>
      </c>
      <c r="AM415">
        <f t="shared" si="24"/>
        <v>0</v>
      </c>
      <c r="AN415">
        <f t="shared" si="25"/>
        <v>0</v>
      </c>
    </row>
    <row r="416" spans="1:40" x14ac:dyDescent="0.35">
      <c r="A416">
        <v>85.138999999999996</v>
      </c>
      <c r="B416">
        <v>85.138999999999996</v>
      </c>
      <c r="C416">
        <v>11.165900000000001</v>
      </c>
      <c r="D416">
        <v>0</v>
      </c>
      <c r="E416">
        <v>0</v>
      </c>
      <c r="F416">
        <v>2.62859</v>
      </c>
      <c r="G416">
        <v>2.62859</v>
      </c>
      <c r="H416">
        <v>0</v>
      </c>
      <c r="I416">
        <v>0.49249999999999999</v>
      </c>
      <c r="J416">
        <v>5.3222399999999999</v>
      </c>
      <c r="K416" s="2">
        <v>33791100</v>
      </c>
      <c r="L416" s="1">
        <v>0</v>
      </c>
      <c r="M416" s="1">
        <v>0</v>
      </c>
      <c r="N416" s="1">
        <v>0</v>
      </c>
      <c r="O416" s="1">
        <v>0</v>
      </c>
      <c r="P416" s="2">
        <v>3929670</v>
      </c>
      <c r="Q416" s="1">
        <v>270224</v>
      </c>
      <c r="R416" s="1">
        <v>0</v>
      </c>
      <c r="S416">
        <v>99.302199999999999</v>
      </c>
      <c r="T416">
        <v>98.274000000000001</v>
      </c>
      <c r="U416">
        <v>11.3208</v>
      </c>
      <c r="V416">
        <v>0</v>
      </c>
      <c r="W416">
        <v>0</v>
      </c>
      <c r="X416">
        <v>1.52325</v>
      </c>
      <c r="Y416">
        <v>1.52325</v>
      </c>
      <c r="Z416">
        <v>0</v>
      </c>
      <c r="AA416">
        <v>1.1766300000000001</v>
      </c>
      <c r="AB416">
        <v>2.9635199999999999</v>
      </c>
      <c r="AC416" s="2">
        <v>217547000</v>
      </c>
      <c r="AD416" s="1">
        <v>0</v>
      </c>
      <c r="AE416" s="1">
        <v>0</v>
      </c>
      <c r="AF416" s="1">
        <v>0</v>
      </c>
      <c r="AG416" s="1">
        <v>0</v>
      </c>
      <c r="AH416" s="2">
        <v>3941020</v>
      </c>
      <c r="AI416" s="1">
        <v>128462</v>
      </c>
      <c r="AJ416" s="1">
        <v>0</v>
      </c>
      <c r="AK416" s="8">
        <f t="shared" si="27"/>
        <v>51</v>
      </c>
      <c r="AL416" s="8">
        <f t="shared" si="26"/>
        <v>8</v>
      </c>
      <c r="AM416">
        <f t="shared" si="24"/>
        <v>0</v>
      </c>
      <c r="AN416">
        <f t="shared" si="25"/>
        <v>0</v>
      </c>
    </row>
    <row r="417" spans="1:40" x14ac:dyDescent="0.35">
      <c r="A417">
        <v>85.138999999999996</v>
      </c>
      <c r="B417">
        <v>85.138999999999996</v>
      </c>
      <c r="C417">
        <v>11.7593</v>
      </c>
      <c r="D417">
        <v>0</v>
      </c>
      <c r="E417">
        <v>0</v>
      </c>
      <c r="F417">
        <v>2.6291099999999998</v>
      </c>
      <c r="G417">
        <v>2.6291099999999998</v>
      </c>
      <c r="H417">
        <v>0</v>
      </c>
      <c r="I417">
        <v>0.49259700000000001</v>
      </c>
      <c r="J417">
        <v>5.3222399999999999</v>
      </c>
      <c r="K417" s="2">
        <v>34061300</v>
      </c>
      <c r="L417" s="1">
        <v>0</v>
      </c>
      <c r="M417" s="1">
        <v>0</v>
      </c>
      <c r="N417" s="1">
        <v>0</v>
      </c>
      <c r="O417" s="1">
        <v>0</v>
      </c>
      <c r="P417" s="2">
        <v>3930450</v>
      </c>
      <c r="Q417" s="1">
        <v>270277</v>
      </c>
      <c r="R417" s="1">
        <v>0</v>
      </c>
      <c r="S417">
        <v>99.302199999999999</v>
      </c>
      <c r="T417">
        <v>98.274000000000001</v>
      </c>
      <c r="U417">
        <v>17.082999999999998</v>
      </c>
      <c r="V417">
        <v>0</v>
      </c>
      <c r="W417">
        <v>0</v>
      </c>
      <c r="X417">
        <v>1.52355</v>
      </c>
      <c r="Y417">
        <v>1.52355</v>
      </c>
      <c r="Z417">
        <v>0</v>
      </c>
      <c r="AA417">
        <v>1.17686</v>
      </c>
      <c r="AB417">
        <v>2.9635199999999999</v>
      </c>
      <c r="AC417" s="2">
        <v>217675000</v>
      </c>
      <c r="AD417" s="1">
        <v>0</v>
      </c>
      <c r="AE417" s="1">
        <v>0</v>
      </c>
      <c r="AF417" s="1">
        <v>0</v>
      </c>
      <c r="AG417" s="1">
        <v>0</v>
      </c>
      <c r="AH417" s="2">
        <v>3941790</v>
      </c>
      <c r="AI417" s="1">
        <v>128487</v>
      </c>
      <c r="AJ417" s="1">
        <v>0</v>
      </c>
      <c r="AK417" s="8">
        <f t="shared" si="27"/>
        <v>52</v>
      </c>
      <c r="AL417" s="8">
        <f t="shared" si="26"/>
        <v>8</v>
      </c>
      <c r="AM417">
        <f t="shared" si="24"/>
        <v>217675000</v>
      </c>
      <c r="AN417">
        <f t="shared" si="25"/>
        <v>34061300</v>
      </c>
    </row>
    <row r="418" spans="1:40" x14ac:dyDescent="0.35">
      <c r="A418">
        <v>85.138999999999996</v>
      </c>
      <c r="B418">
        <v>85.138999999999996</v>
      </c>
      <c r="C418">
        <v>11.7036</v>
      </c>
      <c r="D418">
        <v>0</v>
      </c>
      <c r="E418">
        <v>0</v>
      </c>
      <c r="F418">
        <v>2.6296200000000001</v>
      </c>
      <c r="G418">
        <v>2.6296200000000001</v>
      </c>
      <c r="H418">
        <v>0</v>
      </c>
      <c r="I418">
        <v>0.49269499999999999</v>
      </c>
      <c r="J418">
        <v>5.3222399999999999</v>
      </c>
      <c r="K418" s="2">
        <v>34331700</v>
      </c>
      <c r="L418" s="1">
        <v>0</v>
      </c>
      <c r="M418" s="1">
        <v>0</v>
      </c>
      <c r="N418" s="1">
        <v>0</v>
      </c>
      <c r="O418" s="1">
        <v>0</v>
      </c>
      <c r="P418" s="2">
        <v>3931220</v>
      </c>
      <c r="Q418" s="1">
        <v>270331</v>
      </c>
      <c r="R418" s="1">
        <v>0</v>
      </c>
      <c r="S418">
        <v>99.302199999999999</v>
      </c>
      <c r="T418">
        <v>98.274000000000001</v>
      </c>
      <c r="U418">
        <v>14.910399999999999</v>
      </c>
      <c r="V418">
        <v>0</v>
      </c>
      <c r="W418">
        <v>0</v>
      </c>
      <c r="X418">
        <v>1.5238499999999999</v>
      </c>
      <c r="Y418">
        <v>1.5238499999999999</v>
      </c>
      <c r="Z418">
        <v>0</v>
      </c>
      <c r="AA418">
        <v>1.1771</v>
      </c>
      <c r="AB418">
        <v>2.9635199999999999</v>
      </c>
      <c r="AC418" s="2">
        <v>217804000</v>
      </c>
      <c r="AD418" s="1">
        <v>0</v>
      </c>
      <c r="AE418" s="1">
        <v>0</v>
      </c>
      <c r="AF418" s="1">
        <v>0</v>
      </c>
      <c r="AG418" s="1">
        <v>0</v>
      </c>
      <c r="AH418" s="2">
        <v>3942570</v>
      </c>
      <c r="AI418" s="1">
        <v>128513</v>
      </c>
      <c r="AJ418" s="1">
        <v>0</v>
      </c>
      <c r="AK418" s="8">
        <f t="shared" si="27"/>
        <v>1</v>
      </c>
      <c r="AL418" s="8">
        <f t="shared" si="26"/>
        <v>9</v>
      </c>
      <c r="AM418">
        <f t="shared" si="24"/>
        <v>0</v>
      </c>
      <c r="AN418">
        <f t="shared" si="25"/>
        <v>0</v>
      </c>
    </row>
    <row r="419" spans="1:40" x14ac:dyDescent="0.35">
      <c r="A419">
        <v>85.138999999999996</v>
      </c>
      <c r="B419">
        <v>85.138999999999996</v>
      </c>
      <c r="C419">
        <v>7.7830899999999996</v>
      </c>
      <c r="D419">
        <v>0</v>
      </c>
      <c r="E419">
        <v>0</v>
      </c>
      <c r="F419">
        <v>2.7125300000000001</v>
      </c>
      <c r="G419">
        <v>2.7125300000000001</v>
      </c>
      <c r="H419">
        <v>0</v>
      </c>
      <c r="I419">
        <v>0.49279200000000001</v>
      </c>
      <c r="J419">
        <v>5.3222399999999999</v>
      </c>
      <c r="K419" s="2">
        <v>34610500</v>
      </c>
      <c r="L419" s="1">
        <v>0</v>
      </c>
      <c r="M419" s="1">
        <v>0</v>
      </c>
      <c r="N419" s="1">
        <v>0</v>
      </c>
      <c r="O419" s="2">
        <v>29016000</v>
      </c>
      <c r="P419" s="2">
        <v>4055160</v>
      </c>
      <c r="Q419" s="1">
        <v>278853</v>
      </c>
      <c r="R419" s="1">
        <v>0</v>
      </c>
      <c r="S419">
        <v>99.302199999999999</v>
      </c>
      <c r="T419">
        <v>98.274000000000001</v>
      </c>
      <c r="U419">
        <v>6.0232099999999997</v>
      </c>
      <c r="V419">
        <v>0</v>
      </c>
      <c r="W419">
        <v>0</v>
      </c>
      <c r="X419">
        <v>1.5734300000000001</v>
      </c>
      <c r="Y419">
        <v>1.5734300000000001</v>
      </c>
      <c r="Z419">
        <v>0</v>
      </c>
      <c r="AA419">
        <v>1.17733</v>
      </c>
      <c r="AB419">
        <v>2.9635199999999999</v>
      </c>
      <c r="AC419" s="2">
        <v>217936000</v>
      </c>
      <c r="AD419" s="1">
        <v>0</v>
      </c>
      <c r="AE419" s="1">
        <v>0</v>
      </c>
      <c r="AF419" s="1">
        <v>0</v>
      </c>
      <c r="AG419" s="2">
        <v>7883220</v>
      </c>
      <c r="AH419" s="2">
        <v>4070840</v>
      </c>
      <c r="AI419" s="1">
        <v>132694</v>
      </c>
      <c r="AJ419" s="1">
        <v>0</v>
      </c>
      <c r="AK419" s="8">
        <f t="shared" si="27"/>
        <v>2</v>
      </c>
      <c r="AL419" s="8">
        <f t="shared" si="26"/>
        <v>9</v>
      </c>
      <c r="AM419">
        <f t="shared" si="24"/>
        <v>0</v>
      </c>
      <c r="AN419">
        <f t="shared" si="25"/>
        <v>0</v>
      </c>
    </row>
    <row r="420" spans="1:40" x14ac:dyDescent="0.35">
      <c r="A420">
        <v>85.138999999999996</v>
      </c>
      <c r="B420">
        <v>85.138999999999996</v>
      </c>
      <c r="C420">
        <v>5.3160600000000002</v>
      </c>
      <c r="D420">
        <v>0</v>
      </c>
      <c r="E420">
        <v>0</v>
      </c>
      <c r="F420">
        <v>2.7130399999999999</v>
      </c>
      <c r="G420">
        <v>2.7130399999999999</v>
      </c>
      <c r="H420">
        <v>0</v>
      </c>
      <c r="I420">
        <v>0.508328</v>
      </c>
      <c r="J420">
        <v>5.3222399999999999</v>
      </c>
      <c r="K420" s="2">
        <v>34889400</v>
      </c>
      <c r="L420" s="1">
        <v>0</v>
      </c>
      <c r="M420" s="1">
        <v>0</v>
      </c>
      <c r="N420" s="1">
        <v>0</v>
      </c>
      <c r="O420" s="1">
        <v>0</v>
      </c>
      <c r="P420" s="2">
        <v>4055930</v>
      </c>
      <c r="Q420" s="1">
        <v>278906</v>
      </c>
      <c r="R420" s="1">
        <v>0</v>
      </c>
      <c r="S420">
        <v>99.302199999999999</v>
      </c>
      <c r="T420">
        <v>98.274000000000001</v>
      </c>
      <c r="U420">
        <v>5.2018700000000004</v>
      </c>
      <c r="V420">
        <v>0</v>
      </c>
      <c r="W420">
        <v>0</v>
      </c>
      <c r="X420">
        <v>1.5737300000000001</v>
      </c>
      <c r="Y420">
        <v>1.5737300000000001</v>
      </c>
      <c r="Z420">
        <v>0</v>
      </c>
      <c r="AA420">
        <v>1.21563</v>
      </c>
      <c r="AB420">
        <v>2.9635199999999999</v>
      </c>
      <c r="AC420" s="2">
        <v>218069000</v>
      </c>
      <c r="AD420" s="1">
        <v>0</v>
      </c>
      <c r="AE420" s="1">
        <v>0</v>
      </c>
      <c r="AF420" s="1">
        <v>0</v>
      </c>
      <c r="AG420" s="1">
        <v>0</v>
      </c>
      <c r="AH420" s="2">
        <v>4071610</v>
      </c>
      <c r="AI420" s="1">
        <v>132719</v>
      </c>
      <c r="AJ420" s="1">
        <v>0</v>
      </c>
      <c r="AK420" s="8">
        <f t="shared" si="27"/>
        <v>3</v>
      </c>
      <c r="AL420" s="8">
        <f t="shared" si="26"/>
        <v>9</v>
      </c>
      <c r="AM420">
        <f t="shared" si="24"/>
        <v>0</v>
      </c>
      <c r="AN420">
        <f t="shared" si="25"/>
        <v>0</v>
      </c>
    </row>
    <row r="421" spans="1:40" x14ac:dyDescent="0.35">
      <c r="A421">
        <v>85.138999999999996</v>
      </c>
      <c r="B421">
        <v>85.138999999999996</v>
      </c>
      <c r="C421">
        <v>4.7439499999999999</v>
      </c>
      <c r="D421">
        <v>0</v>
      </c>
      <c r="E421">
        <v>0</v>
      </c>
      <c r="F421">
        <v>2.7135500000000001</v>
      </c>
      <c r="G421">
        <v>2.7135500000000001</v>
      </c>
      <c r="H421">
        <v>0</v>
      </c>
      <c r="I421">
        <v>0.50842399999999999</v>
      </c>
      <c r="J421">
        <v>5.3222399999999999</v>
      </c>
      <c r="K421" s="2">
        <v>35168400</v>
      </c>
      <c r="L421" s="1">
        <v>0</v>
      </c>
      <c r="M421" s="1">
        <v>0</v>
      </c>
      <c r="N421" s="1">
        <v>0</v>
      </c>
      <c r="O421" s="1">
        <v>0</v>
      </c>
      <c r="P421" s="2">
        <v>4056690</v>
      </c>
      <c r="Q421" s="1">
        <v>278959</v>
      </c>
      <c r="R421" s="1">
        <v>0</v>
      </c>
      <c r="S421">
        <v>99.302199999999999</v>
      </c>
      <c r="T421">
        <v>98.274000000000001</v>
      </c>
      <c r="U421">
        <v>4.0043300000000004</v>
      </c>
      <c r="V421">
        <v>0</v>
      </c>
      <c r="W421">
        <v>0</v>
      </c>
      <c r="X421">
        <v>1.57402</v>
      </c>
      <c r="Y421">
        <v>1.57402</v>
      </c>
      <c r="Z421">
        <v>0</v>
      </c>
      <c r="AA421">
        <v>1.2158599999999999</v>
      </c>
      <c r="AB421">
        <v>2.9635199999999999</v>
      </c>
      <c r="AC421" s="2">
        <v>218202000</v>
      </c>
      <c r="AD421" s="1">
        <v>0</v>
      </c>
      <c r="AE421" s="1">
        <v>0</v>
      </c>
      <c r="AF421" s="1">
        <v>0</v>
      </c>
      <c r="AG421" s="1">
        <v>0</v>
      </c>
      <c r="AH421" s="2">
        <v>4072370</v>
      </c>
      <c r="AI421" s="1">
        <v>132744</v>
      </c>
      <c r="AJ421" s="1">
        <v>0</v>
      </c>
      <c r="AK421" s="8">
        <f t="shared" si="27"/>
        <v>4</v>
      </c>
      <c r="AL421" s="8">
        <f t="shared" si="26"/>
        <v>9</v>
      </c>
      <c r="AM421">
        <f t="shared" si="24"/>
        <v>0</v>
      </c>
      <c r="AN421">
        <f t="shared" si="25"/>
        <v>0</v>
      </c>
    </row>
    <row r="422" spans="1:40" x14ac:dyDescent="0.35">
      <c r="A422">
        <v>85.138999999999996</v>
      </c>
      <c r="B422">
        <v>85.138999999999996</v>
      </c>
      <c r="C422">
        <v>5.6609699999999998</v>
      </c>
      <c r="D422">
        <v>0</v>
      </c>
      <c r="E422">
        <v>0</v>
      </c>
      <c r="F422">
        <v>2.71407</v>
      </c>
      <c r="G422">
        <v>2.71407</v>
      </c>
      <c r="H422">
        <v>0</v>
      </c>
      <c r="I422">
        <v>0.50851999999999997</v>
      </c>
      <c r="J422">
        <v>5.3222399999999999</v>
      </c>
      <c r="K422" s="2">
        <v>35447400</v>
      </c>
      <c r="L422" s="1">
        <v>0</v>
      </c>
      <c r="M422" s="1">
        <v>0</v>
      </c>
      <c r="N422" s="1">
        <v>0</v>
      </c>
      <c r="O422" s="1">
        <v>0</v>
      </c>
      <c r="P422" s="2">
        <v>4057460</v>
      </c>
      <c r="Q422" s="1">
        <v>279011</v>
      </c>
      <c r="R422" s="1">
        <v>0</v>
      </c>
      <c r="S422">
        <v>99.302199999999999</v>
      </c>
      <c r="T422">
        <v>98.274000000000001</v>
      </c>
      <c r="U422">
        <v>4.5301900000000002</v>
      </c>
      <c r="V422">
        <v>0</v>
      </c>
      <c r="W422">
        <v>0</v>
      </c>
      <c r="X422">
        <v>1.5743199999999999</v>
      </c>
      <c r="Y422">
        <v>1.5743199999999999</v>
      </c>
      <c r="Z422">
        <v>0</v>
      </c>
      <c r="AA422">
        <v>1.2160899999999999</v>
      </c>
      <c r="AB422">
        <v>2.9635199999999999</v>
      </c>
      <c r="AC422" s="2">
        <v>218335000</v>
      </c>
      <c r="AD422" s="1">
        <v>0</v>
      </c>
      <c r="AE422" s="1">
        <v>0</v>
      </c>
      <c r="AF422" s="1">
        <v>0</v>
      </c>
      <c r="AG422" s="1">
        <v>0</v>
      </c>
      <c r="AH422" s="2">
        <v>4073140</v>
      </c>
      <c r="AI422" s="1">
        <v>132769</v>
      </c>
      <c r="AJ422" s="1">
        <v>0</v>
      </c>
      <c r="AK422" s="8">
        <f t="shared" si="27"/>
        <v>5</v>
      </c>
      <c r="AL422" s="8">
        <f t="shared" si="26"/>
        <v>9</v>
      </c>
      <c r="AM422">
        <f t="shared" si="24"/>
        <v>0</v>
      </c>
      <c r="AN422">
        <f t="shared" si="25"/>
        <v>0</v>
      </c>
    </row>
    <row r="423" spans="1:40" x14ac:dyDescent="0.35">
      <c r="A423">
        <v>85.138999999999996</v>
      </c>
      <c r="B423">
        <v>85.138999999999996</v>
      </c>
      <c r="C423">
        <v>4.7920299999999996</v>
      </c>
      <c r="D423">
        <v>0</v>
      </c>
      <c r="E423">
        <v>0</v>
      </c>
      <c r="F423">
        <v>2.9793500000000002</v>
      </c>
      <c r="G423">
        <v>2.9793500000000002</v>
      </c>
      <c r="H423">
        <v>0</v>
      </c>
      <c r="I423">
        <v>0.50861599999999996</v>
      </c>
      <c r="J423">
        <v>5.3222399999999999</v>
      </c>
      <c r="K423" s="2">
        <v>35753700</v>
      </c>
      <c r="L423" s="1">
        <v>0</v>
      </c>
      <c r="M423" s="1">
        <v>0</v>
      </c>
      <c r="N423" s="1">
        <v>0</v>
      </c>
      <c r="O423" s="1">
        <v>0</v>
      </c>
      <c r="P423" s="2">
        <v>4454060</v>
      </c>
      <c r="Q423" s="1">
        <v>306283</v>
      </c>
      <c r="R423" s="1">
        <v>0</v>
      </c>
      <c r="S423">
        <v>99.302199999999999</v>
      </c>
      <c r="T423">
        <v>98.274000000000001</v>
      </c>
      <c r="U423">
        <v>3.3585799999999999</v>
      </c>
      <c r="V423">
        <v>0</v>
      </c>
      <c r="W423">
        <v>0</v>
      </c>
      <c r="X423">
        <v>1.75976</v>
      </c>
      <c r="Y423">
        <v>1.75976</v>
      </c>
      <c r="Z423">
        <v>0</v>
      </c>
      <c r="AA423">
        <v>1.2163200000000001</v>
      </c>
      <c r="AB423">
        <v>2.9635199999999999</v>
      </c>
      <c r="AC423" s="2">
        <v>218483000</v>
      </c>
      <c r="AD423" s="1">
        <v>0</v>
      </c>
      <c r="AE423" s="1">
        <v>0</v>
      </c>
      <c r="AF423" s="1">
        <v>0</v>
      </c>
      <c r="AG423" s="1">
        <v>0</v>
      </c>
      <c r="AH423" s="2">
        <v>4552920</v>
      </c>
      <c r="AI423" s="1">
        <v>148408</v>
      </c>
      <c r="AJ423" s="1">
        <v>0</v>
      </c>
      <c r="AK423" s="8">
        <f t="shared" si="27"/>
        <v>6</v>
      </c>
      <c r="AL423" s="8">
        <f t="shared" si="26"/>
        <v>9</v>
      </c>
      <c r="AM423">
        <f t="shared" si="24"/>
        <v>0</v>
      </c>
      <c r="AN423">
        <f t="shared" si="25"/>
        <v>0</v>
      </c>
    </row>
    <row r="424" spans="1:40" x14ac:dyDescent="0.35">
      <c r="A424">
        <v>85.138999999999996</v>
      </c>
      <c r="B424">
        <v>85.138999999999996</v>
      </c>
      <c r="C424">
        <v>6.5644299999999998</v>
      </c>
      <c r="D424">
        <v>0</v>
      </c>
      <c r="E424">
        <v>0</v>
      </c>
      <c r="F424">
        <v>2.9799199999999999</v>
      </c>
      <c r="G424">
        <v>2.9799199999999999</v>
      </c>
      <c r="H424">
        <v>0</v>
      </c>
      <c r="I424">
        <v>0.55833100000000002</v>
      </c>
      <c r="J424">
        <v>5.3222399999999999</v>
      </c>
      <c r="K424" s="2">
        <v>36060000</v>
      </c>
      <c r="L424" s="1">
        <v>0</v>
      </c>
      <c r="M424" s="1">
        <v>0</v>
      </c>
      <c r="N424" s="1">
        <v>0</v>
      </c>
      <c r="O424" s="1">
        <v>0</v>
      </c>
      <c r="P424" s="2">
        <v>4454900</v>
      </c>
      <c r="Q424" s="1">
        <v>306341</v>
      </c>
      <c r="R424" s="1">
        <v>0</v>
      </c>
      <c r="S424">
        <v>99.302199999999999</v>
      </c>
      <c r="T424">
        <v>98.274000000000001</v>
      </c>
      <c r="U424">
        <v>5.2961200000000002</v>
      </c>
      <c r="V424">
        <v>0</v>
      </c>
      <c r="W424">
        <v>0</v>
      </c>
      <c r="X424">
        <v>1.7600899999999999</v>
      </c>
      <c r="Y424">
        <v>1.7600899999999999</v>
      </c>
      <c r="Z424">
        <v>0</v>
      </c>
      <c r="AA424">
        <v>1.3595900000000001</v>
      </c>
      <c r="AB424">
        <v>2.9635199999999999</v>
      </c>
      <c r="AC424" s="2">
        <v>218631000</v>
      </c>
      <c r="AD424" s="1">
        <v>0</v>
      </c>
      <c r="AE424" s="1">
        <v>0</v>
      </c>
      <c r="AF424" s="1">
        <v>0</v>
      </c>
      <c r="AG424" s="1">
        <v>0</v>
      </c>
      <c r="AH424" s="2">
        <v>4553780</v>
      </c>
      <c r="AI424" s="1">
        <v>148436</v>
      </c>
      <c r="AJ424" s="1">
        <v>0</v>
      </c>
      <c r="AK424" s="8">
        <f t="shared" si="27"/>
        <v>7</v>
      </c>
      <c r="AL424" s="8">
        <f t="shared" si="26"/>
        <v>9</v>
      </c>
      <c r="AM424">
        <f t="shared" si="24"/>
        <v>0</v>
      </c>
      <c r="AN424">
        <f t="shared" si="25"/>
        <v>0</v>
      </c>
    </row>
    <row r="425" spans="1:40" x14ac:dyDescent="0.35">
      <c r="A425">
        <v>85.138999999999996</v>
      </c>
      <c r="B425">
        <v>85.138999999999996</v>
      </c>
      <c r="C425">
        <v>6.5146300000000004</v>
      </c>
      <c r="D425">
        <v>0</v>
      </c>
      <c r="E425">
        <v>0</v>
      </c>
      <c r="F425">
        <v>2.98048</v>
      </c>
      <c r="G425">
        <v>2.98048</v>
      </c>
      <c r="H425">
        <v>0</v>
      </c>
      <c r="I425">
        <v>0.55843600000000004</v>
      </c>
      <c r="J425">
        <v>5.3222399999999999</v>
      </c>
      <c r="K425" s="2">
        <v>36366400</v>
      </c>
      <c r="L425" s="1">
        <v>0</v>
      </c>
      <c r="M425" s="1">
        <v>0</v>
      </c>
      <c r="N425" s="1">
        <v>0</v>
      </c>
      <c r="O425" s="1">
        <v>0</v>
      </c>
      <c r="P425" s="2">
        <v>4455740</v>
      </c>
      <c r="Q425" s="1">
        <v>306399</v>
      </c>
      <c r="R425" s="1">
        <v>0</v>
      </c>
      <c r="S425">
        <v>98.942599999999999</v>
      </c>
      <c r="T425">
        <v>98.274000000000001</v>
      </c>
      <c r="U425">
        <v>5.3462800000000001</v>
      </c>
      <c r="V425">
        <v>0</v>
      </c>
      <c r="W425">
        <v>0</v>
      </c>
      <c r="X425">
        <v>1.7604299999999999</v>
      </c>
      <c r="Y425">
        <v>1.7604299999999999</v>
      </c>
      <c r="Z425">
        <v>0</v>
      </c>
      <c r="AA425">
        <v>1.35985</v>
      </c>
      <c r="AB425">
        <v>2.9635199999999999</v>
      </c>
      <c r="AC425" s="2">
        <v>218780000</v>
      </c>
      <c r="AD425" s="1">
        <v>0</v>
      </c>
      <c r="AE425" s="1">
        <v>0</v>
      </c>
      <c r="AF425" s="1">
        <v>0</v>
      </c>
      <c r="AG425" s="1">
        <v>0</v>
      </c>
      <c r="AH425" s="2">
        <v>4554640</v>
      </c>
      <c r="AI425" s="1">
        <v>148464</v>
      </c>
      <c r="AJ425" s="1">
        <v>0</v>
      </c>
      <c r="AK425" s="8">
        <f t="shared" si="27"/>
        <v>8</v>
      </c>
      <c r="AL425" s="8">
        <f t="shared" si="26"/>
        <v>9</v>
      </c>
      <c r="AM425">
        <f t="shared" si="24"/>
        <v>0</v>
      </c>
      <c r="AN425">
        <f t="shared" si="25"/>
        <v>0</v>
      </c>
    </row>
    <row r="426" spans="1:40" x14ac:dyDescent="0.35">
      <c r="A426">
        <v>85.138999999999996</v>
      </c>
      <c r="B426">
        <v>85.138999999999996</v>
      </c>
      <c r="C426">
        <v>4.3989000000000003</v>
      </c>
      <c r="D426">
        <v>0</v>
      </c>
      <c r="E426">
        <v>0</v>
      </c>
      <c r="F426">
        <v>2.9810400000000001</v>
      </c>
      <c r="G426">
        <v>2.9810400000000001</v>
      </c>
      <c r="H426">
        <v>0</v>
      </c>
      <c r="I426">
        <v>0.55854199999999998</v>
      </c>
      <c r="J426">
        <v>5.3222399999999999</v>
      </c>
      <c r="K426" s="2">
        <v>36672900</v>
      </c>
      <c r="L426" s="1">
        <v>0</v>
      </c>
      <c r="M426" s="1">
        <v>0</v>
      </c>
      <c r="N426" s="1">
        <v>0</v>
      </c>
      <c r="O426" s="1">
        <v>0</v>
      </c>
      <c r="P426" s="2">
        <v>4456580</v>
      </c>
      <c r="Q426" s="1">
        <v>306457</v>
      </c>
      <c r="R426" s="1">
        <v>0</v>
      </c>
      <c r="S426">
        <v>99.300899999999999</v>
      </c>
      <c r="T426">
        <v>98.274000000000001</v>
      </c>
      <c r="U426">
        <v>2.7415699999999998</v>
      </c>
      <c r="V426">
        <v>0</v>
      </c>
      <c r="W426">
        <v>0</v>
      </c>
      <c r="X426">
        <v>1.7607600000000001</v>
      </c>
      <c r="Y426">
        <v>1.7607600000000001</v>
      </c>
      <c r="Z426">
        <v>0</v>
      </c>
      <c r="AA426">
        <v>1.3601099999999999</v>
      </c>
      <c r="AB426">
        <v>2.9635199999999999</v>
      </c>
      <c r="AC426" s="2">
        <v>218928000</v>
      </c>
      <c r="AD426" s="1">
        <v>0</v>
      </c>
      <c r="AE426" s="1">
        <v>0</v>
      </c>
      <c r="AF426" s="1">
        <v>0</v>
      </c>
      <c r="AG426" s="1">
        <v>0</v>
      </c>
      <c r="AH426" s="2">
        <v>4555500</v>
      </c>
      <c r="AI426" s="1">
        <v>148492</v>
      </c>
      <c r="AJ426" s="1">
        <v>0</v>
      </c>
      <c r="AK426" s="8">
        <f t="shared" si="27"/>
        <v>9</v>
      </c>
      <c r="AL426" s="8">
        <f t="shared" si="26"/>
        <v>9</v>
      </c>
      <c r="AM426">
        <f t="shared" si="24"/>
        <v>0</v>
      </c>
      <c r="AN426">
        <f t="shared" si="25"/>
        <v>0</v>
      </c>
    </row>
    <row r="427" spans="1:40" x14ac:dyDescent="0.35">
      <c r="A427">
        <v>85.138999999999996</v>
      </c>
      <c r="B427">
        <v>85.138999999999996</v>
      </c>
      <c r="C427">
        <v>5.1865300000000003</v>
      </c>
      <c r="D427">
        <v>0</v>
      </c>
      <c r="E427">
        <v>0</v>
      </c>
      <c r="F427">
        <v>2.6036700000000002</v>
      </c>
      <c r="G427">
        <v>2.6036700000000002</v>
      </c>
      <c r="H427">
        <v>0</v>
      </c>
      <c r="I427">
        <v>0.558647</v>
      </c>
      <c r="J427">
        <v>5.3222399999999999</v>
      </c>
      <c r="K427" s="2">
        <v>36940500</v>
      </c>
      <c r="L427" s="1">
        <v>0</v>
      </c>
      <c r="M427" s="1">
        <v>0</v>
      </c>
      <c r="N427" s="1">
        <v>0</v>
      </c>
      <c r="O427" s="1">
        <v>0</v>
      </c>
      <c r="P427" s="2">
        <v>3892420</v>
      </c>
      <c r="Q427" s="1">
        <v>267662</v>
      </c>
      <c r="R427" s="1">
        <v>0</v>
      </c>
      <c r="S427">
        <v>99.302199999999999</v>
      </c>
      <c r="T427">
        <v>98.274000000000001</v>
      </c>
      <c r="U427">
        <v>2.8620199999999998</v>
      </c>
      <c r="V427">
        <v>0</v>
      </c>
      <c r="W427">
        <v>0</v>
      </c>
      <c r="X427">
        <v>1.51244</v>
      </c>
      <c r="Y427">
        <v>1.51244</v>
      </c>
      <c r="Z427">
        <v>0</v>
      </c>
      <c r="AA427">
        <v>1.36036</v>
      </c>
      <c r="AB427">
        <v>2.9635199999999999</v>
      </c>
      <c r="AC427" s="2">
        <v>219056000</v>
      </c>
      <c r="AD427" s="1">
        <v>0</v>
      </c>
      <c r="AE427" s="1">
        <v>0</v>
      </c>
      <c r="AF427" s="1">
        <v>0</v>
      </c>
      <c r="AG427" s="1">
        <v>0</v>
      </c>
      <c r="AH427" s="2">
        <v>3913050</v>
      </c>
      <c r="AI427" s="1">
        <v>127550</v>
      </c>
      <c r="AJ427" s="1">
        <v>0</v>
      </c>
      <c r="AK427" s="8">
        <f t="shared" si="27"/>
        <v>10</v>
      </c>
      <c r="AL427" s="8">
        <f t="shared" si="26"/>
        <v>9</v>
      </c>
      <c r="AM427">
        <f t="shared" si="24"/>
        <v>0</v>
      </c>
      <c r="AN427">
        <f t="shared" si="25"/>
        <v>0</v>
      </c>
    </row>
    <row r="428" spans="1:40" x14ac:dyDescent="0.35">
      <c r="A428">
        <v>85.138999999999996</v>
      </c>
      <c r="B428">
        <v>85.138999999999996</v>
      </c>
      <c r="C428">
        <v>6.3505799999999999</v>
      </c>
      <c r="D428">
        <v>0</v>
      </c>
      <c r="E428">
        <v>0</v>
      </c>
      <c r="F428">
        <v>2.6041599999999998</v>
      </c>
      <c r="G428">
        <v>2.6041599999999998</v>
      </c>
      <c r="H428">
        <v>0</v>
      </c>
      <c r="I428">
        <v>0.48792799999999997</v>
      </c>
      <c r="J428">
        <v>5.3222399999999999</v>
      </c>
      <c r="K428" s="2">
        <v>37208300</v>
      </c>
      <c r="L428" s="1">
        <v>0</v>
      </c>
      <c r="M428" s="1">
        <v>0</v>
      </c>
      <c r="N428" s="1">
        <v>0</v>
      </c>
      <c r="O428" s="1">
        <v>0</v>
      </c>
      <c r="P428" s="2">
        <v>3893150</v>
      </c>
      <c r="Q428" s="1">
        <v>267713</v>
      </c>
      <c r="R428" s="1">
        <v>0</v>
      </c>
      <c r="S428">
        <v>99.302199999999999</v>
      </c>
      <c r="T428">
        <v>98.274000000000001</v>
      </c>
      <c r="U428">
        <v>4.3059900000000004</v>
      </c>
      <c r="V428">
        <v>0</v>
      </c>
      <c r="W428">
        <v>0</v>
      </c>
      <c r="X428">
        <v>1.5127299999999999</v>
      </c>
      <c r="Y428">
        <v>1.5127299999999999</v>
      </c>
      <c r="Z428">
        <v>0</v>
      </c>
      <c r="AA428">
        <v>1.1685099999999999</v>
      </c>
      <c r="AB428">
        <v>2.9635199999999999</v>
      </c>
      <c r="AC428" s="2">
        <v>219184000</v>
      </c>
      <c r="AD428" s="1">
        <v>0</v>
      </c>
      <c r="AE428" s="1">
        <v>0</v>
      </c>
      <c r="AF428" s="1">
        <v>0</v>
      </c>
      <c r="AG428" s="1">
        <v>0</v>
      </c>
      <c r="AH428" s="2">
        <v>3913790</v>
      </c>
      <c r="AI428" s="1">
        <v>127574</v>
      </c>
      <c r="AJ428" s="1">
        <v>0</v>
      </c>
      <c r="AK428" s="8">
        <f t="shared" si="27"/>
        <v>11</v>
      </c>
      <c r="AL428" s="8">
        <f t="shared" si="26"/>
        <v>9</v>
      </c>
      <c r="AM428">
        <f t="shared" si="24"/>
        <v>0</v>
      </c>
      <c r="AN428">
        <f t="shared" si="25"/>
        <v>0</v>
      </c>
    </row>
    <row r="429" spans="1:40" x14ac:dyDescent="0.35">
      <c r="A429">
        <v>85.138999999999996</v>
      </c>
      <c r="B429">
        <v>85.138999999999996</v>
      </c>
      <c r="C429">
        <v>6.5139500000000004</v>
      </c>
      <c r="D429">
        <v>0</v>
      </c>
      <c r="E429">
        <v>0</v>
      </c>
      <c r="F429">
        <v>2.6046499999999999</v>
      </c>
      <c r="G429">
        <v>2.6046499999999999</v>
      </c>
      <c r="H429">
        <v>0</v>
      </c>
      <c r="I429">
        <v>0.48802000000000001</v>
      </c>
      <c r="J429">
        <v>5.3222399999999999</v>
      </c>
      <c r="K429" s="2">
        <v>37476000</v>
      </c>
      <c r="L429" s="1">
        <v>0</v>
      </c>
      <c r="M429" s="1">
        <v>0</v>
      </c>
      <c r="N429" s="1">
        <v>0</v>
      </c>
      <c r="O429" s="1">
        <v>0</v>
      </c>
      <c r="P429" s="2">
        <v>3893890</v>
      </c>
      <c r="Q429" s="1">
        <v>267763</v>
      </c>
      <c r="R429" s="1">
        <v>0</v>
      </c>
      <c r="S429">
        <v>99.302199999999999</v>
      </c>
      <c r="T429">
        <v>98.274000000000001</v>
      </c>
      <c r="U429">
        <v>7.6749900000000002</v>
      </c>
      <c r="V429">
        <v>0</v>
      </c>
      <c r="W429">
        <v>0</v>
      </c>
      <c r="X429">
        <v>1.51301</v>
      </c>
      <c r="Y429">
        <v>1.51301</v>
      </c>
      <c r="Z429">
        <v>0</v>
      </c>
      <c r="AA429">
        <v>1.16873</v>
      </c>
      <c r="AB429">
        <v>2.9635199999999999</v>
      </c>
      <c r="AC429" s="2">
        <v>219311000</v>
      </c>
      <c r="AD429" s="1">
        <v>0</v>
      </c>
      <c r="AE429" s="1">
        <v>0</v>
      </c>
      <c r="AF429" s="1">
        <v>0</v>
      </c>
      <c r="AG429" s="1">
        <v>0</v>
      </c>
      <c r="AH429" s="2">
        <v>3914530</v>
      </c>
      <c r="AI429" s="1">
        <v>127598</v>
      </c>
      <c r="AJ429" s="1">
        <v>0</v>
      </c>
      <c r="AK429" s="8">
        <f t="shared" si="27"/>
        <v>12</v>
      </c>
      <c r="AL429" s="8">
        <f t="shared" si="26"/>
        <v>9</v>
      </c>
      <c r="AM429">
        <f t="shared" si="24"/>
        <v>0</v>
      </c>
      <c r="AN429">
        <f t="shared" si="25"/>
        <v>0</v>
      </c>
    </row>
    <row r="430" spans="1:40" x14ac:dyDescent="0.35">
      <c r="A430">
        <v>85.138999999999996</v>
      </c>
      <c r="B430">
        <v>85.138999999999996</v>
      </c>
      <c r="C430">
        <v>5.9906800000000002</v>
      </c>
      <c r="D430">
        <v>0</v>
      </c>
      <c r="E430">
        <v>0</v>
      </c>
      <c r="F430">
        <v>2.6051500000000001</v>
      </c>
      <c r="G430">
        <v>2.6051500000000001</v>
      </c>
      <c r="H430">
        <v>0</v>
      </c>
      <c r="I430">
        <v>0.48811199999999999</v>
      </c>
      <c r="J430">
        <v>5.3222399999999999</v>
      </c>
      <c r="K430" s="2">
        <v>37743800</v>
      </c>
      <c r="L430" s="1">
        <v>0</v>
      </c>
      <c r="M430" s="1">
        <v>0</v>
      </c>
      <c r="N430" s="1">
        <v>0</v>
      </c>
      <c r="O430" s="1">
        <v>0</v>
      </c>
      <c r="P430" s="2">
        <v>3894630</v>
      </c>
      <c r="Q430" s="1">
        <v>267814</v>
      </c>
      <c r="R430" s="1">
        <v>0</v>
      </c>
      <c r="S430">
        <v>99.302199999999999</v>
      </c>
      <c r="T430">
        <v>98.274000000000001</v>
      </c>
      <c r="U430">
        <v>5.2626299999999997</v>
      </c>
      <c r="V430">
        <v>0</v>
      </c>
      <c r="W430">
        <v>0</v>
      </c>
      <c r="X430">
        <v>1.5133000000000001</v>
      </c>
      <c r="Y430">
        <v>1.5133000000000001</v>
      </c>
      <c r="Z430">
        <v>0</v>
      </c>
      <c r="AA430">
        <v>1.1689499999999999</v>
      </c>
      <c r="AB430">
        <v>2.9635199999999999</v>
      </c>
      <c r="AC430" s="2">
        <v>219439000</v>
      </c>
      <c r="AD430" s="1">
        <v>0</v>
      </c>
      <c r="AE430" s="1">
        <v>0</v>
      </c>
      <c r="AF430" s="1">
        <v>0</v>
      </c>
      <c r="AG430" s="1">
        <v>0</v>
      </c>
      <c r="AH430" s="2">
        <v>3915270</v>
      </c>
      <c r="AI430" s="1">
        <v>127623</v>
      </c>
      <c r="AJ430" s="1">
        <v>0</v>
      </c>
      <c r="AK430" s="8">
        <f t="shared" si="27"/>
        <v>13</v>
      </c>
      <c r="AL430" s="8">
        <f t="shared" si="26"/>
        <v>9</v>
      </c>
      <c r="AM430">
        <f t="shared" si="24"/>
        <v>0</v>
      </c>
      <c r="AN430">
        <f t="shared" si="25"/>
        <v>0</v>
      </c>
    </row>
    <row r="431" spans="1:40" x14ac:dyDescent="0.35">
      <c r="A431">
        <v>85.138999999999996</v>
      </c>
      <c r="B431">
        <v>85.138999999999996</v>
      </c>
      <c r="C431">
        <v>8.5955600000000008</v>
      </c>
      <c r="D431">
        <v>0</v>
      </c>
      <c r="E431">
        <v>0</v>
      </c>
      <c r="F431">
        <v>2.6056400000000002</v>
      </c>
      <c r="G431">
        <v>2.6056400000000002</v>
      </c>
      <c r="H431">
        <v>0</v>
      </c>
      <c r="I431">
        <v>0.48820400000000003</v>
      </c>
      <c r="J431">
        <v>5.3222399999999999</v>
      </c>
      <c r="K431" s="2">
        <v>38011700</v>
      </c>
      <c r="L431" s="1">
        <v>0</v>
      </c>
      <c r="M431" s="1">
        <v>0</v>
      </c>
      <c r="N431" s="1">
        <v>0</v>
      </c>
      <c r="O431" s="1">
        <v>0</v>
      </c>
      <c r="P431" s="2">
        <v>3895360</v>
      </c>
      <c r="Q431" s="1">
        <v>267865</v>
      </c>
      <c r="R431" s="1">
        <v>0</v>
      </c>
      <c r="S431">
        <v>99.302199999999999</v>
      </c>
      <c r="T431">
        <v>98.274000000000001</v>
      </c>
      <c r="U431">
        <v>10.209899999999999</v>
      </c>
      <c r="V431">
        <v>0</v>
      </c>
      <c r="W431">
        <v>0</v>
      </c>
      <c r="X431">
        <v>1.51359</v>
      </c>
      <c r="Y431">
        <v>1.51359</v>
      </c>
      <c r="Z431">
        <v>0</v>
      </c>
      <c r="AA431">
        <v>1.1691800000000001</v>
      </c>
      <c r="AB431">
        <v>2.9635199999999999</v>
      </c>
      <c r="AC431" s="2">
        <v>219566000</v>
      </c>
      <c r="AD431" s="1">
        <v>0</v>
      </c>
      <c r="AE431" s="1">
        <v>0</v>
      </c>
      <c r="AF431" s="1">
        <v>0</v>
      </c>
      <c r="AG431" s="1">
        <v>0</v>
      </c>
      <c r="AH431" s="2">
        <v>3916010</v>
      </c>
      <c r="AI431" s="1">
        <v>127647</v>
      </c>
      <c r="AJ431" s="1">
        <v>0</v>
      </c>
      <c r="AK431" s="8">
        <f t="shared" si="27"/>
        <v>14</v>
      </c>
      <c r="AL431" s="8">
        <f t="shared" si="26"/>
        <v>9</v>
      </c>
      <c r="AM431">
        <f t="shared" si="24"/>
        <v>0</v>
      </c>
      <c r="AN431">
        <f t="shared" si="25"/>
        <v>0</v>
      </c>
    </row>
    <row r="432" spans="1:40" x14ac:dyDescent="0.35">
      <c r="A432">
        <v>85.138999999999996</v>
      </c>
      <c r="B432">
        <v>85.138999999999996</v>
      </c>
      <c r="C432">
        <v>9.5305800000000005</v>
      </c>
      <c r="D432">
        <v>0</v>
      </c>
      <c r="E432">
        <v>0</v>
      </c>
      <c r="F432">
        <v>2.7013500000000001</v>
      </c>
      <c r="G432">
        <v>2.7013500000000001</v>
      </c>
      <c r="H432">
        <v>0</v>
      </c>
      <c r="I432">
        <v>0.48829699999999998</v>
      </c>
      <c r="J432">
        <v>5.3222399999999999</v>
      </c>
      <c r="K432" s="2">
        <v>38289400</v>
      </c>
      <c r="L432" s="1">
        <v>0</v>
      </c>
      <c r="M432" s="1">
        <v>0</v>
      </c>
      <c r="N432" s="1">
        <v>0</v>
      </c>
      <c r="O432" s="1">
        <v>0</v>
      </c>
      <c r="P432" s="2">
        <v>4038450</v>
      </c>
      <c r="Q432" s="1">
        <v>277704</v>
      </c>
      <c r="R432" s="1">
        <v>0</v>
      </c>
      <c r="S432">
        <v>99.302199999999999</v>
      </c>
      <c r="T432">
        <v>98.274000000000001</v>
      </c>
      <c r="U432">
        <v>12.382899999999999</v>
      </c>
      <c r="V432">
        <v>0</v>
      </c>
      <c r="W432">
        <v>0</v>
      </c>
      <c r="X432">
        <v>1.5747599999999999</v>
      </c>
      <c r="Y432">
        <v>1.5747599999999999</v>
      </c>
      <c r="Z432">
        <v>0</v>
      </c>
      <c r="AA432">
        <v>1.1694</v>
      </c>
      <c r="AB432">
        <v>2.9635199999999999</v>
      </c>
      <c r="AC432" s="2">
        <v>219699000</v>
      </c>
      <c r="AD432" s="1">
        <v>0</v>
      </c>
      <c r="AE432" s="1">
        <v>0</v>
      </c>
      <c r="AF432" s="1">
        <v>0</v>
      </c>
      <c r="AG432" s="1">
        <v>0</v>
      </c>
      <c r="AH432" s="2">
        <v>4074270</v>
      </c>
      <c r="AI432" s="1">
        <v>132806</v>
      </c>
      <c r="AJ432" s="1">
        <v>0</v>
      </c>
      <c r="AK432" s="8">
        <f t="shared" si="27"/>
        <v>15</v>
      </c>
      <c r="AL432" s="8">
        <f t="shared" si="26"/>
        <v>9</v>
      </c>
      <c r="AM432">
        <f t="shared" si="24"/>
        <v>0</v>
      </c>
      <c r="AN432">
        <f t="shared" si="25"/>
        <v>0</v>
      </c>
    </row>
    <row r="433" spans="1:40" x14ac:dyDescent="0.35">
      <c r="A433">
        <v>85.138999999999996</v>
      </c>
      <c r="B433">
        <v>85.138999999999996</v>
      </c>
      <c r="C433">
        <v>8.0753599999999999</v>
      </c>
      <c r="D433">
        <v>0</v>
      </c>
      <c r="E433">
        <v>0</v>
      </c>
      <c r="F433">
        <v>2.7018599999999999</v>
      </c>
      <c r="G433">
        <v>2.7018599999999999</v>
      </c>
      <c r="H433">
        <v>0</v>
      </c>
      <c r="I433">
        <v>0.50623399999999996</v>
      </c>
      <c r="J433">
        <v>5.3222399999999999</v>
      </c>
      <c r="K433" s="2">
        <v>38567200</v>
      </c>
      <c r="L433" s="1">
        <v>0</v>
      </c>
      <c r="M433" s="1">
        <v>0</v>
      </c>
      <c r="N433" s="1">
        <v>0</v>
      </c>
      <c r="O433" s="1">
        <v>0</v>
      </c>
      <c r="P433" s="2">
        <v>4039220</v>
      </c>
      <c r="Q433" s="1">
        <v>277757</v>
      </c>
      <c r="R433" s="1">
        <v>0</v>
      </c>
      <c r="S433">
        <v>99.302199999999999</v>
      </c>
      <c r="T433">
        <v>98.274000000000001</v>
      </c>
      <c r="U433">
        <v>9.9495400000000007</v>
      </c>
      <c r="V433">
        <v>0</v>
      </c>
      <c r="W433">
        <v>0</v>
      </c>
      <c r="X433">
        <v>1.5750599999999999</v>
      </c>
      <c r="Y433">
        <v>1.5750599999999999</v>
      </c>
      <c r="Z433">
        <v>0</v>
      </c>
      <c r="AA433">
        <v>1.2166600000000001</v>
      </c>
      <c r="AB433">
        <v>2.9635199999999999</v>
      </c>
      <c r="AC433" s="2">
        <v>219832000</v>
      </c>
      <c r="AD433" s="1">
        <v>0</v>
      </c>
      <c r="AE433" s="1">
        <v>0</v>
      </c>
      <c r="AF433" s="1">
        <v>0</v>
      </c>
      <c r="AG433" s="1">
        <v>0</v>
      </c>
      <c r="AH433" s="2">
        <v>4075040</v>
      </c>
      <c r="AI433" s="1">
        <v>132831</v>
      </c>
      <c r="AJ433" s="1">
        <v>0</v>
      </c>
      <c r="AK433" s="8">
        <f t="shared" si="27"/>
        <v>16</v>
      </c>
      <c r="AL433" s="8">
        <f t="shared" si="26"/>
        <v>9</v>
      </c>
      <c r="AM433">
        <f t="shared" si="24"/>
        <v>0</v>
      </c>
      <c r="AN433">
        <f t="shared" si="25"/>
        <v>0</v>
      </c>
    </row>
    <row r="434" spans="1:40" x14ac:dyDescent="0.35">
      <c r="A434">
        <v>85.138999999999996</v>
      </c>
      <c r="B434">
        <v>85.138999999999996</v>
      </c>
      <c r="C434">
        <v>6.4875699999999998</v>
      </c>
      <c r="D434">
        <v>0</v>
      </c>
      <c r="E434">
        <v>0</v>
      </c>
      <c r="F434">
        <v>2.7023700000000002</v>
      </c>
      <c r="G434">
        <v>2.7023700000000002</v>
      </c>
      <c r="H434">
        <v>0</v>
      </c>
      <c r="I434">
        <v>0.50632900000000003</v>
      </c>
      <c r="J434">
        <v>5.3222399999999999</v>
      </c>
      <c r="K434" s="2">
        <v>38845000</v>
      </c>
      <c r="L434" s="1">
        <v>0</v>
      </c>
      <c r="M434" s="1">
        <v>0</v>
      </c>
      <c r="N434" s="1">
        <v>0</v>
      </c>
      <c r="O434" s="1">
        <v>0</v>
      </c>
      <c r="P434" s="2">
        <v>4039980</v>
      </c>
      <c r="Q434" s="1">
        <v>277809</v>
      </c>
      <c r="R434" s="1">
        <v>0</v>
      </c>
      <c r="S434">
        <v>99.302199999999999</v>
      </c>
      <c r="T434">
        <v>98.274000000000001</v>
      </c>
      <c r="U434">
        <v>7.1023899999999998</v>
      </c>
      <c r="V434">
        <v>0</v>
      </c>
      <c r="W434">
        <v>0</v>
      </c>
      <c r="X434">
        <v>1.57535</v>
      </c>
      <c r="Y434">
        <v>1.57535</v>
      </c>
      <c r="Z434">
        <v>0</v>
      </c>
      <c r="AA434">
        <v>1.21689</v>
      </c>
      <c r="AB434">
        <v>2.9635199999999999</v>
      </c>
      <c r="AC434" s="2">
        <v>219965000</v>
      </c>
      <c r="AD434" s="1">
        <v>0</v>
      </c>
      <c r="AE434" s="1">
        <v>0</v>
      </c>
      <c r="AF434" s="1">
        <v>0</v>
      </c>
      <c r="AG434" s="1">
        <v>0</v>
      </c>
      <c r="AH434" s="2">
        <v>4075820</v>
      </c>
      <c r="AI434" s="1">
        <v>132856</v>
      </c>
      <c r="AJ434" s="1">
        <v>0</v>
      </c>
      <c r="AK434" s="8">
        <f t="shared" si="27"/>
        <v>17</v>
      </c>
      <c r="AL434" s="8">
        <f t="shared" si="26"/>
        <v>9</v>
      </c>
      <c r="AM434">
        <f t="shared" si="24"/>
        <v>0</v>
      </c>
      <c r="AN434">
        <f t="shared" si="25"/>
        <v>0</v>
      </c>
    </row>
    <row r="435" spans="1:40" x14ac:dyDescent="0.35">
      <c r="A435">
        <v>85.138999999999996</v>
      </c>
      <c r="B435">
        <v>85.138999999999996</v>
      </c>
      <c r="C435">
        <v>5.6352599999999997</v>
      </c>
      <c r="D435">
        <v>0</v>
      </c>
      <c r="E435">
        <v>0</v>
      </c>
      <c r="F435">
        <v>2.70289</v>
      </c>
      <c r="G435">
        <v>2.70289</v>
      </c>
      <c r="H435">
        <v>0</v>
      </c>
      <c r="I435">
        <v>0.50642500000000001</v>
      </c>
      <c r="J435">
        <v>5.3222399999999999</v>
      </c>
      <c r="K435" s="2">
        <v>39122800</v>
      </c>
      <c r="L435" s="1">
        <v>0</v>
      </c>
      <c r="M435" s="1">
        <v>0</v>
      </c>
      <c r="N435" s="1">
        <v>0</v>
      </c>
      <c r="O435" s="1">
        <v>0</v>
      </c>
      <c r="P435" s="2">
        <v>4040750</v>
      </c>
      <c r="Q435" s="1">
        <v>277862</v>
      </c>
      <c r="R435" s="1">
        <v>0</v>
      </c>
      <c r="S435">
        <v>99.302199999999999</v>
      </c>
      <c r="T435">
        <v>98.274000000000001</v>
      </c>
      <c r="U435">
        <v>5.7715899999999998</v>
      </c>
      <c r="V435">
        <v>0</v>
      </c>
      <c r="W435">
        <v>0</v>
      </c>
      <c r="X435">
        <v>1.57565</v>
      </c>
      <c r="Y435">
        <v>1.57565</v>
      </c>
      <c r="Z435">
        <v>0</v>
      </c>
      <c r="AA435">
        <v>1.21712</v>
      </c>
      <c r="AB435">
        <v>2.9635199999999999</v>
      </c>
      <c r="AC435" s="2">
        <v>220098000</v>
      </c>
      <c r="AD435" s="1">
        <v>0</v>
      </c>
      <c r="AE435" s="1">
        <v>0</v>
      </c>
      <c r="AF435" s="1">
        <v>0</v>
      </c>
      <c r="AG435" s="1">
        <v>0</v>
      </c>
      <c r="AH435" s="2">
        <v>4076590</v>
      </c>
      <c r="AI435" s="1">
        <v>132881</v>
      </c>
      <c r="AJ435" s="1">
        <v>0</v>
      </c>
      <c r="AK435" s="8">
        <f t="shared" si="27"/>
        <v>18</v>
      </c>
      <c r="AL435" s="8">
        <f t="shared" si="26"/>
        <v>9</v>
      </c>
      <c r="AM435">
        <f t="shared" si="24"/>
        <v>0</v>
      </c>
      <c r="AN435">
        <f t="shared" si="25"/>
        <v>0</v>
      </c>
    </row>
    <row r="436" spans="1:40" x14ac:dyDescent="0.35">
      <c r="A436">
        <v>85.138999999999996</v>
      </c>
      <c r="B436">
        <v>85.138999999999996</v>
      </c>
      <c r="C436">
        <v>4.9409400000000003</v>
      </c>
      <c r="D436">
        <v>0</v>
      </c>
      <c r="E436">
        <v>0</v>
      </c>
      <c r="F436">
        <v>2.66614</v>
      </c>
      <c r="G436">
        <v>2.66614</v>
      </c>
      <c r="H436">
        <v>0</v>
      </c>
      <c r="I436">
        <v>0.506521</v>
      </c>
      <c r="J436">
        <v>5.3222399999999999</v>
      </c>
      <c r="K436" s="2">
        <v>39396900</v>
      </c>
      <c r="L436" s="1">
        <v>0</v>
      </c>
      <c r="M436" s="1">
        <v>0</v>
      </c>
      <c r="N436" s="1">
        <v>0</v>
      </c>
      <c r="O436" s="1">
        <v>0</v>
      </c>
      <c r="P436" s="2">
        <v>3985810</v>
      </c>
      <c r="Q436" s="1">
        <v>274084</v>
      </c>
      <c r="R436" s="1">
        <v>0</v>
      </c>
      <c r="S436">
        <v>99.302199999999999</v>
      </c>
      <c r="T436">
        <v>98.274000000000001</v>
      </c>
      <c r="U436">
        <v>4.75169</v>
      </c>
      <c r="V436">
        <v>0</v>
      </c>
      <c r="W436">
        <v>0</v>
      </c>
      <c r="X436">
        <v>1.5522800000000001</v>
      </c>
      <c r="Y436">
        <v>1.5522800000000001</v>
      </c>
      <c r="Z436">
        <v>0</v>
      </c>
      <c r="AA436">
        <v>1.2173499999999999</v>
      </c>
      <c r="AB436">
        <v>2.9635199999999999</v>
      </c>
      <c r="AC436" s="2">
        <v>220229000</v>
      </c>
      <c r="AD436" s="1">
        <v>0</v>
      </c>
      <c r="AE436" s="1">
        <v>0</v>
      </c>
      <c r="AF436" s="1">
        <v>0</v>
      </c>
      <c r="AG436" s="1">
        <v>0</v>
      </c>
      <c r="AH436" s="2">
        <v>4016130</v>
      </c>
      <c r="AI436" s="1">
        <v>130910</v>
      </c>
      <c r="AJ436" s="1">
        <v>0</v>
      </c>
      <c r="AK436" s="8">
        <f t="shared" si="27"/>
        <v>19</v>
      </c>
      <c r="AL436" s="8">
        <f t="shared" si="26"/>
        <v>9</v>
      </c>
      <c r="AM436">
        <f t="shared" si="24"/>
        <v>0</v>
      </c>
      <c r="AN436">
        <f t="shared" si="25"/>
        <v>0</v>
      </c>
    </row>
    <row r="437" spans="1:40" x14ac:dyDescent="0.35">
      <c r="A437">
        <v>85.138999999999996</v>
      </c>
      <c r="B437">
        <v>85.138999999999996</v>
      </c>
      <c r="C437">
        <v>4.7759299999999998</v>
      </c>
      <c r="D437">
        <v>0</v>
      </c>
      <c r="E437">
        <v>0</v>
      </c>
      <c r="F437">
        <v>2.6666400000000001</v>
      </c>
      <c r="G437">
        <v>2.6666400000000001</v>
      </c>
      <c r="H437">
        <v>0</v>
      </c>
      <c r="I437">
        <v>0.49963400000000002</v>
      </c>
      <c r="J437">
        <v>5.3222399999999999</v>
      </c>
      <c r="K437" s="2">
        <v>39671100</v>
      </c>
      <c r="L437" s="1">
        <v>0</v>
      </c>
      <c r="M437" s="1">
        <v>0</v>
      </c>
      <c r="N437" s="1">
        <v>0</v>
      </c>
      <c r="O437" s="1">
        <v>0</v>
      </c>
      <c r="P437" s="2">
        <v>3986560</v>
      </c>
      <c r="Q437" s="1">
        <v>274136</v>
      </c>
      <c r="R437" s="1">
        <v>0</v>
      </c>
      <c r="S437">
        <v>99.302199999999999</v>
      </c>
      <c r="T437">
        <v>98.274000000000001</v>
      </c>
      <c r="U437">
        <v>5.0216000000000003</v>
      </c>
      <c r="V437">
        <v>0</v>
      </c>
      <c r="W437">
        <v>0</v>
      </c>
      <c r="X437">
        <v>1.5525800000000001</v>
      </c>
      <c r="Y437">
        <v>1.5525800000000001</v>
      </c>
      <c r="Z437">
        <v>0</v>
      </c>
      <c r="AA437">
        <v>1.19929</v>
      </c>
      <c r="AB437">
        <v>2.9635199999999999</v>
      </c>
      <c r="AC437" s="2">
        <v>220360000</v>
      </c>
      <c r="AD437" s="1">
        <v>0</v>
      </c>
      <c r="AE437" s="1">
        <v>0</v>
      </c>
      <c r="AF437" s="1">
        <v>0</v>
      </c>
      <c r="AG437" s="1">
        <v>0</v>
      </c>
      <c r="AH437" s="2">
        <v>4016890</v>
      </c>
      <c r="AI437" s="1">
        <v>130935</v>
      </c>
      <c r="AJ437" s="1">
        <v>0</v>
      </c>
      <c r="AK437" s="8">
        <f t="shared" si="27"/>
        <v>20</v>
      </c>
      <c r="AL437" s="8">
        <f t="shared" si="26"/>
        <v>9</v>
      </c>
      <c r="AM437">
        <f t="shared" si="24"/>
        <v>0</v>
      </c>
      <c r="AN437">
        <f t="shared" si="25"/>
        <v>0</v>
      </c>
    </row>
    <row r="438" spans="1:40" x14ac:dyDescent="0.35">
      <c r="A438">
        <v>85.138999999999996</v>
      </c>
      <c r="B438">
        <v>85.138999999999996</v>
      </c>
      <c r="C438">
        <v>4.4615499999999999</v>
      </c>
      <c r="D438">
        <v>0</v>
      </c>
      <c r="E438">
        <v>0</v>
      </c>
      <c r="F438">
        <v>2.6671399999999998</v>
      </c>
      <c r="G438">
        <v>2.6671399999999998</v>
      </c>
      <c r="H438">
        <v>0</v>
      </c>
      <c r="I438">
        <v>0.49972800000000001</v>
      </c>
      <c r="J438">
        <v>5.3222399999999999</v>
      </c>
      <c r="K438" s="2">
        <v>39945200</v>
      </c>
      <c r="L438" s="1">
        <v>0</v>
      </c>
      <c r="M438" s="1">
        <v>0</v>
      </c>
      <c r="N438" s="1">
        <v>0</v>
      </c>
      <c r="O438" s="1">
        <v>0</v>
      </c>
      <c r="P438" s="2">
        <v>3987310</v>
      </c>
      <c r="Q438" s="1">
        <v>274188</v>
      </c>
      <c r="R438" s="1">
        <v>0</v>
      </c>
      <c r="S438">
        <v>99.302199999999999</v>
      </c>
      <c r="T438">
        <v>98.274000000000001</v>
      </c>
      <c r="U438">
        <v>4.4051799999999997</v>
      </c>
      <c r="V438">
        <v>0</v>
      </c>
      <c r="W438">
        <v>0</v>
      </c>
      <c r="X438">
        <v>1.55287</v>
      </c>
      <c r="Y438">
        <v>1.55287</v>
      </c>
      <c r="Z438">
        <v>0</v>
      </c>
      <c r="AA438">
        <v>1.1995199999999999</v>
      </c>
      <c r="AB438">
        <v>2.9635199999999999</v>
      </c>
      <c r="AC438" s="2">
        <v>220491000</v>
      </c>
      <c r="AD438" s="1">
        <v>0</v>
      </c>
      <c r="AE438" s="1">
        <v>0</v>
      </c>
      <c r="AF438" s="1">
        <v>0</v>
      </c>
      <c r="AG438" s="1">
        <v>0</v>
      </c>
      <c r="AH438" s="2">
        <v>4017650</v>
      </c>
      <c r="AI438" s="1">
        <v>130960</v>
      </c>
      <c r="AJ438" s="1">
        <v>0</v>
      </c>
      <c r="AK438" s="8">
        <f t="shared" si="27"/>
        <v>21</v>
      </c>
      <c r="AL438" s="8">
        <f t="shared" si="26"/>
        <v>9</v>
      </c>
      <c r="AM438">
        <f t="shared" si="24"/>
        <v>0</v>
      </c>
      <c r="AN438">
        <f t="shared" si="25"/>
        <v>0</v>
      </c>
    </row>
    <row r="439" spans="1:40" x14ac:dyDescent="0.35">
      <c r="A439">
        <v>85.138999999999996</v>
      </c>
      <c r="B439">
        <v>85.138999999999996</v>
      </c>
      <c r="C439">
        <v>4.0395000000000003</v>
      </c>
      <c r="D439">
        <v>0</v>
      </c>
      <c r="E439">
        <v>0</v>
      </c>
      <c r="F439">
        <v>2.6676500000000001</v>
      </c>
      <c r="G439">
        <v>2.6676500000000001</v>
      </c>
      <c r="H439">
        <v>0</v>
      </c>
      <c r="I439">
        <v>0.49982300000000002</v>
      </c>
      <c r="J439">
        <v>5.3222399999999999</v>
      </c>
      <c r="K439" s="2">
        <v>40219500</v>
      </c>
      <c r="L439" s="1">
        <v>0</v>
      </c>
      <c r="M439" s="1">
        <v>0</v>
      </c>
      <c r="N439" s="1">
        <v>0</v>
      </c>
      <c r="O439" s="1">
        <v>0</v>
      </c>
      <c r="P439" s="2">
        <v>3988070</v>
      </c>
      <c r="Q439" s="1">
        <v>274240</v>
      </c>
      <c r="R439" s="1">
        <v>0</v>
      </c>
      <c r="S439">
        <v>99.302199999999999</v>
      </c>
      <c r="T439">
        <v>98.274000000000001</v>
      </c>
      <c r="U439">
        <v>3.82328</v>
      </c>
      <c r="V439">
        <v>0</v>
      </c>
      <c r="W439">
        <v>0</v>
      </c>
      <c r="X439">
        <v>1.5531600000000001</v>
      </c>
      <c r="Y439">
        <v>1.5531600000000001</v>
      </c>
      <c r="Z439">
        <v>0</v>
      </c>
      <c r="AA439">
        <v>1.1997500000000001</v>
      </c>
      <c r="AB439">
        <v>2.9635199999999999</v>
      </c>
      <c r="AC439" s="2">
        <v>220622000</v>
      </c>
      <c r="AD439" s="1">
        <v>0</v>
      </c>
      <c r="AE439" s="1">
        <v>0</v>
      </c>
      <c r="AF439" s="1">
        <v>0</v>
      </c>
      <c r="AG439" s="1">
        <v>0</v>
      </c>
      <c r="AH439" s="2">
        <v>4018410</v>
      </c>
      <c r="AI439" s="1">
        <v>130985</v>
      </c>
      <c r="AJ439" s="1">
        <v>0</v>
      </c>
      <c r="AK439" s="8">
        <f t="shared" si="27"/>
        <v>22</v>
      </c>
      <c r="AL439" s="8">
        <f t="shared" si="26"/>
        <v>9</v>
      </c>
      <c r="AM439">
        <f t="shared" si="24"/>
        <v>0</v>
      </c>
      <c r="AN439">
        <f t="shared" si="25"/>
        <v>0</v>
      </c>
    </row>
    <row r="440" spans="1:40" x14ac:dyDescent="0.35">
      <c r="A440">
        <v>85.138999999999996</v>
      </c>
      <c r="B440">
        <v>85.138999999999996</v>
      </c>
      <c r="C440">
        <v>3.8780199999999998</v>
      </c>
      <c r="D440">
        <v>0</v>
      </c>
      <c r="E440">
        <v>0</v>
      </c>
      <c r="F440">
        <v>2.7947199999999999</v>
      </c>
      <c r="G440">
        <v>2.7947199999999999</v>
      </c>
      <c r="H440">
        <v>0</v>
      </c>
      <c r="I440">
        <v>0.499917</v>
      </c>
      <c r="J440">
        <v>5.3222399999999999</v>
      </c>
      <c r="K440" s="2">
        <v>40506800</v>
      </c>
      <c r="L440" s="1">
        <v>0</v>
      </c>
      <c r="M440" s="1">
        <v>0</v>
      </c>
      <c r="N440" s="1">
        <v>0</v>
      </c>
      <c r="O440" s="1">
        <v>0</v>
      </c>
      <c r="P440" s="2">
        <v>4178040</v>
      </c>
      <c r="Q440" s="1">
        <v>287303</v>
      </c>
      <c r="R440" s="1">
        <v>0</v>
      </c>
      <c r="S440">
        <v>99.302199999999999</v>
      </c>
      <c r="T440">
        <v>98.274000000000001</v>
      </c>
      <c r="U440">
        <v>3.9515199999999999</v>
      </c>
      <c r="V440">
        <v>0</v>
      </c>
      <c r="W440">
        <v>0</v>
      </c>
      <c r="X440">
        <v>1.6374500000000001</v>
      </c>
      <c r="Y440">
        <v>1.6374500000000001</v>
      </c>
      <c r="Z440">
        <v>0</v>
      </c>
      <c r="AA440">
        <v>1.19997</v>
      </c>
      <c r="AB440">
        <v>2.9635199999999999</v>
      </c>
      <c r="AC440" s="2">
        <v>220760000</v>
      </c>
      <c r="AD440" s="1">
        <v>0</v>
      </c>
      <c r="AE440" s="1">
        <v>0</v>
      </c>
      <c r="AF440" s="1">
        <v>0</v>
      </c>
      <c r="AG440" s="1">
        <v>0</v>
      </c>
      <c r="AH440" s="2">
        <v>4236460</v>
      </c>
      <c r="AI440" s="1">
        <v>138092</v>
      </c>
      <c r="AJ440" s="1">
        <v>0</v>
      </c>
      <c r="AK440" s="8">
        <f t="shared" si="27"/>
        <v>23</v>
      </c>
      <c r="AL440" s="8">
        <f t="shared" si="26"/>
        <v>9</v>
      </c>
      <c r="AM440">
        <f t="shared" si="24"/>
        <v>0</v>
      </c>
      <c r="AN440">
        <f t="shared" si="25"/>
        <v>0</v>
      </c>
    </row>
    <row r="441" spans="1:40" x14ac:dyDescent="0.35">
      <c r="A441">
        <v>85.138999999999996</v>
      </c>
      <c r="B441">
        <v>85.138999999999996</v>
      </c>
      <c r="C441">
        <v>4.0125299999999999</v>
      </c>
      <c r="D441">
        <v>0</v>
      </c>
      <c r="E441">
        <v>0</v>
      </c>
      <c r="F441">
        <v>2.7952499999999998</v>
      </c>
      <c r="G441">
        <v>2.7952499999999998</v>
      </c>
      <c r="H441">
        <v>0</v>
      </c>
      <c r="I441">
        <v>0.52373099999999995</v>
      </c>
      <c r="J441">
        <v>5.3222399999999999</v>
      </c>
      <c r="K441" s="2">
        <v>40794100</v>
      </c>
      <c r="L441" s="1">
        <v>0</v>
      </c>
      <c r="M441" s="1">
        <v>0</v>
      </c>
      <c r="N441" s="1">
        <v>0</v>
      </c>
      <c r="O441" s="1">
        <v>0</v>
      </c>
      <c r="P441" s="2">
        <v>4178830</v>
      </c>
      <c r="Q441" s="1">
        <v>287357</v>
      </c>
      <c r="R441" s="1">
        <v>0</v>
      </c>
      <c r="S441">
        <v>99.302199999999999</v>
      </c>
      <c r="T441">
        <v>98.274000000000001</v>
      </c>
      <c r="U441">
        <v>3.7184699999999999</v>
      </c>
      <c r="V441">
        <v>0</v>
      </c>
      <c r="W441">
        <v>0</v>
      </c>
      <c r="X441">
        <v>1.6377600000000001</v>
      </c>
      <c r="Y441">
        <v>1.6377600000000001</v>
      </c>
      <c r="Z441">
        <v>0</v>
      </c>
      <c r="AA441">
        <v>1.26509</v>
      </c>
      <c r="AB441">
        <v>2.9635199999999999</v>
      </c>
      <c r="AC441" s="2">
        <v>220898000</v>
      </c>
      <c r="AD441" s="1">
        <v>0</v>
      </c>
      <c r="AE441" s="1">
        <v>0</v>
      </c>
      <c r="AF441" s="1">
        <v>0</v>
      </c>
      <c r="AG441" s="1">
        <v>0</v>
      </c>
      <c r="AH441" s="2">
        <v>4237260</v>
      </c>
      <c r="AI441" s="1">
        <v>138118</v>
      </c>
      <c r="AJ441" s="1">
        <v>0</v>
      </c>
      <c r="AK441" s="8">
        <f t="shared" si="27"/>
        <v>24</v>
      </c>
      <c r="AL441" s="8">
        <f t="shared" si="26"/>
        <v>9</v>
      </c>
      <c r="AM441">
        <f t="shared" si="24"/>
        <v>0</v>
      </c>
      <c r="AN441">
        <f t="shared" si="25"/>
        <v>0</v>
      </c>
    </row>
    <row r="442" spans="1:40" x14ac:dyDescent="0.35">
      <c r="A442">
        <v>85.138999999999996</v>
      </c>
      <c r="B442">
        <v>85.138999999999996</v>
      </c>
      <c r="C442">
        <v>3.7123499999999998</v>
      </c>
      <c r="D442">
        <v>0</v>
      </c>
      <c r="E442">
        <v>0</v>
      </c>
      <c r="F442">
        <v>2.7957800000000002</v>
      </c>
      <c r="G442">
        <v>2.7957800000000002</v>
      </c>
      <c r="H442">
        <v>0</v>
      </c>
      <c r="I442">
        <v>0.52383000000000002</v>
      </c>
      <c r="J442">
        <v>5.3222399999999999</v>
      </c>
      <c r="K442" s="2">
        <v>41081600</v>
      </c>
      <c r="L442" s="1">
        <v>0</v>
      </c>
      <c r="M442" s="1">
        <v>0</v>
      </c>
      <c r="N442" s="1">
        <v>0</v>
      </c>
      <c r="O442" s="1">
        <v>0</v>
      </c>
      <c r="P442" s="2">
        <v>4179620</v>
      </c>
      <c r="Q442" s="1">
        <v>287412</v>
      </c>
      <c r="R442" s="1">
        <v>0</v>
      </c>
      <c r="S442">
        <v>99.302199999999999</v>
      </c>
      <c r="T442">
        <v>98.274000000000001</v>
      </c>
      <c r="U442">
        <v>3.0874000000000001</v>
      </c>
      <c r="V442">
        <v>0</v>
      </c>
      <c r="W442">
        <v>0</v>
      </c>
      <c r="X442">
        <v>1.6380699999999999</v>
      </c>
      <c r="Y442">
        <v>1.6380699999999999</v>
      </c>
      <c r="Z442">
        <v>0</v>
      </c>
      <c r="AA442">
        <v>1.2653300000000001</v>
      </c>
      <c r="AB442">
        <v>2.9635199999999999</v>
      </c>
      <c r="AC442" s="2">
        <v>221036000</v>
      </c>
      <c r="AD442" s="1">
        <v>0</v>
      </c>
      <c r="AE442" s="1">
        <v>0</v>
      </c>
      <c r="AF442" s="1">
        <v>0</v>
      </c>
      <c r="AG442" s="1">
        <v>0</v>
      </c>
      <c r="AH442" s="2">
        <v>4238060</v>
      </c>
      <c r="AI442" s="1">
        <v>138145</v>
      </c>
      <c r="AJ442" s="1">
        <v>0</v>
      </c>
      <c r="AK442" s="8">
        <f t="shared" si="27"/>
        <v>25</v>
      </c>
      <c r="AL442" s="8">
        <f t="shared" si="26"/>
        <v>9</v>
      </c>
      <c r="AM442">
        <f t="shared" si="24"/>
        <v>0</v>
      </c>
      <c r="AN442">
        <f t="shared" si="25"/>
        <v>0</v>
      </c>
    </row>
    <row r="443" spans="1:40" x14ac:dyDescent="0.35">
      <c r="A443">
        <v>85.138999999999996</v>
      </c>
      <c r="B443">
        <v>85.138999999999996</v>
      </c>
      <c r="C443">
        <v>3.3440599999999998</v>
      </c>
      <c r="D443">
        <v>0</v>
      </c>
      <c r="E443">
        <v>0</v>
      </c>
      <c r="F443">
        <v>2.7963100000000001</v>
      </c>
      <c r="G443">
        <v>2.7963100000000001</v>
      </c>
      <c r="H443">
        <v>0</v>
      </c>
      <c r="I443">
        <v>0.52392899999999998</v>
      </c>
      <c r="J443">
        <v>5.3222399999999999</v>
      </c>
      <c r="K443" s="2">
        <v>41369000</v>
      </c>
      <c r="L443" s="1">
        <v>0</v>
      </c>
      <c r="M443" s="1">
        <v>0</v>
      </c>
      <c r="N443" s="1">
        <v>0</v>
      </c>
      <c r="O443" s="1">
        <v>0</v>
      </c>
      <c r="P443" s="2">
        <v>4180410</v>
      </c>
      <c r="Q443" s="1">
        <v>287466</v>
      </c>
      <c r="R443" s="1">
        <v>0</v>
      </c>
      <c r="S443">
        <v>99.302199999999999</v>
      </c>
      <c r="T443">
        <v>98.274000000000001</v>
      </c>
      <c r="U443">
        <v>2.72275</v>
      </c>
      <c r="V443">
        <v>0</v>
      </c>
      <c r="W443">
        <v>0</v>
      </c>
      <c r="X443">
        <v>1.6383700000000001</v>
      </c>
      <c r="Y443">
        <v>1.6383700000000001</v>
      </c>
      <c r="Z443">
        <v>0</v>
      </c>
      <c r="AA443">
        <v>1.2655700000000001</v>
      </c>
      <c r="AB443">
        <v>2.9635199999999999</v>
      </c>
      <c r="AC443" s="2">
        <v>221174000</v>
      </c>
      <c r="AD443" s="1">
        <v>0</v>
      </c>
      <c r="AE443" s="1">
        <v>0</v>
      </c>
      <c r="AF443" s="1">
        <v>0</v>
      </c>
      <c r="AG443" s="1">
        <v>0</v>
      </c>
      <c r="AH443" s="2">
        <v>4238870</v>
      </c>
      <c r="AI443" s="1">
        <v>138171</v>
      </c>
      <c r="AJ443" s="1">
        <v>0</v>
      </c>
      <c r="AK443" s="8">
        <f t="shared" si="27"/>
        <v>26</v>
      </c>
      <c r="AL443" s="8">
        <f t="shared" si="26"/>
        <v>9</v>
      </c>
      <c r="AM443">
        <f t="shared" si="24"/>
        <v>0</v>
      </c>
      <c r="AN443">
        <f t="shared" si="25"/>
        <v>0</v>
      </c>
    </row>
    <row r="444" spans="1:40" x14ac:dyDescent="0.35">
      <c r="A444">
        <v>85.033600000000007</v>
      </c>
      <c r="B444">
        <v>85.138999999999996</v>
      </c>
      <c r="C444">
        <v>2.99119</v>
      </c>
      <c r="D444">
        <v>0</v>
      </c>
      <c r="E444">
        <v>0</v>
      </c>
      <c r="F444">
        <v>2.79684</v>
      </c>
      <c r="G444">
        <v>2.79684</v>
      </c>
      <c r="H444">
        <v>0</v>
      </c>
      <c r="I444">
        <v>0.52402800000000005</v>
      </c>
      <c r="J444">
        <v>5.3222399999999999</v>
      </c>
      <c r="K444" s="2">
        <v>41656500</v>
      </c>
      <c r="L444" s="1">
        <v>0</v>
      </c>
      <c r="M444" s="1">
        <v>0</v>
      </c>
      <c r="N444" s="1">
        <v>0</v>
      </c>
      <c r="O444" s="1">
        <v>0</v>
      </c>
      <c r="P444" s="2">
        <v>4181200</v>
      </c>
      <c r="Q444" s="1">
        <v>287520</v>
      </c>
      <c r="R444" s="1">
        <v>0</v>
      </c>
      <c r="S444">
        <v>99.083399999999997</v>
      </c>
      <c r="T444">
        <v>98.274000000000001</v>
      </c>
      <c r="U444">
        <v>2.8394400000000002</v>
      </c>
      <c r="V444">
        <v>0</v>
      </c>
      <c r="W444">
        <v>0</v>
      </c>
      <c r="X444">
        <v>1.6386799999999999</v>
      </c>
      <c r="Y444">
        <v>1.6386799999999999</v>
      </c>
      <c r="Z444">
        <v>0</v>
      </c>
      <c r="AA444">
        <v>1.2658100000000001</v>
      </c>
      <c r="AB444">
        <v>2.9635199999999999</v>
      </c>
      <c r="AC444" s="2">
        <v>221312000</v>
      </c>
      <c r="AD444" s="1">
        <v>0</v>
      </c>
      <c r="AE444" s="1">
        <v>0</v>
      </c>
      <c r="AF444" s="1">
        <v>0</v>
      </c>
      <c r="AG444" s="1">
        <v>0</v>
      </c>
      <c r="AH444" s="2">
        <v>4239670</v>
      </c>
      <c r="AI444" s="1">
        <v>138197</v>
      </c>
      <c r="AJ444" s="1">
        <v>0</v>
      </c>
      <c r="AK444" s="8">
        <f t="shared" si="27"/>
        <v>27</v>
      </c>
      <c r="AL444" s="8">
        <f t="shared" si="26"/>
        <v>9</v>
      </c>
      <c r="AM444">
        <f t="shared" si="24"/>
        <v>0</v>
      </c>
      <c r="AN444">
        <f t="shared" si="25"/>
        <v>0</v>
      </c>
    </row>
    <row r="445" spans="1:40" x14ac:dyDescent="0.35">
      <c r="A445">
        <v>84.166399999999996</v>
      </c>
      <c r="B445">
        <v>85.138999999999996</v>
      </c>
      <c r="C445">
        <v>2.1085199999999999</v>
      </c>
      <c r="D445">
        <v>0</v>
      </c>
      <c r="E445">
        <v>0</v>
      </c>
      <c r="F445">
        <v>2.7723100000000001</v>
      </c>
      <c r="G445">
        <v>2.7723100000000001</v>
      </c>
      <c r="H445">
        <v>0</v>
      </c>
      <c r="I445">
        <v>0.52412700000000001</v>
      </c>
      <c r="J445">
        <v>5.3222399999999999</v>
      </c>
      <c r="K445" s="2">
        <v>41941500</v>
      </c>
      <c r="L445" s="1">
        <v>0</v>
      </c>
      <c r="M445" s="1">
        <v>0</v>
      </c>
      <c r="N445" s="1">
        <v>0</v>
      </c>
      <c r="O445" s="1">
        <v>0</v>
      </c>
      <c r="P445" s="2">
        <v>4144530</v>
      </c>
      <c r="Q445" s="1">
        <v>284999</v>
      </c>
      <c r="R445" s="1">
        <v>0</v>
      </c>
      <c r="S445">
        <v>98.834100000000007</v>
      </c>
      <c r="T445">
        <v>98.274000000000001</v>
      </c>
      <c r="U445">
        <v>1.8494200000000001</v>
      </c>
      <c r="V445">
        <v>0</v>
      </c>
      <c r="W445">
        <v>0</v>
      </c>
      <c r="X445">
        <v>1.6852</v>
      </c>
      <c r="Y445">
        <v>1.6852</v>
      </c>
      <c r="Z445">
        <v>0</v>
      </c>
      <c r="AA445">
        <v>1.2660499999999999</v>
      </c>
      <c r="AB445">
        <v>2.9635199999999999</v>
      </c>
      <c r="AC445" s="2">
        <v>221454000</v>
      </c>
      <c r="AD445" s="1">
        <v>0</v>
      </c>
      <c r="AE445" s="1">
        <v>0</v>
      </c>
      <c r="AF445" s="1">
        <v>0</v>
      </c>
      <c r="AG445" s="1">
        <v>0</v>
      </c>
      <c r="AH445" s="2">
        <v>4360010</v>
      </c>
      <c r="AI445" s="1">
        <v>142120</v>
      </c>
      <c r="AJ445" s="1">
        <v>0</v>
      </c>
      <c r="AK445" s="8">
        <f t="shared" si="27"/>
        <v>28</v>
      </c>
      <c r="AL445" s="8">
        <f t="shared" si="26"/>
        <v>9</v>
      </c>
      <c r="AM445">
        <f t="shared" si="24"/>
        <v>0</v>
      </c>
      <c r="AN445">
        <f t="shared" si="25"/>
        <v>0</v>
      </c>
    </row>
    <row r="446" spans="1:40" x14ac:dyDescent="0.35">
      <c r="A446">
        <v>83.127300000000005</v>
      </c>
      <c r="B446">
        <v>85.138999999999996</v>
      </c>
      <c r="C446">
        <v>1.92886</v>
      </c>
      <c r="D446">
        <v>0</v>
      </c>
      <c r="E446">
        <v>0</v>
      </c>
      <c r="F446">
        <v>2.7728299999999999</v>
      </c>
      <c r="G446">
        <v>2.7728299999999999</v>
      </c>
      <c r="H446">
        <v>0</v>
      </c>
      <c r="I446">
        <v>0.51953099999999997</v>
      </c>
      <c r="J446">
        <v>5.3222399999999999</v>
      </c>
      <c r="K446" s="2">
        <v>42226600</v>
      </c>
      <c r="L446" s="1">
        <v>0</v>
      </c>
      <c r="M446" s="1">
        <v>0</v>
      </c>
      <c r="N446" s="1">
        <v>0</v>
      </c>
      <c r="O446" s="1">
        <v>0</v>
      </c>
      <c r="P446" s="2">
        <v>4145320</v>
      </c>
      <c r="Q446" s="1">
        <v>285053</v>
      </c>
      <c r="R446" s="1">
        <v>0</v>
      </c>
      <c r="S446">
        <v>98.413600000000002</v>
      </c>
      <c r="T446">
        <v>98.274000000000001</v>
      </c>
      <c r="U446">
        <v>1.8500300000000001</v>
      </c>
      <c r="V446">
        <v>0</v>
      </c>
      <c r="W446">
        <v>0</v>
      </c>
      <c r="X446">
        <v>1.6855199999999999</v>
      </c>
      <c r="Y446">
        <v>1.6855199999999999</v>
      </c>
      <c r="Z446">
        <v>0</v>
      </c>
      <c r="AA446">
        <v>1.3019799999999999</v>
      </c>
      <c r="AB446">
        <v>2.9635199999999999</v>
      </c>
      <c r="AC446" s="2">
        <v>221597000</v>
      </c>
      <c r="AD446" s="1">
        <v>0</v>
      </c>
      <c r="AE446" s="1">
        <v>0</v>
      </c>
      <c r="AF446" s="1">
        <v>0</v>
      </c>
      <c r="AG446" s="1">
        <v>0</v>
      </c>
      <c r="AH446" s="2">
        <v>4360840</v>
      </c>
      <c r="AI446" s="1">
        <v>142146</v>
      </c>
      <c r="AJ446" s="1">
        <v>0</v>
      </c>
      <c r="AK446" s="8">
        <f t="shared" si="27"/>
        <v>29</v>
      </c>
      <c r="AL446" s="8">
        <f t="shared" si="26"/>
        <v>9</v>
      </c>
      <c r="AM446">
        <f t="shared" si="24"/>
        <v>0</v>
      </c>
      <c r="AN446">
        <f t="shared" si="25"/>
        <v>0</v>
      </c>
    </row>
    <row r="447" spans="1:40" x14ac:dyDescent="0.35">
      <c r="A447">
        <v>81.9161</v>
      </c>
      <c r="B447">
        <v>85.138999999999996</v>
      </c>
      <c r="C447">
        <v>1.74163</v>
      </c>
      <c r="D447">
        <v>0</v>
      </c>
      <c r="E447">
        <v>0</v>
      </c>
      <c r="F447">
        <v>2.7733599999999998</v>
      </c>
      <c r="G447">
        <v>2.7733599999999998</v>
      </c>
      <c r="H447">
        <v>0</v>
      </c>
      <c r="I447">
        <v>0.51962900000000001</v>
      </c>
      <c r="J447">
        <v>5.3222399999999999</v>
      </c>
      <c r="K447" s="2">
        <v>42511700</v>
      </c>
      <c r="L447" s="1">
        <v>0</v>
      </c>
      <c r="M447" s="1">
        <v>0</v>
      </c>
      <c r="N447" s="1">
        <v>0</v>
      </c>
      <c r="O447" s="1">
        <v>0</v>
      </c>
      <c r="P447" s="2">
        <v>4146100</v>
      </c>
      <c r="Q447" s="1">
        <v>285107</v>
      </c>
      <c r="R447" s="1">
        <v>0</v>
      </c>
      <c r="S447">
        <v>98.003100000000003</v>
      </c>
      <c r="T447">
        <v>98.274000000000001</v>
      </c>
      <c r="U447">
        <v>1.6617999999999999</v>
      </c>
      <c r="V447">
        <v>0</v>
      </c>
      <c r="W447">
        <v>0</v>
      </c>
      <c r="X447">
        <v>1.68584</v>
      </c>
      <c r="Y447">
        <v>1.68584</v>
      </c>
      <c r="Z447">
        <v>0</v>
      </c>
      <c r="AA447">
        <v>1.30223</v>
      </c>
      <c r="AB447">
        <v>2.9635199999999999</v>
      </c>
      <c r="AC447" s="2">
        <v>221739000</v>
      </c>
      <c r="AD447" s="1">
        <v>0</v>
      </c>
      <c r="AE447" s="1">
        <v>0</v>
      </c>
      <c r="AF447" s="1">
        <v>0</v>
      </c>
      <c r="AG447" s="1">
        <v>0</v>
      </c>
      <c r="AH447" s="2">
        <v>4361660</v>
      </c>
      <c r="AI447" s="1">
        <v>142173</v>
      </c>
      <c r="AJ447" s="1">
        <v>0</v>
      </c>
      <c r="AK447" s="8">
        <f t="shared" si="27"/>
        <v>30</v>
      </c>
      <c r="AL447" s="8">
        <f t="shared" si="26"/>
        <v>9</v>
      </c>
      <c r="AM447">
        <f t="shared" si="24"/>
        <v>0</v>
      </c>
      <c r="AN447">
        <f t="shared" si="25"/>
        <v>0</v>
      </c>
    </row>
    <row r="448" spans="1:40" x14ac:dyDescent="0.35">
      <c r="A448">
        <v>80.664000000000001</v>
      </c>
      <c r="B448">
        <v>85.138999999999996</v>
      </c>
      <c r="C448">
        <v>1.65903</v>
      </c>
      <c r="D448">
        <v>0</v>
      </c>
      <c r="E448">
        <v>0</v>
      </c>
      <c r="F448">
        <v>2.7738800000000001</v>
      </c>
      <c r="G448">
        <v>2.7738800000000001</v>
      </c>
      <c r="H448">
        <v>0</v>
      </c>
      <c r="I448">
        <v>0.51972700000000005</v>
      </c>
      <c r="J448">
        <v>5.3222399999999999</v>
      </c>
      <c r="K448" s="2">
        <v>42796900</v>
      </c>
      <c r="L448" s="1">
        <v>0</v>
      </c>
      <c r="M448" s="1">
        <v>0</v>
      </c>
      <c r="N448" s="1">
        <v>0</v>
      </c>
      <c r="O448" s="1">
        <v>0</v>
      </c>
      <c r="P448" s="2">
        <v>4146890</v>
      </c>
      <c r="Q448" s="1">
        <v>285161</v>
      </c>
      <c r="R448" s="1">
        <v>0</v>
      </c>
      <c r="S448">
        <v>97.426199999999994</v>
      </c>
      <c r="T448">
        <v>98.274000000000001</v>
      </c>
      <c r="U448">
        <v>1.6134200000000001</v>
      </c>
      <c r="V448">
        <v>0</v>
      </c>
      <c r="W448">
        <v>0</v>
      </c>
      <c r="X448">
        <v>1.68615</v>
      </c>
      <c r="Y448">
        <v>1.68615</v>
      </c>
      <c r="Z448">
        <v>0</v>
      </c>
      <c r="AA448">
        <v>1.3024800000000001</v>
      </c>
      <c r="AB448">
        <v>2.9635199999999999</v>
      </c>
      <c r="AC448" s="2">
        <v>221881000</v>
      </c>
      <c r="AD448" s="1">
        <v>0</v>
      </c>
      <c r="AE448" s="1">
        <v>0</v>
      </c>
      <c r="AF448" s="1">
        <v>0</v>
      </c>
      <c r="AG448" s="1">
        <v>0</v>
      </c>
      <c r="AH448" s="2">
        <v>4362480</v>
      </c>
      <c r="AI448" s="1">
        <v>142200</v>
      </c>
      <c r="AJ448" s="1">
        <v>0</v>
      </c>
      <c r="AK448" s="8">
        <f t="shared" si="27"/>
        <v>31</v>
      </c>
      <c r="AL448" s="8">
        <f t="shared" si="26"/>
        <v>9</v>
      </c>
      <c r="AM448">
        <f t="shared" si="24"/>
        <v>0</v>
      </c>
      <c r="AN448">
        <f t="shared" si="25"/>
        <v>0</v>
      </c>
    </row>
    <row r="449" spans="1:40" x14ac:dyDescent="0.35">
      <c r="A449">
        <v>79.173900000000003</v>
      </c>
      <c r="B449">
        <v>85.138999999999996</v>
      </c>
      <c r="C449">
        <v>1.4440200000000001</v>
      </c>
      <c r="D449">
        <v>0</v>
      </c>
      <c r="E449">
        <v>0</v>
      </c>
      <c r="F449">
        <v>2.8391600000000001</v>
      </c>
      <c r="G449">
        <v>2.8391600000000001</v>
      </c>
      <c r="H449">
        <v>0</v>
      </c>
      <c r="I449">
        <v>0.51982600000000001</v>
      </c>
      <c r="J449">
        <v>5.3222399999999999</v>
      </c>
      <c r="K449" s="2">
        <v>43088700</v>
      </c>
      <c r="L449" s="1">
        <v>0</v>
      </c>
      <c r="M449" s="1">
        <v>0</v>
      </c>
      <c r="N449" s="1">
        <v>0</v>
      </c>
      <c r="O449" s="1">
        <v>0</v>
      </c>
      <c r="P449" s="2">
        <v>4244470</v>
      </c>
      <c r="Q449" s="1">
        <v>291871</v>
      </c>
      <c r="R449" s="1">
        <v>0</v>
      </c>
      <c r="S449">
        <v>96.796400000000006</v>
      </c>
      <c r="T449">
        <v>98.274000000000001</v>
      </c>
      <c r="U449">
        <v>1.42923</v>
      </c>
      <c r="V449">
        <v>0</v>
      </c>
      <c r="W449">
        <v>0</v>
      </c>
      <c r="X449">
        <v>1.7276800000000001</v>
      </c>
      <c r="Y449">
        <v>1.7276800000000001</v>
      </c>
      <c r="Z449">
        <v>0</v>
      </c>
      <c r="AA449">
        <v>1.3027200000000001</v>
      </c>
      <c r="AB449">
        <v>2.9635199999999999</v>
      </c>
      <c r="AC449" s="2">
        <v>222027000</v>
      </c>
      <c r="AD449" s="1">
        <v>0</v>
      </c>
      <c r="AE449" s="1">
        <v>0</v>
      </c>
      <c r="AF449" s="1">
        <v>0</v>
      </c>
      <c r="AG449" s="1">
        <v>0</v>
      </c>
      <c r="AH449" s="2">
        <v>4469930</v>
      </c>
      <c r="AI449" s="1">
        <v>145702</v>
      </c>
      <c r="AJ449" s="1">
        <v>0</v>
      </c>
      <c r="AK449" s="8">
        <f t="shared" si="27"/>
        <v>32</v>
      </c>
      <c r="AL449" s="8">
        <f t="shared" si="26"/>
        <v>9</v>
      </c>
      <c r="AM449">
        <f t="shared" si="24"/>
        <v>0</v>
      </c>
      <c r="AN449">
        <f t="shared" si="25"/>
        <v>0</v>
      </c>
    </row>
    <row r="450" spans="1:40" x14ac:dyDescent="0.35">
      <c r="A450">
        <v>77.583600000000004</v>
      </c>
      <c r="B450">
        <v>85.138999999999996</v>
      </c>
      <c r="C450">
        <v>1.35341</v>
      </c>
      <c r="D450">
        <v>0</v>
      </c>
      <c r="E450">
        <v>0</v>
      </c>
      <c r="F450">
        <v>2.83969</v>
      </c>
      <c r="G450">
        <v>2.83969</v>
      </c>
      <c r="H450">
        <v>0</v>
      </c>
      <c r="I450">
        <v>0.53205800000000003</v>
      </c>
      <c r="J450">
        <v>5.3222399999999999</v>
      </c>
      <c r="K450" s="2">
        <v>43380700</v>
      </c>
      <c r="L450" s="1">
        <v>0</v>
      </c>
      <c r="M450" s="1">
        <v>0</v>
      </c>
      <c r="N450" s="1">
        <v>0</v>
      </c>
      <c r="O450" s="1">
        <v>0</v>
      </c>
      <c r="P450" s="2">
        <v>4245270</v>
      </c>
      <c r="Q450" s="1">
        <v>291926</v>
      </c>
      <c r="R450" s="1">
        <v>0</v>
      </c>
      <c r="S450">
        <v>96.116</v>
      </c>
      <c r="T450">
        <v>98.274000000000001</v>
      </c>
      <c r="U450">
        <v>1.3521700000000001</v>
      </c>
      <c r="V450">
        <v>0</v>
      </c>
      <c r="W450">
        <v>0</v>
      </c>
      <c r="X450">
        <v>1.72801</v>
      </c>
      <c r="Y450">
        <v>1.72801</v>
      </c>
      <c r="Z450">
        <v>0</v>
      </c>
      <c r="AA450">
        <v>1.3348100000000001</v>
      </c>
      <c r="AB450">
        <v>2.9635199999999999</v>
      </c>
      <c r="AC450" s="2">
        <v>222172000</v>
      </c>
      <c r="AD450" s="1">
        <v>0</v>
      </c>
      <c r="AE450" s="1">
        <v>0</v>
      </c>
      <c r="AF450" s="1">
        <v>0</v>
      </c>
      <c r="AG450" s="1">
        <v>0</v>
      </c>
      <c r="AH450" s="2">
        <v>4470770</v>
      </c>
      <c r="AI450" s="1">
        <v>145730</v>
      </c>
      <c r="AJ450" s="1">
        <v>0</v>
      </c>
      <c r="AK450" s="8">
        <f t="shared" si="27"/>
        <v>33</v>
      </c>
      <c r="AL450" s="8">
        <f t="shared" si="26"/>
        <v>9</v>
      </c>
      <c r="AM450">
        <f t="shared" si="24"/>
        <v>0</v>
      </c>
      <c r="AN450">
        <f t="shared" si="25"/>
        <v>0</v>
      </c>
    </row>
    <row r="451" spans="1:40" x14ac:dyDescent="0.35">
      <c r="A451">
        <v>75.923900000000003</v>
      </c>
      <c r="B451">
        <v>85.138999999999996</v>
      </c>
      <c r="C451">
        <v>1.2536499999999999</v>
      </c>
      <c r="D451">
        <v>0</v>
      </c>
      <c r="E451">
        <v>0</v>
      </c>
      <c r="F451">
        <v>2.84023</v>
      </c>
      <c r="G451">
        <v>2.84023</v>
      </c>
      <c r="H451">
        <v>0</v>
      </c>
      <c r="I451">
        <v>0.53215900000000005</v>
      </c>
      <c r="J451">
        <v>5.3222399999999999</v>
      </c>
      <c r="K451" s="2">
        <v>43672600</v>
      </c>
      <c r="L451" s="1">
        <v>0</v>
      </c>
      <c r="M451" s="1">
        <v>0</v>
      </c>
      <c r="N451" s="1">
        <v>0</v>
      </c>
      <c r="O451" s="1">
        <v>0</v>
      </c>
      <c r="P451" s="2">
        <v>4246070</v>
      </c>
      <c r="Q451" s="1">
        <v>291981</v>
      </c>
      <c r="R451" s="1">
        <v>0</v>
      </c>
      <c r="S451">
        <v>95.280199999999994</v>
      </c>
      <c r="T451">
        <v>98.274000000000001</v>
      </c>
      <c r="U451">
        <v>1.29745</v>
      </c>
      <c r="V451">
        <v>0</v>
      </c>
      <c r="W451">
        <v>0</v>
      </c>
      <c r="X451">
        <v>1.72834</v>
      </c>
      <c r="Y451">
        <v>1.72834</v>
      </c>
      <c r="Z451">
        <v>0</v>
      </c>
      <c r="AA451">
        <v>1.3350599999999999</v>
      </c>
      <c r="AB451">
        <v>2.9635199999999999</v>
      </c>
      <c r="AC451" s="2">
        <v>222318000</v>
      </c>
      <c r="AD451" s="1">
        <v>0</v>
      </c>
      <c r="AE451" s="1">
        <v>0</v>
      </c>
      <c r="AF451" s="1">
        <v>0</v>
      </c>
      <c r="AG451" s="1">
        <v>0</v>
      </c>
      <c r="AH451" s="2">
        <v>4471620</v>
      </c>
      <c r="AI451" s="1">
        <v>145758</v>
      </c>
      <c r="AJ451" s="1">
        <v>0</v>
      </c>
      <c r="AK451" s="8">
        <f t="shared" si="27"/>
        <v>34</v>
      </c>
      <c r="AL451" s="8">
        <f t="shared" si="26"/>
        <v>9</v>
      </c>
      <c r="AM451">
        <f t="shared" ref="AM451:AM514" si="28">IF(AK451=52,AC451,0)</f>
        <v>0</v>
      </c>
      <c r="AN451">
        <f t="shared" ref="AN451:AN514" si="29">IF(AK451=52,K451,0)</f>
        <v>0</v>
      </c>
    </row>
    <row r="452" spans="1:40" x14ac:dyDescent="0.35">
      <c r="A452">
        <v>74.170500000000004</v>
      </c>
      <c r="B452">
        <v>85.138999999999996</v>
      </c>
      <c r="C452">
        <v>1.14147</v>
      </c>
      <c r="D452">
        <v>0</v>
      </c>
      <c r="E452">
        <v>0</v>
      </c>
      <c r="F452">
        <v>2.84077</v>
      </c>
      <c r="G452">
        <v>2.84077</v>
      </c>
      <c r="H452">
        <v>0</v>
      </c>
      <c r="I452">
        <v>0.53225900000000004</v>
      </c>
      <c r="J452">
        <v>5.3222399999999999</v>
      </c>
      <c r="K452" s="2">
        <v>43964700</v>
      </c>
      <c r="L452" s="1">
        <v>0</v>
      </c>
      <c r="M452" s="1">
        <v>0</v>
      </c>
      <c r="N452" s="1">
        <v>0</v>
      </c>
      <c r="O452" s="1">
        <v>0</v>
      </c>
      <c r="P452" s="2">
        <v>4246880</v>
      </c>
      <c r="Q452" s="1">
        <v>292036</v>
      </c>
      <c r="R452" s="1">
        <v>0</v>
      </c>
      <c r="S452">
        <v>94.753900000000002</v>
      </c>
      <c r="T452">
        <v>98.274000000000001</v>
      </c>
      <c r="U452">
        <v>1.13934</v>
      </c>
      <c r="V452">
        <v>0</v>
      </c>
      <c r="W452">
        <v>0</v>
      </c>
      <c r="X452">
        <v>1.7286600000000001</v>
      </c>
      <c r="Y452">
        <v>1.7286600000000001</v>
      </c>
      <c r="Z452">
        <v>0</v>
      </c>
      <c r="AA452">
        <v>1.33531</v>
      </c>
      <c r="AB452">
        <v>2.9635199999999999</v>
      </c>
      <c r="AC452" s="2">
        <v>222464000</v>
      </c>
      <c r="AD452" s="1">
        <v>0</v>
      </c>
      <c r="AE452" s="1">
        <v>0</v>
      </c>
      <c r="AF452" s="1">
        <v>0</v>
      </c>
      <c r="AG452" s="1">
        <v>0</v>
      </c>
      <c r="AH452" s="2">
        <v>4472460</v>
      </c>
      <c r="AI452" s="1">
        <v>145785</v>
      </c>
      <c r="AJ452" s="1">
        <v>0</v>
      </c>
      <c r="AK452" s="8">
        <f t="shared" si="27"/>
        <v>35</v>
      </c>
      <c r="AL452" s="8">
        <f t="shared" ref="AL452:AL515" si="30">IF(AK451=52,AL451+1,AL451)</f>
        <v>9</v>
      </c>
      <c r="AM452">
        <f t="shared" si="28"/>
        <v>0</v>
      </c>
      <c r="AN452">
        <f t="shared" si="29"/>
        <v>0</v>
      </c>
    </row>
    <row r="453" spans="1:40" x14ac:dyDescent="0.35">
      <c r="A453">
        <v>72.383600000000001</v>
      </c>
      <c r="B453">
        <v>85.138999999999996</v>
      </c>
      <c r="C453">
        <v>1.2434000000000001</v>
      </c>
      <c r="D453">
        <v>0</v>
      </c>
      <c r="E453">
        <v>0</v>
      </c>
      <c r="F453">
        <v>3.0310600000000001</v>
      </c>
      <c r="G453">
        <v>3.0310600000000001</v>
      </c>
      <c r="H453">
        <v>0</v>
      </c>
      <c r="I453">
        <v>0.53236000000000006</v>
      </c>
      <c r="J453">
        <v>5.3222399999999999</v>
      </c>
      <c r="K453" s="2">
        <v>44276300</v>
      </c>
      <c r="L453" s="1">
        <v>0</v>
      </c>
      <c r="M453" s="1">
        <v>0</v>
      </c>
      <c r="N453" s="1">
        <v>0</v>
      </c>
      <c r="O453" s="1">
        <v>0</v>
      </c>
      <c r="P453" s="2">
        <v>4531360</v>
      </c>
      <c r="Q453" s="1">
        <v>311599</v>
      </c>
      <c r="R453" s="1">
        <v>0</v>
      </c>
      <c r="S453">
        <v>93.753799999999998</v>
      </c>
      <c r="T453">
        <v>98.274000000000001</v>
      </c>
      <c r="U453">
        <v>1.5283500000000001</v>
      </c>
      <c r="V453">
        <v>0</v>
      </c>
      <c r="W453">
        <v>0</v>
      </c>
      <c r="X453">
        <v>1.87785</v>
      </c>
      <c r="Y453">
        <v>1.87785</v>
      </c>
      <c r="Z453">
        <v>0</v>
      </c>
      <c r="AA453">
        <v>1.3355699999999999</v>
      </c>
      <c r="AB453">
        <v>2.9635199999999999</v>
      </c>
      <c r="AC453" s="2">
        <v>222622000</v>
      </c>
      <c r="AD453" s="1">
        <v>0</v>
      </c>
      <c r="AE453" s="1">
        <v>0</v>
      </c>
      <c r="AF453" s="1">
        <v>0</v>
      </c>
      <c r="AG453" s="1">
        <v>0</v>
      </c>
      <c r="AH453" s="2">
        <v>4858440</v>
      </c>
      <c r="AI453" s="1">
        <v>158366</v>
      </c>
      <c r="AJ453" s="1">
        <v>0</v>
      </c>
      <c r="AK453" s="8">
        <f t="shared" si="27"/>
        <v>36</v>
      </c>
      <c r="AL453" s="8">
        <f t="shared" si="30"/>
        <v>9</v>
      </c>
      <c r="AM453">
        <f t="shared" si="28"/>
        <v>0</v>
      </c>
      <c r="AN453">
        <f t="shared" si="29"/>
        <v>0</v>
      </c>
    </row>
    <row r="454" spans="1:40" x14ac:dyDescent="0.35">
      <c r="A454">
        <v>70.153499999999994</v>
      </c>
      <c r="B454">
        <v>85.138999999999996</v>
      </c>
      <c r="C454">
        <v>0.77306299999999994</v>
      </c>
      <c r="D454">
        <v>0</v>
      </c>
      <c r="E454">
        <v>0</v>
      </c>
      <c r="F454">
        <v>3.0316399999999999</v>
      </c>
      <c r="G454">
        <v>3.0316399999999999</v>
      </c>
      <c r="H454">
        <v>0</v>
      </c>
      <c r="I454">
        <v>0.568021</v>
      </c>
      <c r="J454">
        <v>5.3222399999999999</v>
      </c>
      <c r="K454" s="2">
        <v>44587900</v>
      </c>
      <c r="L454" s="1">
        <v>0</v>
      </c>
      <c r="M454" s="1">
        <v>0</v>
      </c>
      <c r="N454" s="1">
        <v>0</v>
      </c>
      <c r="O454" s="1">
        <v>0</v>
      </c>
      <c r="P454" s="2">
        <v>4532220</v>
      </c>
      <c r="Q454" s="1">
        <v>311658</v>
      </c>
      <c r="R454" s="1">
        <v>0</v>
      </c>
      <c r="S454">
        <v>92.957800000000006</v>
      </c>
      <c r="T454">
        <v>98.274000000000001</v>
      </c>
      <c r="U454">
        <v>1.04575</v>
      </c>
      <c r="V454">
        <v>0</v>
      </c>
      <c r="W454">
        <v>0</v>
      </c>
      <c r="X454">
        <v>1.8782000000000001</v>
      </c>
      <c r="Y454">
        <v>1.8782000000000001</v>
      </c>
      <c r="Z454">
        <v>0</v>
      </c>
      <c r="AA454">
        <v>1.4508300000000001</v>
      </c>
      <c r="AB454">
        <v>2.9635199999999999</v>
      </c>
      <c r="AC454" s="2">
        <v>222781000</v>
      </c>
      <c r="AD454" s="1">
        <v>0</v>
      </c>
      <c r="AE454" s="1">
        <v>0</v>
      </c>
      <c r="AF454" s="1">
        <v>0</v>
      </c>
      <c r="AG454" s="1">
        <v>0</v>
      </c>
      <c r="AH454" s="2">
        <v>4859360</v>
      </c>
      <c r="AI454" s="1">
        <v>158396</v>
      </c>
      <c r="AJ454" s="1">
        <v>0</v>
      </c>
      <c r="AK454" s="8">
        <f t="shared" si="27"/>
        <v>37</v>
      </c>
      <c r="AL454" s="8">
        <f t="shared" si="30"/>
        <v>9</v>
      </c>
      <c r="AM454">
        <f t="shared" si="28"/>
        <v>0</v>
      </c>
      <c r="AN454">
        <f t="shared" si="29"/>
        <v>0</v>
      </c>
    </row>
    <row r="455" spans="1:40" x14ac:dyDescent="0.35">
      <c r="A455">
        <v>68.319500000000005</v>
      </c>
      <c r="B455">
        <v>85.138999999999996</v>
      </c>
      <c r="C455">
        <v>1.19794</v>
      </c>
      <c r="D455">
        <v>0</v>
      </c>
      <c r="E455">
        <v>0</v>
      </c>
      <c r="F455">
        <v>3.0322100000000001</v>
      </c>
      <c r="G455">
        <v>3.0322100000000001</v>
      </c>
      <c r="H455">
        <v>0</v>
      </c>
      <c r="I455">
        <v>0.568129</v>
      </c>
      <c r="J455">
        <v>5.3222399999999999</v>
      </c>
      <c r="K455" s="2">
        <v>44899600</v>
      </c>
      <c r="L455" s="1">
        <v>0</v>
      </c>
      <c r="M455" s="1">
        <v>0</v>
      </c>
      <c r="N455" s="1">
        <v>0</v>
      </c>
      <c r="O455" s="1">
        <v>0</v>
      </c>
      <c r="P455" s="2">
        <v>4533080</v>
      </c>
      <c r="Q455" s="1">
        <v>311717</v>
      </c>
      <c r="R455" s="1">
        <v>0</v>
      </c>
      <c r="S455">
        <v>92.171999999999997</v>
      </c>
      <c r="T455">
        <v>98.274000000000001</v>
      </c>
      <c r="U455">
        <v>1.2277199999999999</v>
      </c>
      <c r="V455">
        <v>0</v>
      </c>
      <c r="W455">
        <v>0</v>
      </c>
      <c r="X455">
        <v>1.87856</v>
      </c>
      <c r="Y455">
        <v>1.87856</v>
      </c>
      <c r="Z455">
        <v>0</v>
      </c>
      <c r="AA455">
        <v>1.4511000000000001</v>
      </c>
      <c r="AB455">
        <v>2.9635199999999999</v>
      </c>
      <c r="AC455" s="2">
        <v>222939000</v>
      </c>
      <c r="AD455" s="1">
        <v>0</v>
      </c>
      <c r="AE455" s="1">
        <v>0</v>
      </c>
      <c r="AF455" s="1">
        <v>0</v>
      </c>
      <c r="AG455" s="1">
        <v>0</v>
      </c>
      <c r="AH455" s="2">
        <v>4860280</v>
      </c>
      <c r="AI455" s="1">
        <v>158426</v>
      </c>
      <c r="AJ455" s="1">
        <v>0</v>
      </c>
      <c r="AK455" s="8">
        <f t="shared" si="27"/>
        <v>38</v>
      </c>
      <c r="AL455" s="8">
        <f t="shared" si="30"/>
        <v>9</v>
      </c>
      <c r="AM455">
        <f t="shared" si="28"/>
        <v>0</v>
      </c>
      <c r="AN455">
        <f t="shared" si="29"/>
        <v>0</v>
      </c>
    </row>
    <row r="456" spans="1:40" x14ac:dyDescent="0.35">
      <c r="A456">
        <v>66.890900000000002</v>
      </c>
      <c r="B456">
        <v>85.138999999999996</v>
      </c>
      <c r="C456">
        <v>1.61375</v>
      </c>
      <c r="D456">
        <v>0</v>
      </c>
      <c r="E456">
        <v>0</v>
      </c>
      <c r="F456">
        <v>3.0327799999999998</v>
      </c>
      <c r="G456">
        <v>3.0327799999999998</v>
      </c>
      <c r="H456">
        <v>0</v>
      </c>
      <c r="I456">
        <v>0.56823599999999996</v>
      </c>
      <c r="J456">
        <v>5.3222399999999999</v>
      </c>
      <c r="K456" s="2">
        <v>45211400</v>
      </c>
      <c r="L456" s="1">
        <v>0</v>
      </c>
      <c r="M456" s="1">
        <v>0</v>
      </c>
      <c r="N456" s="1">
        <v>0</v>
      </c>
      <c r="O456" s="1">
        <v>0</v>
      </c>
      <c r="P456" s="2">
        <v>4533930</v>
      </c>
      <c r="Q456" s="1">
        <v>311776</v>
      </c>
      <c r="R456" s="1">
        <v>0</v>
      </c>
      <c r="S456">
        <v>91.774799999999999</v>
      </c>
      <c r="T456">
        <v>98.274000000000001</v>
      </c>
      <c r="U456">
        <v>1.3276399999999999</v>
      </c>
      <c r="V456">
        <v>0</v>
      </c>
      <c r="W456">
        <v>0</v>
      </c>
      <c r="X456">
        <v>1.8789100000000001</v>
      </c>
      <c r="Y456">
        <v>1.8789100000000001</v>
      </c>
      <c r="Z456">
        <v>0</v>
      </c>
      <c r="AA456">
        <v>1.45137</v>
      </c>
      <c r="AB456">
        <v>2.9635199999999999</v>
      </c>
      <c r="AC456" s="2">
        <v>223098000</v>
      </c>
      <c r="AD456" s="1">
        <v>0</v>
      </c>
      <c r="AE456" s="1">
        <v>0</v>
      </c>
      <c r="AF456" s="1">
        <v>0</v>
      </c>
      <c r="AG456" s="1">
        <v>0</v>
      </c>
      <c r="AH456" s="2">
        <v>4861200</v>
      </c>
      <c r="AI456" s="1">
        <v>158456</v>
      </c>
      <c r="AJ456" s="1">
        <v>0</v>
      </c>
      <c r="AK456" s="8">
        <f t="shared" ref="AK456:AK519" si="31">IF(AK455=52, 1, AK455+1)</f>
        <v>39</v>
      </c>
      <c r="AL456" s="8">
        <f t="shared" si="30"/>
        <v>9</v>
      </c>
      <c r="AM456">
        <f t="shared" si="28"/>
        <v>0</v>
      </c>
      <c r="AN456">
        <f t="shared" si="29"/>
        <v>0</v>
      </c>
    </row>
    <row r="457" spans="1:40" x14ac:dyDescent="0.35">
      <c r="A457">
        <v>65.591399999999993</v>
      </c>
      <c r="B457">
        <v>85.138999999999996</v>
      </c>
      <c r="C457">
        <v>1.7069700000000001</v>
      </c>
      <c r="D457">
        <v>0</v>
      </c>
      <c r="E457">
        <v>0</v>
      </c>
      <c r="F457">
        <v>3.0333600000000001</v>
      </c>
      <c r="G457">
        <v>3.0333600000000001</v>
      </c>
      <c r="H457">
        <v>0</v>
      </c>
      <c r="I457">
        <v>0.56834300000000004</v>
      </c>
      <c r="J457">
        <v>5.3222399999999999</v>
      </c>
      <c r="K457" s="2">
        <v>45523300</v>
      </c>
      <c r="L457" s="1">
        <v>0</v>
      </c>
      <c r="M457" s="1">
        <v>0</v>
      </c>
      <c r="N457" s="1">
        <v>0</v>
      </c>
      <c r="O457" s="1">
        <v>0</v>
      </c>
      <c r="P457" s="2">
        <v>4534790</v>
      </c>
      <c r="Q457" s="1">
        <v>311835</v>
      </c>
      <c r="R457" s="1">
        <v>0</v>
      </c>
      <c r="S457">
        <v>91.402100000000004</v>
      </c>
      <c r="T457">
        <v>98.274000000000001</v>
      </c>
      <c r="U457">
        <v>1.71509</v>
      </c>
      <c r="V457">
        <v>0</v>
      </c>
      <c r="W457">
        <v>0</v>
      </c>
      <c r="X457">
        <v>1.87927</v>
      </c>
      <c r="Y457">
        <v>1.87927</v>
      </c>
      <c r="Z457">
        <v>0</v>
      </c>
      <c r="AA457">
        <v>1.4516500000000001</v>
      </c>
      <c r="AB457">
        <v>2.9635199999999999</v>
      </c>
      <c r="AC457" s="2">
        <v>223256000</v>
      </c>
      <c r="AD457" s="1">
        <v>0</v>
      </c>
      <c r="AE457" s="1">
        <v>0</v>
      </c>
      <c r="AF457" s="1">
        <v>0</v>
      </c>
      <c r="AG457" s="1">
        <v>0</v>
      </c>
      <c r="AH457" s="2">
        <v>4862120</v>
      </c>
      <c r="AI457" s="1">
        <v>158486</v>
      </c>
      <c r="AJ457" s="1">
        <v>0</v>
      </c>
      <c r="AK457" s="8">
        <f t="shared" si="31"/>
        <v>40</v>
      </c>
      <c r="AL457" s="8">
        <f t="shared" si="30"/>
        <v>9</v>
      </c>
      <c r="AM457">
        <f t="shared" si="28"/>
        <v>0</v>
      </c>
      <c r="AN457">
        <f t="shared" si="29"/>
        <v>0</v>
      </c>
    </row>
    <row r="458" spans="1:40" x14ac:dyDescent="0.35">
      <c r="A458">
        <v>65.054900000000004</v>
      </c>
      <c r="B458">
        <v>85.138999999999996</v>
      </c>
      <c r="C458">
        <v>2.35405</v>
      </c>
      <c r="D458">
        <v>0</v>
      </c>
      <c r="E458">
        <v>0</v>
      </c>
      <c r="F458">
        <v>2.94136</v>
      </c>
      <c r="G458">
        <v>2.94136</v>
      </c>
      <c r="H458">
        <v>0</v>
      </c>
      <c r="I458">
        <v>0.56845100000000004</v>
      </c>
      <c r="J458">
        <v>5.3222399999999999</v>
      </c>
      <c r="K458" s="2">
        <v>45825600</v>
      </c>
      <c r="L458" s="1">
        <v>0</v>
      </c>
      <c r="M458" s="1">
        <v>0</v>
      </c>
      <c r="N458" s="1">
        <v>0</v>
      </c>
      <c r="O458" s="1">
        <v>0</v>
      </c>
      <c r="P458" s="2">
        <v>4397260</v>
      </c>
      <c r="Q458" s="1">
        <v>302378</v>
      </c>
      <c r="R458" s="1">
        <v>0</v>
      </c>
      <c r="S458">
        <v>91.218500000000006</v>
      </c>
      <c r="T458">
        <v>98.274000000000001</v>
      </c>
      <c r="U458">
        <v>2.55233</v>
      </c>
      <c r="V458">
        <v>0</v>
      </c>
      <c r="W458">
        <v>0</v>
      </c>
      <c r="X458">
        <v>1.7891900000000001</v>
      </c>
      <c r="Y458">
        <v>1.7891900000000001</v>
      </c>
      <c r="Z458">
        <v>0</v>
      </c>
      <c r="AA458">
        <v>1.4519200000000001</v>
      </c>
      <c r="AB458">
        <v>2.9635199999999999</v>
      </c>
      <c r="AC458" s="2">
        <v>223407000</v>
      </c>
      <c r="AD458" s="1">
        <v>0</v>
      </c>
      <c r="AE458" s="1">
        <v>0</v>
      </c>
      <c r="AF458" s="1">
        <v>0</v>
      </c>
      <c r="AG458" s="1">
        <v>0</v>
      </c>
      <c r="AH458" s="2">
        <v>4629050</v>
      </c>
      <c r="AI458" s="1">
        <v>150889</v>
      </c>
      <c r="AJ458" s="1">
        <v>0</v>
      </c>
      <c r="AK458" s="8">
        <f t="shared" si="31"/>
        <v>41</v>
      </c>
      <c r="AL458" s="8">
        <f t="shared" si="30"/>
        <v>9</v>
      </c>
      <c r="AM458">
        <f t="shared" si="28"/>
        <v>0</v>
      </c>
      <c r="AN458">
        <f t="shared" si="29"/>
        <v>0</v>
      </c>
    </row>
    <row r="459" spans="1:40" x14ac:dyDescent="0.35">
      <c r="A459">
        <v>64.611500000000007</v>
      </c>
      <c r="B459">
        <v>85.138999999999996</v>
      </c>
      <c r="C459">
        <v>2.2096100000000001</v>
      </c>
      <c r="D459">
        <v>0.01</v>
      </c>
      <c r="E459">
        <v>0</v>
      </c>
      <c r="F459">
        <v>2.6395200000000001</v>
      </c>
      <c r="G459">
        <v>2.9419200000000001</v>
      </c>
      <c r="H459">
        <v>0</v>
      </c>
      <c r="I459">
        <v>0.55121100000000001</v>
      </c>
      <c r="J459">
        <v>5.3222399999999999</v>
      </c>
      <c r="K459" s="2">
        <v>45719500</v>
      </c>
      <c r="L459" s="1">
        <v>0</v>
      </c>
      <c r="M459" s="1">
        <v>0</v>
      </c>
      <c r="N459" s="1">
        <v>0</v>
      </c>
      <c r="O459" s="1">
        <v>0</v>
      </c>
      <c r="P459" s="2">
        <v>3946010</v>
      </c>
      <c r="Q459" s="1">
        <v>-106104</v>
      </c>
      <c r="R459" s="1">
        <v>408539</v>
      </c>
      <c r="S459">
        <v>90.741200000000006</v>
      </c>
      <c r="T459">
        <v>98.274000000000001</v>
      </c>
      <c r="U459">
        <v>2.1272199999999999</v>
      </c>
      <c r="V459">
        <v>0</v>
      </c>
      <c r="W459">
        <v>0</v>
      </c>
      <c r="X459">
        <v>2.0919300000000001</v>
      </c>
      <c r="Y459">
        <v>1.7895300000000001</v>
      </c>
      <c r="Z459">
        <v>0</v>
      </c>
      <c r="AA459">
        <v>1.3823300000000001</v>
      </c>
      <c r="AB459">
        <v>2.9635199999999999</v>
      </c>
      <c r="AC459" s="2">
        <v>224340000</v>
      </c>
      <c r="AD459" s="1">
        <v>0</v>
      </c>
      <c r="AE459" s="1">
        <v>0</v>
      </c>
      <c r="AF459" s="1">
        <v>0</v>
      </c>
      <c r="AG459" s="1">
        <v>0</v>
      </c>
      <c r="AH459" s="2">
        <v>5412310</v>
      </c>
      <c r="AI459" s="1">
        <v>933299</v>
      </c>
      <c r="AJ459" s="1">
        <v>0</v>
      </c>
      <c r="AK459" s="8">
        <f t="shared" si="31"/>
        <v>42</v>
      </c>
      <c r="AL459" s="8">
        <f t="shared" si="30"/>
        <v>9</v>
      </c>
      <c r="AM459">
        <f t="shared" si="28"/>
        <v>0</v>
      </c>
      <c r="AN459">
        <f t="shared" si="29"/>
        <v>0</v>
      </c>
    </row>
    <row r="460" spans="1:40" x14ac:dyDescent="0.35">
      <c r="A460">
        <v>63.934800000000003</v>
      </c>
      <c r="B460">
        <v>85.138999999999996</v>
      </c>
      <c r="C460">
        <v>1.9763999999999999</v>
      </c>
      <c r="D460">
        <v>0.01</v>
      </c>
      <c r="E460">
        <v>0</v>
      </c>
      <c r="F460">
        <v>2.6400700000000001</v>
      </c>
      <c r="G460">
        <v>2.9424700000000001</v>
      </c>
      <c r="H460">
        <v>0</v>
      </c>
      <c r="I460">
        <v>0.494645</v>
      </c>
      <c r="J460">
        <v>5.3222399999999999</v>
      </c>
      <c r="K460" s="2">
        <v>45613500</v>
      </c>
      <c r="L460" s="1">
        <v>0</v>
      </c>
      <c r="M460" s="1">
        <v>0</v>
      </c>
      <c r="N460" s="1">
        <v>0</v>
      </c>
      <c r="O460" s="1">
        <v>0</v>
      </c>
      <c r="P460" s="2">
        <v>3946840</v>
      </c>
      <c r="Q460" s="1">
        <v>-106047</v>
      </c>
      <c r="R460" s="1">
        <v>408539</v>
      </c>
      <c r="S460">
        <v>90.258300000000006</v>
      </c>
      <c r="T460">
        <v>98.274000000000001</v>
      </c>
      <c r="U460">
        <v>2.0990600000000001</v>
      </c>
      <c r="V460">
        <v>0</v>
      </c>
      <c r="W460">
        <v>0</v>
      </c>
      <c r="X460">
        <v>2.09226</v>
      </c>
      <c r="Y460">
        <v>1.78986</v>
      </c>
      <c r="Z460">
        <v>0</v>
      </c>
      <c r="AA460">
        <v>1.61622</v>
      </c>
      <c r="AB460">
        <v>2.9635199999999999</v>
      </c>
      <c r="AC460" s="2">
        <v>225274000</v>
      </c>
      <c r="AD460" s="1">
        <v>0</v>
      </c>
      <c r="AE460" s="1">
        <v>0</v>
      </c>
      <c r="AF460" s="1">
        <v>0</v>
      </c>
      <c r="AG460" s="1">
        <v>0</v>
      </c>
      <c r="AH460" s="2">
        <v>5413190</v>
      </c>
      <c r="AI460" s="1">
        <v>933327</v>
      </c>
      <c r="AJ460" s="1">
        <v>0</v>
      </c>
      <c r="AK460" s="8">
        <f t="shared" si="31"/>
        <v>43</v>
      </c>
      <c r="AL460" s="8">
        <f t="shared" si="30"/>
        <v>9</v>
      </c>
      <c r="AM460">
        <f t="shared" si="28"/>
        <v>0</v>
      </c>
      <c r="AN460">
        <f t="shared" si="29"/>
        <v>0</v>
      </c>
    </row>
    <row r="461" spans="1:40" x14ac:dyDescent="0.35">
      <c r="A461">
        <v>63.153599999999997</v>
      </c>
      <c r="B461">
        <v>85.138999999999996</v>
      </c>
      <c r="C461">
        <v>2.0084300000000002</v>
      </c>
      <c r="D461">
        <v>0.02</v>
      </c>
      <c r="E461">
        <v>0</v>
      </c>
      <c r="F461">
        <v>2.6406299999999998</v>
      </c>
      <c r="G461">
        <v>2.9430299999999998</v>
      </c>
      <c r="H461">
        <v>0</v>
      </c>
      <c r="I461">
        <v>0.49475000000000002</v>
      </c>
      <c r="J461">
        <v>5.3222399999999999</v>
      </c>
      <c r="K461" s="2">
        <v>45507500</v>
      </c>
      <c r="L461" s="1">
        <v>0</v>
      </c>
      <c r="M461" s="1">
        <v>0</v>
      </c>
      <c r="N461" s="1">
        <v>0</v>
      </c>
      <c r="O461" s="1">
        <v>0</v>
      </c>
      <c r="P461" s="2">
        <v>3947670</v>
      </c>
      <c r="Q461" s="1">
        <v>-105990</v>
      </c>
      <c r="R461" s="1">
        <v>408539</v>
      </c>
      <c r="S461">
        <v>89.787099999999995</v>
      </c>
      <c r="T461">
        <v>98.274000000000001</v>
      </c>
      <c r="U461">
        <v>2.1048499999999999</v>
      </c>
      <c r="V461">
        <v>0</v>
      </c>
      <c r="W461">
        <v>0</v>
      </c>
      <c r="X461">
        <v>2.0926</v>
      </c>
      <c r="Y461">
        <v>1.7902</v>
      </c>
      <c r="Z461">
        <v>0</v>
      </c>
      <c r="AA461">
        <v>1.6164799999999999</v>
      </c>
      <c r="AB461">
        <v>2.9635199999999999</v>
      </c>
      <c r="AC461" s="2">
        <v>226207000</v>
      </c>
      <c r="AD461" s="1">
        <v>0</v>
      </c>
      <c r="AE461" s="1">
        <v>0</v>
      </c>
      <c r="AF461" s="1">
        <v>0</v>
      </c>
      <c r="AG461" s="1">
        <v>0</v>
      </c>
      <c r="AH461" s="2">
        <v>5414060</v>
      </c>
      <c r="AI461" s="1">
        <v>933356</v>
      </c>
      <c r="AJ461" s="1">
        <v>0</v>
      </c>
      <c r="AK461" s="8">
        <f t="shared" si="31"/>
        <v>44</v>
      </c>
      <c r="AL461" s="8">
        <f t="shared" si="30"/>
        <v>9</v>
      </c>
      <c r="AM461">
        <f t="shared" si="28"/>
        <v>0</v>
      </c>
      <c r="AN461">
        <f t="shared" si="29"/>
        <v>0</v>
      </c>
    </row>
    <row r="462" spans="1:40" x14ac:dyDescent="0.35">
      <c r="A462">
        <v>62.8</v>
      </c>
      <c r="B462">
        <v>85.138999999999996</v>
      </c>
      <c r="C462">
        <v>2.3874</v>
      </c>
      <c r="D462">
        <v>0.02</v>
      </c>
      <c r="E462">
        <v>0</v>
      </c>
      <c r="F462">
        <v>2.56514</v>
      </c>
      <c r="G462">
        <v>2.86754</v>
      </c>
      <c r="H462">
        <v>0</v>
      </c>
      <c r="I462">
        <v>0.49485400000000002</v>
      </c>
      <c r="J462">
        <v>5.3222399999999999</v>
      </c>
      <c r="K462" s="2">
        <v>45393700</v>
      </c>
      <c r="L462" s="1">
        <v>0</v>
      </c>
      <c r="M462" s="1">
        <v>0</v>
      </c>
      <c r="N462" s="1">
        <v>0</v>
      </c>
      <c r="O462" s="1">
        <v>0</v>
      </c>
      <c r="P462" s="2">
        <v>3834830</v>
      </c>
      <c r="Q462" s="1">
        <v>-113749</v>
      </c>
      <c r="R462" s="1">
        <v>408539</v>
      </c>
      <c r="S462">
        <v>89.352800000000002</v>
      </c>
      <c r="T462">
        <v>98.274000000000001</v>
      </c>
      <c r="U462">
        <v>2.0009700000000001</v>
      </c>
      <c r="V462">
        <v>0</v>
      </c>
      <c r="W462">
        <v>0</v>
      </c>
      <c r="X462">
        <v>2.0105599999999999</v>
      </c>
      <c r="Y462">
        <v>1.7081599999999999</v>
      </c>
      <c r="Z462">
        <v>0</v>
      </c>
      <c r="AA462">
        <v>1.6167400000000001</v>
      </c>
      <c r="AB462">
        <v>2.9635199999999999</v>
      </c>
      <c r="AC462" s="2">
        <v>227133000</v>
      </c>
      <c r="AD462" s="1">
        <v>0</v>
      </c>
      <c r="AE462" s="1">
        <v>0</v>
      </c>
      <c r="AF462" s="1">
        <v>0</v>
      </c>
      <c r="AG462" s="1">
        <v>0</v>
      </c>
      <c r="AH462" s="2">
        <v>5201790</v>
      </c>
      <c r="AI462" s="1">
        <v>926437</v>
      </c>
      <c r="AJ462" s="1">
        <v>0</v>
      </c>
      <c r="AK462" s="8">
        <f t="shared" si="31"/>
        <v>45</v>
      </c>
      <c r="AL462" s="8">
        <f t="shared" si="30"/>
        <v>9</v>
      </c>
      <c r="AM462">
        <f t="shared" si="28"/>
        <v>0</v>
      </c>
      <c r="AN462">
        <f t="shared" si="29"/>
        <v>0</v>
      </c>
    </row>
    <row r="463" spans="1:40" x14ac:dyDescent="0.35">
      <c r="A463">
        <v>63.697200000000002</v>
      </c>
      <c r="B463">
        <v>85.138999999999996</v>
      </c>
      <c r="C463">
        <v>3.6556799999999998</v>
      </c>
      <c r="D463">
        <v>0.02</v>
      </c>
      <c r="E463">
        <v>0</v>
      </c>
      <c r="F463">
        <v>2.56569</v>
      </c>
      <c r="G463">
        <v>2.86809</v>
      </c>
      <c r="H463">
        <v>0</v>
      </c>
      <c r="I463">
        <v>0.48070800000000002</v>
      </c>
      <c r="J463">
        <v>5.3222399999999999</v>
      </c>
      <c r="K463" s="2">
        <v>45280100</v>
      </c>
      <c r="L463" s="1">
        <v>0</v>
      </c>
      <c r="M463" s="1">
        <v>0</v>
      </c>
      <c r="N463" s="1">
        <v>0</v>
      </c>
      <c r="O463" s="1">
        <v>0</v>
      </c>
      <c r="P463" s="2">
        <v>3835640</v>
      </c>
      <c r="Q463" s="1">
        <v>-113694</v>
      </c>
      <c r="R463" s="1">
        <v>408539</v>
      </c>
      <c r="S463">
        <v>89.127300000000005</v>
      </c>
      <c r="T463">
        <v>98.274000000000001</v>
      </c>
      <c r="U463">
        <v>1.9816499999999999</v>
      </c>
      <c r="V463">
        <v>0</v>
      </c>
      <c r="W463">
        <v>0</v>
      </c>
      <c r="X463">
        <v>2.0108799999999998</v>
      </c>
      <c r="Y463">
        <v>1.70848</v>
      </c>
      <c r="Z463">
        <v>0</v>
      </c>
      <c r="AA463">
        <v>1.5533600000000001</v>
      </c>
      <c r="AB463">
        <v>2.9635199999999999</v>
      </c>
      <c r="AC463" s="2">
        <v>228060000</v>
      </c>
      <c r="AD463" s="1">
        <v>0</v>
      </c>
      <c r="AE463" s="1">
        <v>0</v>
      </c>
      <c r="AF463" s="1">
        <v>0</v>
      </c>
      <c r="AG463" s="1">
        <v>0</v>
      </c>
      <c r="AH463" s="2">
        <v>5202630</v>
      </c>
      <c r="AI463" s="1">
        <v>926464</v>
      </c>
      <c r="AJ463" s="1">
        <v>0</v>
      </c>
      <c r="AK463" s="8">
        <f t="shared" si="31"/>
        <v>46</v>
      </c>
      <c r="AL463" s="8">
        <f t="shared" si="30"/>
        <v>9</v>
      </c>
      <c r="AM463">
        <f t="shared" si="28"/>
        <v>0</v>
      </c>
      <c r="AN463">
        <f t="shared" si="29"/>
        <v>0</v>
      </c>
    </row>
    <row r="464" spans="1:40" x14ac:dyDescent="0.35">
      <c r="A464">
        <v>69.5334</v>
      </c>
      <c r="B464">
        <v>85.138999999999996</v>
      </c>
      <c r="C464">
        <v>8.83962</v>
      </c>
      <c r="D464">
        <v>0.02</v>
      </c>
      <c r="E464">
        <v>0</v>
      </c>
      <c r="F464">
        <v>2.56623</v>
      </c>
      <c r="G464">
        <v>2.86863</v>
      </c>
      <c r="H464">
        <v>0</v>
      </c>
      <c r="I464">
        <v>0.48081000000000002</v>
      </c>
      <c r="J464">
        <v>5.3222399999999999</v>
      </c>
      <c r="K464" s="2">
        <v>45166400</v>
      </c>
      <c r="L464" s="1">
        <v>0</v>
      </c>
      <c r="M464" s="1">
        <v>0</v>
      </c>
      <c r="N464" s="1">
        <v>0</v>
      </c>
      <c r="O464" s="1">
        <v>0</v>
      </c>
      <c r="P464" s="2">
        <v>3836450</v>
      </c>
      <c r="Q464" s="1">
        <v>-113638</v>
      </c>
      <c r="R464" s="1">
        <v>408539</v>
      </c>
      <c r="S464">
        <v>89.616699999999994</v>
      </c>
      <c r="T464">
        <v>98.274000000000001</v>
      </c>
      <c r="U464">
        <v>4.7797900000000002</v>
      </c>
      <c r="V464">
        <v>0</v>
      </c>
      <c r="W464">
        <v>0</v>
      </c>
      <c r="X464">
        <v>2.0112000000000001</v>
      </c>
      <c r="Y464">
        <v>1.7088000000000001</v>
      </c>
      <c r="Z464">
        <v>0</v>
      </c>
      <c r="AA464">
        <v>1.5536099999999999</v>
      </c>
      <c r="AB464">
        <v>2.9635199999999999</v>
      </c>
      <c r="AC464" s="2">
        <v>228986000</v>
      </c>
      <c r="AD464" s="1">
        <v>0</v>
      </c>
      <c r="AE464" s="1">
        <v>0</v>
      </c>
      <c r="AF464" s="1">
        <v>0</v>
      </c>
      <c r="AG464" s="1">
        <v>0</v>
      </c>
      <c r="AH464" s="2">
        <v>5203460</v>
      </c>
      <c r="AI464" s="1">
        <v>926491</v>
      </c>
      <c r="AJ464" s="1">
        <v>0</v>
      </c>
      <c r="AK464" s="8">
        <f t="shared" si="31"/>
        <v>47</v>
      </c>
      <c r="AL464" s="8">
        <f t="shared" si="30"/>
        <v>9</v>
      </c>
      <c r="AM464">
        <f t="shared" si="28"/>
        <v>0</v>
      </c>
      <c r="AN464">
        <f t="shared" si="29"/>
        <v>0</v>
      </c>
    </row>
    <row r="465" spans="1:40" x14ac:dyDescent="0.35">
      <c r="A465">
        <v>73.1892</v>
      </c>
      <c r="B465">
        <v>85.138999999999996</v>
      </c>
      <c r="C465">
        <v>6.8003900000000002</v>
      </c>
      <c r="D465">
        <v>0</v>
      </c>
      <c r="E465">
        <v>0</v>
      </c>
      <c r="F465">
        <v>2.86917</v>
      </c>
      <c r="G465">
        <v>2.86917</v>
      </c>
      <c r="H465">
        <v>0</v>
      </c>
      <c r="I465">
        <v>0.48091099999999998</v>
      </c>
      <c r="J465">
        <v>5.3222399999999999</v>
      </c>
      <c r="K465" s="2">
        <v>45461400</v>
      </c>
      <c r="L465" s="1">
        <v>0</v>
      </c>
      <c r="M465" s="1">
        <v>0</v>
      </c>
      <c r="N465" s="1">
        <v>0</v>
      </c>
      <c r="O465" s="1">
        <v>0</v>
      </c>
      <c r="P465" s="2">
        <v>4289340</v>
      </c>
      <c r="Q465" s="1">
        <v>294956</v>
      </c>
      <c r="R465" s="1">
        <v>0</v>
      </c>
      <c r="S465">
        <v>89.927000000000007</v>
      </c>
      <c r="T465">
        <v>98.274000000000001</v>
      </c>
      <c r="U465">
        <v>3.2368899999999998</v>
      </c>
      <c r="V465">
        <v>0</v>
      </c>
      <c r="W465">
        <v>0</v>
      </c>
      <c r="X465">
        <v>1.70913</v>
      </c>
      <c r="Y465">
        <v>1.70913</v>
      </c>
      <c r="Z465">
        <v>0</v>
      </c>
      <c r="AA465">
        <v>1.55386</v>
      </c>
      <c r="AB465">
        <v>2.9635199999999999</v>
      </c>
      <c r="AC465" s="2">
        <v>229130000</v>
      </c>
      <c r="AD465" s="1">
        <v>0</v>
      </c>
      <c r="AE465" s="1">
        <v>0</v>
      </c>
      <c r="AF465" s="1">
        <v>0</v>
      </c>
      <c r="AG465" s="1">
        <v>0</v>
      </c>
      <c r="AH465" s="2">
        <v>4421920</v>
      </c>
      <c r="AI465" s="1">
        <v>144137</v>
      </c>
      <c r="AJ465" s="1">
        <v>0</v>
      </c>
      <c r="AK465" s="8">
        <f t="shared" si="31"/>
        <v>48</v>
      </c>
      <c r="AL465" s="8">
        <f t="shared" si="30"/>
        <v>9</v>
      </c>
      <c r="AM465">
        <f t="shared" si="28"/>
        <v>0</v>
      </c>
      <c r="AN465">
        <f t="shared" si="29"/>
        <v>0</v>
      </c>
    </row>
    <row r="466" spans="1:40" x14ac:dyDescent="0.35">
      <c r="A466">
        <v>75.671400000000006</v>
      </c>
      <c r="B466">
        <v>85.138999999999996</v>
      </c>
      <c r="C466">
        <v>5.4690399999999997</v>
      </c>
      <c r="D466">
        <v>0</v>
      </c>
      <c r="E466">
        <v>0</v>
      </c>
      <c r="F466">
        <v>2.6535899999999999</v>
      </c>
      <c r="G466">
        <v>2.6535899999999999</v>
      </c>
      <c r="H466">
        <v>0</v>
      </c>
      <c r="I466">
        <v>0.53768300000000002</v>
      </c>
      <c r="J466">
        <v>5.3222399999999999</v>
      </c>
      <c r="K466" s="2">
        <v>45734200</v>
      </c>
      <c r="L466" s="1">
        <v>0</v>
      </c>
      <c r="M466" s="1">
        <v>0</v>
      </c>
      <c r="N466" s="1">
        <v>0</v>
      </c>
      <c r="O466" s="1">
        <v>0</v>
      </c>
      <c r="P466" s="2">
        <v>3967050</v>
      </c>
      <c r="Q466" s="1">
        <v>272794</v>
      </c>
      <c r="R466" s="1">
        <v>0</v>
      </c>
      <c r="S466">
        <v>90.350899999999996</v>
      </c>
      <c r="T466">
        <v>98.274000000000001</v>
      </c>
      <c r="U466">
        <v>3.7960699999999998</v>
      </c>
      <c r="V466">
        <v>0</v>
      </c>
      <c r="W466">
        <v>0</v>
      </c>
      <c r="X466">
        <v>1.5377400000000001</v>
      </c>
      <c r="Y466">
        <v>1.5377400000000001</v>
      </c>
      <c r="Z466">
        <v>0</v>
      </c>
      <c r="AA466">
        <v>1.32047</v>
      </c>
      <c r="AB466">
        <v>2.9635199999999999</v>
      </c>
      <c r="AC466" s="2">
        <v>229260000</v>
      </c>
      <c r="AD466" s="1">
        <v>0</v>
      </c>
      <c r="AE466" s="1">
        <v>0</v>
      </c>
      <c r="AF466" s="1">
        <v>0</v>
      </c>
      <c r="AG466" s="1">
        <v>0</v>
      </c>
      <c r="AH466" s="2">
        <v>3978500</v>
      </c>
      <c r="AI466" s="1">
        <v>129684</v>
      </c>
      <c r="AJ466" s="1">
        <v>0</v>
      </c>
      <c r="AK466" s="8">
        <f t="shared" si="31"/>
        <v>49</v>
      </c>
      <c r="AL466" s="8">
        <f t="shared" si="30"/>
        <v>9</v>
      </c>
      <c r="AM466">
        <f t="shared" si="28"/>
        <v>0</v>
      </c>
      <c r="AN466">
        <f t="shared" si="29"/>
        <v>0</v>
      </c>
    </row>
    <row r="467" spans="1:40" x14ac:dyDescent="0.35">
      <c r="A467">
        <v>75.612099999999998</v>
      </c>
      <c r="B467">
        <v>85.138999999999996</v>
      </c>
      <c r="C467">
        <v>2.9616899999999999</v>
      </c>
      <c r="D467">
        <v>0</v>
      </c>
      <c r="E467">
        <v>0</v>
      </c>
      <c r="F467">
        <v>2.6540900000000001</v>
      </c>
      <c r="G467">
        <v>2.6540900000000001</v>
      </c>
      <c r="H467">
        <v>0</v>
      </c>
      <c r="I467">
        <v>0.49728299999999998</v>
      </c>
      <c r="J467">
        <v>5.3222399999999999</v>
      </c>
      <c r="K467" s="2">
        <v>46007000</v>
      </c>
      <c r="L467" s="1">
        <v>0</v>
      </c>
      <c r="M467" s="1">
        <v>0</v>
      </c>
      <c r="N467" s="1">
        <v>0</v>
      </c>
      <c r="O467" s="1">
        <v>0</v>
      </c>
      <c r="P467" s="2">
        <v>3967800</v>
      </c>
      <c r="Q467" s="1">
        <v>272846</v>
      </c>
      <c r="R467" s="1">
        <v>0</v>
      </c>
      <c r="S467">
        <v>90.508899999999997</v>
      </c>
      <c r="T467">
        <v>98.274000000000001</v>
      </c>
      <c r="U467">
        <v>2.9740700000000002</v>
      </c>
      <c r="V467">
        <v>0</v>
      </c>
      <c r="W467">
        <v>0</v>
      </c>
      <c r="X467">
        <v>1.53803</v>
      </c>
      <c r="Y467">
        <v>1.53803</v>
      </c>
      <c r="Z467">
        <v>0</v>
      </c>
      <c r="AA467">
        <v>1.1880599999999999</v>
      </c>
      <c r="AB467">
        <v>2.9635199999999999</v>
      </c>
      <c r="AC467" s="2">
        <v>229390000</v>
      </c>
      <c r="AD467" s="1">
        <v>0</v>
      </c>
      <c r="AE467" s="1">
        <v>0</v>
      </c>
      <c r="AF467" s="1">
        <v>0</v>
      </c>
      <c r="AG467" s="1">
        <v>0</v>
      </c>
      <c r="AH467" s="2">
        <v>3979260</v>
      </c>
      <c r="AI467" s="1">
        <v>129708</v>
      </c>
      <c r="AJ467" s="1">
        <v>0</v>
      </c>
      <c r="AK467" s="8">
        <f t="shared" si="31"/>
        <v>50</v>
      </c>
      <c r="AL467" s="8">
        <f t="shared" si="30"/>
        <v>9</v>
      </c>
      <c r="AM467">
        <f t="shared" si="28"/>
        <v>0</v>
      </c>
      <c r="AN467">
        <f t="shared" si="29"/>
        <v>0</v>
      </c>
    </row>
    <row r="468" spans="1:40" x14ac:dyDescent="0.35">
      <c r="A468">
        <v>76.116900000000001</v>
      </c>
      <c r="B468">
        <v>85.138999999999996</v>
      </c>
      <c r="C468">
        <v>3.4541300000000001</v>
      </c>
      <c r="D468">
        <v>0</v>
      </c>
      <c r="E468">
        <v>0</v>
      </c>
      <c r="F468">
        <v>2.6545899999999998</v>
      </c>
      <c r="G468">
        <v>2.6545899999999998</v>
      </c>
      <c r="H468">
        <v>0</v>
      </c>
      <c r="I468">
        <v>0.49737700000000001</v>
      </c>
      <c r="J468">
        <v>5.3222399999999999</v>
      </c>
      <c r="K468" s="2">
        <v>46279900</v>
      </c>
      <c r="L468" s="1">
        <v>0</v>
      </c>
      <c r="M468" s="1">
        <v>0</v>
      </c>
      <c r="N468" s="1">
        <v>0</v>
      </c>
      <c r="O468" s="1">
        <v>0</v>
      </c>
      <c r="P468" s="2">
        <v>3968550</v>
      </c>
      <c r="Q468" s="1">
        <v>272898</v>
      </c>
      <c r="R468" s="1">
        <v>0</v>
      </c>
      <c r="S468">
        <v>90.705500000000001</v>
      </c>
      <c r="T468">
        <v>98.274000000000001</v>
      </c>
      <c r="U468">
        <v>3.1464599999999998</v>
      </c>
      <c r="V468">
        <v>0</v>
      </c>
      <c r="W468">
        <v>0</v>
      </c>
      <c r="X468">
        <v>1.5383199999999999</v>
      </c>
      <c r="Y468">
        <v>1.5383199999999999</v>
      </c>
      <c r="Z468">
        <v>0</v>
      </c>
      <c r="AA468">
        <v>1.18828</v>
      </c>
      <c r="AB468">
        <v>2.9635199999999999</v>
      </c>
      <c r="AC468" s="2">
        <v>229520000</v>
      </c>
      <c r="AD468" s="1">
        <v>0</v>
      </c>
      <c r="AE468" s="1">
        <v>0</v>
      </c>
      <c r="AF468" s="1">
        <v>0</v>
      </c>
      <c r="AG468" s="1">
        <v>0</v>
      </c>
      <c r="AH468" s="2">
        <v>3980010</v>
      </c>
      <c r="AI468" s="1">
        <v>129733</v>
      </c>
      <c r="AJ468" s="1">
        <v>0</v>
      </c>
      <c r="AK468" s="8">
        <f t="shared" si="31"/>
        <v>51</v>
      </c>
      <c r="AL468" s="8">
        <f t="shared" si="30"/>
        <v>9</v>
      </c>
      <c r="AM468">
        <f t="shared" si="28"/>
        <v>0</v>
      </c>
      <c r="AN468">
        <f t="shared" si="29"/>
        <v>0</v>
      </c>
    </row>
    <row r="469" spans="1:40" x14ac:dyDescent="0.35">
      <c r="A469">
        <v>82.317899999999995</v>
      </c>
      <c r="B469">
        <v>85.138999999999996</v>
      </c>
      <c r="C469">
        <v>9.3935399999999998</v>
      </c>
      <c r="D469">
        <v>0</v>
      </c>
      <c r="E469">
        <v>0</v>
      </c>
      <c r="F469">
        <v>2.6551</v>
      </c>
      <c r="G469">
        <v>2.6551</v>
      </c>
      <c r="H469">
        <v>0</v>
      </c>
      <c r="I469">
        <v>0.497471</v>
      </c>
      <c r="J469">
        <v>5.3222399999999999</v>
      </c>
      <c r="K469" s="2">
        <v>46552900</v>
      </c>
      <c r="L469" s="1">
        <v>0</v>
      </c>
      <c r="M469" s="1">
        <v>0</v>
      </c>
      <c r="N469" s="1">
        <v>0</v>
      </c>
      <c r="O469" s="1">
        <v>0</v>
      </c>
      <c r="P469" s="2">
        <v>3969300</v>
      </c>
      <c r="Q469" s="1">
        <v>272949</v>
      </c>
      <c r="R469" s="1">
        <v>0</v>
      </c>
      <c r="S469">
        <v>92.053299999999993</v>
      </c>
      <c r="T469">
        <v>98.274000000000001</v>
      </c>
      <c r="U469">
        <v>6.7457200000000004</v>
      </c>
      <c r="V469">
        <v>0</v>
      </c>
      <c r="W469">
        <v>0</v>
      </c>
      <c r="X469">
        <v>1.53861</v>
      </c>
      <c r="Y469">
        <v>1.53861</v>
      </c>
      <c r="Z469">
        <v>0</v>
      </c>
      <c r="AA469">
        <v>1.18851</v>
      </c>
      <c r="AB469">
        <v>2.9635199999999999</v>
      </c>
      <c r="AC469" s="2">
        <v>229649000</v>
      </c>
      <c r="AD469" s="1">
        <v>0</v>
      </c>
      <c r="AE469" s="1">
        <v>0</v>
      </c>
      <c r="AF469" s="1">
        <v>0</v>
      </c>
      <c r="AG469" s="1">
        <v>0</v>
      </c>
      <c r="AH469" s="2">
        <v>3980760</v>
      </c>
      <c r="AI469" s="1">
        <v>129757</v>
      </c>
      <c r="AJ469" s="1">
        <v>0</v>
      </c>
      <c r="AK469" s="8">
        <f t="shared" si="31"/>
        <v>52</v>
      </c>
      <c r="AL469" s="8">
        <f t="shared" si="30"/>
        <v>9</v>
      </c>
      <c r="AM469">
        <f t="shared" si="28"/>
        <v>229649000</v>
      </c>
      <c r="AN469">
        <f t="shared" si="29"/>
        <v>46552900</v>
      </c>
    </row>
    <row r="470" spans="1:40" x14ac:dyDescent="0.35">
      <c r="A470">
        <v>85.138999999999996</v>
      </c>
      <c r="B470">
        <v>85.138999999999996</v>
      </c>
      <c r="C470">
        <v>10.1432</v>
      </c>
      <c r="D470">
        <v>0</v>
      </c>
      <c r="E470">
        <v>0</v>
      </c>
      <c r="F470">
        <v>2.6556000000000002</v>
      </c>
      <c r="G470">
        <v>2.6556000000000002</v>
      </c>
      <c r="H470">
        <v>0</v>
      </c>
      <c r="I470">
        <v>0.49756499999999998</v>
      </c>
      <c r="J470">
        <v>5.3222399999999999</v>
      </c>
      <c r="K470" s="2">
        <v>46825900</v>
      </c>
      <c r="L470" s="1">
        <v>0</v>
      </c>
      <c r="M470" s="1">
        <v>0</v>
      </c>
      <c r="N470" s="1">
        <v>0</v>
      </c>
      <c r="O470" s="1">
        <v>0</v>
      </c>
      <c r="P470" s="2">
        <v>3970050</v>
      </c>
      <c r="Q470" s="1">
        <v>273001</v>
      </c>
      <c r="R470" s="1">
        <v>0</v>
      </c>
      <c r="S470">
        <v>93.682900000000004</v>
      </c>
      <c r="T470">
        <v>98.274000000000001</v>
      </c>
      <c r="U470">
        <v>7.9538399999999996</v>
      </c>
      <c r="V470">
        <v>0</v>
      </c>
      <c r="W470">
        <v>0</v>
      </c>
      <c r="X470">
        <v>1.5388999999999999</v>
      </c>
      <c r="Y470">
        <v>1.5388999999999999</v>
      </c>
      <c r="Z470">
        <v>0</v>
      </c>
      <c r="AA470">
        <v>1.1887300000000001</v>
      </c>
      <c r="AB470">
        <v>2.9635199999999999</v>
      </c>
      <c r="AC470" s="2">
        <v>229779000</v>
      </c>
      <c r="AD470" s="1">
        <v>0</v>
      </c>
      <c r="AE470" s="1">
        <v>0</v>
      </c>
      <c r="AF470" s="1">
        <v>0</v>
      </c>
      <c r="AG470" s="1">
        <v>0</v>
      </c>
      <c r="AH470" s="2">
        <v>3981510</v>
      </c>
      <c r="AI470" s="1">
        <v>129782</v>
      </c>
      <c r="AJ470" s="1">
        <v>0</v>
      </c>
      <c r="AK470" s="8">
        <f t="shared" si="31"/>
        <v>1</v>
      </c>
      <c r="AL470" s="8">
        <f t="shared" si="30"/>
        <v>10</v>
      </c>
      <c r="AM470">
        <f t="shared" si="28"/>
        <v>0</v>
      </c>
      <c r="AN470">
        <f t="shared" si="29"/>
        <v>0</v>
      </c>
    </row>
    <row r="471" spans="1:40" x14ac:dyDescent="0.35">
      <c r="A471">
        <v>85.138999999999996</v>
      </c>
      <c r="B471">
        <v>85.138999999999996</v>
      </c>
      <c r="C471">
        <v>6.7229599999999996</v>
      </c>
      <c r="D471">
        <v>0</v>
      </c>
      <c r="E471">
        <v>0</v>
      </c>
      <c r="F471">
        <v>2.7393000000000001</v>
      </c>
      <c r="G471">
        <v>2.7393000000000001</v>
      </c>
      <c r="H471">
        <v>0</v>
      </c>
      <c r="I471">
        <v>0.49765900000000002</v>
      </c>
      <c r="J471">
        <v>5.3222399999999999</v>
      </c>
      <c r="K471" s="2">
        <v>47107500</v>
      </c>
      <c r="L471" s="1">
        <v>0</v>
      </c>
      <c r="M471" s="1">
        <v>0</v>
      </c>
      <c r="N471" s="1">
        <v>0</v>
      </c>
      <c r="O471" s="2">
        <v>29016000</v>
      </c>
      <c r="P471" s="2">
        <v>4095180</v>
      </c>
      <c r="Q471" s="1">
        <v>281605</v>
      </c>
      <c r="R471" s="1">
        <v>0</v>
      </c>
      <c r="S471">
        <v>94.849699999999999</v>
      </c>
      <c r="T471">
        <v>98.274000000000001</v>
      </c>
      <c r="U471">
        <v>7.1199000000000003</v>
      </c>
      <c r="V471">
        <v>0</v>
      </c>
      <c r="W471">
        <v>0</v>
      </c>
      <c r="X471">
        <v>1.5889599999999999</v>
      </c>
      <c r="Y471">
        <v>1.5889599999999999</v>
      </c>
      <c r="Z471">
        <v>0</v>
      </c>
      <c r="AA471">
        <v>1.18896</v>
      </c>
      <c r="AB471">
        <v>2.9635199999999999</v>
      </c>
      <c r="AC471" s="2">
        <v>229913000</v>
      </c>
      <c r="AD471" s="1">
        <v>0</v>
      </c>
      <c r="AE471" s="1">
        <v>0</v>
      </c>
      <c r="AF471" s="1">
        <v>0</v>
      </c>
      <c r="AG471" s="2">
        <v>7883220</v>
      </c>
      <c r="AH471" s="2">
        <v>4111010</v>
      </c>
      <c r="AI471" s="1">
        <v>134003</v>
      </c>
      <c r="AJ471" s="1">
        <v>0</v>
      </c>
      <c r="AK471" s="8">
        <f t="shared" si="31"/>
        <v>2</v>
      </c>
      <c r="AL471" s="8">
        <f t="shared" si="30"/>
        <v>10</v>
      </c>
      <c r="AM471">
        <f t="shared" si="28"/>
        <v>0</v>
      </c>
      <c r="AN471">
        <f t="shared" si="29"/>
        <v>0</v>
      </c>
    </row>
    <row r="472" spans="1:40" x14ac:dyDescent="0.35">
      <c r="A472">
        <v>85.138999999999996</v>
      </c>
      <c r="B472">
        <v>85.138999999999996</v>
      </c>
      <c r="C472">
        <v>15.298299999999999</v>
      </c>
      <c r="D472">
        <v>0</v>
      </c>
      <c r="E472">
        <v>0</v>
      </c>
      <c r="F472">
        <v>2.7397900000000002</v>
      </c>
      <c r="G472">
        <v>2.7397900000000002</v>
      </c>
      <c r="H472">
        <v>0</v>
      </c>
      <c r="I472">
        <v>0.51334500000000005</v>
      </c>
      <c r="J472">
        <v>5.3222399999999999</v>
      </c>
      <c r="K472" s="2">
        <v>47389100</v>
      </c>
      <c r="L472" s="1">
        <v>0</v>
      </c>
      <c r="M472" s="1">
        <v>0</v>
      </c>
      <c r="N472" s="1">
        <v>0</v>
      </c>
      <c r="O472" s="1">
        <v>0</v>
      </c>
      <c r="P472" s="2">
        <v>4095920</v>
      </c>
      <c r="Q472" s="1">
        <v>281656</v>
      </c>
      <c r="R472" s="1">
        <v>0</v>
      </c>
      <c r="S472">
        <v>98.412800000000004</v>
      </c>
      <c r="T472">
        <v>98.274000000000001</v>
      </c>
      <c r="U472">
        <v>11.514699999999999</v>
      </c>
      <c r="V472">
        <v>0</v>
      </c>
      <c r="W472">
        <v>0</v>
      </c>
      <c r="X472">
        <v>1.5892500000000001</v>
      </c>
      <c r="Y472">
        <v>1.5892500000000001</v>
      </c>
      <c r="Z472">
        <v>0</v>
      </c>
      <c r="AA472">
        <v>1.22763</v>
      </c>
      <c r="AB472">
        <v>2.9635199999999999</v>
      </c>
      <c r="AC472" s="2">
        <v>230047000</v>
      </c>
      <c r="AD472" s="1">
        <v>0</v>
      </c>
      <c r="AE472" s="1">
        <v>0</v>
      </c>
      <c r="AF472" s="1">
        <v>0</v>
      </c>
      <c r="AG472" s="1">
        <v>0</v>
      </c>
      <c r="AH472" s="2">
        <v>4111760</v>
      </c>
      <c r="AI472" s="1">
        <v>134027</v>
      </c>
      <c r="AJ472" s="1">
        <v>0</v>
      </c>
      <c r="AK472" s="8">
        <f t="shared" si="31"/>
        <v>3</v>
      </c>
      <c r="AL472" s="8">
        <f t="shared" si="30"/>
        <v>10</v>
      </c>
      <c r="AM472">
        <f t="shared" si="28"/>
        <v>0</v>
      </c>
      <c r="AN472">
        <f t="shared" si="29"/>
        <v>0</v>
      </c>
    </row>
    <row r="473" spans="1:40" x14ac:dyDescent="0.35">
      <c r="A473">
        <v>85.138999999999996</v>
      </c>
      <c r="B473">
        <v>85.138999999999996</v>
      </c>
      <c r="C473">
        <v>6.9963800000000003</v>
      </c>
      <c r="D473">
        <v>0</v>
      </c>
      <c r="E473">
        <v>0</v>
      </c>
      <c r="F473">
        <v>2.7402899999999999</v>
      </c>
      <c r="G473">
        <v>2.7402899999999999</v>
      </c>
      <c r="H473">
        <v>0</v>
      </c>
      <c r="I473">
        <v>0.51343799999999995</v>
      </c>
      <c r="J473">
        <v>5.3222399999999999</v>
      </c>
      <c r="K473" s="2">
        <v>47670800</v>
      </c>
      <c r="L473" s="1">
        <v>0</v>
      </c>
      <c r="M473" s="1">
        <v>0</v>
      </c>
      <c r="N473" s="1">
        <v>0</v>
      </c>
      <c r="O473" s="1">
        <v>0</v>
      </c>
      <c r="P473" s="2">
        <v>4096670</v>
      </c>
      <c r="Q473" s="1">
        <v>281707</v>
      </c>
      <c r="R473" s="1">
        <v>0</v>
      </c>
      <c r="S473">
        <v>99.302199999999999</v>
      </c>
      <c r="T473">
        <v>98.274000000000001</v>
      </c>
      <c r="U473">
        <v>6.36965</v>
      </c>
      <c r="V473">
        <v>0</v>
      </c>
      <c r="W473">
        <v>0</v>
      </c>
      <c r="X473">
        <v>1.5895300000000001</v>
      </c>
      <c r="Y473">
        <v>1.5895300000000001</v>
      </c>
      <c r="Z473">
        <v>0</v>
      </c>
      <c r="AA473">
        <v>1.2278500000000001</v>
      </c>
      <c r="AB473">
        <v>2.9635199999999999</v>
      </c>
      <c r="AC473" s="2">
        <v>230181000</v>
      </c>
      <c r="AD473" s="1">
        <v>0</v>
      </c>
      <c r="AE473" s="1">
        <v>0</v>
      </c>
      <c r="AF473" s="1">
        <v>0</v>
      </c>
      <c r="AG473" s="1">
        <v>0</v>
      </c>
      <c r="AH473" s="2">
        <v>4112500</v>
      </c>
      <c r="AI473" s="1">
        <v>134052</v>
      </c>
      <c r="AJ473" s="1">
        <v>0</v>
      </c>
      <c r="AK473" s="8">
        <f t="shared" si="31"/>
        <v>4</v>
      </c>
      <c r="AL473" s="8">
        <f t="shared" si="30"/>
        <v>10</v>
      </c>
      <c r="AM473">
        <f t="shared" si="28"/>
        <v>0</v>
      </c>
      <c r="AN473">
        <f t="shared" si="29"/>
        <v>0</v>
      </c>
    </row>
    <row r="474" spans="1:40" x14ac:dyDescent="0.35">
      <c r="A474">
        <v>85.138999999999996</v>
      </c>
      <c r="B474">
        <v>85.138999999999996</v>
      </c>
      <c r="C474">
        <v>5.0223800000000001</v>
      </c>
      <c r="D474">
        <v>0</v>
      </c>
      <c r="E474">
        <v>0</v>
      </c>
      <c r="F474">
        <v>2.7407900000000001</v>
      </c>
      <c r="G474">
        <v>2.7407900000000001</v>
      </c>
      <c r="H474">
        <v>0</v>
      </c>
      <c r="I474">
        <v>0.51353099999999996</v>
      </c>
      <c r="J474">
        <v>5.3222399999999999</v>
      </c>
      <c r="K474" s="2">
        <v>47952600</v>
      </c>
      <c r="L474" s="1">
        <v>0</v>
      </c>
      <c r="M474" s="1">
        <v>0</v>
      </c>
      <c r="N474" s="1">
        <v>0</v>
      </c>
      <c r="O474" s="1">
        <v>0</v>
      </c>
      <c r="P474" s="2">
        <v>4097410</v>
      </c>
      <c r="Q474" s="1">
        <v>281758</v>
      </c>
      <c r="R474" s="1">
        <v>0</v>
      </c>
      <c r="S474">
        <v>99.302199999999999</v>
      </c>
      <c r="T474">
        <v>98.274000000000001</v>
      </c>
      <c r="U474">
        <v>4.9359700000000002</v>
      </c>
      <c r="V474">
        <v>0</v>
      </c>
      <c r="W474">
        <v>0</v>
      </c>
      <c r="X474">
        <v>1.58982</v>
      </c>
      <c r="Y474">
        <v>1.58982</v>
      </c>
      <c r="Z474">
        <v>0</v>
      </c>
      <c r="AA474">
        <v>1.22807</v>
      </c>
      <c r="AB474">
        <v>2.9635199999999999</v>
      </c>
      <c r="AC474" s="2">
        <v>230315000</v>
      </c>
      <c r="AD474" s="1">
        <v>0</v>
      </c>
      <c r="AE474" s="1">
        <v>0</v>
      </c>
      <c r="AF474" s="1">
        <v>0</v>
      </c>
      <c r="AG474" s="1">
        <v>0</v>
      </c>
      <c r="AH474" s="2">
        <v>4113250</v>
      </c>
      <c r="AI474" s="1">
        <v>134076</v>
      </c>
      <c r="AJ474" s="1">
        <v>0</v>
      </c>
      <c r="AK474" s="8">
        <f t="shared" si="31"/>
        <v>5</v>
      </c>
      <c r="AL474" s="8">
        <f t="shared" si="30"/>
        <v>10</v>
      </c>
      <c r="AM474">
        <f t="shared" si="28"/>
        <v>0</v>
      </c>
      <c r="AN474">
        <f t="shared" si="29"/>
        <v>0</v>
      </c>
    </row>
    <row r="475" spans="1:40" x14ac:dyDescent="0.35">
      <c r="A475">
        <v>85.138999999999996</v>
      </c>
      <c r="B475">
        <v>85.138999999999996</v>
      </c>
      <c r="C475">
        <v>5.9675500000000001</v>
      </c>
      <c r="D475">
        <v>0</v>
      </c>
      <c r="E475">
        <v>0</v>
      </c>
      <c r="F475">
        <v>3.0086599999999999</v>
      </c>
      <c r="G475">
        <v>3.0086599999999999</v>
      </c>
      <c r="H475">
        <v>0</v>
      </c>
      <c r="I475">
        <v>0.51362399999999997</v>
      </c>
      <c r="J475">
        <v>5.3222399999999999</v>
      </c>
      <c r="K475" s="2">
        <v>48261900</v>
      </c>
      <c r="L475" s="1">
        <v>0</v>
      </c>
      <c r="M475" s="1">
        <v>0</v>
      </c>
      <c r="N475" s="1">
        <v>0</v>
      </c>
      <c r="O475" s="1">
        <v>0</v>
      </c>
      <c r="P475" s="2">
        <v>4497870</v>
      </c>
      <c r="Q475" s="1">
        <v>309296</v>
      </c>
      <c r="R475" s="1">
        <v>0</v>
      </c>
      <c r="S475">
        <v>99.302199999999999</v>
      </c>
      <c r="T475">
        <v>98.274000000000001</v>
      </c>
      <c r="U475">
        <v>5.8960699999999999</v>
      </c>
      <c r="V475">
        <v>0</v>
      </c>
      <c r="W475">
        <v>0</v>
      </c>
      <c r="X475">
        <v>1.7770699999999999</v>
      </c>
      <c r="Y475">
        <v>1.7770699999999999</v>
      </c>
      <c r="Z475">
        <v>0</v>
      </c>
      <c r="AA475">
        <v>1.2282999999999999</v>
      </c>
      <c r="AB475">
        <v>2.9635199999999999</v>
      </c>
      <c r="AC475" s="2">
        <v>230465000</v>
      </c>
      <c r="AD475" s="1">
        <v>0</v>
      </c>
      <c r="AE475" s="1">
        <v>0</v>
      </c>
      <c r="AF475" s="1">
        <v>0</v>
      </c>
      <c r="AG475" s="1">
        <v>0</v>
      </c>
      <c r="AH475" s="2">
        <v>4597710</v>
      </c>
      <c r="AI475" s="1">
        <v>149868</v>
      </c>
      <c r="AJ475" s="1">
        <v>0</v>
      </c>
      <c r="AK475" s="8">
        <f t="shared" si="31"/>
        <v>6</v>
      </c>
      <c r="AL475" s="8">
        <f t="shared" si="30"/>
        <v>10</v>
      </c>
      <c r="AM475">
        <f t="shared" si="28"/>
        <v>0</v>
      </c>
      <c r="AN475">
        <f t="shared" si="29"/>
        <v>0</v>
      </c>
    </row>
    <row r="476" spans="1:40" x14ac:dyDescent="0.35">
      <c r="A476">
        <v>85.138999999999996</v>
      </c>
      <c r="B476">
        <v>85.138999999999996</v>
      </c>
      <c r="C476">
        <v>16.694199999999999</v>
      </c>
      <c r="D476">
        <v>0</v>
      </c>
      <c r="E476">
        <v>0</v>
      </c>
      <c r="F476">
        <v>3.0092099999999999</v>
      </c>
      <c r="G476">
        <v>3.0092099999999999</v>
      </c>
      <c r="H476">
        <v>0</v>
      </c>
      <c r="I476">
        <v>0.56382299999999996</v>
      </c>
      <c r="J476">
        <v>5.3222399999999999</v>
      </c>
      <c r="K476" s="2">
        <v>48571200</v>
      </c>
      <c r="L476" s="1">
        <v>0</v>
      </c>
      <c r="M476" s="1">
        <v>0</v>
      </c>
      <c r="N476" s="1">
        <v>0</v>
      </c>
      <c r="O476" s="1">
        <v>0</v>
      </c>
      <c r="P476" s="2">
        <v>4498690</v>
      </c>
      <c r="Q476" s="1">
        <v>309352</v>
      </c>
      <c r="R476" s="1">
        <v>0</v>
      </c>
      <c r="S476">
        <v>99.302199999999999</v>
      </c>
      <c r="T476">
        <v>98.274000000000001</v>
      </c>
      <c r="U476">
        <v>13.8171</v>
      </c>
      <c r="V476">
        <v>0</v>
      </c>
      <c r="W476">
        <v>0</v>
      </c>
      <c r="X476">
        <v>1.77739</v>
      </c>
      <c r="Y476">
        <v>1.77739</v>
      </c>
      <c r="Z476">
        <v>0</v>
      </c>
      <c r="AA476">
        <v>1.37297</v>
      </c>
      <c r="AB476">
        <v>2.9635199999999999</v>
      </c>
      <c r="AC476" s="2">
        <v>230615000</v>
      </c>
      <c r="AD476" s="1">
        <v>0</v>
      </c>
      <c r="AE476" s="1">
        <v>0</v>
      </c>
      <c r="AF476" s="1">
        <v>0</v>
      </c>
      <c r="AG476" s="1">
        <v>0</v>
      </c>
      <c r="AH476" s="2">
        <v>4598540</v>
      </c>
      <c r="AI476" s="1">
        <v>149895</v>
      </c>
      <c r="AJ476" s="1">
        <v>0</v>
      </c>
      <c r="AK476" s="8">
        <f t="shared" si="31"/>
        <v>7</v>
      </c>
      <c r="AL476" s="8">
        <f t="shared" si="30"/>
        <v>10</v>
      </c>
      <c r="AM476">
        <f t="shared" si="28"/>
        <v>0</v>
      </c>
      <c r="AN476">
        <f t="shared" si="29"/>
        <v>0</v>
      </c>
    </row>
    <row r="477" spans="1:40" x14ac:dyDescent="0.35">
      <c r="A477">
        <v>85.138999999999996</v>
      </c>
      <c r="B477">
        <v>85.138999999999996</v>
      </c>
      <c r="C477">
        <v>8.1974</v>
      </c>
      <c r="D477">
        <v>0</v>
      </c>
      <c r="E477">
        <v>0</v>
      </c>
      <c r="F477">
        <v>3.0097499999999999</v>
      </c>
      <c r="G477">
        <v>3.0097499999999999</v>
      </c>
      <c r="H477">
        <v>0</v>
      </c>
      <c r="I477">
        <v>0.56392500000000001</v>
      </c>
      <c r="J477">
        <v>5.3222399999999999</v>
      </c>
      <c r="K477" s="2">
        <v>48880600</v>
      </c>
      <c r="L477" s="1">
        <v>0</v>
      </c>
      <c r="M477" s="1">
        <v>0</v>
      </c>
      <c r="N477" s="1">
        <v>0</v>
      </c>
      <c r="O477" s="1">
        <v>0</v>
      </c>
      <c r="P477" s="2">
        <v>4499500</v>
      </c>
      <c r="Q477" s="1">
        <v>309408</v>
      </c>
      <c r="R477" s="1">
        <v>0</v>
      </c>
      <c r="S477">
        <v>99.302199999999999</v>
      </c>
      <c r="T477">
        <v>98.274000000000001</v>
      </c>
      <c r="U477">
        <v>7.4346699999999997</v>
      </c>
      <c r="V477">
        <v>0</v>
      </c>
      <c r="W477">
        <v>0</v>
      </c>
      <c r="X477">
        <v>1.77772</v>
      </c>
      <c r="Y477">
        <v>1.77772</v>
      </c>
      <c r="Z477">
        <v>0</v>
      </c>
      <c r="AA477">
        <v>1.3732200000000001</v>
      </c>
      <c r="AB477">
        <v>2.9635199999999999</v>
      </c>
      <c r="AC477" s="2">
        <v>230765000</v>
      </c>
      <c r="AD477" s="1">
        <v>0</v>
      </c>
      <c r="AE477" s="1">
        <v>0</v>
      </c>
      <c r="AF477" s="1">
        <v>0</v>
      </c>
      <c r="AG477" s="1">
        <v>0</v>
      </c>
      <c r="AH477" s="2">
        <v>4599380</v>
      </c>
      <c r="AI477" s="1">
        <v>149922</v>
      </c>
      <c r="AJ477" s="1">
        <v>0</v>
      </c>
      <c r="AK477" s="8">
        <f t="shared" si="31"/>
        <v>8</v>
      </c>
      <c r="AL477" s="8">
        <f t="shared" si="30"/>
        <v>10</v>
      </c>
      <c r="AM477">
        <f t="shared" si="28"/>
        <v>0</v>
      </c>
      <c r="AN477">
        <f t="shared" si="29"/>
        <v>0</v>
      </c>
    </row>
    <row r="478" spans="1:40" x14ac:dyDescent="0.35">
      <c r="A478">
        <v>85.138999999999996</v>
      </c>
      <c r="B478">
        <v>85.138999999999996</v>
      </c>
      <c r="C478">
        <v>5.6785699999999997</v>
      </c>
      <c r="D478">
        <v>0</v>
      </c>
      <c r="E478">
        <v>0</v>
      </c>
      <c r="F478">
        <v>3.0103</v>
      </c>
      <c r="G478">
        <v>3.0103</v>
      </c>
      <c r="H478">
        <v>0</v>
      </c>
      <c r="I478">
        <v>0.56402799999999997</v>
      </c>
      <c r="J478">
        <v>5.3222399999999999</v>
      </c>
      <c r="K478" s="2">
        <v>49190100</v>
      </c>
      <c r="L478" s="1">
        <v>0</v>
      </c>
      <c r="M478" s="1">
        <v>0</v>
      </c>
      <c r="N478" s="1">
        <v>0</v>
      </c>
      <c r="O478" s="1">
        <v>0</v>
      </c>
      <c r="P478" s="2">
        <v>4500320</v>
      </c>
      <c r="Q478" s="1">
        <v>309464</v>
      </c>
      <c r="R478" s="1">
        <v>0</v>
      </c>
      <c r="S478">
        <v>99.302199999999999</v>
      </c>
      <c r="T478">
        <v>98.274000000000001</v>
      </c>
      <c r="U478">
        <v>6.0653699999999997</v>
      </c>
      <c r="V478">
        <v>0</v>
      </c>
      <c r="W478">
        <v>0</v>
      </c>
      <c r="X478">
        <v>1.7780400000000001</v>
      </c>
      <c r="Y478">
        <v>1.7780400000000001</v>
      </c>
      <c r="Z478">
        <v>0</v>
      </c>
      <c r="AA478">
        <v>1.3734599999999999</v>
      </c>
      <c r="AB478">
        <v>2.9635199999999999</v>
      </c>
      <c r="AC478" s="2">
        <v>230915000</v>
      </c>
      <c r="AD478" s="1">
        <v>0</v>
      </c>
      <c r="AE478" s="1">
        <v>0</v>
      </c>
      <c r="AF478" s="1">
        <v>0</v>
      </c>
      <c r="AG478" s="1">
        <v>0</v>
      </c>
      <c r="AH478" s="2">
        <v>4600210</v>
      </c>
      <c r="AI478" s="1">
        <v>149949</v>
      </c>
      <c r="AJ478" s="1">
        <v>0</v>
      </c>
      <c r="AK478" s="8">
        <f t="shared" si="31"/>
        <v>9</v>
      </c>
      <c r="AL478" s="8">
        <f t="shared" si="30"/>
        <v>10</v>
      </c>
      <c r="AM478">
        <f t="shared" si="28"/>
        <v>0</v>
      </c>
      <c r="AN478">
        <f t="shared" si="29"/>
        <v>0</v>
      </c>
    </row>
    <row r="479" spans="1:40" x14ac:dyDescent="0.35">
      <c r="A479">
        <v>85.138999999999996</v>
      </c>
      <c r="B479">
        <v>85.138999999999996</v>
      </c>
      <c r="C479">
        <v>5.7848699999999997</v>
      </c>
      <c r="D479">
        <v>0</v>
      </c>
      <c r="E479">
        <v>0</v>
      </c>
      <c r="F479">
        <v>2.6292</v>
      </c>
      <c r="G479">
        <v>2.6292</v>
      </c>
      <c r="H479">
        <v>0</v>
      </c>
      <c r="I479">
        <v>0.56413000000000002</v>
      </c>
      <c r="J479">
        <v>5.3222399999999999</v>
      </c>
      <c r="K479" s="2">
        <v>49460400</v>
      </c>
      <c r="L479" s="1">
        <v>0</v>
      </c>
      <c r="M479" s="1">
        <v>0</v>
      </c>
      <c r="N479" s="1">
        <v>0</v>
      </c>
      <c r="O479" s="1">
        <v>0</v>
      </c>
      <c r="P479" s="2">
        <v>3930590</v>
      </c>
      <c r="Q479" s="1">
        <v>270287</v>
      </c>
      <c r="R479" s="1">
        <v>0</v>
      </c>
      <c r="S479">
        <v>99.302199999999999</v>
      </c>
      <c r="T479">
        <v>98.274000000000001</v>
      </c>
      <c r="U479">
        <v>8.0259699999999992</v>
      </c>
      <c r="V479">
        <v>0</v>
      </c>
      <c r="W479">
        <v>0</v>
      </c>
      <c r="X479">
        <v>1.5272699999999999</v>
      </c>
      <c r="Y479">
        <v>1.5272699999999999</v>
      </c>
      <c r="Z479">
        <v>0</v>
      </c>
      <c r="AA479">
        <v>1.37371</v>
      </c>
      <c r="AB479">
        <v>2.9635199999999999</v>
      </c>
      <c r="AC479" s="2">
        <v>231044000</v>
      </c>
      <c r="AD479" s="1">
        <v>0</v>
      </c>
      <c r="AE479" s="1">
        <v>0</v>
      </c>
      <c r="AF479" s="1">
        <v>0</v>
      </c>
      <c r="AG479" s="1">
        <v>0</v>
      </c>
      <c r="AH479" s="2">
        <v>3951420</v>
      </c>
      <c r="AI479" s="1">
        <v>128801</v>
      </c>
      <c r="AJ479" s="1">
        <v>0</v>
      </c>
      <c r="AK479" s="8">
        <f t="shared" si="31"/>
        <v>10</v>
      </c>
      <c r="AL479" s="8">
        <f t="shared" si="30"/>
        <v>10</v>
      </c>
      <c r="AM479">
        <f t="shared" si="28"/>
        <v>0</v>
      </c>
      <c r="AN479">
        <f t="shared" si="29"/>
        <v>0</v>
      </c>
    </row>
    <row r="480" spans="1:40" x14ac:dyDescent="0.35">
      <c r="A480">
        <v>85.138999999999996</v>
      </c>
      <c r="B480">
        <v>85.138999999999996</v>
      </c>
      <c r="C480">
        <v>5.9864499999999996</v>
      </c>
      <c r="D480">
        <v>0</v>
      </c>
      <c r="E480">
        <v>0</v>
      </c>
      <c r="F480">
        <v>2.62968</v>
      </c>
      <c r="G480">
        <v>2.62968</v>
      </c>
      <c r="H480">
        <v>0</v>
      </c>
      <c r="I480">
        <v>0.49271199999999998</v>
      </c>
      <c r="J480">
        <v>5.3222399999999999</v>
      </c>
      <c r="K480" s="2">
        <v>49730700</v>
      </c>
      <c r="L480" s="1">
        <v>0</v>
      </c>
      <c r="M480" s="1">
        <v>0</v>
      </c>
      <c r="N480" s="1">
        <v>0</v>
      </c>
      <c r="O480" s="1">
        <v>0</v>
      </c>
      <c r="P480" s="2">
        <v>3931300</v>
      </c>
      <c r="Q480" s="1">
        <v>270336</v>
      </c>
      <c r="R480" s="1">
        <v>0</v>
      </c>
      <c r="S480">
        <v>99.302199999999999</v>
      </c>
      <c r="T480">
        <v>98.274000000000001</v>
      </c>
      <c r="U480">
        <v>6.5464000000000002</v>
      </c>
      <c r="V480">
        <v>0</v>
      </c>
      <c r="W480">
        <v>0</v>
      </c>
      <c r="X480">
        <v>1.52755</v>
      </c>
      <c r="Y480">
        <v>1.52755</v>
      </c>
      <c r="Z480">
        <v>0</v>
      </c>
      <c r="AA480">
        <v>1.17997</v>
      </c>
      <c r="AB480">
        <v>2.9635199999999999</v>
      </c>
      <c r="AC480" s="2">
        <v>231172000</v>
      </c>
      <c r="AD480" s="1">
        <v>0</v>
      </c>
      <c r="AE480" s="1">
        <v>0</v>
      </c>
      <c r="AF480" s="1">
        <v>0</v>
      </c>
      <c r="AG480" s="1">
        <v>0</v>
      </c>
      <c r="AH480" s="2">
        <v>3952130</v>
      </c>
      <c r="AI480" s="1">
        <v>128824</v>
      </c>
      <c r="AJ480" s="1">
        <v>0</v>
      </c>
      <c r="AK480" s="8">
        <f t="shared" si="31"/>
        <v>11</v>
      </c>
      <c r="AL480" s="8">
        <f t="shared" si="30"/>
        <v>10</v>
      </c>
      <c r="AM480">
        <f t="shared" si="28"/>
        <v>0</v>
      </c>
      <c r="AN480">
        <f t="shared" si="29"/>
        <v>0</v>
      </c>
    </row>
    <row r="481" spans="1:40" x14ac:dyDescent="0.35">
      <c r="A481">
        <v>85.138999999999996</v>
      </c>
      <c r="B481">
        <v>85.138999999999996</v>
      </c>
      <c r="C481">
        <v>6.1406000000000001</v>
      </c>
      <c r="D481">
        <v>0</v>
      </c>
      <c r="E481">
        <v>0</v>
      </c>
      <c r="F481">
        <v>2.63015</v>
      </c>
      <c r="G481">
        <v>2.63015</v>
      </c>
      <c r="H481">
        <v>0</v>
      </c>
      <c r="I481">
        <v>0.49280099999999999</v>
      </c>
      <c r="J481">
        <v>5.3222399999999999</v>
      </c>
      <c r="K481" s="2">
        <v>50001100</v>
      </c>
      <c r="L481" s="1">
        <v>0</v>
      </c>
      <c r="M481" s="1">
        <v>0</v>
      </c>
      <c r="N481" s="1">
        <v>0</v>
      </c>
      <c r="O481" s="1">
        <v>0</v>
      </c>
      <c r="P481" s="2">
        <v>3932010</v>
      </c>
      <c r="Q481" s="1">
        <v>270385</v>
      </c>
      <c r="R481" s="1">
        <v>0</v>
      </c>
      <c r="S481">
        <v>99.302199999999999</v>
      </c>
      <c r="T481">
        <v>98.274000000000001</v>
      </c>
      <c r="U481">
        <v>7.0273199999999996</v>
      </c>
      <c r="V481">
        <v>0</v>
      </c>
      <c r="W481">
        <v>0</v>
      </c>
      <c r="X481">
        <v>1.52783</v>
      </c>
      <c r="Y481">
        <v>1.52783</v>
      </c>
      <c r="Z481">
        <v>0</v>
      </c>
      <c r="AA481">
        <v>1.18018</v>
      </c>
      <c r="AB481">
        <v>2.9635199999999999</v>
      </c>
      <c r="AC481" s="2">
        <v>231301000</v>
      </c>
      <c r="AD481" s="1">
        <v>0</v>
      </c>
      <c r="AE481" s="1">
        <v>0</v>
      </c>
      <c r="AF481" s="1">
        <v>0</v>
      </c>
      <c r="AG481" s="1">
        <v>0</v>
      </c>
      <c r="AH481" s="2">
        <v>3952850</v>
      </c>
      <c r="AI481" s="1">
        <v>128848</v>
      </c>
      <c r="AJ481" s="1">
        <v>0</v>
      </c>
      <c r="AK481" s="8">
        <f t="shared" si="31"/>
        <v>12</v>
      </c>
      <c r="AL481" s="8">
        <f t="shared" si="30"/>
        <v>10</v>
      </c>
      <c r="AM481">
        <f t="shared" si="28"/>
        <v>0</v>
      </c>
      <c r="AN481">
        <f t="shared" si="29"/>
        <v>0</v>
      </c>
    </row>
    <row r="482" spans="1:40" x14ac:dyDescent="0.35">
      <c r="A482">
        <v>85.138999999999996</v>
      </c>
      <c r="B482">
        <v>85.138999999999996</v>
      </c>
      <c r="C482">
        <v>8.21373</v>
      </c>
      <c r="D482">
        <v>0</v>
      </c>
      <c r="E482">
        <v>0</v>
      </c>
      <c r="F482">
        <v>2.63063</v>
      </c>
      <c r="G482">
        <v>2.63063</v>
      </c>
      <c r="H482">
        <v>0</v>
      </c>
      <c r="I482">
        <v>0.49288999999999999</v>
      </c>
      <c r="J482">
        <v>5.3222399999999999</v>
      </c>
      <c r="K482" s="2">
        <v>50271500</v>
      </c>
      <c r="L482" s="1">
        <v>0</v>
      </c>
      <c r="M482" s="1">
        <v>0</v>
      </c>
      <c r="N482" s="1">
        <v>0</v>
      </c>
      <c r="O482" s="1">
        <v>0</v>
      </c>
      <c r="P482" s="2">
        <v>3932720</v>
      </c>
      <c r="Q482" s="1">
        <v>270434</v>
      </c>
      <c r="R482" s="1">
        <v>0</v>
      </c>
      <c r="S482">
        <v>99.302199999999999</v>
      </c>
      <c r="T482">
        <v>98.274000000000001</v>
      </c>
      <c r="U482">
        <v>7.7900799999999997</v>
      </c>
      <c r="V482">
        <v>0</v>
      </c>
      <c r="W482">
        <v>0</v>
      </c>
      <c r="X482">
        <v>1.5281</v>
      </c>
      <c r="Y482">
        <v>1.5281</v>
      </c>
      <c r="Z482">
        <v>0</v>
      </c>
      <c r="AA482">
        <v>1.1803999999999999</v>
      </c>
      <c r="AB482">
        <v>2.9635199999999999</v>
      </c>
      <c r="AC482" s="2">
        <v>231430000</v>
      </c>
      <c r="AD482" s="1">
        <v>0</v>
      </c>
      <c r="AE482" s="1">
        <v>0</v>
      </c>
      <c r="AF482" s="1">
        <v>0</v>
      </c>
      <c r="AG482" s="1">
        <v>0</v>
      </c>
      <c r="AH482" s="2">
        <v>3953560</v>
      </c>
      <c r="AI482" s="1">
        <v>128871</v>
      </c>
      <c r="AJ482" s="1">
        <v>0</v>
      </c>
      <c r="AK482" s="8">
        <f t="shared" si="31"/>
        <v>13</v>
      </c>
      <c r="AL482" s="8">
        <f t="shared" si="30"/>
        <v>10</v>
      </c>
      <c r="AM482">
        <f t="shared" si="28"/>
        <v>0</v>
      </c>
      <c r="AN482">
        <f t="shared" si="29"/>
        <v>0</v>
      </c>
    </row>
    <row r="483" spans="1:40" x14ac:dyDescent="0.35">
      <c r="A483">
        <v>85.138999999999996</v>
      </c>
      <c r="B483">
        <v>85.138999999999996</v>
      </c>
      <c r="C483">
        <v>9.1684599999999996</v>
      </c>
      <c r="D483">
        <v>0</v>
      </c>
      <c r="E483">
        <v>0</v>
      </c>
      <c r="F483">
        <v>2.6311</v>
      </c>
      <c r="G483">
        <v>2.6311</v>
      </c>
      <c r="H483">
        <v>0</v>
      </c>
      <c r="I483">
        <v>0.49297999999999997</v>
      </c>
      <c r="J483">
        <v>5.3222399999999999</v>
      </c>
      <c r="K483" s="2">
        <v>50542000</v>
      </c>
      <c r="L483" s="1">
        <v>0</v>
      </c>
      <c r="M483" s="1">
        <v>0</v>
      </c>
      <c r="N483" s="1">
        <v>0</v>
      </c>
      <c r="O483" s="1">
        <v>0</v>
      </c>
      <c r="P483" s="2">
        <v>3933430</v>
      </c>
      <c r="Q483" s="1">
        <v>270483</v>
      </c>
      <c r="R483" s="1">
        <v>0</v>
      </c>
      <c r="S483">
        <v>99.302199999999999</v>
      </c>
      <c r="T483">
        <v>98.274000000000001</v>
      </c>
      <c r="U483">
        <v>8.3714300000000001</v>
      </c>
      <c r="V483">
        <v>0</v>
      </c>
      <c r="W483">
        <v>0</v>
      </c>
      <c r="X483">
        <v>1.5283800000000001</v>
      </c>
      <c r="Y483">
        <v>1.5283800000000001</v>
      </c>
      <c r="Z483">
        <v>0</v>
      </c>
      <c r="AA483">
        <v>1.1806099999999999</v>
      </c>
      <c r="AB483">
        <v>2.9635199999999999</v>
      </c>
      <c r="AC483" s="2">
        <v>231559000</v>
      </c>
      <c r="AD483" s="1">
        <v>0</v>
      </c>
      <c r="AE483" s="1">
        <v>0</v>
      </c>
      <c r="AF483" s="1">
        <v>0</v>
      </c>
      <c r="AG483" s="1">
        <v>0</v>
      </c>
      <c r="AH483" s="2">
        <v>3954280</v>
      </c>
      <c r="AI483" s="1">
        <v>128894</v>
      </c>
      <c r="AJ483" s="1">
        <v>0</v>
      </c>
      <c r="AK483" s="8">
        <f t="shared" si="31"/>
        <v>14</v>
      </c>
      <c r="AL483" s="8">
        <f t="shared" si="30"/>
        <v>10</v>
      </c>
      <c r="AM483">
        <f t="shared" si="28"/>
        <v>0</v>
      </c>
      <c r="AN483">
        <f t="shared" si="29"/>
        <v>0</v>
      </c>
    </row>
    <row r="484" spans="1:40" x14ac:dyDescent="0.35">
      <c r="A484">
        <v>85.138999999999996</v>
      </c>
      <c r="B484">
        <v>85.138999999999996</v>
      </c>
      <c r="C484">
        <v>8.6162600000000005</v>
      </c>
      <c r="D484">
        <v>0</v>
      </c>
      <c r="E484">
        <v>0</v>
      </c>
      <c r="F484">
        <v>2.7277300000000002</v>
      </c>
      <c r="G484">
        <v>2.7277300000000002</v>
      </c>
      <c r="H484">
        <v>0</v>
      </c>
      <c r="I484">
        <v>0.49306899999999998</v>
      </c>
      <c r="J484">
        <v>5.3222399999999999</v>
      </c>
      <c r="K484" s="2">
        <v>50822400</v>
      </c>
      <c r="L484" s="1">
        <v>0</v>
      </c>
      <c r="M484" s="1">
        <v>0</v>
      </c>
      <c r="N484" s="1">
        <v>0</v>
      </c>
      <c r="O484" s="1">
        <v>0</v>
      </c>
      <c r="P484" s="2">
        <v>4077890</v>
      </c>
      <c r="Q484" s="1">
        <v>280416</v>
      </c>
      <c r="R484" s="1">
        <v>0</v>
      </c>
      <c r="S484">
        <v>99.302199999999999</v>
      </c>
      <c r="T484">
        <v>98.274000000000001</v>
      </c>
      <c r="U484">
        <v>10.4818</v>
      </c>
      <c r="V484">
        <v>0</v>
      </c>
      <c r="W484">
        <v>0</v>
      </c>
      <c r="X484">
        <v>1.5901400000000001</v>
      </c>
      <c r="Y484">
        <v>1.5901400000000001</v>
      </c>
      <c r="Z484">
        <v>0</v>
      </c>
      <c r="AA484">
        <v>1.18083</v>
      </c>
      <c r="AB484">
        <v>2.9635199999999999</v>
      </c>
      <c r="AC484" s="2">
        <v>231693000</v>
      </c>
      <c r="AD484" s="1">
        <v>0</v>
      </c>
      <c r="AE484" s="1">
        <v>0</v>
      </c>
      <c r="AF484" s="1">
        <v>0</v>
      </c>
      <c r="AG484" s="1">
        <v>0</v>
      </c>
      <c r="AH484" s="2">
        <v>4114060</v>
      </c>
      <c r="AI484" s="1">
        <v>134103</v>
      </c>
      <c r="AJ484" s="1">
        <v>0</v>
      </c>
      <c r="AK484" s="8">
        <f t="shared" si="31"/>
        <v>15</v>
      </c>
      <c r="AL484" s="8">
        <f t="shared" si="30"/>
        <v>10</v>
      </c>
      <c r="AM484">
        <f t="shared" si="28"/>
        <v>0</v>
      </c>
      <c r="AN484">
        <f t="shared" si="29"/>
        <v>0</v>
      </c>
    </row>
    <row r="485" spans="1:40" x14ac:dyDescent="0.35">
      <c r="A485">
        <v>85.138999999999996</v>
      </c>
      <c r="B485">
        <v>85.138999999999996</v>
      </c>
      <c r="C485">
        <v>8.7751199999999994</v>
      </c>
      <c r="D485">
        <v>0</v>
      </c>
      <c r="E485">
        <v>0</v>
      </c>
      <c r="F485">
        <v>2.7282299999999999</v>
      </c>
      <c r="G485">
        <v>2.7282299999999999</v>
      </c>
      <c r="H485">
        <v>0</v>
      </c>
      <c r="I485">
        <v>0.51117699999999999</v>
      </c>
      <c r="J485">
        <v>5.3222399999999999</v>
      </c>
      <c r="K485" s="2">
        <v>51102900</v>
      </c>
      <c r="L485" s="1">
        <v>0</v>
      </c>
      <c r="M485" s="1">
        <v>0</v>
      </c>
      <c r="N485" s="1">
        <v>0</v>
      </c>
      <c r="O485" s="1">
        <v>0</v>
      </c>
      <c r="P485" s="2">
        <v>4078630</v>
      </c>
      <c r="Q485" s="1">
        <v>280467</v>
      </c>
      <c r="R485" s="1">
        <v>0</v>
      </c>
      <c r="S485">
        <v>99.302199999999999</v>
      </c>
      <c r="T485">
        <v>98.274000000000001</v>
      </c>
      <c r="U485">
        <v>13.9442</v>
      </c>
      <c r="V485">
        <v>0</v>
      </c>
      <c r="W485">
        <v>0</v>
      </c>
      <c r="X485">
        <v>1.59043</v>
      </c>
      <c r="Y485">
        <v>1.59043</v>
      </c>
      <c r="Z485">
        <v>0</v>
      </c>
      <c r="AA485">
        <v>1.22854</v>
      </c>
      <c r="AB485">
        <v>2.9635199999999999</v>
      </c>
      <c r="AC485" s="2">
        <v>231827000</v>
      </c>
      <c r="AD485" s="1">
        <v>0</v>
      </c>
      <c r="AE485" s="1">
        <v>0</v>
      </c>
      <c r="AF485" s="1">
        <v>0</v>
      </c>
      <c r="AG485" s="1">
        <v>0</v>
      </c>
      <c r="AH485" s="2">
        <v>4114810</v>
      </c>
      <c r="AI485" s="1">
        <v>134127</v>
      </c>
      <c r="AJ485" s="1">
        <v>0</v>
      </c>
      <c r="AK485" s="8">
        <f t="shared" si="31"/>
        <v>16</v>
      </c>
      <c r="AL485" s="8">
        <f t="shared" si="30"/>
        <v>10</v>
      </c>
      <c r="AM485">
        <f t="shared" si="28"/>
        <v>0</v>
      </c>
      <c r="AN485">
        <f t="shared" si="29"/>
        <v>0</v>
      </c>
    </row>
    <row r="486" spans="1:40" x14ac:dyDescent="0.35">
      <c r="A486">
        <v>85.138999999999996</v>
      </c>
      <c r="B486">
        <v>85.138999999999996</v>
      </c>
      <c r="C486">
        <v>7.60128</v>
      </c>
      <c r="D486">
        <v>0</v>
      </c>
      <c r="E486">
        <v>0</v>
      </c>
      <c r="F486">
        <v>2.72872</v>
      </c>
      <c r="G486">
        <v>2.72872</v>
      </c>
      <c r="H486">
        <v>0</v>
      </c>
      <c r="I486">
        <v>0.51127</v>
      </c>
      <c r="J486">
        <v>5.3222399999999999</v>
      </c>
      <c r="K486" s="2">
        <v>51383400</v>
      </c>
      <c r="L486" s="1">
        <v>0</v>
      </c>
      <c r="M486" s="1">
        <v>0</v>
      </c>
      <c r="N486" s="1">
        <v>0</v>
      </c>
      <c r="O486" s="1">
        <v>0</v>
      </c>
      <c r="P486" s="2">
        <v>4079370</v>
      </c>
      <c r="Q486" s="1">
        <v>280518</v>
      </c>
      <c r="R486" s="1">
        <v>0</v>
      </c>
      <c r="S486">
        <v>99.302199999999999</v>
      </c>
      <c r="T486">
        <v>98.274000000000001</v>
      </c>
      <c r="U486">
        <v>11.101599999999999</v>
      </c>
      <c r="V486">
        <v>0</v>
      </c>
      <c r="W486">
        <v>0</v>
      </c>
      <c r="X486">
        <v>1.5907100000000001</v>
      </c>
      <c r="Y486">
        <v>1.5907100000000001</v>
      </c>
      <c r="Z486">
        <v>0</v>
      </c>
      <c r="AA486">
        <v>1.2287600000000001</v>
      </c>
      <c r="AB486">
        <v>2.9635199999999999</v>
      </c>
      <c r="AC486" s="2">
        <v>231961000</v>
      </c>
      <c r="AD486" s="1">
        <v>0</v>
      </c>
      <c r="AE486" s="1">
        <v>0</v>
      </c>
      <c r="AF486" s="1">
        <v>0</v>
      </c>
      <c r="AG486" s="1">
        <v>0</v>
      </c>
      <c r="AH486" s="2">
        <v>4115550</v>
      </c>
      <c r="AI486" s="1">
        <v>134151</v>
      </c>
      <c r="AJ486" s="1">
        <v>0</v>
      </c>
      <c r="AK486" s="8">
        <f t="shared" si="31"/>
        <v>17</v>
      </c>
      <c r="AL486" s="8">
        <f t="shared" si="30"/>
        <v>10</v>
      </c>
      <c r="AM486">
        <f t="shared" si="28"/>
        <v>0</v>
      </c>
      <c r="AN486">
        <f t="shared" si="29"/>
        <v>0</v>
      </c>
    </row>
    <row r="487" spans="1:40" x14ac:dyDescent="0.35">
      <c r="A487">
        <v>85.138999999999996</v>
      </c>
      <c r="B487">
        <v>85.138999999999996</v>
      </c>
      <c r="C487">
        <v>6.1087100000000003</v>
      </c>
      <c r="D487">
        <v>0</v>
      </c>
      <c r="E487">
        <v>0</v>
      </c>
      <c r="F487">
        <v>2.7292200000000002</v>
      </c>
      <c r="G487">
        <v>2.7292200000000002</v>
      </c>
      <c r="H487">
        <v>0</v>
      </c>
      <c r="I487">
        <v>0.51136199999999998</v>
      </c>
      <c r="J487">
        <v>5.3222399999999999</v>
      </c>
      <c r="K487" s="2">
        <v>51664000</v>
      </c>
      <c r="L487" s="1">
        <v>0</v>
      </c>
      <c r="M487" s="1">
        <v>0</v>
      </c>
      <c r="N487" s="1">
        <v>0</v>
      </c>
      <c r="O487" s="1">
        <v>0</v>
      </c>
      <c r="P487" s="2">
        <v>4080110</v>
      </c>
      <c r="Q487" s="1">
        <v>280569</v>
      </c>
      <c r="R487" s="1">
        <v>0</v>
      </c>
      <c r="S487">
        <v>99.302199999999999</v>
      </c>
      <c r="T487">
        <v>98.274000000000001</v>
      </c>
      <c r="U487">
        <v>8.3012999999999995</v>
      </c>
      <c r="V487">
        <v>0</v>
      </c>
      <c r="W487">
        <v>0</v>
      </c>
      <c r="X487">
        <v>1.591</v>
      </c>
      <c r="Y487">
        <v>1.591</v>
      </c>
      <c r="Z487">
        <v>0</v>
      </c>
      <c r="AA487">
        <v>1.22898</v>
      </c>
      <c r="AB487">
        <v>2.9635199999999999</v>
      </c>
      <c r="AC487" s="2">
        <v>232096000</v>
      </c>
      <c r="AD487" s="1">
        <v>0</v>
      </c>
      <c r="AE487" s="1">
        <v>0</v>
      </c>
      <c r="AF487" s="1">
        <v>0</v>
      </c>
      <c r="AG487" s="1">
        <v>0</v>
      </c>
      <c r="AH487" s="2">
        <v>4116300</v>
      </c>
      <c r="AI487" s="1">
        <v>134175</v>
      </c>
      <c r="AJ487" s="1">
        <v>0</v>
      </c>
      <c r="AK487" s="8">
        <f t="shared" si="31"/>
        <v>18</v>
      </c>
      <c r="AL487" s="8">
        <f t="shared" si="30"/>
        <v>10</v>
      </c>
      <c r="AM487">
        <f t="shared" si="28"/>
        <v>0</v>
      </c>
      <c r="AN487">
        <f t="shared" si="29"/>
        <v>0</v>
      </c>
    </row>
    <row r="488" spans="1:40" x14ac:dyDescent="0.35">
      <c r="A488">
        <v>85.138999999999996</v>
      </c>
      <c r="B488">
        <v>85.138999999999996</v>
      </c>
      <c r="C488">
        <v>5.1818499999999998</v>
      </c>
      <c r="D488">
        <v>0</v>
      </c>
      <c r="E488">
        <v>0</v>
      </c>
      <c r="F488">
        <v>2.6920899999999999</v>
      </c>
      <c r="G488">
        <v>2.6920899999999999</v>
      </c>
      <c r="H488">
        <v>0</v>
      </c>
      <c r="I488">
        <v>0.51145499999999999</v>
      </c>
      <c r="J488">
        <v>5.3222399999999999</v>
      </c>
      <c r="K488" s="2">
        <v>51940800</v>
      </c>
      <c r="L488" s="1">
        <v>0</v>
      </c>
      <c r="M488" s="1">
        <v>0</v>
      </c>
      <c r="N488" s="1">
        <v>0</v>
      </c>
      <c r="O488" s="1">
        <v>0</v>
      </c>
      <c r="P488" s="2">
        <v>4024600</v>
      </c>
      <c r="Q488" s="1">
        <v>276752</v>
      </c>
      <c r="R488" s="1">
        <v>0</v>
      </c>
      <c r="S488">
        <v>99.302199999999999</v>
      </c>
      <c r="T488">
        <v>98.274000000000001</v>
      </c>
      <c r="U488">
        <v>6.6454599999999999</v>
      </c>
      <c r="V488">
        <v>0</v>
      </c>
      <c r="W488">
        <v>0</v>
      </c>
      <c r="X488">
        <v>1.5673900000000001</v>
      </c>
      <c r="Y488">
        <v>1.5673900000000001</v>
      </c>
      <c r="Z488">
        <v>0</v>
      </c>
      <c r="AA488">
        <v>1.2292099999999999</v>
      </c>
      <c r="AB488">
        <v>2.9635199999999999</v>
      </c>
      <c r="AC488" s="2">
        <v>232228000</v>
      </c>
      <c r="AD488" s="1">
        <v>0</v>
      </c>
      <c r="AE488" s="1">
        <v>0</v>
      </c>
      <c r="AF488" s="1">
        <v>0</v>
      </c>
      <c r="AG488" s="1">
        <v>0</v>
      </c>
      <c r="AH488" s="2">
        <v>4055220</v>
      </c>
      <c r="AI488" s="1">
        <v>132185</v>
      </c>
      <c r="AJ488" s="1">
        <v>0</v>
      </c>
      <c r="AK488" s="8">
        <f t="shared" si="31"/>
        <v>19</v>
      </c>
      <c r="AL488" s="8">
        <f t="shared" si="30"/>
        <v>10</v>
      </c>
      <c r="AM488">
        <f t="shared" si="28"/>
        <v>0</v>
      </c>
      <c r="AN488">
        <f t="shared" si="29"/>
        <v>0</v>
      </c>
    </row>
    <row r="489" spans="1:40" x14ac:dyDescent="0.35">
      <c r="A489">
        <v>85.138999999999996</v>
      </c>
      <c r="B489">
        <v>85.138999999999996</v>
      </c>
      <c r="C489">
        <v>4.5882699999999996</v>
      </c>
      <c r="D489">
        <v>0</v>
      </c>
      <c r="E489">
        <v>0</v>
      </c>
      <c r="F489">
        <v>2.69258</v>
      </c>
      <c r="G489">
        <v>2.69258</v>
      </c>
      <c r="H489">
        <v>0</v>
      </c>
      <c r="I489">
        <v>0.50449699999999997</v>
      </c>
      <c r="J489">
        <v>5.3222399999999999</v>
      </c>
      <c r="K489" s="2">
        <v>52217600</v>
      </c>
      <c r="L489" s="1">
        <v>0</v>
      </c>
      <c r="M489" s="1">
        <v>0</v>
      </c>
      <c r="N489" s="1">
        <v>0</v>
      </c>
      <c r="O489" s="1">
        <v>0</v>
      </c>
      <c r="P489" s="2">
        <v>4025330</v>
      </c>
      <c r="Q489" s="1">
        <v>276802</v>
      </c>
      <c r="R489" s="1">
        <v>0</v>
      </c>
      <c r="S489">
        <v>99.302199999999999</v>
      </c>
      <c r="T489">
        <v>98.274000000000001</v>
      </c>
      <c r="U489">
        <v>6.3126199999999999</v>
      </c>
      <c r="V489">
        <v>0</v>
      </c>
      <c r="W489">
        <v>0</v>
      </c>
      <c r="X489">
        <v>1.56768</v>
      </c>
      <c r="Y489">
        <v>1.56768</v>
      </c>
      <c r="Z489">
        <v>0</v>
      </c>
      <c r="AA489">
        <v>1.2109700000000001</v>
      </c>
      <c r="AB489">
        <v>2.9635199999999999</v>
      </c>
      <c r="AC489" s="2">
        <v>232360000</v>
      </c>
      <c r="AD489" s="1">
        <v>0</v>
      </c>
      <c r="AE489" s="1">
        <v>0</v>
      </c>
      <c r="AF489" s="1">
        <v>0</v>
      </c>
      <c r="AG489" s="1">
        <v>0</v>
      </c>
      <c r="AH489" s="2">
        <v>4055950</v>
      </c>
      <c r="AI489" s="1">
        <v>132208</v>
      </c>
      <c r="AJ489" s="1">
        <v>0</v>
      </c>
      <c r="AK489" s="8">
        <f t="shared" si="31"/>
        <v>20</v>
      </c>
      <c r="AL489" s="8">
        <f t="shared" si="30"/>
        <v>10</v>
      </c>
      <c r="AM489">
        <f t="shared" si="28"/>
        <v>0</v>
      </c>
      <c r="AN489">
        <f t="shared" si="29"/>
        <v>0</v>
      </c>
    </row>
    <row r="490" spans="1:40" x14ac:dyDescent="0.35">
      <c r="A490">
        <v>85.138999999999996</v>
      </c>
      <c r="B490">
        <v>85.138999999999996</v>
      </c>
      <c r="C490">
        <v>4.3290800000000003</v>
      </c>
      <c r="D490">
        <v>0</v>
      </c>
      <c r="E490">
        <v>0</v>
      </c>
      <c r="F490">
        <v>2.69306</v>
      </c>
      <c r="G490">
        <v>2.69306</v>
      </c>
      <c r="H490">
        <v>0</v>
      </c>
      <c r="I490">
        <v>0.50458899999999995</v>
      </c>
      <c r="J490">
        <v>5.3222399999999999</v>
      </c>
      <c r="K490" s="2">
        <v>52494400</v>
      </c>
      <c r="L490" s="1">
        <v>0</v>
      </c>
      <c r="M490" s="1">
        <v>0</v>
      </c>
      <c r="N490" s="1">
        <v>0</v>
      </c>
      <c r="O490" s="1">
        <v>0</v>
      </c>
      <c r="P490" s="2">
        <v>4026060</v>
      </c>
      <c r="Q490" s="1">
        <v>276852</v>
      </c>
      <c r="R490" s="1">
        <v>0</v>
      </c>
      <c r="S490">
        <v>99.302199999999999</v>
      </c>
      <c r="T490">
        <v>98.274000000000001</v>
      </c>
      <c r="U490">
        <v>6.1187800000000001</v>
      </c>
      <c r="V490">
        <v>0</v>
      </c>
      <c r="W490">
        <v>0</v>
      </c>
      <c r="X490">
        <v>1.56796</v>
      </c>
      <c r="Y490">
        <v>1.56796</v>
      </c>
      <c r="Z490">
        <v>0</v>
      </c>
      <c r="AA490">
        <v>1.21119</v>
      </c>
      <c r="AB490">
        <v>2.9635199999999999</v>
      </c>
      <c r="AC490" s="2">
        <v>232492000</v>
      </c>
      <c r="AD490" s="1">
        <v>0</v>
      </c>
      <c r="AE490" s="1">
        <v>0</v>
      </c>
      <c r="AF490" s="1">
        <v>0</v>
      </c>
      <c r="AG490" s="1">
        <v>0</v>
      </c>
      <c r="AH490" s="2">
        <v>4056690</v>
      </c>
      <c r="AI490" s="1">
        <v>132232</v>
      </c>
      <c r="AJ490" s="1">
        <v>0</v>
      </c>
      <c r="AK490" s="8">
        <f t="shared" si="31"/>
        <v>21</v>
      </c>
      <c r="AL490" s="8">
        <f t="shared" si="30"/>
        <v>10</v>
      </c>
      <c r="AM490">
        <f t="shared" si="28"/>
        <v>0</v>
      </c>
      <c r="AN490">
        <f t="shared" si="29"/>
        <v>0</v>
      </c>
    </row>
    <row r="491" spans="1:40" x14ac:dyDescent="0.35">
      <c r="A491">
        <v>85.138999999999996</v>
      </c>
      <c r="B491">
        <v>85.138999999999996</v>
      </c>
      <c r="C491">
        <v>4.1006799999999997</v>
      </c>
      <c r="D491">
        <v>0</v>
      </c>
      <c r="E491">
        <v>0</v>
      </c>
      <c r="F491">
        <v>2.6935500000000001</v>
      </c>
      <c r="G491">
        <v>2.6935500000000001</v>
      </c>
      <c r="H491">
        <v>0</v>
      </c>
      <c r="I491">
        <v>0.50468000000000002</v>
      </c>
      <c r="J491">
        <v>5.3222399999999999</v>
      </c>
      <c r="K491" s="2">
        <v>52771300</v>
      </c>
      <c r="L491" s="1">
        <v>0</v>
      </c>
      <c r="M491" s="1">
        <v>0</v>
      </c>
      <c r="N491" s="1">
        <v>0</v>
      </c>
      <c r="O491" s="1">
        <v>0</v>
      </c>
      <c r="P491" s="2">
        <v>4026790</v>
      </c>
      <c r="Q491" s="1">
        <v>276902</v>
      </c>
      <c r="R491" s="1">
        <v>0</v>
      </c>
      <c r="S491">
        <v>99.302199999999999</v>
      </c>
      <c r="T491">
        <v>98.274000000000001</v>
      </c>
      <c r="U491">
        <v>7.3669799999999999</v>
      </c>
      <c r="V491">
        <v>0</v>
      </c>
      <c r="W491">
        <v>0</v>
      </c>
      <c r="X491">
        <v>1.5682499999999999</v>
      </c>
      <c r="Y491">
        <v>1.5682499999999999</v>
      </c>
      <c r="Z491">
        <v>0</v>
      </c>
      <c r="AA491">
        <v>1.2114100000000001</v>
      </c>
      <c r="AB491">
        <v>2.9635199999999999</v>
      </c>
      <c r="AC491" s="2">
        <v>232625000</v>
      </c>
      <c r="AD491" s="1">
        <v>0</v>
      </c>
      <c r="AE491" s="1">
        <v>0</v>
      </c>
      <c r="AF491" s="1">
        <v>0</v>
      </c>
      <c r="AG491" s="1">
        <v>0</v>
      </c>
      <c r="AH491" s="2">
        <v>4057420</v>
      </c>
      <c r="AI491" s="1">
        <v>132256</v>
      </c>
      <c r="AJ491" s="1">
        <v>0</v>
      </c>
      <c r="AK491" s="8">
        <f t="shared" si="31"/>
        <v>22</v>
      </c>
      <c r="AL491" s="8">
        <f t="shared" si="30"/>
        <v>10</v>
      </c>
      <c r="AM491">
        <f t="shared" si="28"/>
        <v>0</v>
      </c>
      <c r="AN491">
        <f t="shared" si="29"/>
        <v>0</v>
      </c>
    </row>
    <row r="492" spans="1:40" x14ac:dyDescent="0.35">
      <c r="A492">
        <v>85.138999999999996</v>
      </c>
      <c r="B492">
        <v>85.138999999999996</v>
      </c>
      <c r="C492">
        <v>3.9445000000000001</v>
      </c>
      <c r="D492">
        <v>0</v>
      </c>
      <c r="E492">
        <v>0</v>
      </c>
      <c r="F492">
        <v>2.8218399999999999</v>
      </c>
      <c r="G492">
        <v>2.8218399999999999</v>
      </c>
      <c r="H492">
        <v>0</v>
      </c>
      <c r="I492">
        <v>0.504772</v>
      </c>
      <c r="J492">
        <v>5.3222399999999999</v>
      </c>
      <c r="K492" s="2">
        <v>53061400</v>
      </c>
      <c r="L492" s="1">
        <v>0</v>
      </c>
      <c r="M492" s="1">
        <v>0</v>
      </c>
      <c r="N492" s="1">
        <v>0</v>
      </c>
      <c r="O492" s="1">
        <v>0</v>
      </c>
      <c r="P492" s="2">
        <v>4218570</v>
      </c>
      <c r="Q492" s="1">
        <v>290090</v>
      </c>
      <c r="R492" s="1">
        <v>0</v>
      </c>
      <c r="S492">
        <v>99.302199999999999</v>
      </c>
      <c r="T492">
        <v>98.274000000000001</v>
      </c>
      <c r="U492">
        <v>6.2568200000000003</v>
      </c>
      <c r="V492">
        <v>0</v>
      </c>
      <c r="W492">
        <v>0</v>
      </c>
      <c r="X492">
        <v>1.65333</v>
      </c>
      <c r="Y492">
        <v>1.65333</v>
      </c>
      <c r="Z492">
        <v>0</v>
      </c>
      <c r="AA492">
        <v>1.21163</v>
      </c>
      <c r="AB492">
        <v>2.9635199999999999</v>
      </c>
      <c r="AC492" s="2">
        <v>232764000</v>
      </c>
      <c r="AD492" s="1">
        <v>0</v>
      </c>
      <c r="AE492" s="1">
        <v>0</v>
      </c>
      <c r="AF492" s="1">
        <v>0</v>
      </c>
      <c r="AG492" s="1">
        <v>0</v>
      </c>
      <c r="AH492" s="2">
        <v>4277560</v>
      </c>
      <c r="AI492" s="1">
        <v>139432</v>
      </c>
      <c r="AJ492" s="1">
        <v>0</v>
      </c>
      <c r="AK492" s="8">
        <f t="shared" si="31"/>
        <v>23</v>
      </c>
      <c r="AL492" s="8">
        <f t="shared" si="30"/>
        <v>10</v>
      </c>
      <c r="AM492">
        <f t="shared" si="28"/>
        <v>0</v>
      </c>
      <c r="AN492">
        <f t="shared" si="29"/>
        <v>0</v>
      </c>
    </row>
    <row r="493" spans="1:40" x14ac:dyDescent="0.35">
      <c r="A493">
        <v>85.138999999999996</v>
      </c>
      <c r="B493">
        <v>85.138999999999996</v>
      </c>
      <c r="C493">
        <v>4.05504</v>
      </c>
      <c r="D493">
        <v>0</v>
      </c>
      <c r="E493">
        <v>0</v>
      </c>
      <c r="F493">
        <v>2.8223500000000001</v>
      </c>
      <c r="G493">
        <v>2.8223500000000001</v>
      </c>
      <c r="H493">
        <v>0</v>
      </c>
      <c r="I493">
        <v>0.52881199999999995</v>
      </c>
      <c r="J493">
        <v>5.3222399999999999</v>
      </c>
      <c r="K493" s="2">
        <v>53351500</v>
      </c>
      <c r="L493" s="1">
        <v>0</v>
      </c>
      <c r="M493" s="1">
        <v>0</v>
      </c>
      <c r="N493" s="1">
        <v>0</v>
      </c>
      <c r="O493" s="1">
        <v>0</v>
      </c>
      <c r="P493" s="2">
        <v>4219340</v>
      </c>
      <c r="Q493" s="1">
        <v>290143</v>
      </c>
      <c r="R493" s="1">
        <v>0</v>
      </c>
      <c r="S493">
        <v>99.302199999999999</v>
      </c>
      <c r="T493">
        <v>98.274000000000001</v>
      </c>
      <c r="U493">
        <v>5.6993099999999997</v>
      </c>
      <c r="V493">
        <v>0</v>
      </c>
      <c r="W493">
        <v>0</v>
      </c>
      <c r="X493">
        <v>1.6536299999999999</v>
      </c>
      <c r="Y493">
        <v>1.6536299999999999</v>
      </c>
      <c r="Z493">
        <v>0</v>
      </c>
      <c r="AA493">
        <v>1.2773600000000001</v>
      </c>
      <c r="AB493">
        <v>2.9635199999999999</v>
      </c>
      <c r="AC493" s="2">
        <v>232903000</v>
      </c>
      <c r="AD493" s="1">
        <v>0</v>
      </c>
      <c r="AE493" s="1">
        <v>0</v>
      </c>
      <c r="AF493" s="1">
        <v>0</v>
      </c>
      <c r="AG493" s="1">
        <v>0</v>
      </c>
      <c r="AH493" s="2">
        <v>4278340</v>
      </c>
      <c r="AI493" s="1">
        <v>139457</v>
      </c>
      <c r="AJ493" s="1">
        <v>0</v>
      </c>
      <c r="AK493" s="8">
        <f t="shared" si="31"/>
        <v>24</v>
      </c>
      <c r="AL493" s="8">
        <f t="shared" si="30"/>
        <v>10</v>
      </c>
      <c r="AM493">
        <f t="shared" si="28"/>
        <v>0</v>
      </c>
      <c r="AN493">
        <f t="shared" si="29"/>
        <v>0</v>
      </c>
    </row>
    <row r="494" spans="1:40" x14ac:dyDescent="0.35">
      <c r="A494">
        <v>85.138999999999996</v>
      </c>
      <c r="B494">
        <v>85.138999999999996</v>
      </c>
      <c r="C494">
        <v>3.5219499999999999</v>
      </c>
      <c r="D494">
        <v>0</v>
      </c>
      <c r="E494">
        <v>0</v>
      </c>
      <c r="F494">
        <v>2.8228599999999999</v>
      </c>
      <c r="G494">
        <v>2.8228599999999999</v>
      </c>
      <c r="H494">
        <v>0</v>
      </c>
      <c r="I494">
        <v>0.52890800000000004</v>
      </c>
      <c r="J494">
        <v>5.3222399999999999</v>
      </c>
      <c r="K494" s="2">
        <v>53641700</v>
      </c>
      <c r="L494" s="1">
        <v>0</v>
      </c>
      <c r="M494" s="1">
        <v>0</v>
      </c>
      <c r="N494" s="1">
        <v>0</v>
      </c>
      <c r="O494" s="1">
        <v>0</v>
      </c>
      <c r="P494" s="2">
        <v>4220100</v>
      </c>
      <c r="Q494" s="1">
        <v>290195</v>
      </c>
      <c r="R494" s="1">
        <v>0</v>
      </c>
      <c r="S494">
        <v>99.302199999999999</v>
      </c>
      <c r="T494">
        <v>98.274000000000001</v>
      </c>
      <c r="U494">
        <v>5.0622800000000003</v>
      </c>
      <c r="V494">
        <v>0</v>
      </c>
      <c r="W494">
        <v>0</v>
      </c>
      <c r="X494">
        <v>1.6539299999999999</v>
      </c>
      <c r="Y494">
        <v>1.6539299999999999</v>
      </c>
      <c r="Z494">
        <v>0</v>
      </c>
      <c r="AA494">
        <v>1.2776000000000001</v>
      </c>
      <c r="AB494">
        <v>2.9635199999999999</v>
      </c>
      <c r="AC494" s="2">
        <v>233043000</v>
      </c>
      <c r="AD494" s="1">
        <v>0</v>
      </c>
      <c r="AE494" s="1">
        <v>0</v>
      </c>
      <c r="AF494" s="1">
        <v>0</v>
      </c>
      <c r="AG494" s="1">
        <v>0</v>
      </c>
      <c r="AH494" s="2">
        <v>4279110</v>
      </c>
      <c r="AI494" s="1">
        <v>139483</v>
      </c>
      <c r="AJ494" s="1">
        <v>0</v>
      </c>
      <c r="AK494" s="8">
        <f t="shared" si="31"/>
        <v>25</v>
      </c>
      <c r="AL494" s="8">
        <f t="shared" si="30"/>
        <v>10</v>
      </c>
      <c r="AM494">
        <f t="shared" si="28"/>
        <v>0</v>
      </c>
      <c r="AN494">
        <f t="shared" si="29"/>
        <v>0</v>
      </c>
    </row>
    <row r="495" spans="1:40" x14ac:dyDescent="0.35">
      <c r="A495">
        <v>85.138999999999996</v>
      </c>
      <c r="B495">
        <v>85.138999999999996</v>
      </c>
      <c r="C495">
        <v>3.3617300000000001</v>
      </c>
      <c r="D495">
        <v>0</v>
      </c>
      <c r="E495">
        <v>0</v>
      </c>
      <c r="F495">
        <v>2.8233700000000002</v>
      </c>
      <c r="G495">
        <v>2.8233700000000002</v>
      </c>
      <c r="H495">
        <v>0</v>
      </c>
      <c r="I495">
        <v>0.52900400000000003</v>
      </c>
      <c r="J495">
        <v>5.3222399999999999</v>
      </c>
      <c r="K495" s="2">
        <v>53932000</v>
      </c>
      <c r="L495" s="1">
        <v>0</v>
      </c>
      <c r="M495" s="1">
        <v>0</v>
      </c>
      <c r="N495" s="1">
        <v>0</v>
      </c>
      <c r="O495" s="1">
        <v>0</v>
      </c>
      <c r="P495" s="2">
        <v>4220870</v>
      </c>
      <c r="Q495" s="1">
        <v>290248</v>
      </c>
      <c r="R495" s="1">
        <v>0</v>
      </c>
      <c r="S495">
        <v>99.302199999999999</v>
      </c>
      <c r="T495">
        <v>98.274000000000001</v>
      </c>
      <c r="U495">
        <v>4.8655799999999996</v>
      </c>
      <c r="V495">
        <v>0</v>
      </c>
      <c r="W495">
        <v>0</v>
      </c>
      <c r="X495">
        <v>1.6542300000000001</v>
      </c>
      <c r="Y495">
        <v>1.6542300000000001</v>
      </c>
      <c r="Z495">
        <v>0</v>
      </c>
      <c r="AA495">
        <v>1.27783</v>
      </c>
      <c r="AB495">
        <v>2.9635199999999999</v>
      </c>
      <c r="AC495" s="2">
        <v>233182000</v>
      </c>
      <c r="AD495" s="1">
        <v>0</v>
      </c>
      <c r="AE495" s="1">
        <v>0</v>
      </c>
      <c r="AF495" s="1">
        <v>0</v>
      </c>
      <c r="AG495" s="1">
        <v>0</v>
      </c>
      <c r="AH495" s="2">
        <v>4279890</v>
      </c>
      <c r="AI495" s="1">
        <v>139508</v>
      </c>
      <c r="AJ495" s="1">
        <v>0</v>
      </c>
      <c r="AK495" s="8">
        <f t="shared" si="31"/>
        <v>26</v>
      </c>
      <c r="AL495" s="8">
        <f t="shared" si="30"/>
        <v>10</v>
      </c>
      <c r="AM495">
        <f t="shared" si="28"/>
        <v>0</v>
      </c>
      <c r="AN495">
        <f t="shared" si="29"/>
        <v>0</v>
      </c>
    </row>
    <row r="496" spans="1:40" x14ac:dyDescent="0.35">
      <c r="A496">
        <v>85.138999999999996</v>
      </c>
      <c r="B496">
        <v>85.138999999999996</v>
      </c>
      <c r="C496">
        <v>3.2182599999999999</v>
      </c>
      <c r="D496">
        <v>0</v>
      </c>
      <c r="E496">
        <v>0</v>
      </c>
      <c r="F496">
        <v>2.8238799999999999</v>
      </c>
      <c r="G496">
        <v>2.8238799999999999</v>
      </c>
      <c r="H496">
        <v>0</v>
      </c>
      <c r="I496">
        <v>0.52910000000000001</v>
      </c>
      <c r="J496">
        <v>5.3222399999999999</v>
      </c>
      <c r="K496" s="2">
        <v>54222300</v>
      </c>
      <c r="L496" s="1">
        <v>0</v>
      </c>
      <c r="M496" s="1">
        <v>0</v>
      </c>
      <c r="N496" s="1">
        <v>0</v>
      </c>
      <c r="O496" s="1">
        <v>0</v>
      </c>
      <c r="P496" s="2">
        <v>4221630</v>
      </c>
      <c r="Q496" s="1">
        <v>290301</v>
      </c>
      <c r="R496" s="1">
        <v>0</v>
      </c>
      <c r="S496">
        <v>99.302199999999999</v>
      </c>
      <c r="T496">
        <v>98.274000000000001</v>
      </c>
      <c r="U496">
        <v>5.1929600000000002</v>
      </c>
      <c r="V496">
        <v>0</v>
      </c>
      <c r="W496">
        <v>0</v>
      </c>
      <c r="X496">
        <v>1.6545300000000001</v>
      </c>
      <c r="Y496">
        <v>1.6545300000000001</v>
      </c>
      <c r="Z496">
        <v>0</v>
      </c>
      <c r="AA496">
        <v>1.27806</v>
      </c>
      <c r="AB496">
        <v>2.9635199999999999</v>
      </c>
      <c r="AC496" s="2">
        <v>233322000</v>
      </c>
      <c r="AD496" s="1">
        <v>0</v>
      </c>
      <c r="AE496" s="1">
        <v>0</v>
      </c>
      <c r="AF496" s="1">
        <v>0</v>
      </c>
      <c r="AG496" s="1">
        <v>0</v>
      </c>
      <c r="AH496" s="2">
        <v>4280660</v>
      </c>
      <c r="AI496" s="1">
        <v>139533</v>
      </c>
      <c r="AJ496" s="1">
        <v>0</v>
      </c>
      <c r="AK496" s="8">
        <f t="shared" si="31"/>
        <v>27</v>
      </c>
      <c r="AL496" s="8">
        <f t="shared" si="30"/>
        <v>10</v>
      </c>
      <c r="AM496">
        <f t="shared" si="28"/>
        <v>0</v>
      </c>
      <c r="AN496">
        <f t="shared" si="29"/>
        <v>0</v>
      </c>
    </row>
    <row r="497" spans="1:40" x14ac:dyDescent="0.35">
      <c r="A497">
        <v>85.138999999999996</v>
      </c>
      <c r="B497">
        <v>85.138999999999996</v>
      </c>
      <c r="C497">
        <v>4.1311400000000003</v>
      </c>
      <c r="D497">
        <v>0</v>
      </c>
      <c r="E497">
        <v>0</v>
      </c>
      <c r="F497">
        <v>2.7991000000000001</v>
      </c>
      <c r="G497">
        <v>2.7991000000000001</v>
      </c>
      <c r="H497">
        <v>0</v>
      </c>
      <c r="I497">
        <v>0.52919499999999997</v>
      </c>
      <c r="J497">
        <v>5.3222399999999999</v>
      </c>
      <c r="K497" s="2">
        <v>54510000</v>
      </c>
      <c r="L497" s="1">
        <v>0</v>
      </c>
      <c r="M497" s="1">
        <v>0</v>
      </c>
      <c r="N497" s="1">
        <v>0</v>
      </c>
      <c r="O497" s="1">
        <v>0</v>
      </c>
      <c r="P497" s="2">
        <v>4184580</v>
      </c>
      <c r="Q497" s="1">
        <v>287753</v>
      </c>
      <c r="R497" s="1">
        <v>0</v>
      </c>
      <c r="S497">
        <v>99.302199999999999</v>
      </c>
      <c r="T497">
        <v>98.274000000000001</v>
      </c>
      <c r="U497">
        <v>4.9417999999999997</v>
      </c>
      <c r="V497">
        <v>0</v>
      </c>
      <c r="W497">
        <v>0</v>
      </c>
      <c r="X497">
        <v>1.7014800000000001</v>
      </c>
      <c r="Y497">
        <v>1.7014800000000001</v>
      </c>
      <c r="Z497">
        <v>0</v>
      </c>
      <c r="AA497">
        <v>1.2782899999999999</v>
      </c>
      <c r="AB497">
        <v>2.9635199999999999</v>
      </c>
      <c r="AC497" s="2">
        <v>233465000</v>
      </c>
      <c r="AD497" s="1">
        <v>0</v>
      </c>
      <c r="AE497" s="1">
        <v>0</v>
      </c>
      <c r="AF497" s="1">
        <v>0</v>
      </c>
      <c r="AG497" s="1">
        <v>0</v>
      </c>
      <c r="AH497" s="2">
        <v>4402140</v>
      </c>
      <c r="AI497" s="1">
        <v>143493</v>
      </c>
      <c r="AJ497" s="1">
        <v>0</v>
      </c>
      <c r="AK497" s="8">
        <f t="shared" si="31"/>
        <v>28</v>
      </c>
      <c r="AL497" s="8">
        <f t="shared" si="30"/>
        <v>10</v>
      </c>
      <c r="AM497">
        <f t="shared" si="28"/>
        <v>0</v>
      </c>
      <c r="AN497">
        <f t="shared" si="29"/>
        <v>0</v>
      </c>
    </row>
    <row r="498" spans="1:40" x14ac:dyDescent="0.35">
      <c r="A498">
        <v>85.138999999999996</v>
      </c>
      <c r="B498">
        <v>85.138999999999996</v>
      </c>
      <c r="C498">
        <v>4.1278600000000001</v>
      </c>
      <c r="D498">
        <v>0</v>
      </c>
      <c r="E498">
        <v>0</v>
      </c>
      <c r="F498">
        <v>2.7995999999999999</v>
      </c>
      <c r="G498">
        <v>2.7995999999999999</v>
      </c>
      <c r="H498">
        <v>0</v>
      </c>
      <c r="I498">
        <v>0.52455099999999999</v>
      </c>
      <c r="J498">
        <v>5.3222399999999999</v>
      </c>
      <c r="K498" s="2">
        <v>54797800</v>
      </c>
      <c r="L498" s="1">
        <v>0</v>
      </c>
      <c r="M498" s="1">
        <v>0</v>
      </c>
      <c r="N498" s="1">
        <v>0</v>
      </c>
      <c r="O498" s="1">
        <v>0</v>
      </c>
      <c r="P498" s="2">
        <v>4185340</v>
      </c>
      <c r="Q498" s="1">
        <v>287805</v>
      </c>
      <c r="R498" s="1">
        <v>0</v>
      </c>
      <c r="S498">
        <v>99.302199999999999</v>
      </c>
      <c r="T498">
        <v>98.274000000000001</v>
      </c>
      <c r="U498">
        <v>4.9163600000000001</v>
      </c>
      <c r="V498">
        <v>0</v>
      </c>
      <c r="W498">
        <v>0</v>
      </c>
      <c r="X498">
        <v>1.7017899999999999</v>
      </c>
      <c r="Y498">
        <v>1.7017899999999999</v>
      </c>
      <c r="Z498">
        <v>0</v>
      </c>
      <c r="AA498">
        <v>1.31456</v>
      </c>
      <c r="AB498">
        <v>2.9635199999999999</v>
      </c>
      <c r="AC498" s="2">
        <v>233609000</v>
      </c>
      <c r="AD498" s="1">
        <v>0</v>
      </c>
      <c r="AE498" s="1">
        <v>0</v>
      </c>
      <c r="AF498" s="1">
        <v>0</v>
      </c>
      <c r="AG498" s="1">
        <v>0</v>
      </c>
      <c r="AH498" s="2">
        <v>4402940</v>
      </c>
      <c r="AI498" s="1">
        <v>143519</v>
      </c>
      <c r="AJ498" s="1">
        <v>0</v>
      </c>
      <c r="AK498" s="8">
        <f t="shared" si="31"/>
        <v>29</v>
      </c>
      <c r="AL498" s="8">
        <f t="shared" si="30"/>
        <v>10</v>
      </c>
      <c r="AM498">
        <f t="shared" si="28"/>
        <v>0</v>
      </c>
      <c r="AN498">
        <f t="shared" si="29"/>
        <v>0</v>
      </c>
    </row>
    <row r="499" spans="1:40" x14ac:dyDescent="0.35">
      <c r="A499">
        <v>85.138999999999996</v>
      </c>
      <c r="B499">
        <v>85.138999999999996</v>
      </c>
      <c r="C499">
        <v>3.6282100000000002</v>
      </c>
      <c r="D499">
        <v>0</v>
      </c>
      <c r="E499">
        <v>0</v>
      </c>
      <c r="F499">
        <v>2.8001100000000001</v>
      </c>
      <c r="G499">
        <v>2.8001100000000001</v>
      </c>
      <c r="H499">
        <v>0</v>
      </c>
      <c r="I499">
        <v>0.52464599999999995</v>
      </c>
      <c r="J499">
        <v>5.3222399999999999</v>
      </c>
      <c r="K499" s="2">
        <v>55085700</v>
      </c>
      <c r="L499" s="1">
        <v>0</v>
      </c>
      <c r="M499" s="1">
        <v>0</v>
      </c>
      <c r="N499" s="1">
        <v>0</v>
      </c>
      <c r="O499" s="1">
        <v>0</v>
      </c>
      <c r="P499" s="2">
        <v>4186090</v>
      </c>
      <c r="Q499" s="1">
        <v>287857</v>
      </c>
      <c r="R499" s="1">
        <v>0</v>
      </c>
      <c r="S499">
        <v>99.302199999999999</v>
      </c>
      <c r="T499">
        <v>98.274000000000001</v>
      </c>
      <c r="U499">
        <v>4.5470499999999996</v>
      </c>
      <c r="V499">
        <v>0</v>
      </c>
      <c r="W499">
        <v>0</v>
      </c>
      <c r="X499">
        <v>1.7020999999999999</v>
      </c>
      <c r="Y499">
        <v>1.7020999999999999</v>
      </c>
      <c r="Z499">
        <v>0</v>
      </c>
      <c r="AA499">
        <v>1.3148</v>
      </c>
      <c r="AB499">
        <v>2.9635199999999999</v>
      </c>
      <c r="AC499" s="2">
        <v>233753000</v>
      </c>
      <c r="AD499" s="1">
        <v>0</v>
      </c>
      <c r="AE499" s="1">
        <v>0</v>
      </c>
      <c r="AF499" s="1">
        <v>0</v>
      </c>
      <c r="AG499" s="1">
        <v>0</v>
      </c>
      <c r="AH499" s="2">
        <v>4403730</v>
      </c>
      <c r="AI499" s="1">
        <v>143545</v>
      </c>
      <c r="AJ499" s="1">
        <v>0</v>
      </c>
      <c r="AK499" s="8">
        <f t="shared" si="31"/>
        <v>30</v>
      </c>
      <c r="AL499" s="8">
        <f t="shared" si="30"/>
        <v>10</v>
      </c>
      <c r="AM499">
        <f t="shared" si="28"/>
        <v>0</v>
      </c>
      <c r="AN499">
        <f t="shared" si="29"/>
        <v>0</v>
      </c>
    </row>
    <row r="500" spans="1:40" x14ac:dyDescent="0.35">
      <c r="A500">
        <v>85.138999999999996</v>
      </c>
      <c r="B500">
        <v>85.138999999999996</v>
      </c>
      <c r="C500">
        <v>3.4944700000000002</v>
      </c>
      <c r="D500">
        <v>0</v>
      </c>
      <c r="E500">
        <v>0</v>
      </c>
      <c r="F500">
        <v>2.8006199999999999</v>
      </c>
      <c r="G500">
        <v>2.8006199999999999</v>
      </c>
      <c r="H500">
        <v>0</v>
      </c>
      <c r="I500">
        <v>0.52474100000000001</v>
      </c>
      <c r="J500">
        <v>5.3222399999999999</v>
      </c>
      <c r="K500" s="2">
        <v>55373600</v>
      </c>
      <c r="L500" s="1">
        <v>0</v>
      </c>
      <c r="M500" s="1">
        <v>0</v>
      </c>
      <c r="N500" s="1">
        <v>0</v>
      </c>
      <c r="O500" s="1">
        <v>0</v>
      </c>
      <c r="P500" s="2">
        <v>4186850</v>
      </c>
      <c r="Q500" s="1">
        <v>287909</v>
      </c>
      <c r="R500" s="1">
        <v>0</v>
      </c>
      <c r="S500">
        <v>99.302199999999999</v>
      </c>
      <c r="T500">
        <v>98.274000000000001</v>
      </c>
      <c r="U500">
        <v>4.7116699999999998</v>
      </c>
      <c r="V500">
        <v>0</v>
      </c>
      <c r="W500">
        <v>0</v>
      </c>
      <c r="X500">
        <v>1.70241</v>
      </c>
      <c r="Y500">
        <v>1.70241</v>
      </c>
      <c r="Z500">
        <v>0</v>
      </c>
      <c r="AA500">
        <v>1.31504</v>
      </c>
      <c r="AB500">
        <v>2.9635199999999999</v>
      </c>
      <c r="AC500" s="2">
        <v>233896000</v>
      </c>
      <c r="AD500" s="1">
        <v>0</v>
      </c>
      <c r="AE500" s="1">
        <v>0</v>
      </c>
      <c r="AF500" s="1">
        <v>0</v>
      </c>
      <c r="AG500" s="1">
        <v>0</v>
      </c>
      <c r="AH500" s="2">
        <v>4404530</v>
      </c>
      <c r="AI500" s="1">
        <v>143571</v>
      </c>
      <c r="AJ500" s="1">
        <v>0</v>
      </c>
      <c r="AK500" s="8">
        <f t="shared" si="31"/>
        <v>31</v>
      </c>
      <c r="AL500" s="8">
        <f t="shared" si="30"/>
        <v>10</v>
      </c>
      <c r="AM500">
        <f t="shared" si="28"/>
        <v>0</v>
      </c>
      <c r="AN500">
        <f t="shared" si="29"/>
        <v>0</v>
      </c>
    </row>
    <row r="501" spans="1:40" x14ac:dyDescent="0.35">
      <c r="A501">
        <v>85.138999999999996</v>
      </c>
      <c r="B501">
        <v>85.138999999999996</v>
      </c>
      <c r="C501">
        <v>3.44258</v>
      </c>
      <c r="D501">
        <v>0</v>
      </c>
      <c r="E501">
        <v>0</v>
      </c>
      <c r="F501">
        <v>2.8664999999999998</v>
      </c>
      <c r="G501">
        <v>2.8664999999999998</v>
      </c>
      <c r="H501">
        <v>0</v>
      </c>
      <c r="I501">
        <v>0.52483599999999997</v>
      </c>
      <c r="J501">
        <v>5.3222399999999999</v>
      </c>
      <c r="K501" s="2">
        <v>55668300</v>
      </c>
      <c r="L501" s="1">
        <v>0</v>
      </c>
      <c r="M501" s="1">
        <v>0</v>
      </c>
      <c r="N501" s="1">
        <v>0</v>
      </c>
      <c r="O501" s="1">
        <v>0</v>
      </c>
      <c r="P501" s="2">
        <v>4285340</v>
      </c>
      <c r="Q501" s="1">
        <v>294682</v>
      </c>
      <c r="R501" s="1">
        <v>0</v>
      </c>
      <c r="S501">
        <v>99.302199999999999</v>
      </c>
      <c r="T501">
        <v>98.274000000000001</v>
      </c>
      <c r="U501">
        <v>4.4053899999999997</v>
      </c>
      <c r="V501">
        <v>0</v>
      </c>
      <c r="W501">
        <v>0</v>
      </c>
      <c r="X501">
        <v>1.7443200000000001</v>
      </c>
      <c r="Y501">
        <v>1.7443200000000001</v>
      </c>
      <c r="Z501">
        <v>0</v>
      </c>
      <c r="AA501">
        <v>1.31528</v>
      </c>
      <c r="AB501">
        <v>2.9635199999999999</v>
      </c>
      <c r="AC501" s="2">
        <v>234043000</v>
      </c>
      <c r="AD501" s="1">
        <v>0</v>
      </c>
      <c r="AE501" s="1">
        <v>0</v>
      </c>
      <c r="AF501" s="1">
        <v>0</v>
      </c>
      <c r="AG501" s="1">
        <v>0</v>
      </c>
      <c r="AH501" s="2">
        <v>4512970</v>
      </c>
      <c r="AI501" s="1">
        <v>147106</v>
      </c>
      <c r="AJ501" s="1">
        <v>0</v>
      </c>
      <c r="AK501" s="8">
        <f t="shared" si="31"/>
        <v>32</v>
      </c>
      <c r="AL501" s="8">
        <f t="shared" si="30"/>
        <v>10</v>
      </c>
      <c r="AM501">
        <f t="shared" si="28"/>
        <v>0</v>
      </c>
      <c r="AN501">
        <f t="shared" si="29"/>
        <v>0</v>
      </c>
    </row>
    <row r="502" spans="1:40" x14ac:dyDescent="0.35">
      <c r="A502">
        <v>85.138999999999996</v>
      </c>
      <c r="B502">
        <v>85.138999999999996</v>
      </c>
      <c r="C502">
        <v>3.5871300000000002</v>
      </c>
      <c r="D502">
        <v>0</v>
      </c>
      <c r="E502">
        <v>0</v>
      </c>
      <c r="F502">
        <v>2.8670200000000001</v>
      </c>
      <c r="G502">
        <v>2.8670200000000001</v>
      </c>
      <c r="H502">
        <v>0</v>
      </c>
      <c r="I502">
        <v>0.53718200000000005</v>
      </c>
      <c r="J502">
        <v>5.3222399999999999</v>
      </c>
      <c r="K502" s="2">
        <v>55963000</v>
      </c>
      <c r="L502" s="1">
        <v>0</v>
      </c>
      <c r="M502" s="1">
        <v>0</v>
      </c>
      <c r="N502" s="1">
        <v>0</v>
      </c>
      <c r="O502" s="1">
        <v>0</v>
      </c>
      <c r="P502" s="2">
        <v>4286120</v>
      </c>
      <c r="Q502" s="1">
        <v>294735</v>
      </c>
      <c r="R502" s="1">
        <v>0</v>
      </c>
      <c r="S502">
        <v>99.302199999999999</v>
      </c>
      <c r="T502">
        <v>98.274000000000001</v>
      </c>
      <c r="U502">
        <v>4.2563899999999997</v>
      </c>
      <c r="V502">
        <v>0</v>
      </c>
      <c r="W502">
        <v>0</v>
      </c>
      <c r="X502">
        <v>1.74464</v>
      </c>
      <c r="Y502">
        <v>1.74464</v>
      </c>
      <c r="Z502">
        <v>0</v>
      </c>
      <c r="AA502">
        <v>1.3476600000000001</v>
      </c>
      <c r="AB502">
        <v>2.9635199999999999</v>
      </c>
      <c r="AC502" s="2">
        <v>234190000</v>
      </c>
      <c r="AD502" s="1">
        <v>0</v>
      </c>
      <c r="AE502" s="1">
        <v>0</v>
      </c>
      <c r="AF502" s="1">
        <v>0</v>
      </c>
      <c r="AG502" s="1">
        <v>0</v>
      </c>
      <c r="AH502" s="2">
        <v>4513790</v>
      </c>
      <c r="AI502" s="1">
        <v>147132</v>
      </c>
      <c r="AJ502" s="1">
        <v>0</v>
      </c>
      <c r="AK502" s="8">
        <f t="shared" si="31"/>
        <v>33</v>
      </c>
      <c r="AL502" s="8">
        <f t="shared" si="30"/>
        <v>10</v>
      </c>
      <c r="AM502">
        <f t="shared" si="28"/>
        <v>0</v>
      </c>
      <c r="AN502">
        <f t="shared" si="29"/>
        <v>0</v>
      </c>
    </row>
    <row r="503" spans="1:40" x14ac:dyDescent="0.35">
      <c r="A503">
        <v>85.138999999999996</v>
      </c>
      <c r="B503">
        <v>85.138999999999996</v>
      </c>
      <c r="C503">
        <v>3.28688</v>
      </c>
      <c r="D503">
        <v>0</v>
      </c>
      <c r="E503">
        <v>0</v>
      </c>
      <c r="F503">
        <v>2.86754</v>
      </c>
      <c r="G503">
        <v>2.86754</v>
      </c>
      <c r="H503">
        <v>0</v>
      </c>
      <c r="I503">
        <v>0.53727899999999995</v>
      </c>
      <c r="J503">
        <v>5.3222399999999999</v>
      </c>
      <c r="K503" s="2">
        <v>56257800</v>
      </c>
      <c r="L503" s="1">
        <v>0</v>
      </c>
      <c r="M503" s="1">
        <v>0</v>
      </c>
      <c r="N503" s="1">
        <v>0</v>
      </c>
      <c r="O503" s="1">
        <v>0</v>
      </c>
      <c r="P503" s="2">
        <v>4286890</v>
      </c>
      <c r="Q503" s="1">
        <v>294788</v>
      </c>
      <c r="R503" s="1">
        <v>0</v>
      </c>
      <c r="S503">
        <v>99.302199999999999</v>
      </c>
      <c r="T503">
        <v>98.274000000000001</v>
      </c>
      <c r="U503">
        <v>4.1470399999999996</v>
      </c>
      <c r="V503">
        <v>0</v>
      </c>
      <c r="W503">
        <v>0</v>
      </c>
      <c r="X503">
        <v>1.74495</v>
      </c>
      <c r="Y503">
        <v>1.74495</v>
      </c>
      <c r="Z503">
        <v>0</v>
      </c>
      <c r="AA503">
        <v>1.3479099999999999</v>
      </c>
      <c r="AB503">
        <v>2.9635199999999999</v>
      </c>
      <c r="AC503" s="2">
        <v>234337000</v>
      </c>
      <c r="AD503" s="1">
        <v>0</v>
      </c>
      <c r="AE503" s="1">
        <v>0</v>
      </c>
      <c r="AF503" s="1">
        <v>0</v>
      </c>
      <c r="AG503" s="1">
        <v>0</v>
      </c>
      <c r="AH503" s="2">
        <v>4514610</v>
      </c>
      <c r="AI503" s="1">
        <v>147159</v>
      </c>
      <c r="AJ503" s="1">
        <v>0</v>
      </c>
      <c r="AK503" s="8">
        <f t="shared" si="31"/>
        <v>34</v>
      </c>
      <c r="AL503" s="8">
        <f t="shared" si="30"/>
        <v>10</v>
      </c>
      <c r="AM503">
        <f t="shared" si="28"/>
        <v>0</v>
      </c>
      <c r="AN503">
        <f t="shared" si="29"/>
        <v>0</v>
      </c>
    </row>
    <row r="504" spans="1:40" x14ac:dyDescent="0.35">
      <c r="A504">
        <v>85.052300000000002</v>
      </c>
      <c r="B504">
        <v>85.138999999999996</v>
      </c>
      <c r="C504">
        <v>2.9832999999999998</v>
      </c>
      <c r="D504">
        <v>0</v>
      </c>
      <c r="E504">
        <v>0</v>
      </c>
      <c r="F504">
        <v>2.8680599999999998</v>
      </c>
      <c r="G504">
        <v>2.8680599999999998</v>
      </c>
      <c r="H504">
        <v>0</v>
      </c>
      <c r="I504">
        <v>0.53737599999999996</v>
      </c>
      <c r="J504">
        <v>5.3222399999999999</v>
      </c>
      <c r="K504" s="2">
        <v>56552700</v>
      </c>
      <c r="L504" s="1">
        <v>0</v>
      </c>
      <c r="M504" s="1">
        <v>0</v>
      </c>
      <c r="N504" s="1">
        <v>0</v>
      </c>
      <c r="O504" s="1">
        <v>0</v>
      </c>
      <c r="P504" s="2">
        <v>4287670</v>
      </c>
      <c r="Q504" s="1">
        <v>294842</v>
      </c>
      <c r="R504" s="1">
        <v>0</v>
      </c>
      <c r="S504">
        <v>99.302199999999999</v>
      </c>
      <c r="T504">
        <v>98.274000000000001</v>
      </c>
      <c r="U504">
        <v>3.8055699999999999</v>
      </c>
      <c r="V504">
        <v>0</v>
      </c>
      <c r="W504">
        <v>0</v>
      </c>
      <c r="X504">
        <v>1.7452700000000001</v>
      </c>
      <c r="Y504">
        <v>1.7452700000000001</v>
      </c>
      <c r="Z504">
        <v>0</v>
      </c>
      <c r="AA504">
        <v>1.34815</v>
      </c>
      <c r="AB504">
        <v>2.9635199999999999</v>
      </c>
      <c r="AC504" s="2">
        <v>234485000</v>
      </c>
      <c r="AD504" s="1">
        <v>0</v>
      </c>
      <c r="AE504" s="1">
        <v>0</v>
      </c>
      <c r="AF504" s="1">
        <v>0</v>
      </c>
      <c r="AG504" s="1">
        <v>0</v>
      </c>
      <c r="AH504" s="2">
        <v>4515430</v>
      </c>
      <c r="AI504" s="1">
        <v>147186</v>
      </c>
      <c r="AJ504" s="1">
        <v>0</v>
      </c>
      <c r="AK504" s="8">
        <f t="shared" si="31"/>
        <v>35</v>
      </c>
      <c r="AL504" s="8">
        <f t="shared" si="30"/>
        <v>10</v>
      </c>
      <c r="AM504">
        <f t="shared" si="28"/>
        <v>0</v>
      </c>
      <c r="AN504">
        <f t="shared" si="29"/>
        <v>0</v>
      </c>
    </row>
    <row r="505" spans="1:40" x14ac:dyDescent="0.35">
      <c r="A505">
        <v>84.466800000000006</v>
      </c>
      <c r="B505">
        <v>85.138999999999996</v>
      </c>
      <c r="C505">
        <v>2.6235200000000001</v>
      </c>
      <c r="D505">
        <v>0</v>
      </c>
      <c r="E505">
        <v>0</v>
      </c>
      <c r="F505">
        <v>3.0601600000000002</v>
      </c>
      <c r="G505">
        <v>3.0601600000000002</v>
      </c>
      <c r="H505">
        <v>0</v>
      </c>
      <c r="I505">
        <v>0.53747400000000001</v>
      </c>
      <c r="J505">
        <v>5.3222399999999999</v>
      </c>
      <c r="K505" s="2">
        <v>56867200</v>
      </c>
      <c r="L505" s="1">
        <v>0</v>
      </c>
      <c r="M505" s="1">
        <v>0</v>
      </c>
      <c r="N505" s="1">
        <v>0</v>
      </c>
      <c r="O505" s="1">
        <v>0</v>
      </c>
      <c r="P505" s="2">
        <v>4574850</v>
      </c>
      <c r="Q505" s="1">
        <v>314590</v>
      </c>
      <c r="R505" s="1">
        <v>0</v>
      </c>
      <c r="S505">
        <v>99.302199999999999</v>
      </c>
      <c r="T505">
        <v>98.274000000000001</v>
      </c>
      <c r="U505">
        <v>3.7677800000000001</v>
      </c>
      <c r="V505">
        <v>0</v>
      </c>
      <c r="W505">
        <v>0</v>
      </c>
      <c r="X505">
        <v>1.8958699999999999</v>
      </c>
      <c r="Y505">
        <v>1.8958699999999999</v>
      </c>
      <c r="Z505">
        <v>0</v>
      </c>
      <c r="AA505">
        <v>1.3484</v>
      </c>
      <c r="AB505">
        <v>2.9635199999999999</v>
      </c>
      <c r="AC505" s="2">
        <v>234645000</v>
      </c>
      <c r="AD505" s="1">
        <v>0</v>
      </c>
      <c r="AE505" s="1">
        <v>0</v>
      </c>
      <c r="AF505" s="1">
        <v>0</v>
      </c>
      <c r="AG505" s="1">
        <v>0</v>
      </c>
      <c r="AH505" s="2">
        <v>4905070</v>
      </c>
      <c r="AI505" s="1">
        <v>159887</v>
      </c>
      <c r="AJ505" s="1">
        <v>0</v>
      </c>
      <c r="AK505" s="8">
        <f t="shared" si="31"/>
        <v>36</v>
      </c>
      <c r="AL505" s="8">
        <f t="shared" si="30"/>
        <v>10</v>
      </c>
      <c r="AM505">
        <f t="shared" si="28"/>
        <v>0</v>
      </c>
      <c r="AN505">
        <f t="shared" si="29"/>
        <v>0</v>
      </c>
    </row>
    <row r="506" spans="1:40" x14ac:dyDescent="0.35">
      <c r="A506">
        <v>84.719899999999996</v>
      </c>
      <c r="B506">
        <v>85.138999999999996</v>
      </c>
      <c r="C506">
        <v>3.50814</v>
      </c>
      <c r="D506">
        <v>0</v>
      </c>
      <c r="E506">
        <v>0</v>
      </c>
      <c r="F506">
        <v>3.0607099999999998</v>
      </c>
      <c r="G506">
        <v>3.0607099999999998</v>
      </c>
      <c r="H506">
        <v>0</v>
      </c>
      <c r="I506">
        <v>0.57347300000000001</v>
      </c>
      <c r="J506">
        <v>5.3222399999999999</v>
      </c>
      <c r="K506" s="2">
        <v>57181900</v>
      </c>
      <c r="L506" s="1">
        <v>0</v>
      </c>
      <c r="M506" s="1">
        <v>0</v>
      </c>
      <c r="N506" s="1">
        <v>0</v>
      </c>
      <c r="O506" s="1">
        <v>0</v>
      </c>
      <c r="P506" s="2">
        <v>4575680</v>
      </c>
      <c r="Q506" s="1">
        <v>314647</v>
      </c>
      <c r="R506" s="1">
        <v>0</v>
      </c>
      <c r="S506">
        <v>99.302199999999999</v>
      </c>
      <c r="T506">
        <v>98.274000000000001</v>
      </c>
      <c r="U506">
        <v>3.0410900000000001</v>
      </c>
      <c r="V506">
        <v>0</v>
      </c>
      <c r="W506">
        <v>0</v>
      </c>
      <c r="X506">
        <v>1.89622</v>
      </c>
      <c r="Y506">
        <v>1.89622</v>
      </c>
      <c r="Z506">
        <v>0</v>
      </c>
      <c r="AA506">
        <v>1.46475</v>
      </c>
      <c r="AB506">
        <v>2.9635199999999999</v>
      </c>
      <c r="AC506" s="2">
        <v>234804000</v>
      </c>
      <c r="AD506" s="1">
        <v>0</v>
      </c>
      <c r="AE506" s="1">
        <v>0</v>
      </c>
      <c r="AF506" s="1">
        <v>0</v>
      </c>
      <c r="AG506" s="1">
        <v>0</v>
      </c>
      <c r="AH506" s="2">
        <v>4905960</v>
      </c>
      <c r="AI506" s="1">
        <v>159915</v>
      </c>
      <c r="AJ506" s="1">
        <v>0</v>
      </c>
      <c r="AK506" s="8">
        <f t="shared" si="31"/>
        <v>37</v>
      </c>
      <c r="AL506" s="8">
        <f t="shared" si="30"/>
        <v>10</v>
      </c>
      <c r="AM506">
        <f t="shared" si="28"/>
        <v>0</v>
      </c>
      <c r="AN506">
        <f t="shared" si="29"/>
        <v>0</v>
      </c>
    </row>
    <row r="507" spans="1:40" x14ac:dyDescent="0.35">
      <c r="A507">
        <v>84.748800000000003</v>
      </c>
      <c r="B507">
        <v>85.138999999999996</v>
      </c>
      <c r="C507">
        <v>3.27569</v>
      </c>
      <c r="D507">
        <v>0</v>
      </c>
      <c r="E507">
        <v>0</v>
      </c>
      <c r="F507">
        <v>3.0612599999999999</v>
      </c>
      <c r="G507">
        <v>3.0612599999999999</v>
      </c>
      <c r="H507">
        <v>0</v>
      </c>
      <c r="I507">
        <v>0.573577</v>
      </c>
      <c r="J507">
        <v>5.3222399999999999</v>
      </c>
      <c r="K507" s="2">
        <v>57496600</v>
      </c>
      <c r="L507" s="1">
        <v>0</v>
      </c>
      <c r="M507" s="1">
        <v>0</v>
      </c>
      <c r="N507" s="1">
        <v>0</v>
      </c>
      <c r="O507" s="1">
        <v>0</v>
      </c>
      <c r="P507" s="2">
        <v>4576510</v>
      </c>
      <c r="Q507" s="1">
        <v>314704</v>
      </c>
      <c r="R507" s="1">
        <v>0</v>
      </c>
      <c r="S507">
        <v>99.302199999999999</v>
      </c>
      <c r="T507">
        <v>98.274000000000001</v>
      </c>
      <c r="U507">
        <v>3.5632700000000002</v>
      </c>
      <c r="V507">
        <v>0</v>
      </c>
      <c r="W507">
        <v>0</v>
      </c>
      <c r="X507">
        <v>1.89656</v>
      </c>
      <c r="Y507">
        <v>1.89656</v>
      </c>
      <c r="Z507">
        <v>0</v>
      </c>
      <c r="AA507">
        <v>1.46502</v>
      </c>
      <c r="AB507">
        <v>2.9635199999999999</v>
      </c>
      <c r="AC507" s="2">
        <v>234964000</v>
      </c>
      <c r="AD507" s="1">
        <v>0</v>
      </c>
      <c r="AE507" s="1">
        <v>0</v>
      </c>
      <c r="AF507" s="1">
        <v>0</v>
      </c>
      <c r="AG507" s="1">
        <v>0</v>
      </c>
      <c r="AH507" s="2">
        <v>4906850</v>
      </c>
      <c r="AI507" s="1">
        <v>159944</v>
      </c>
      <c r="AJ507" s="1">
        <v>0</v>
      </c>
      <c r="AK507" s="8">
        <f t="shared" si="31"/>
        <v>38</v>
      </c>
      <c r="AL507" s="8">
        <f t="shared" si="30"/>
        <v>10</v>
      </c>
      <c r="AM507">
        <f t="shared" si="28"/>
        <v>0</v>
      </c>
      <c r="AN507">
        <f t="shared" si="29"/>
        <v>0</v>
      </c>
    </row>
    <row r="508" spans="1:40" x14ac:dyDescent="0.35">
      <c r="A508">
        <v>84.589299999999994</v>
      </c>
      <c r="B508">
        <v>85.138999999999996</v>
      </c>
      <c r="C508">
        <v>3.0920800000000002</v>
      </c>
      <c r="D508">
        <v>0</v>
      </c>
      <c r="E508">
        <v>0</v>
      </c>
      <c r="F508">
        <v>3.06182</v>
      </c>
      <c r="G508">
        <v>3.06182</v>
      </c>
      <c r="H508">
        <v>0</v>
      </c>
      <c r="I508">
        <v>0.573681</v>
      </c>
      <c r="J508">
        <v>5.3222399999999999</v>
      </c>
      <c r="K508" s="2">
        <v>57811400</v>
      </c>
      <c r="L508" s="1">
        <v>0</v>
      </c>
      <c r="M508" s="1">
        <v>0</v>
      </c>
      <c r="N508" s="1">
        <v>0</v>
      </c>
      <c r="O508" s="1">
        <v>0</v>
      </c>
      <c r="P508" s="2">
        <v>4577340</v>
      </c>
      <c r="Q508" s="1">
        <v>314761</v>
      </c>
      <c r="R508" s="1">
        <v>0</v>
      </c>
      <c r="S508">
        <v>99.302199999999999</v>
      </c>
      <c r="T508">
        <v>98.274000000000001</v>
      </c>
      <c r="U508">
        <v>3.96441</v>
      </c>
      <c r="V508">
        <v>0</v>
      </c>
      <c r="W508">
        <v>0</v>
      </c>
      <c r="X508">
        <v>1.8969</v>
      </c>
      <c r="Y508">
        <v>1.8969</v>
      </c>
      <c r="Z508">
        <v>0</v>
      </c>
      <c r="AA508">
        <v>1.4652799999999999</v>
      </c>
      <c r="AB508">
        <v>2.9635199999999999</v>
      </c>
      <c r="AC508" s="2">
        <v>235124000</v>
      </c>
      <c r="AD508" s="1">
        <v>0</v>
      </c>
      <c r="AE508" s="1">
        <v>0</v>
      </c>
      <c r="AF508" s="1">
        <v>0</v>
      </c>
      <c r="AG508" s="1">
        <v>0</v>
      </c>
      <c r="AH508" s="2">
        <v>4907740</v>
      </c>
      <c r="AI508" s="1">
        <v>159973</v>
      </c>
      <c r="AJ508" s="1">
        <v>0</v>
      </c>
      <c r="AK508" s="8">
        <f t="shared" si="31"/>
        <v>39</v>
      </c>
      <c r="AL508" s="8">
        <f t="shared" si="30"/>
        <v>10</v>
      </c>
      <c r="AM508">
        <f t="shared" si="28"/>
        <v>0</v>
      </c>
      <c r="AN508">
        <f t="shared" si="29"/>
        <v>0</v>
      </c>
    </row>
    <row r="509" spans="1:40" x14ac:dyDescent="0.35">
      <c r="A509">
        <v>84.337299999999999</v>
      </c>
      <c r="B509">
        <v>85.138999999999996</v>
      </c>
      <c r="C509">
        <v>2.9857900000000002</v>
      </c>
      <c r="D509">
        <v>0</v>
      </c>
      <c r="E509">
        <v>0</v>
      </c>
      <c r="F509">
        <v>3.06237</v>
      </c>
      <c r="G509">
        <v>3.06237</v>
      </c>
      <c r="H509">
        <v>0</v>
      </c>
      <c r="I509">
        <v>0.57378499999999999</v>
      </c>
      <c r="J509">
        <v>5.3222399999999999</v>
      </c>
      <c r="K509" s="2">
        <v>58126200</v>
      </c>
      <c r="L509" s="1">
        <v>0</v>
      </c>
      <c r="M509" s="1">
        <v>0</v>
      </c>
      <c r="N509" s="1">
        <v>0</v>
      </c>
      <c r="O509" s="1">
        <v>0</v>
      </c>
      <c r="P509" s="2">
        <v>4578170</v>
      </c>
      <c r="Q509" s="1">
        <v>314818</v>
      </c>
      <c r="R509" s="1">
        <v>0</v>
      </c>
      <c r="S509">
        <v>99.302199999999999</v>
      </c>
      <c r="T509">
        <v>98.274000000000001</v>
      </c>
      <c r="U509">
        <v>3.9144100000000002</v>
      </c>
      <c r="V509">
        <v>0</v>
      </c>
      <c r="W509">
        <v>0</v>
      </c>
      <c r="X509">
        <v>1.8972500000000001</v>
      </c>
      <c r="Y509">
        <v>1.8972500000000001</v>
      </c>
      <c r="Z509">
        <v>0</v>
      </c>
      <c r="AA509">
        <v>1.4655499999999999</v>
      </c>
      <c r="AB509">
        <v>2.9635199999999999</v>
      </c>
      <c r="AC509" s="2">
        <v>235284000</v>
      </c>
      <c r="AD509" s="1">
        <v>0</v>
      </c>
      <c r="AE509" s="1">
        <v>0</v>
      </c>
      <c r="AF509" s="1">
        <v>0</v>
      </c>
      <c r="AG509" s="1">
        <v>0</v>
      </c>
      <c r="AH509" s="2">
        <v>4908630</v>
      </c>
      <c r="AI509" s="1">
        <v>160002</v>
      </c>
      <c r="AJ509" s="1">
        <v>0</v>
      </c>
      <c r="AK509" s="8">
        <f t="shared" si="31"/>
        <v>40</v>
      </c>
      <c r="AL509" s="8">
        <f t="shared" si="30"/>
        <v>10</v>
      </c>
      <c r="AM509">
        <f t="shared" si="28"/>
        <v>0</v>
      </c>
      <c r="AN509">
        <f t="shared" si="29"/>
        <v>0</v>
      </c>
    </row>
    <row r="510" spans="1:40" x14ac:dyDescent="0.35">
      <c r="A510">
        <v>84.271900000000002</v>
      </c>
      <c r="B510">
        <v>85.138999999999996</v>
      </c>
      <c r="C510">
        <v>3.03565</v>
      </c>
      <c r="D510">
        <v>0</v>
      </c>
      <c r="E510">
        <v>0</v>
      </c>
      <c r="F510">
        <v>2.9694699999999998</v>
      </c>
      <c r="G510">
        <v>2.9694699999999998</v>
      </c>
      <c r="H510">
        <v>0</v>
      </c>
      <c r="I510">
        <v>0.57388899999999998</v>
      </c>
      <c r="J510">
        <v>5.3222399999999999</v>
      </c>
      <c r="K510" s="2">
        <v>58431400</v>
      </c>
      <c r="L510" s="1">
        <v>0</v>
      </c>
      <c r="M510" s="1">
        <v>0</v>
      </c>
      <c r="N510" s="1">
        <v>0</v>
      </c>
      <c r="O510" s="1">
        <v>0</v>
      </c>
      <c r="P510" s="2">
        <v>4439290</v>
      </c>
      <c r="Q510" s="1">
        <v>305268</v>
      </c>
      <c r="R510" s="1">
        <v>0</v>
      </c>
      <c r="S510">
        <v>99.302199999999999</v>
      </c>
      <c r="T510">
        <v>98.274000000000001</v>
      </c>
      <c r="U510">
        <v>3.14669</v>
      </c>
      <c r="V510">
        <v>0</v>
      </c>
      <c r="W510">
        <v>0</v>
      </c>
      <c r="X510">
        <v>1.80629</v>
      </c>
      <c r="Y510">
        <v>1.80629</v>
      </c>
      <c r="Z510">
        <v>0</v>
      </c>
      <c r="AA510">
        <v>1.4658100000000001</v>
      </c>
      <c r="AB510">
        <v>2.9635199999999999</v>
      </c>
      <c r="AC510" s="2">
        <v>235437000</v>
      </c>
      <c r="AD510" s="1">
        <v>0</v>
      </c>
      <c r="AE510" s="1">
        <v>0</v>
      </c>
      <c r="AF510" s="1">
        <v>0</v>
      </c>
      <c r="AG510" s="1">
        <v>0</v>
      </c>
      <c r="AH510" s="2">
        <v>4673300</v>
      </c>
      <c r="AI510" s="1">
        <v>152332</v>
      </c>
      <c r="AJ510" s="1">
        <v>0</v>
      </c>
      <c r="AK510" s="8">
        <f t="shared" si="31"/>
        <v>41</v>
      </c>
      <c r="AL510" s="8">
        <f t="shared" si="30"/>
        <v>10</v>
      </c>
      <c r="AM510">
        <f t="shared" si="28"/>
        <v>0</v>
      </c>
      <c r="AN510">
        <f t="shared" si="29"/>
        <v>0</v>
      </c>
    </row>
    <row r="511" spans="1:40" x14ac:dyDescent="0.35">
      <c r="A511">
        <v>84.141300000000001</v>
      </c>
      <c r="B511">
        <v>85.138999999999996</v>
      </c>
      <c r="C511">
        <v>3.05009</v>
      </c>
      <c r="D511">
        <v>0</v>
      </c>
      <c r="E511">
        <v>0</v>
      </c>
      <c r="F511">
        <v>2.9700099999999998</v>
      </c>
      <c r="G511">
        <v>2.9700099999999998</v>
      </c>
      <c r="H511">
        <v>0</v>
      </c>
      <c r="I511">
        <v>0.55647899999999995</v>
      </c>
      <c r="J511">
        <v>5.3222399999999999</v>
      </c>
      <c r="K511" s="2">
        <v>58736800</v>
      </c>
      <c r="L511" s="1">
        <v>0</v>
      </c>
      <c r="M511" s="1">
        <v>0</v>
      </c>
      <c r="N511" s="1">
        <v>0</v>
      </c>
      <c r="O511" s="1">
        <v>0</v>
      </c>
      <c r="P511" s="2">
        <v>4440090</v>
      </c>
      <c r="Q511" s="1">
        <v>305323</v>
      </c>
      <c r="R511" s="1">
        <v>0</v>
      </c>
      <c r="S511">
        <v>99.302199999999999</v>
      </c>
      <c r="T511">
        <v>98.274000000000001</v>
      </c>
      <c r="U511">
        <v>3.3817200000000001</v>
      </c>
      <c r="V511">
        <v>0</v>
      </c>
      <c r="W511">
        <v>0</v>
      </c>
      <c r="X511">
        <v>1.8066199999999999</v>
      </c>
      <c r="Y511">
        <v>1.8066199999999999</v>
      </c>
      <c r="Z511">
        <v>0</v>
      </c>
      <c r="AA511">
        <v>1.39554</v>
      </c>
      <c r="AB511">
        <v>2.9635199999999999</v>
      </c>
      <c r="AC511" s="2">
        <v>235589000</v>
      </c>
      <c r="AD511" s="1">
        <v>0</v>
      </c>
      <c r="AE511" s="1">
        <v>0</v>
      </c>
      <c r="AF511" s="1">
        <v>0</v>
      </c>
      <c r="AG511" s="1">
        <v>0</v>
      </c>
      <c r="AH511" s="2">
        <v>4674150</v>
      </c>
      <c r="AI511" s="1">
        <v>152359</v>
      </c>
      <c r="AJ511" s="1">
        <v>0</v>
      </c>
      <c r="AK511" s="8">
        <f t="shared" si="31"/>
        <v>42</v>
      </c>
      <c r="AL511" s="8">
        <f t="shared" si="30"/>
        <v>10</v>
      </c>
      <c r="AM511">
        <f t="shared" si="28"/>
        <v>0</v>
      </c>
      <c r="AN511">
        <f t="shared" si="29"/>
        <v>0</v>
      </c>
    </row>
    <row r="512" spans="1:40" x14ac:dyDescent="0.35">
      <c r="A512">
        <v>84.242800000000003</v>
      </c>
      <c r="B512">
        <v>85.138999999999996</v>
      </c>
      <c r="C512">
        <v>3.3054700000000001</v>
      </c>
      <c r="D512">
        <v>0</v>
      </c>
      <c r="E512">
        <v>0</v>
      </c>
      <c r="F512">
        <v>2.9705499999999998</v>
      </c>
      <c r="G512">
        <v>2.9705499999999998</v>
      </c>
      <c r="H512">
        <v>0</v>
      </c>
      <c r="I512">
        <v>0.55657999999999996</v>
      </c>
      <c r="J512">
        <v>5.3222399999999999</v>
      </c>
      <c r="K512" s="2">
        <v>59042100</v>
      </c>
      <c r="L512" s="1">
        <v>0</v>
      </c>
      <c r="M512" s="1">
        <v>0</v>
      </c>
      <c r="N512" s="1">
        <v>0</v>
      </c>
      <c r="O512" s="1">
        <v>0</v>
      </c>
      <c r="P512" s="2">
        <v>4440900</v>
      </c>
      <c r="Q512" s="1">
        <v>305378</v>
      </c>
      <c r="R512" s="1">
        <v>0</v>
      </c>
      <c r="S512">
        <v>99.302199999999999</v>
      </c>
      <c r="T512">
        <v>98.274000000000001</v>
      </c>
      <c r="U512">
        <v>3.7080600000000001</v>
      </c>
      <c r="V512">
        <v>0</v>
      </c>
      <c r="W512">
        <v>0</v>
      </c>
      <c r="X512">
        <v>1.80694</v>
      </c>
      <c r="Y512">
        <v>1.80694</v>
      </c>
      <c r="Z512">
        <v>0</v>
      </c>
      <c r="AA512">
        <v>1.3957900000000001</v>
      </c>
      <c r="AB512">
        <v>2.9635199999999999</v>
      </c>
      <c r="AC512" s="2">
        <v>235741000</v>
      </c>
      <c r="AD512" s="1">
        <v>0</v>
      </c>
      <c r="AE512" s="1">
        <v>0</v>
      </c>
      <c r="AF512" s="1">
        <v>0</v>
      </c>
      <c r="AG512" s="1">
        <v>0</v>
      </c>
      <c r="AH512" s="2">
        <v>4674990</v>
      </c>
      <c r="AI512" s="1">
        <v>152387</v>
      </c>
      <c r="AJ512" s="1">
        <v>0</v>
      </c>
      <c r="AK512" s="8">
        <f t="shared" si="31"/>
        <v>43</v>
      </c>
      <c r="AL512" s="8">
        <f t="shared" si="30"/>
        <v>10</v>
      </c>
      <c r="AM512">
        <f t="shared" si="28"/>
        <v>0</v>
      </c>
      <c r="AN512">
        <f t="shared" si="29"/>
        <v>0</v>
      </c>
    </row>
    <row r="513" spans="1:40" x14ac:dyDescent="0.35">
      <c r="A513">
        <v>84.400400000000005</v>
      </c>
      <c r="B513">
        <v>85.138999999999996</v>
      </c>
      <c r="C513">
        <v>3.41683</v>
      </c>
      <c r="D513">
        <v>0</v>
      </c>
      <c r="E513">
        <v>0</v>
      </c>
      <c r="F513">
        <v>2.9710899999999998</v>
      </c>
      <c r="G513">
        <v>2.9710899999999998</v>
      </c>
      <c r="H513">
        <v>0</v>
      </c>
      <c r="I513">
        <v>0.55668099999999998</v>
      </c>
      <c r="J513">
        <v>5.3222399999999999</v>
      </c>
      <c r="K513" s="2">
        <v>59347600</v>
      </c>
      <c r="L513" s="1">
        <v>0</v>
      </c>
      <c r="M513" s="1">
        <v>0</v>
      </c>
      <c r="N513" s="1">
        <v>0</v>
      </c>
      <c r="O513" s="1">
        <v>0</v>
      </c>
      <c r="P513" s="2">
        <v>4441700</v>
      </c>
      <c r="Q513" s="1">
        <v>305434</v>
      </c>
      <c r="R513" s="1">
        <v>0</v>
      </c>
      <c r="S513">
        <v>99.302199999999999</v>
      </c>
      <c r="T513">
        <v>98.274000000000001</v>
      </c>
      <c r="U513">
        <v>3.9074499999999999</v>
      </c>
      <c r="V513">
        <v>0</v>
      </c>
      <c r="W513">
        <v>0</v>
      </c>
      <c r="X513">
        <v>1.8072699999999999</v>
      </c>
      <c r="Y513">
        <v>1.8072699999999999</v>
      </c>
      <c r="Z513">
        <v>0</v>
      </c>
      <c r="AA513">
        <v>1.3960399999999999</v>
      </c>
      <c r="AB513">
        <v>2.9635199999999999</v>
      </c>
      <c r="AC513" s="2">
        <v>235894000</v>
      </c>
      <c r="AD513" s="1">
        <v>0</v>
      </c>
      <c r="AE513" s="1">
        <v>0</v>
      </c>
      <c r="AF513" s="1">
        <v>0</v>
      </c>
      <c r="AG513" s="1">
        <v>0</v>
      </c>
      <c r="AH513" s="2">
        <v>4675840</v>
      </c>
      <c r="AI513" s="1">
        <v>152414</v>
      </c>
      <c r="AJ513" s="1">
        <v>0</v>
      </c>
      <c r="AK513" s="8">
        <f t="shared" si="31"/>
        <v>44</v>
      </c>
      <c r="AL513" s="8">
        <f t="shared" si="30"/>
        <v>10</v>
      </c>
      <c r="AM513">
        <f t="shared" si="28"/>
        <v>0</v>
      </c>
      <c r="AN513">
        <f t="shared" si="29"/>
        <v>0</v>
      </c>
    </row>
    <row r="514" spans="1:40" x14ac:dyDescent="0.35">
      <c r="A514">
        <v>84.427599999999998</v>
      </c>
      <c r="B514">
        <v>85.138999999999996</v>
      </c>
      <c r="C514">
        <v>3.4117899999999999</v>
      </c>
      <c r="D514">
        <v>0</v>
      </c>
      <c r="E514">
        <v>0</v>
      </c>
      <c r="F514">
        <v>2.89486</v>
      </c>
      <c r="G514">
        <v>2.89486</v>
      </c>
      <c r="H514">
        <v>0</v>
      </c>
      <c r="I514">
        <v>0.556782</v>
      </c>
      <c r="J514">
        <v>5.3222399999999999</v>
      </c>
      <c r="K514" s="2">
        <v>59645200</v>
      </c>
      <c r="L514" s="1">
        <v>0</v>
      </c>
      <c r="M514" s="1">
        <v>0</v>
      </c>
      <c r="N514" s="1">
        <v>0</v>
      </c>
      <c r="O514" s="1">
        <v>0</v>
      </c>
      <c r="P514" s="2">
        <v>4327750</v>
      </c>
      <c r="Q514" s="1">
        <v>297597</v>
      </c>
      <c r="R514" s="1">
        <v>0</v>
      </c>
      <c r="S514">
        <v>99.302199999999999</v>
      </c>
      <c r="T514">
        <v>98.274000000000001</v>
      </c>
      <c r="U514">
        <v>4.7802499999999997</v>
      </c>
      <c r="V514">
        <v>0</v>
      </c>
      <c r="W514">
        <v>0</v>
      </c>
      <c r="X514">
        <v>1.7244299999999999</v>
      </c>
      <c r="Y514">
        <v>1.7244299999999999</v>
      </c>
      <c r="Z514">
        <v>0</v>
      </c>
      <c r="AA514">
        <v>1.3963000000000001</v>
      </c>
      <c r="AB514">
        <v>2.9635199999999999</v>
      </c>
      <c r="AC514" s="2">
        <v>236039000</v>
      </c>
      <c r="AD514" s="1">
        <v>0</v>
      </c>
      <c r="AE514" s="1">
        <v>0</v>
      </c>
      <c r="AF514" s="1">
        <v>0</v>
      </c>
      <c r="AG514" s="1">
        <v>0</v>
      </c>
      <c r="AH514" s="2">
        <v>4461510</v>
      </c>
      <c r="AI514" s="1">
        <v>145428</v>
      </c>
      <c r="AJ514" s="1">
        <v>0</v>
      </c>
      <c r="AK514" s="8">
        <f t="shared" si="31"/>
        <v>45</v>
      </c>
      <c r="AL514" s="8">
        <f t="shared" si="30"/>
        <v>10</v>
      </c>
      <c r="AM514">
        <f t="shared" si="28"/>
        <v>0</v>
      </c>
      <c r="AN514">
        <f t="shared" si="29"/>
        <v>0</v>
      </c>
    </row>
    <row r="515" spans="1:40" x14ac:dyDescent="0.35">
      <c r="A515">
        <v>82.8523</v>
      </c>
      <c r="B515">
        <v>85.138999999999996</v>
      </c>
      <c r="C515">
        <v>1.6365499999999999</v>
      </c>
      <c r="D515">
        <v>0</v>
      </c>
      <c r="E515">
        <v>0</v>
      </c>
      <c r="F515">
        <v>2.8953899999999999</v>
      </c>
      <c r="G515">
        <v>2.8953899999999999</v>
      </c>
      <c r="H515">
        <v>0</v>
      </c>
      <c r="I515">
        <v>0.54249700000000001</v>
      </c>
      <c r="J515">
        <v>5.3222399999999999</v>
      </c>
      <c r="K515" s="2">
        <v>59942800</v>
      </c>
      <c r="L515" s="1">
        <v>0</v>
      </c>
      <c r="M515" s="1">
        <v>0</v>
      </c>
      <c r="N515" s="1">
        <v>0</v>
      </c>
      <c r="O515" s="1">
        <v>0</v>
      </c>
      <c r="P515" s="2">
        <v>4328530</v>
      </c>
      <c r="Q515" s="1">
        <v>297651</v>
      </c>
      <c r="R515" s="1">
        <v>0</v>
      </c>
      <c r="S515">
        <v>99.302199999999999</v>
      </c>
      <c r="T515">
        <v>98.274000000000001</v>
      </c>
      <c r="U515">
        <v>3.0741000000000001</v>
      </c>
      <c r="V515">
        <v>0</v>
      </c>
      <c r="W515">
        <v>0</v>
      </c>
      <c r="X515">
        <v>1.7247399999999999</v>
      </c>
      <c r="Y515">
        <v>1.7247399999999999</v>
      </c>
      <c r="Z515">
        <v>0</v>
      </c>
      <c r="AA515">
        <v>1.3323</v>
      </c>
      <c r="AB515">
        <v>2.9635199999999999</v>
      </c>
      <c r="AC515" s="2">
        <v>236185000</v>
      </c>
      <c r="AD515" s="1">
        <v>0</v>
      </c>
      <c r="AE515" s="1">
        <v>0</v>
      </c>
      <c r="AF515" s="1">
        <v>0</v>
      </c>
      <c r="AG515" s="1">
        <v>0</v>
      </c>
      <c r="AH515" s="2">
        <v>4462320</v>
      </c>
      <c r="AI515" s="1">
        <v>145454</v>
      </c>
      <c r="AJ515" s="1">
        <v>0</v>
      </c>
      <c r="AK515" s="8">
        <f t="shared" si="31"/>
        <v>46</v>
      </c>
      <c r="AL515" s="8">
        <f t="shared" si="30"/>
        <v>10</v>
      </c>
      <c r="AM515">
        <f t="shared" ref="AM515:AM578" si="32">IF(AK515=52,AC515,0)</f>
        <v>0</v>
      </c>
      <c r="AN515">
        <f t="shared" ref="AN515:AN578" si="33">IF(AK515=52,K515,0)</f>
        <v>0</v>
      </c>
    </row>
    <row r="516" spans="1:40" x14ac:dyDescent="0.35">
      <c r="A516">
        <v>84.184799999999996</v>
      </c>
      <c r="B516">
        <v>85.138999999999996</v>
      </c>
      <c r="C516">
        <v>4.56541</v>
      </c>
      <c r="D516">
        <v>0</v>
      </c>
      <c r="E516">
        <v>0</v>
      </c>
      <c r="F516">
        <v>2.8959100000000002</v>
      </c>
      <c r="G516">
        <v>2.8959100000000002</v>
      </c>
      <c r="H516">
        <v>0</v>
      </c>
      <c r="I516">
        <v>0.54259500000000005</v>
      </c>
      <c r="J516">
        <v>5.3222399999999999</v>
      </c>
      <c r="K516" s="2">
        <v>60240500</v>
      </c>
      <c r="L516" s="1">
        <v>0</v>
      </c>
      <c r="M516" s="1">
        <v>0</v>
      </c>
      <c r="N516" s="1">
        <v>0</v>
      </c>
      <c r="O516" s="1">
        <v>0</v>
      </c>
      <c r="P516" s="2">
        <v>4329310</v>
      </c>
      <c r="Q516" s="1">
        <v>297705</v>
      </c>
      <c r="R516" s="1">
        <v>0</v>
      </c>
      <c r="S516">
        <v>99.302199999999999</v>
      </c>
      <c r="T516">
        <v>98.274000000000001</v>
      </c>
      <c r="U516">
        <v>5.0334199999999996</v>
      </c>
      <c r="V516">
        <v>0</v>
      </c>
      <c r="W516">
        <v>0</v>
      </c>
      <c r="X516">
        <v>1.72506</v>
      </c>
      <c r="Y516">
        <v>1.72506</v>
      </c>
      <c r="Z516">
        <v>0</v>
      </c>
      <c r="AA516">
        <v>1.3325400000000001</v>
      </c>
      <c r="AB516">
        <v>2.9635199999999999</v>
      </c>
      <c r="AC516" s="2">
        <v>236330000</v>
      </c>
      <c r="AD516" s="1">
        <v>0</v>
      </c>
      <c r="AE516" s="1">
        <v>0</v>
      </c>
      <c r="AF516" s="1">
        <v>0</v>
      </c>
      <c r="AG516" s="1">
        <v>0</v>
      </c>
      <c r="AH516" s="2">
        <v>4463130</v>
      </c>
      <c r="AI516" s="1">
        <v>145481</v>
      </c>
      <c r="AJ516" s="1">
        <v>0</v>
      </c>
      <c r="AK516" s="8">
        <f t="shared" si="31"/>
        <v>47</v>
      </c>
      <c r="AL516" s="8">
        <f t="shared" ref="AL516:AL579" si="34">IF(AK515=52,AL515+1,AL515)</f>
        <v>10</v>
      </c>
      <c r="AM516">
        <f t="shared" si="32"/>
        <v>0</v>
      </c>
      <c r="AN516">
        <f t="shared" si="33"/>
        <v>0</v>
      </c>
    </row>
    <row r="517" spans="1:40" x14ac:dyDescent="0.35">
      <c r="A517">
        <v>85.138999999999996</v>
      </c>
      <c r="B517">
        <v>85.138999999999996</v>
      </c>
      <c r="C517">
        <v>7.4432499999999999</v>
      </c>
      <c r="D517">
        <v>0</v>
      </c>
      <c r="E517">
        <v>0</v>
      </c>
      <c r="F517">
        <v>2.8964400000000001</v>
      </c>
      <c r="G517">
        <v>2.8964400000000001</v>
      </c>
      <c r="H517">
        <v>0</v>
      </c>
      <c r="I517">
        <v>0.54269400000000001</v>
      </c>
      <c r="J517">
        <v>5.3222399999999999</v>
      </c>
      <c r="K517" s="2">
        <v>60538300</v>
      </c>
      <c r="L517" s="1">
        <v>0</v>
      </c>
      <c r="M517" s="1">
        <v>0</v>
      </c>
      <c r="N517" s="1">
        <v>0</v>
      </c>
      <c r="O517" s="1">
        <v>0</v>
      </c>
      <c r="P517" s="2">
        <v>4330100</v>
      </c>
      <c r="Q517" s="1">
        <v>297759</v>
      </c>
      <c r="R517" s="1">
        <v>0</v>
      </c>
      <c r="S517">
        <v>99.302199999999999</v>
      </c>
      <c r="T517">
        <v>98.274000000000001</v>
      </c>
      <c r="U517">
        <v>7.3377600000000003</v>
      </c>
      <c r="V517">
        <v>0</v>
      </c>
      <c r="W517">
        <v>0</v>
      </c>
      <c r="X517">
        <v>1.7253700000000001</v>
      </c>
      <c r="Y517">
        <v>1.7253700000000001</v>
      </c>
      <c r="Z517">
        <v>0</v>
      </c>
      <c r="AA517">
        <v>1.3327800000000001</v>
      </c>
      <c r="AB517">
        <v>2.9635199999999999</v>
      </c>
      <c r="AC517" s="2">
        <v>236476000</v>
      </c>
      <c r="AD517" s="1">
        <v>0</v>
      </c>
      <c r="AE517" s="1">
        <v>0</v>
      </c>
      <c r="AF517" s="1">
        <v>0</v>
      </c>
      <c r="AG517" s="1">
        <v>0</v>
      </c>
      <c r="AH517" s="2">
        <v>4463940</v>
      </c>
      <c r="AI517" s="1">
        <v>145507</v>
      </c>
      <c r="AJ517" s="1">
        <v>0</v>
      </c>
      <c r="AK517" s="8">
        <f t="shared" si="31"/>
        <v>48</v>
      </c>
      <c r="AL517" s="8">
        <f t="shared" si="34"/>
        <v>10</v>
      </c>
      <c r="AM517">
        <f t="shared" si="32"/>
        <v>0</v>
      </c>
      <c r="AN517">
        <f t="shared" si="33"/>
        <v>0</v>
      </c>
    </row>
    <row r="518" spans="1:40" x14ac:dyDescent="0.35">
      <c r="A518">
        <v>85.138999999999996</v>
      </c>
      <c r="B518">
        <v>85.138999999999996</v>
      </c>
      <c r="C518">
        <v>4.1692499999999999</v>
      </c>
      <c r="D518">
        <v>0</v>
      </c>
      <c r="E518">
        <v>0</v>
      </c>
      <c r="F518">
        <v>2.6787899999999998</v>
      </c>
      <c r="G518">
        <v>2.6787899999999998</v>
      </c>
      <c r="H518">
        <v>0</v>
      </c>
      <c r="I518">
        <v>0.54279200000000005</v>
      </c>
      <c r="J518">
        <v>5.3222399999999999</v>
      </c>
      <c r="K518" s="2">
        <v>60813700</v>
      </c>
      <c r="L518" s="1">
        <v>0</v>
      </c>
      <c r="M518" s="1">
        <v>0</v>
      </c>
      <c r="N518" s="1">
        <v>0</v>
      </c>
      <c r="O518" s="1">
        <v>0</v>
      </c>
      <c r="P518" s="2">
        <v>4004720</v>
      </c>
      <c r="Q518" s="1">
        <v>275384</v>
      </c>
      <c r="R518" s="1">
        <v>0</v>
      </c>
      <c r="S518">
        <v>99.302199999999999</v>
      </c>
      <c r="T518">
        <v>98.274000000000001</v>
      </c>
      <c r="U518">
        <v>4.6719099999999996</v>
      </c>
      <c r="V518">
        <v>0</v>
      </c>
      <c r="W518">
        <v>0</v>
      </c>
      <c r="X518">
        <v>1.5523400000000001</v>
      </c>
      <c r="Y518">
        <v>1.5523400000000001</v>
      </c>
      <c r="Z518">
        <v>0</v>
      </c>
      <c r="AA518">
        <v>1.3330200000000001</v>
      </c>
      <c r="AB518">
        <v>2.9635199999999999</v>
      </c>
      <c r="AC518" s="2">
        <v>236607000</v>
      </c>
      <c r="AD518" s="1">
        <v>0</v>
      </c>
      <c r="AE518" s="1">
        <v>0</v>
      </c>
      <c r="AF518" s="1">
        <v>0</v>
      </c>
      <c r="AG518" s="1">
        <v>0</v>
      </c>
      <c r="AH518" s="2">
        <v>4016280</v>
      </c>
      <c r="AI518" s="1">
        <v>130915</v>
      </c>
      <c r="AJ518" s="1">
        <v>0</v>
      </c>
      <c r="AK518" s="8">
        <f t="shared" si="31"/>
        <v>49</v>
      </c>
      <c r="AL518" s="8">
        <f t="shared" si="34"/>
        <v>10</v>
      </c>
      <c r="AM518">
        <f t="shared" si="32"/>
        <v>0</v>
      </c>
      <c r="AN518">
        <f t="shared" si="33"/>
        <v>0</v>
      </c>
    </row>
    <row r="519" spans="1:40" x14ac:dyDescent="0.35">
      <c r="A519">
        <v>85.138999999999996</v>
      </c>
      <c r="B519">
        <v>85.138999999999996</v>
      </c>
      <c r="C519">
        <v>4.9002499999999998</v>
      </c>
      <c r="D519">
        <v>0</v>
      </c>
      <c r="E519">
        <v>0</v>
      </c>
      <c r="F519">
        <v>2.6792699999999998</v>
      </c>
      <c r="G519">
        <v>2.6792699999999998</v>
      </c>
      <c r="H519">
        <v>0</v>
      </c>
      <c r="I519">
        <v>0.50200400000000001</v>
      </c>
      <c r="J519">
        <v>5.3222399999999999</v>
      </c>
      <c r="K519" s="2">
        <v>61089100</v>
      </c>
      <c r="L519" s="1">
        <v>0</v>
      </c>
      <c r="M519" s="1">
        <v>0</v>
      </c>
      <c r="N519" s="1">
        <v>0</v>
      </c>
      <c r="O519" s="1">
        <v>0</v>
      </c>
      <c r="P519" s="2">
        <v>4005440</v>
      </c>
      <c r="Q519" s="1">
        <v>275434</v>
      </c>
      <c r="R519" s="1">
        <v>0</v>
      </c>
      <c r="S519">
        <v>99.302199999999999</v>
      </c>
      <c r="T519">
        <v>98.274000000000001</v>
      </c>
      <c r="U519">
        <v>6.3841599999999996</v>
      </c>
      <c r="V519">
        <v>0</v>
      </c>
      <c r="W519">
        <v>0</v>
      </c>
      <c r="X519">
        <v>1.5526199999999999</v>
      </c>
      <c r="Y519">
        <v>1.5526199999999999</v>
      </c>
      <c r="Z519">
        <v>0</v>
      </c>
      <c r="AA519">
        <v>1.1993400000000001</v>
      </c>
      <c r="AB519">
        <v>2.9635199999999999</v>
      </c>
      <c r="AC519" s="2">
        <v>236738000</v>
      </c>
      <c r="AD519" s="1">
        <v>0</v>
      </c>
      <c r="AE519" s="1">
        <v>0</v>
      </c>
      <c r="AF519" s="1">
        <v>0</v>
      </c>
      <c r="AG519" s="1">
        <v>0</v>
      </c>
      <c r="AH519" s="2">
        <v>4017000</v>
      </c>
      <c r="AI519" s="1">
        <v>130939</v>
      </c>
      <c r="AJ519" s="1">
        <v>0</v>
      </c>
      <c r="AK519" s="8">
        <f t="shared" si="31"/>
        <v>50</v>
      </c>
      <c r="AL519" s="8">
        <f t="shared" si="34"/>
        <v>10</v>
      </c>
      <c r="AM519">
        <f t="shared" si="32"/>
        <v>0</v>
      </c>
      <c r="AN519">
        <f t="shared" si="33"/>
        <v>0</v>
      </c>
    </row>
    <row r="520" spans="1:40" x14ac:dyDescent="0.35">
      <c r="A520">
        <v>85.138999999999996</v>
      </c>
      <c r="B520">
        <v>85.138999999999996</v>
      </c>
      <c r="C520">
        <v>4.5545299999999997</v>
      </c>
      <c r="D520">
        <v>0</v>
      </c>
      <c r="E520">
        <v>0</v>
      </c>
      <c r="F520">
        <v>2.6797599999999999</v>
      </c>
      <c r="G520">
        <v>2.6797599999999999</v>
      </c>
      <c r="H520">
        <v>0</v>
      </c>
      <c r="I520">
        <v>0.50209499999999996</v>
      </c>
      <c r="J520">
        <v>5.3222399999999999</v>
      </c>
      <c r="K520" s="2">
        <v>61364600</v>
      </c>
      <c r="L520" s="1">
        <v>0</v>
      </c>
      <c r="M520" s="1">
        <v>0</v>
      </c>
      <c r="N520" s="1">
        <v>0</v>
      </c>
      <c r="O520" s="1">
        <v>0</v>
      </c>
      <c r="P520" s="2">
        <v>4006170</v>
      </c>
      <c r="Q520" s="1">
        <v>275484</v>
      </c>
      <c r="R520" s="1">
        <v>0</v>
      </c>
      <c r="S520">
        <v>99.302199999999999</v>
      </c>
      <c r="T520">
        <v>98.274000000000001</v>
      </c>
      <c r="U520">
        <v>5.9579599999999999</v>
      </c>
      <c r="V520">
        <v>0</v>
      </c>
      <c r="W520">
        <v>0</v>
      </c>
      <c r="X520">
        <v>1.5528999999999999</v>
      </c>
      <c r="Y520">
        <v>1.5528999999999999</v>
      </c>
      <c r="Z520">
        <v>0</v>
      </c>
      <c r="AA520">
        <v>1.19956</v>
      </c>
      <c r="AB520">
        <v>2.9635199999999999</v>
      </c>
      <c r="AC520" s="2">
        <v>236869000</v>
      </c>
      <c r="AD520" s="1">
        <v>0</v>
      </c>
      <c r="AE520" s="1">
        <v>0</v>
      </c>
      <c r="AF520" s="1">
        <v>0</v>
      </c>
      <c r="AG520" s="1">
        <v>0</v>
      </c>
      <c r="AH520" s="2">
        <v>4017730</v>
      </c>
      <c r="AI520" s="1">
        <v>130963</v>
      </c>
      <c r="AJ520" s="1">
        <v>0</v>
      </c>
      <c r="AK520" s="8">
        <f t="shared" ref="AK520:AK583" si="35">IF(AK519=52, 1, AK519+1)</f>
        <v>51</v>
      </c>
      <c r="AL520" s="8">
        <f t="shared" si="34"/>
        <v>10</v>
      </c>
      <c r="AM520">
        <f t="shared" si="32"/>
        <v>0</v>
      </c>
      <c r="AN520">
        <f t="shared" si="33"/>
        <v>0</v>
      </c>
    </row>
    <row r="521" spans="1:40" x14ac:dyDescent="0.35">
      <c r="A521">
        <v>85.138999999999996</v>
      </c>
      <c r="B521">
        <v>85.138999999999996</v>
      </c>
      <c r="C521">
        <v>7.7703300000000004</v>
      </c>
      <c r="D521">
        <v>0</v>
      </c>
      <c r="E521">
        <v>0</v>
      </c>
      <c r="F521">
        <v>2.68024</v>
      </c>
      <c r="G521">
        <v>2.68024</v>
      </c>
      <c r="H521">
        <v>0</v>
      </c>
      <c r="I521">
        <v>0.50218600000000002</v>
      </c>
      <c r="J521">
        <v>5.3222399999999999</v>
      </c>
      <c r="K521" s="2">
        <v>61640100</v>
      </c>
      <c r="L521" s="1">
        <v>0</v>
      </c>
      <c r="M521" s="1">
        <v>0</v>
      </c>
      <c r="N521" s="1">
        <v>0</v>
      </c>
      <c r="O521" s="1">
        <v>0</v>
      </c>
      <c r="P521" s="2">
        <v>4006890</v>
      </c>
      <c r="Q521" s="1">
        <v>275534</v>
      </c>
      <c r="R521" s="1">
        <v>0</v>
      </c>
      <c r="S521">
        <v>99.302199999999999</v>
      </c>
      <c r="T521">
        <v>98.274000000000001</v>
      </c>
      <c r="U521">
        <v>6.63788</v>
      </c>
      <c r="V521">
        <v>0</v>
      </c>
      <c r="W521">
        <v>0</v>
      </c>
      <c r="X521">
        <v>1.5531900000000001</v>
      </c>
      <c r="Y521">
        <v>1.5531900000000001</v>
      </c>
      <c r="Z521">
        <v>0</v>
      </c>
      <c r="AA521">
        <v>1.19977</v>
      </c>
      <c r="AB521">
        <v>2.9635199999999999</v>
      </c>
      <c r="AC521" s="2">
        <v>237000000</v>
      </c>
      <c r="AD521" s="1">
        <v>0</v>
      </c>
      <c r="AE521" s="1">
        <v>0</v>
      </c>
      <c r="AF521" s="1">
        <v>0</v>
      </c>
      <c r="AG521" s="1">
        <v>0</v>
      </c>
      <c r="AH521" s="2">
        <v>4018460</v>
      </c>
      <c r="AI521" s="1">
        <v>130986</v>
      </c>
      <c r="AJ521" s="1">
        <v>0</v>
      </c>
      <c r="AK521" s="8">
        <f t="shared" si="35"/>
        <v>52</v>
      </c>
      <c r="AL521" s="8">
        <f t="shared" si="34"/>
        <v>10</v>
      </c>
      <c r="AM521">
        <f t="shared" si="32"/>
        <v>237000000</v>
      </c>
      <c r="AN521">
        <f t="shared" si="33"/>
        <v>61640100</v>
      </c>
    </row>
    <row r="522" spans="1:40" x14ac:dyDescent="0.35">
      <c r="A522">
        <v>85.138999999999996</v>
      </c>
      <c r="B522">
        <v>85.138999999999996</v>
      </c>
      <c r="C522">
        <v>5.6237500000000002</v>
      </c>
      <c r="D522">
        <v>0</v>
      </c>
      <c r="E522">
        <v>0</v>
      </c>
      <c r="F522">
        <v>2.6807300000000001</v>
      </c>
      <c r="G522">
        <v>2.6807300000000001</v>
      </c>
      <c r="H522">
        <v>0</v>
      </c>
      <c r="I522">
        <v>0.50227699999999997</v>
      </c>
      <c r="J522">
        <v>5.3222399999999999</v>
      </c>
      <c r="K522" s="2">
        <v>61915700</v>
      </c>
      <c r="L522" s="1">
        <v>0</v>
      </c>
      <c r="M522" s="1">
        <v>0</v>
      </c>
      <c r="N522" s="1">
        <v>0</v>
      </c>
      <c r="O522" s="1">
        <v>0</v>
      </c>
      <c r="P522" s="2">
        <v>4007620</v>
      </c>
      <c r="Q522" s="1">
        <v>275584</v>
      </c>
      <c r="R522" s="1">
        <v>0</v>
      </c>
      <c r="S522">
        <v>99.302199999999999</v>
      </c>
      <c r="T522">
        <v>98.274000000000001</v>
      </c>
      <c r="U522">
        <v>5.6277299999999997</v>
      </c>
      <c r="V522">
        <v>0</v>
      </c>
      <c r="W522">
        <v>0</v>
      </c>
      <c r="X522">
        <v>1.5534699999999999</v>
      </c>
      <c r="Y522">
        <v>1.5534699999999999</v>
      </c>
      <c r="Z522">
        <v>0</v>
      </c>
      <c r="AA522">
        <v>1.1999899999999999</v>
      </c>
      <c r="AB522">
        <v>2.9635199999999999</v>
      </c>
      <c r="AC522" s="2">
        <v>237131000</v>
      </c>
      <c r="AD522" s="1">
        <v>0</v>
      </c>
      <c r="AE522" s="1">
        <v>0</v>
      </c>
      <c r="AF522" s="1">
        <v>0</v>
      </c>
      <c r="AG522" s="1">
        <v>0</v>
      </c>
      <c r="AH522" s="2">
        <v>4019190</v>
      </c>
      <c r="AI522" s="1">
        <v>131010</v>
      </c>
      <c r="AJ522" s="1">
        <v>0</v>
      </c>
      <c r="AK522" s="8">
        <f t="shared" si="35"/>
        <v>1</v>
      </c>
      <c r="AL522" s="8">
        <f t="shared" si="34"/>
        <v>11</v>
      </c>
      <c r="AM522">
        <f t="shared" si="32"/>
        <v>0</v>
      </c>
      <c r="AN522">
        <f t="shared" si="33"/>
        <v>0</v>
      </c>
    </row>
    <row r="523" spans="1:40" x14ac:dyDescent="0.35">
      <c r="A523">
        <v>85.138999999999996</v>
      </c>
      <c r="B523">
        <v>85.138999999999996</v>
      </c>
      <c r="C523">
        <v>6.7892200000000003</v>
      </c>
      <c r="D523">
        <v>0</v>
      </c>
      <c r="E523">
        <v>0</v>
      </c>
      <c r="F523">
        <v>2.7652000000000001</v>
      </c>
      <c r="G523">
        <v>2.7652000000000001</v>
      </c>
      <c r="H523">
        <v>0</v>
      </c>
      <c r="I523">
        <v>0.50236800000000004</v>
      </c>
      <c r="J523">
        <v>5.3222399999999999</v>
      </c>
      <c r="K523" s="2">
        <v>62200000</v>
      </c>
      <c r="L523" s="1">
        <v>0</v>
      </c>
      <c r="M523" s="1">
        <v>0</v>
      </c>
      <c r="N523" s="1">
        <v>0</v>
      </c>
      <c r="O523" s="2">
        <v>29016000</v>
      </c>
      <c r="P523" s="2">
        <v>4133900</v>
      </c>
      <c r="Q523" s="1">
        <v>284268</v>
      </c>
      <c r="R523" s="1">
        <v>0</v>
      </c>
      <c r="S523">
        <v>99.302199999999999</v>
      </c>
      <c r="T523">
        <v>98.274000000000001</v>
      </c>
      <c r="U523">
        <v>5.7039999999999997</v>
      </c>
      <c r="V523">
        <v>0</v>
      </c>
      <c r="W523">
        <v>0</v>
      </c>
      <c r="X523">
        <v>1.60398</v>
      </c>
      <c r="Y523">
        <v>1.60398</v>
      </c>
      <c r="Z523">
        <v>0</v>
      </c>
      <c r="AA523">
        <v>1.20021</v>
      </c>
      <c r="AB523">
        <v>2.9635199999999999</v>
      </c>
      <c r="AC523" s="2">
        <v>237266000</v>
      </c>
      <c r="AD523" s="1">
        <v>0</v>
      </c>
      <c r="AE523" s="1">
        <v>0</v>
      </c>
      <c r="AF523" s="1">
        <v>0</v>
      </c>
      <c r="AG523" s="2">
        <v>7883220</v>
      </c>
      <c r="AH523" s="2">
        <v>4149880</v>
      </c>
      <c r="AI523" s="1">
        <v>135270</v>
      </c>
      <c r="AJ523" s="1">
        <v>0</v>
      </c>
      <c r="AK523" s="8">
        <f t="shared" si="35"/>
        <v>2</v>
      </c>
      <c r="AL523" s="8">
        <f t="shared" si="34"/>
        <v>11</v>
      </c>
      <c r="AM523">
        <f t="shared" si="32"/>
        <v>0</v>
      </c>
      <c r="AN523">
        <f t="shared" si="33"/>
        <v>0</v>
      </c>
    </row>
    <row r="524" spans="1:40" x14ac:dyDescent="0.35">
      <c r="A524">
        <v>85.138999999999996</v>
      </c>
      <c r="B524">
        <v>85.138999999999996</v>
      </c>
      <c r="C524">
        <v>4.1730200000000002</v>
      </c>
      <c r="D524">
        <v>0</v>
      </c>
      <c r="E524">
        <v>0</v>
      </c>
      <c r="F524">
        <v>2.7656800000000001</v>
      </c>
      <c r="G524">
        <v>2.7656800000000001</v>
      </c>
      <c r="H524">
        <v>0</v>
      </c>
      <c r="I524">
        <v>0.51819800000000005</v>
      </c>
      <c r="J524">
        <v>5.3222399999999999</v>
      </c>
      <c r="K524" s="2">
        <v>62484300</v>
      </c>
      <c r="L524" s="1">
        <v>0</v>
      </c>
      <c r="M524" s="1">
        <v>0</v>
      </c>
      <c r="N524" s="1">
        <v>0</v>
      </c>
      <c r="O524" s="1">
        <v>0</v>
      </c>
      <c r="P524" s="2">
        <v>4134620</v>
      </c>
      <c r="Q524" s="1">
        <v>284317</v>
      </c>
      <c r="R524" s="1">
        <v>0</v>
      </c>
      <c r="S524">
        <v>99.302199999999999</v>
      </c>
      <c r="T524">
        <v>98.274000000000001</v>
      </c>
      <c r="U524">
        <v>3.2181799999999998</v>
      </c>
      <c r="V524">
        <v>0</v>
      </c>
      <c r="W524">
        <v>0</v>
      </c>
      <c r="X524">
        <v>1.60426</v>
      </c>
      <c r="Y524">
        <v>1.60426</v>
      </c>
      <c r="Z524">
        <v>0</v>
      </c>
      <c r="AA524">
        <v>1.2392399999999999</v>
      </c>
      <c r="AB524">
        <v>2.9635199999999999</v>
      </c>
      <c r="AC524" s="2">
        <v>237401000</v>
      </c>
      <c r="AD524" s="1">
        <v>0</v>
      </c>
      <c r="AE524" s="1">
        <v>0</v>
      </c>
      <c r="AF524" s="1">
        <v>0</v>
      </c>
      <c r="AG524" s="1">
        <v>0</v>
      </c>
      <c r="AH524" s="2">
        <v>4150600</v>
      </c>
      <c r="AI524" s="1">
        <v>135294</v>
      </c>
      <c r="AJ524" s="1">
        <v>0</v>
      </c>
      <c r="AK524" s="8">
        <f t="shared" si="35"/>
        <v>3</v>
      </c>
      <c r="AL524" s="8">
        <f t="shared" si="34"/>
        <v>11</v>
      </c>
      <c r="AM524">
        <f t="shared" si="32"/>
        <v>0</v>
      </c>
      <c r="AN524">
        <f t="shared" si="33"/>
        <v>0</v>
      </c>
    </row>
    <row r="525" spans="1:40" x14ac:dyDescent="0.35">
      <c r="A525">
        <v>85.138999999999996</v>
      </c>
      <c r="B525">
        <v>85.138999999999996</v>
      </c>
      <c r="C525">
        <v>5.3461299999999996</v>
      </c>
      <c r="D525">
        <v>0</v>
      </c>
      <c r="E525">
        <v>0</v>
      </c>
      <c r="F525">
        <v>2.7661600000000002</v>
      </c>
      <c r="G525">
        <v>2.7661600000000002</v>
      </c>
      <c r="H525">
        <v>0</v>
      </c>
      <c r="I525">
        <v>0.51828799999999997</v>
      </c>
      <c r="J525">
        <v>5.3222399999999999</v>
      </c>
      <c r="K525" s="2">
        <v>62768700</v>
      </c>
      <c r="L525" s="1">
        <v>0</v>
      </c>
      <c r="M525" s="1">
        <v>0</v>
      </c>
      <c r="N525" s="1">
        <v>0</v>
      </c>
      <c r="O525" s="1">
        <v>0</v>
      </c>
      <c r="P525" s="2">
        <v>4135340</v>
      </c>
      <c r="Q525" s="1">
        <v>284367</v>
      </c>
      <c r="R525" s="1">
        <v>0</v>
      </c>
      <c r="S525">
        <v>98.9649</v>
      </c>
      <c r="T525">
        <v>98.274000000000001</v>
      </c>
      <c r="U525">
        <v>3.26146</v>
      </c>
      <c r="V525">
        <v>0</v>
      </c>
      <c r="W525">
        <v>0</v>
      </c>
      <c r="X525">
        <v>1.6045400000000001</v>
      </c>
      <c r="Y525">
        <v>1.6045400000000001</v>
      </c>
      <c r="Z525">
        <v>0</v>
      </c>
      <c r="AA525">
        <v>1.2394499999999999</v>
      </c>
      <c r="AB525">
        <v>2.9635199999999999</v>
      </c>
      <c r="AC525" s="2">
        <v>237536000</v>
      </c>
      <c r="AD525" s="1">
        <v>0</v>
      </c>
      <c r="AE525" s="1">
        <v>0</v>
      </c>
      <c r="AF525" s="1">
        <v>0</v>
      </c>
      <c r="AG525" s="1">
        <v>0</v>
      </c>
      <c r="AH525" s="2">
        <v>4151320</v>
      </c>
      <c r="AI525" s="1">
        <v>135317</v>
      </c>
      <c r="AJ525" s="1">
        <v>0</v>
      </c>
      <c r="AK525" s="8">
        <f t="shared" si="35"/>
        <v>4</v>
      </c>
      <c r="AL525" s="8">
        <f t="shared" si="34"/>
        <v>11</v>
      </c>
      <c r="AM525">
        <f t="shared" si="32"/>
        <v>0</v>
      </c>
      <c r="AN525">
        <f t="shared" si="33"/>
        <v>0</v>
      </c>
    </row>
    <row r="526" spans="1:40" x14ac:dyDescent="0.35">
      <c r="A526">
        <v>85.138999999999996</v>
      </c>
      <c r="B526">
        <v>85.138999999999996</v>
      </c>
      <c r="C526">
        <v>3.5447899999999999</v>
      </c>
      <c r="D526">
        <v>0</v>
      </c>
      <c r="E526">
        <v>0</v>
      </c>
      <c r="F526">
        <v>2.7666400000000002</v>
      </c>
      <c r="G526">
        <v>2.7666400000000002</v>
      </c>
      <c r="H526">
        <v>0</v>
      </c>
      <c r="I526">
        <v>0.51837800000000001</v>
      </c>
      <c r="J526">
        <v>5.3222399999999999</v>
      </c>
      <c r="K526" s="2">
        <v>63053100</v>
      </c>
      <c r="L526" s="1">
        <v>0</v>
      </c>
      <c r="M526" s="1">
        <v>0</v>
      </c>
      <c r="N526" s="1">
        <v>0</v>
      </c>
      <c r="O526" s="1">
        <v>0</v>
      </c>
      <c r="P526" s="2">
        <v>4136060</v>
      </c>
      <c r="Q526" s="1">
        <v>284416</v>
      </c>
      <c r="R526" s="1">
        <v>0</v>
      </c>
      <c r="S526">
        <v>99.178299999999993</v>
      </c>
      <c r="T526">
        <v>98.274000000000001</v>
      </c>
      <c r="U526">
        <v>2.2221299999999999</v>
      </c>
      <c r="V526">
        <v>0</v>
      </c>
      <c r="W526">
        <v>0</v>
      </c>
      <c r="X526">
        <v>1.6048199999999999</v>
      </c>
      <c r="Y526">
        <v>1.6048199999999999</v>
      </c>
      <c r="Z526">
        <v>0</v>
      </c>
      <c r="AA526">
        <v>1.23967</v>
      </c>
      <c r="AB526">
        <v>2.9635199999999999</v>
      </c>
      <c r="AC526" s="2">
        <v>237672000</v>
      </c>
      <c r="AD526" s="1">
        <v>0</v>
      </c>
      <c r="AE526" s="1">
        <v>0</v>
      </c>
      <c r="AF526" s="1">
        <v>0</v>
      </c>
      <c r="AG526" s="1">
        <v>0</v>
      </c>
      <c r="AH526" s="2">
        <v>4152050</v>
      </c>
      <c r="AI526" s="1">
        <v>135341</v>
      </c>
      <c r="AJ526" s="1">
        <v>0</v>
      </c>
      <c r="AK526" s="8">
        <f t="shared" si="35"/>
        <v>5</v>
      </c>
      <c r="AL526" s="8">
        <f t="shared" si="34"/>
        <v>11</v>
      </c>
      <c r="AM526">
        <f t="shared" si="32"/>
        <v>0</v>
      </c>
      <c r="AN526">
        <f t="shared" si="33"/>
        <v>0</v>
      </c>
    </row>
    <row r="527" spans="1:40" x14ac:dyDescent="0.35">
      <c r="A527">
        <v>85.132400000000004</v>
      </c>
      <c r="B527">
        <v>85.138999999999996</v>
      </c>
      <c r="C527">
        <v>3.5366200000000001</v>
      </c>
      <c r="D527">
        <v>0</v>
      </c>
      <c r="E527">
        <v>0</v>
      </c>
      <c r="F527">
        <v>3.0370200000000001</v>
      </c>
      <c r="G527">
        <v>3.0370200000000001</v>
      </c>
      <c r="H527">
        <v>0</v>
      </c>
      <c r="I527">
        <v>0.51846800000000004</v>
      </c>
      <c r="J527">
        <v>5.3222399999999999</v>
      </c>
      <c r="K527" s="2">
        <v>63365300</v>
      </c>
      <c r="L527" s="1">
        <v>0</v>
      </c>
      <c r="M527" s="1">
        <v>0</v>
      </c>
      <c r="N527" s="1">
        <v>0</v>
      </c>
      <c r="O527" s="1">
        <v>0</v>
      </c>
      <c r="P527" s="2">
        <v>4540270</v>
      </c>
      <c r="Q527" s="1">
        <v>312212</v>
      </c>
      <c r="R527" s="1">
        <v>0</v>
      </c>
      <c r="S527">
        <v>99.218000000000004</v>
      </c>
      <c r="T527">
        <v>98.274000000000001</v>
      </c>
      <c r="U527">
        <v>2.6499799999999998</v>
      </c>
      <c r="V527">
        <v>0</v>
      </c>
      <c r="W527">
        <v>0</v>
      </c>
      <c r="X527">
        <v>1.79382</v>
      </c>
      <c r="Y527">
        <v>1.79382</v>
      </c>
      <c r="Z527">
        <v>0</v>
      </c>
      <c r="AA527">
        <v>1.2398800000000001</v>
      </c>
      <c r="AB527">
        <v>2.9635199999999999</v>
      </c>
      <c r="AC527" s="2">
        <v>237823000</v>
      </c>
      <c r="AD527" s="1">
        <v>0</v>
      </c>
      <c r="AE527" s="1">
        <v>0</v>
      </c>
      <c r="AF527" s="1">
        <v>0</v>
      </c>
      <c r="AG527" s="1">
        <v>0</v>
      </c>
      <c r="AH527" s="2">
        <v>4641040</v>
      </c>
      <c r="AI527" s="1">
        <v>151280</v>
      </c>
      <c r="AJ527" s="1">
        <v>0</v>
      </c>
      <c r="AK527" s="8">
        <f t="shared" si="35"/>
        <v>6</v>
      </c>
      <c r="AL527" s="8">
        <f t="shared" si="34"/>
        <v>11</v>
      </c>
      <c r="AM527">
        <f t="shared" si="32"/>
        <v>0</v>
      </c>
      <c r="AN527">
        <f t="shared" si="33"/>
        <v>0</v>
      </c>
    </row>
    <row r="528" spans="1:40" x14ac:dyDescent="0.35">
      <c r="A528">
        <v>85.138999999999996</v>
      </c>
      <c r="B528">
        <v>85.138999999999996</v>
      </c>
      <c r="C528">
        <v>3.80565</v>
      </c>
      <c r="D528">
        <v>0</v>
      </c>
      <c r="E528">
        <v>0</v>
      </c>
      <c r="F528">
        <v>3.03755</v>
      </c>
      <c r="G528">
        <v>3.03755</v>
      </c>
      <c r="H528">
        <v>0</v>
      </c>
      <c r="I528">
        <v>0.569137</v>
      </c>
      <c r="J528">
        <v>5.3222399999999999</v>
      </c>
      <c r="K528" s="2">
        <v>63677600</v>
      </c>
      <c r="L528" s="1">
        <v>0</v>
      </c>
      <c r="M528" s="1">
        <v>0</v>
      </c>
      <c r="N528" s="1">
        <v>0</v>
      </c>
      <c r="O528" s="1">
        <v>0</v>
      </c>
      <c r="P528" s="2">
        <v>4541060</v>
      </c>
      <c r="Q528" s="1">
        <v>312266</v>
      </c>
      <c r="R528" s="1">
        <v>0</v>
      </c>
      <c r="S528">
        <v>99.058400000000006</v>
      </c>
      <c r="T528">
        <v>98.274000000000001</v>
      </c>
      <c r="U528">
        <v>3.9773000000000001</v>
      </c>
      <c r="V528">
        <v>0</v>
      </c>
      <c r="W528">
        <v>0</v>
      </c>
      <c r="X528">
        <v>1.79413</v>
      </c>
      <c r="Y528">
        <v>1.79413</v>
      </c>
      <c r="Z528">
        <v>0</v>
      </c>
      <c r="AA528">
        <v>1.38591</v>
      </c>
      <c r="AB528">
        <v>2.9635199999999999</v>
      </c>
      <c r="AC528" s="2">
        <v>237974000</v>
      </c>
      <c r="AD528" s="1">
        <v>0</v>
      </c>
      <c r="AE528" s="1">
        <v>0</v>
      </c>
      <c r="AF528" s="1">
        <v>0</v>
      </c>
      <c r="AG528" s="1">
        <v>0</v>
      </c>
      <c r="AH528" s="2">
        <v>4641850</v>
      </c>
      <c r="AI528" s="1">
        <v>151306</v>
      </c>
      <c r="AJ528" s="1">
        <v>0</v>
      </c>
      <c r="AK528" s="8">
        <f t="shared" si="35"/>
        <v>7</v>
      </c>
      <c r="AL528" s="8">
        <f t="shared" si="34"/>
        <v>11</v>
      </c>
      <c r="AM528">
        <f t="shared" si="32"/>
        <v>0</v>
      </c>
      <c r="AN528">
        <f t="shared" si="33"/>
        <v>0</v>
      </c>
    </row>
    <row r="529" spans="1:40" x14ac:dyDescent="0.35">
      <c r="A529">
        <v>84.6648</v>
      </c>
      <c r="B529">
        <v>85.138999999999996</v>
      </c>
      <c r="C529">
        <v>3.0891799999999998</v>
      </c>
      <c r="D529">
        <v>0</v>
      </c>
      <c r="E529">
        <v>0</v>
      </c>
      <c r="F529">
        <v>3.0380699999999998</v>
      </c>
      <c r="G529">
        <v>3.0380699999999998</v>
      </c>
      <c r="H529">
        <v>0</v>
      </c>
      <c r="I529">
        <v>0.56923599999999996</v>
      </c>
      <c r="J529">
        <v>5.3222399999999999</v>
      </c>
      <c r="K529" s="2">
        <v>63989900</v>
      </c>
      <c r="L529" s="1">
        <v>0</v>
      </c>
      <c r="M529" s="1">
        <v>0</v>
      </c>
      <c r="N529" s="1">
        <v>0</v>
      </c>
      <c r="O529" s="1">
        <v>0</v>
      </c>
      <c r="P529" s="2">
        <v>4541850</v>
      </c>
      <c r="Q529" s="1">
        <v>312320</v>
      </c>
      <c r="R529" s="1">
        <v>0</v>
      </c>
      <c r="S529">
        <v>98.436599999999999</v>
      </c>
      <c r="T529">
        <v>98.274000000000001</v>
      </c>
      <c r="U529">
        <v>2.5493800000000002</v>
      </c>
      <c r="V529">
        <v>0</v>
      </c>
      <c r="W529">
        <v>0</v>
      </c>
      <c r="X529">
        <v>1.7944500000000001</v>
      </c>
      <c r="Y529">
        <v>1.7944500000000001</v>
      </c>
      <c r="Z529">
        <v>0</v>
      </c>
      <c r="AA529">
        <v>1.38615</v>
      </c>
      <c r="AB529">
        <v>2.9635199999999999</v>
      </c>
      <c r="AC529" s="2">
        <v>238126000</v>
      </c>
      <c r="AD529" s="1">
        <v>0</v>
      </c>
      <c r="AE529" s="1">
        <v>0</v>
      </c>
      <c r="AF529" s="1">
        <v>0</v>
      </c>
      <c r="AG529" s="1">
        <v>0</v>
      </c>
      <c r="AH529" s="2">
        <v>4642660</v>
      </c>
      <c r="AI529" s="1">
        <v>151333</v>
      </c>
      <c r="AJ529" s="1">
        <v>0</v>
      </c>
      <c r="AK529" s="8">
        <f t="shared" si="35"/>
        <v>8</v>
      </c>
      <c r="AL529" s="8">
        <f t="shared" si="34"/>
        <v>11</v>
      </c>
      <c r="AM529">
        <f t="shared" si="32"/>
        <v>0</v>
      </c>
      <c r="AN529">
        <f t="shared" si="33"/>
        <v>0</v>
      </c>
    </row>
    <row r="530" spans="1:40" x14ac:dyDescent="0.35">
      <c r="A530">
        <v>84.217699999999994</v>
      </c>
      <c r="B530">
        <v>85.138999999999996</v>
      </c>
      <c r="C530">
        <v>3.00909</v>
      </c>
      <c r="D530">
        <v>0</v>
      </c>
      <c r="E530">
        <v>0</v>
      </c>
      <c r="F530">
        <v>3.0386000000000002</v>
      </c>
      <c r="G530">
        <v>3.0386000000000002</v>
      </c>
      <c r="H530">
        <v>0</v>
      </c>
      <c r="I530">
        <v>0.56933500000000004</v>
      </c>
      <c r="J530">
        <v>5.3222399999999999</v>
      </c>
      <c r="K530" s="2">
        <v>64302200</v>
      </c>
      <c r="L530" s="1">
        <v>0</v>
      </c>
      <c r="M530" s="1">
        <v>0</v>
      </c>
      <c r="N530" s="1">
        <v>0</v>
      </c>
      <c r="O530" s="1">
        <v>0</v>
      </c>
      <c r="P530" s="2">
        <v>4542630</v>
      </c>
      <c r="Q530" s="1">
        <v>312374</v>
      </c>
      <c r="R530" s="1">
        <v>0</v>
      </c>
      <c r="S530">
        <v>98.453000000000003</v>
      </c>
      <c r="T530">
        <v>98.274000000000001</v>
      </c>
      <c r="U530">
        <v>1.87033</v>
      </c>
      <c r="V530">
        <v>0</v>
      </c>
      <c r="W530">
        <v>0</v>
      </c>
      <c r="X530">
        <v>1.7947599999999999</v>
      </c>
      <c r="Y530">
        <v>1.7947599999999999</v>
      </c>
      <c r="Z530">
        <v>0</v>
      </c>
      <c r="AA530">
        <v>1.38639</v>
      </c>
      <c r="AB530">
        <v>2.9635199999999999</v>
      </c>
      <c r="AC530" s="2">
        <v>238277000</v>
      </c>
      <c r="AD530" s="1">
        <v>0</v>
      </c>
      <c r="AE530" s="1">
        <v>0</v>
      </c>
      <c r="AF530" s="1">
        <v>0</v>
      </c>
      <c r="AG530" s="1">
        <v>0</v>
      </c>
      <c r="AH530" s="2">
        <v>4643460</v>
      </c>
      <c r="AI530" s="1">
        <v>151359</v>
      </c>
      <c r="AJ530" s="1">
        <v>0</v>
      </c>
      <c r="AK530" s="8">
        <f t="shared" si="35"/>
        <v>9</v>
      </c>
      <c r="AL530" s="8">
        <f t="shared" si="34"/>
        <v>11</v>
      </c>
      <c r="AM530">
        <f t="shared" si="32"/>
        <v>0</v>
      </c>
      <c r="AN530">
        <f t="shared" si="33"/>
        <v>0</v>
      </c>
    </row>
    <row r="531" spans="1:40" x14ac:dyDescent="0.35">
      <c r="A531">
        <v>85.138999999999996</v>
      </c>
      <c r="B531">
        <v>85.138999999999996</v>
      </c>
      <c r="C531">
        <v>4.8864000000000001</v>
      </c>
      <c r="D531">
        <v>0</v>
      </c>
      <c r="E531">
        <v>0</v>
      </c>
      <c r="F531">
        <v>2.6539000000000001</v>
      </c>
      <c r="G531">
        <v>2.6539000000000001</v>
      </c>
      <c r="H531">
        <v>0</v>
      </c>
      <c r="I531">
        <v>0.569434</v>
      </c>
      <c r="J531">
        <v>5.3222399999999999</v>
      </c>
      <c r="K531" s="2">
        <v>64575100</v>
      </c>
      <c r="L531" s="1">
        <v>0</v>
      </c>
      <c r="M531" s="1">
        <v>0</v>
      </c>
      <c r="N531" s="1">
        <v>0</v>
      </c>
      <c r="O531" s="1">
        <v>0</v>
      </c>
      <c r="P531" s="2">
        <v>3967520</v>
      </c>
      <c r="Q531" s="1">
        <v>272826</v>
      </c>
      <c r="R531" s="1">
        <v>0</v>
      </c>
      <c r="S531">
        <v>98.863900000000001</v>
      </c>
      <c r="T531">
        <v>98.274000000000001</v>
      </c>
      <c r="U531">
        <v>2.7925800000000001</v>
      </c>
      <c r="V531">
        <v>0</v>
      </c>
      <c r="W531">
        <v>0</v>
      </c>
      <c r="X531">
        <v>1.54162</v>
      </c>
      <c r="Y531">
        <v>1.54162</v>
      </c>
      <c r="Z531">
        <v>0</v>
      </c>
      <c r="AA531">
        <v>1.38663</v>
      </c>
      <c r="AB531">
        <v>2.9635199999999999</v>
      </c>
      <c r="AC531" s="2">
        <v>238407000</v>
      </c>
      <c r="AD531" s="1">
        <v>0</v>
      </c>
      <c r="AE531" s="1">
        <v>0</v>
      </c>
      <c r="AF531" s="1">
        <v>0</v>
      </c>
      <c r="AG531" s="1">
        <v>0</v>
      </c>
      <c r="AH531" s="2">
        <v>3988540</v>
      </c>
      <c r="AI531" s="1">
        <v>130011</v>
      </c>
      <c r="AJ531" s="1">
        <v>0</v>
      </c>
      <c r="AK531" s="8">
        <f t="shared" si="35"/>
        <v>10</v>
      </c>
      <c r="AL531" s="8">
        <f t="shared" si="34"/>
        <v>11</v>
      </c>
      <c r="AM531">
        <f t="shared" si="32"/>
        <v>0</v>
      </c>
      <c r="AN531">
        <f t="shared" si="33"/>
        <v>0</v>
      </c>
    </row>
    <row r="532" spans="1:40" x14ac:dyDescent="0.35">
      <c r="A532">
        <v>85.138999999999996</v>
      </c>
      <c r="B532">
        <v>85.138999999999996</v>
      </c>
      <c r="C532">
        <v>5.5868900000000004</v>
      </c>
      <c r="D532">
        <v>0</v>
      </c>
      <c r="E532">
        <v>0</v>
      </c>
      <c r="F532">
        <v>2.6543600000000001</v>
      </c>
      <c r="G532">
        <v>2.6543600000000001</v>
      </c>
      <c r="H532">
        <v>0</v>
      </c>
      <c r="I532">
        <v>0.49734099999999998</v>
      </c>
      <c r="J532">
        <v>5.3222399999999999</v>
      </c>
      <c r="K532" s="2">
        <v>64847900</v>
      </c>
      <c r="L532" s="1">
        <v>0</v>
      </c>
      <c r="M532" s="1">
        <v>0</v>
      </c>
      <c r="N532" s="1">
        <v>0</v>
      </c>
      <c r="O532" s="1">
        <v>0</v>
      </c>
      <c r="P532" s="2">
        <v>3968200</v>
      </c>
      <c r="Q532" s="1">
        <v>272874</v>
      </c>
      <c r="R532" s="1">
        <v>0</v>
      </c>
      <c r="S532">
        <v>99.302199999999999</v>
      </c>
      <c r="T532">
        <v>98.274000000000001</v>
      </c>
      <c r="U532">
        <v>4.77182</v>
      </c>
      <c r="V532">
        <v>0</v>
      </c>
      <c r="W532">
        <v>0</v>
      </c>
      <c r="X532">
        <v>1.54189</v>
      </c>
      <c r="Y532">
        <v>1.54189</v>
      </c>
      <c r="Z532">
        <v>0</v>
      </c>
      <c r="AA532">
        <v>1.19106</v>
      </c>
      <c r="AB532">
        <v>2.9635199999999999</v>
      </c>
      <c r="AC532" s="2">
        <v>238537000</v>
      </c>
      <c r="AD532" s="1">
        <v>0</v>
      </c>
      <c r="AE532" s="1">
        <v>0</v>
      </c>
      <c r="AF532" s="1">
        <v>0</v>
      </c>
      <c r="AG532" s="1">
        <v>0</v>
      </c>
      <c r="AH532" s="2">
        <v>3989230</v>
      </c>
      <c r="AI532" s="1">
        <v>130034</v>
      </c>
      <c r="AJ532" s="1">
        <v>0</v>
      </c>
      <c r="AK532" s="8">
        <f t="shared" si="35"/>
        <v>11</v>
      </c>
      <c r="AL532" s="8">
        <f t="shared" si="34"/>
        <v>11</v>
      </c>
      <c r="AM532">
        <f t="shared" si="32"/>
        <v>0</v>
      </c>
      <c r="AN532">
        <f t="shared" si="33"/>
        <v>0</v>
      </c>
    </row>
    <row r="533" spans="1:40" x14ac:dyDescent="0.35">
      <c r="A533">
        <v>85.138999999999996</v>
      </c>
      <c r="B533">
        <v>85.138999999999996</v>
      </c>
      <c r="C533">
        <v>4.9532100000000003</v>
      </c>
      <c r="D533">
        <v>0</v>
      </c>
      <c r="E533">
        <v>0</v>
      </c>
      <c r="F533">
        <v>2.65482</v>
      </c>
      <c r="G533">
        <v>2.65482</v>
      </c>
      <c r="H533">
        <v>0</v>
      </c>
      <c r="I533">
        <v>0.49742799999999998</v>
      </c>
      <c r="J533">
        <v>5.3222399999999999</v>
      </c>
      <c r="K533" s="2">
        <v>65120900</v>
      </c>
      <c r="L533" s="1">
        <v>0</v>
      </c>
      <c r="M533" s="1">
        <v>0</v>
      </c>
      <c r="N533" s="1">
        <v>0</v>
      </c>
      <c r="O533" s="1">
        <v>0</v>
      </c>
      <c r="P533" s="2">
        <v>3968890</v>
      </c>
      <c r="Q533" s="1">
        <v>272921</v>
      </c>
      <c r="R533" s="1">
        <v>0</v>
      </c>
      <c r="S533">
        <v>99.207899999999995</v>
      </c>
      <c r="T533">
        <v>98.274000000000001</v>
      </c>
      <c r="U533">
        <v>3.2061799999999998</v>
      </c>
      <c r="V533">
        <v>0</v>
      </c>
      <c r="W533">
        <v>0</v>
      </c>
      <c r="X533">
        <v>1.54216</v>
      </c>
      <c r="Y533">
        <v>1.54216</v>
      </c>
      <c r="Z533">
        <v>0</v>
      </c>
      <c r="AA533">
        <v>1.19126</v>
      </c>
      <c r="AB533">
        <v>2.9635199999999999</v>
      </c>
      <c r="AC533" s="2">
        <v>238667000</v>
      </c>
      <c r="AD533" s="1">
        <v>0</v>
      </c>
      <c r="AE533" s="1">
        <v>0</v>
      </c>
      <c r="AF533" s="1">
        <v>0</v>
      </c>
      <c r="AG533" s="1">
        <v>0</v>
      </c>
      <c r="AH533" s="2">
        <v>3989930</v>
      </c>
      <c r="AI533" s="1">
        <v>130056</v>
      </c>
      <c r="AJ533" s="1">
        <v>0</v>
      </c>
      <c r="AK533" s="8">
        <f t="shared" si="35"/>
        <v>12</v>
      </c>
      <c r="AL533" s="8">
        <f t="shared" si="34"/>
        <v>11</v>
      </c>
      <c r="AM533">
        <f t="shared" si="32"/>
        <v>0</v>
      </c>
      <c r="AN533">
        <f t="shared" si="33"/>
        <v>0</v>
      </c>
    </row>
    <row r="534" spans="1:40" x14ac:dyDescent="0.35">
      <c r="A534">
        <v>85.138999999999996</v>
      </c>
      <c r="B534">
        <v>85.138999999999996</v>
      </c>
      <c r="C534">
        <v>3.5780500000000002</v>
      </c>
      <c r="D534">
        <v>0</v>
      </c>
      <c r="E534">
        <v>0</v>
      </c>
      <c r="F534">
        <v>2.6552799999999999</v>
      </c>
      <c r="G534">
        <v>2.6552799999999999</v>
      </c>
      <c r="H534">
        <v>0</v>
      </c>
      <c r="I534">
        <v>0.49751400000000001</v>
      </c>
      <c r="J534">
        <v>5.3222399999999999</v>
      </c>
      <c r="K534" s="2">
        <v>65393800</v>
      </c>
      <c r="L534" s="1">
        <v>0</v>
      </c>
      <c r="M534" s="1">
        <v>0</v>
      </c>
      <c r="N534" s="1">
        <v>0</v>
      </c>
      <c r="O534" s="1">
        <v>0</v>
      </c>
      <c r="P534" s="2">
        <v>3969580</v>
      </c>
      <c r="Q534" s="1">
        <v>272968</v>
      </c>
      <c r="R534" s="1">
        <v>0</v>
      </c>
      <c r="S534">
        <v>98.863200000000006</v>
      </c>
      <c r="T534">
        <v>98.274000000000001</v>
      </c>
      <c r="U534">
        <v>2.5695700000000001</v>
      </c>
      <c r="V534">
        <v>0</v>
      </c>
      <c r="W534">
        <v>0</v>
      </c>
      <c r="X534">
        <v>1.5424199999999999</v>
      </c>
      <c r="Y534">
        <v>1.5424199999999999</v>
      </c>
      <c r="Z534">
        <v>0</v>
      </c>
      <c r="AA534">
        <v>1.19147</v>
      </c>
      <c r="AB534">
        <v>2.9635199999999999</v>
      </c>
      <c r="AC534" s="2">
        <v>238797000</v>
      </c>
      <c r="AD534" s="1">
        <v>0</v>
      </c>
      <c r="AE534" s="1">
        <v>0</v>
      </c>
      <c r="AF534" s="1">
        <v>0</v>
      </c>
      <c r="AG534" s="1">
        <v>0</v>
      </c>
      <c r="AH534" s="2">
        <v>3990620</v>
      </c>
      <c r="AI534" s="1">
        <v>130079</v>
      </c>
      <c r="AJ534" s="1">
        <v>0</v>
      </c>
      <c r="AK534" s="8">
        <f t="shared" si="35"/>
        <v>13</v>
      </c>
      <c r="AL534" s="8">
        <f t="shared" si="34"/>
        <v>11</v>
      </c>
      <c r="AM534">
        <f t="shared" si="32"/>
        <v>0</v>
      </c>
      <c r="AN534">
        <f t="shared" si="33"/>
        <v>0</v>
      </c>
    </row>
    <row r="535" spans="1:40" x14ac:dyDescent="0.35">
      <c r="A535">
        <v>85.138999999999996</v>
      </c>
      <c r="B535">
        <v>85.138999999999996</v>
      </c>
      <c r="C535">
        <v>3.1901899999999999</v>
      </c>
      <c r="D535">
        <v>0</v>
      </c>
      <c r="E535">
        <v>0</v>
      </c>
      <c r="F535">
        <v>2.6557499999999998</v>
      </c>
      <c r="G535">
        <v>2.6557499999999998</v>
      </c>
      <c r="H535">
        <v>0</v>
      </c>
      <c r="I535">
        <v>0.49759999999999999</v>
      </c>
      <c r="J535">
        <v>5.3222399999999999</v>
      </c>
      <c r="K535" s="2">
        <v>65666900</v>
      </c>
      <c r="L535" s="1">
        <v>0</v>
      </c>
      <c r="M535" s="1">
        <v>0</v>
      </c>
      <c r="N535" s="1">
        <v>0</v>
      </c>
      <c r="O535" s="1">
        <v>0</v>
      </c>
      <c r="P535" s="2">
        <v>3970270</v>
      </c>
      <c r="Q535" s="1">
        <v>273016</v>
      </c>
      <c r="R535" s="1">
        <v>0</v>
      </c>
      <c r="S535">
        <v>98.763300000000001</v>
      </c>
      <c r="T535">
        <v>98.274000000000001</v>
      </c>
      <c r="U535">
        <v>1.95991</v>
      </c>
      <c r="V535">
        <v>0</v>
      </c>
      <c r="W535">
        <v>0</v>
      </c>
      <c r="X535">
        <v>1.5426899999999999</v>
      </c>
      <c r="Y535">
        <v>1.5426899999999999</v>
      </c>
      <c r="Z535">
        <v>0</v>
      </c>
      <c r="AA535">
        <v>1.1916800000000001</v>
      </c>
      <c r="AB535">
        <v>2.9635199999999999</v>
      </c>
      <c r="AC535" s="2">
        <v>238927000</v>
      </c>
      <c r="AD535" s="1">
        <v>0</v>
      </c>
      <c r="AE535" s="1">
        <v>0</v>
      </c>
      <c r="AF535" s="1">
        <v>0</v>
      </c>
      <c r="AG535" s="1">
        <v>0</v>
      </c>
      <c r="AH535" s="2">
        <v>3991310</v>
      </c>
      <c r="AI535" s="1">
        <v>130101</v>
      </c>
      <c r="AJ535" s="1">
        <v>0</v>
      </c>
      <c r="AK535" s="8">
        <f t="shared" si="35"/>
        <v>14</v>
      </c>
      <c r="AL535" s="8">
        <f t="shared" si="34"/>
        <v>11</v>
      </c>
      <c r="AM535">
        <f t="shared" si="32"/>
        <v>0</v>
      </c>
      <c r="AN535">
        <f t="shared" si="33"/>
        <v>0</v>
      </c>
    </row>
    <row r="536" spans="1:40" x14ac:dyDescent="0.35">
      <c r="A536">
        <v>85.138999999999996</v>
      </c>
      <c r="B536">
        <v>85.138999999999996</v>
      </c>
      <c r="C536">
        <v>4.6101999999999999</v>
      </c>
      <c r="D536">
        <v>0</v>
      </c>
      <c r="E536">
        <v>0</v>
      </c>
      <c r="F536">
        <v>2.75326</v>
      </c>
      <c r="G536">
        <v>2.75326</v>
      </c>
      <c r="H536">
        <v>0</v>
      </c>
      <c r="I536">
        <v>0.49768699999999999</v>
      </c>
      <c r="J536">
        <v>5.3222399999999999</v>
      </c>
      <c r="K536" s="2">
        <v>65949900</v>
      </c>
      <c r="L536" s="1">
        <v>0</v>
      </c>
      <c r="M536" s="1">
        <v>0</v>
      </c>
      <c r="N536" s="1">
        <v>0</v>
      </c>
      <c r="O536" s="1">
        <v>0</v>
      </c>
      <c r="P536" s="2">
        <v>4116050</v>
      </c>
      <c r="Q536" s="1">
        <v>283040</v>
      </c>
      <c r="R536" s="1">
        <v>0</v>
      </c>
      <c r="S536">
        <v>98.899000000000001</v>
      </c>
      <c r="T536">
        <v>98.274000000000001</v>
      </c>
      <c r="U536">
        <v>2.36808</v>
      </c>
      <c r="V536">
        <v>0</v>
      </c>
      <c r="W536">
        <v>0</v>
      </c>
      <c r="X536">
        <v>1.6050199999999999</v>
      </c>
      <c r="Y536">
        <v>1.6050199999999999</v>
      </c>
      <c r="Z536">
        <v>0</v>
      </c>
      <c r="AA536">
        <v>1.1918800000000001</v>
      </c>
      <c r="AB536">
        <v>2.9635199999999999</v>
      </c>
      <c r="AC536" s="2">
        <v>239063000</v>
      </c>
      <c r="AD536" s="1">
        <v>0</v>
      </c>
      <c r="AE536" s="1">
        <v>0</v>
      </c>
      <c r="AF536" s="1">
        <v>0</v>
      </c>
      <c r="AG536" s="1">
        <v>0</v>
      </c>
      <c r="AH536" s="2">
        <v>4152560</v>
      </c>
      <c r="AI536" s="1">
        <v>135358</v>
      </c>
      <c r="AJ536" s="1">
        <v>0</v>
      </c>
      <c r="AK536" s="8">
        <f t="shared" si="35"/>
        <v>15</v>
      </c>
      <c r="AL536" s="8">
        <f t="shared" si="34"/>
        <v>11</v>
      </c>
      <c r="AM536">
        <f t="shared" si="32"/>
        <v>0</v>
      </c>
      <c r="AN536">
        <f t="shared" si="33"/>
        <v>0</v>
      </c>
    </row>
    <row r="537" spans="1:40" x14ac:dyDescent="0.35">
      <c r="A537">
        <v>85.138999999999996</v>
      </c>
      <c r="B537">
        <v>85.138999999999996</v>
      </c>
      <c r="C537">
        <v>5.2921399999999998</v>
      </c>
      <c r="D537">
        <v>0</v>
      </c>
      <c r="E537">
        <v>0</v>
      </c>
      <c r="F537">
        <v>2.7537400000000001</v>
      </c>
      <c r="G537">
        <v>2.7537400000000001</v>
      </c>
      <c r="H537">
        <v>0</v>
      </c>
      <c r="I537">
        <v>0.515961</v>
      </c>
      <c r="J537">
        <v>5.3222399999999999</v>
      </c>
      <c r="K537" s="2">
        <v>66233000</v>
      </c>
      <c r="L537" s="1">
        <v>0</v>
      </c>
      <c r="M537" s="1">
        <v>0</v>
      </c>
      <c r="N537" s="1">
        <v>0</v>
      </c>
      <c r="O537" s="1">
        <v>0</v>
      </c>
      <c r="P537" s="2">
        <v>4116770</v>
      </c>
      <c r="Q537" s="1">
        <v>283090</v>
      </c>
      <c r="R537" s="1">
        <v>0</v>
      </c>
      <c r="S537">
        <v>99.302199999999999</v>
      </c>
      <c r="T537">
        <v>98.274000000000001</v>
      </c>
      <c r="U537">
        <v>3.9860500000000001</v>
      </c>
      <c r="V537">
        <v>0</v>
      </c>
      <c r="W537">
        <v>0</v>
      </c>
      <c r="X537">
        <v>1.6052999999999999</v>
      </c>
      <c r="Y537">
        <v>1.6052999999999999</v>
      </c>
      <c r="Z537">
        <v>0</v>
      </c>
      <c r="AA537">
        <v>1.24004</v>
      </c>
      <c r="AB537">
        <v>2.9635199999999999</v>
      </c>
      <c r="AC537" s="2">
        <v>239198000</v>
      </c>
      <c r="AD537" s="1">
        <v>0</v>
      </c>
      <c r="AE537" s="1">
        <v>0</v>
      </c>
      <c r="AF537" s="1">
        <v>0</v>
      </c>
      <c r="AG537" s="1">
        <v>0</v>
      </c>
      <c r="AH537" s="2">
        <v>4153280</v>
      </c>
      <c r="AI537" s="1">
        <v>135381</v>
      </c>
      <c r="AJ537" s="1">
        <v>0</v>
      </c>
      <c r="AK537" s="8">
        <f t="shared" si="35"/>
        <v>16</v>
      </c>
      <c r="AL537" s="8">
        <f t="shared" si="34"/>
        <v>11</v>
      </c>
      <c r="AM537">
        <f t="shared" si="32"/>
        <v>0</v>
      </c>
      <c r="AN537">
        <f t="shared" si="33"/>
        <v>0</v>
      </c>
    </row>
    <row r="538" spans="1:40" x14ac:dyDescent="0.35">
      <c r="A538">
        <v>85.138999999999996</v>
      </c>
      <c r="B538">
        <v>85.138999999999996</v>
      </c>
      <c r="C538">
        <v>4.55335</v>
      </c>
      <c r="D538">
        <v>0</v>
      </c>
      <c r="E538">
        <v>0</v>
      </c>
      <c r="F538">
        <v>2.7542200000000001</v>
      </c>
      <c r="G538">
        <v>2.7542200000000001</v>
      </c>
      <c r="H538">
        <v>0</v>
      </c>
      <c r="I538">
        <v>0.51605100000000004</v>
      </c>
      <c r="J538">
        <v>5.3222399999999999</v>
      </c>
      <c r="K538" s="2">
        <v>66516100</v>
      </c>
      <c r="L538" s="1">
        <v>0</v>
      </c>
      <c r="M538" s="1">
        <v>0</v>
      </c>
      <c r="N538" s="1">
        <v>0</v>
      </c>
      <c r="O538" s="1">
        <v>0</v>
      </c>
      <c r="P538" s="2">
        <v>4117480</v>
      </c>
      <c r="Q538" s="1">
        <v>283139</v>
      </c>
      <c r="R538" s="1">
        <v>0</v>
      </c>
      <c r="S538">
        <v>99.302199999999999</v>
      </c>
      <c r="T538">
        <v>98.274000000000001</v>
      </c>
      <c r="U538">
        <v>4.4824099999999998</v>
      </c>
      <c r="V538">
        <v>0</v>
      </c>
      <c r="W538">
        <v>0</v>
      </c>
      <c r="X538">
        <v>1.60558</v>
      </c>
      <c r="Y538">
        <v>1.60558</v>
      </c>
      <c r="Z538">
        <v>0</v>
      </c>
      <c r="AA538">
        <v>1.2402500000000001</v>
      </c>
      <c r="AB538">
        <v>2.9635199999999999</v>
      </c>
      <c r="AC538" s="2">
        <v>239333000</v>
      </c>
      <c r="AD538" s="1">
        <v>0</v>
      </c>
      <c r="AE538" s="1">
        <v>0</v>
      </c>
      <c r="AF538" s="1">
        <v>0</v>
      </c>
      <c r="AG538" s="1">
        <v>0</v>
      </c>
      <c r="AH538" s="2">
        <v>4154010</v>
      </c>
      <c r="AI538" s="1">
        <v>135405</v>
      </c>
      <c r="AJ538" s="1">
        <v>0</v>
      </c>
      <c r="AK538" s="8">
        <f t="shared" si="35"/>
        <v>17</v>
      </c>
      <c r="AL538" s="8">
        <f t="shared" si="34"/>
        <v>11</v>
      </c>
      <c r="AM538">
        <f t="shared" si="32"/>
        <v>0</v>
      </c>
      <c r="AN538">
        <f t="shared" si="33"/>
        <v>0</v>
      </c>
    </row>
    <row r="539" spans="1:40" x14ac:dyDescent="0.35">
      <c r="A539">
        <v>85.0381</v>
      </c>
      <c r="B539">
        <v>85.138999999999996</v>
      </c>
      <c r="C539">
        <v>3.2917399999999999</v>
      </c>
      <c r="D539">
        <v>0</v>
      </c>
      <c r="E539">
        <v>0</v>
      </c>
      <c r="F539">
        <v>2.7546900000000001</v>
      </c>
      <c r="G539">
        <v>2.7546900000000001</v>
      </c>
      <c r="H539">
        <v>0</v>
      </c>
      <c r="I539">
        <v>0.51614000000000004</v>
      </c>
      <c r="J539">
        <v>5.3222399999999999</v>
      </c>
      <c r="K539" s="2">
        <v>66799300</v>
      </c>
      <c r="L539" s="1">
        <v>0</v>
      </c>
      <c r="M539" s="1">
        <v>0</v>
      </c>
      <c r="N539" s="1">
        <v>0</v>
      </c>
      <c r="O539" s="1">
        <v>0</v>
      </c>
      <c r="P539" s="2">
        <v>4118200</v>
      </c>
      <c r="Q539" s="1">
        <v>283188</v>
      </c>
      <c r="R539" s="1">
        <v>0</v>
      </c>
      <c r="S539">
        <v>99.302199999999999</v>
      </c>
      <c r="T539">
        <v>98.274000000000001</v>
      </c>
      <c r="U539">
        <v>3.15022</v>
      </c>
      <c r="V539">
        <v>0</v>
      </c>
      <c r="W539">
        <v>0</v>
      </c>
      <c r="X539">
        <v>1.60585</v>
      </c>
      <c r="Y539">
        <v>1.60585</v>
      </c>
      <c r="Z539">
        <v>0</v>
      </c>
      <c r="AA539">
        <v>1.24047</v>
      </c>
      <c r="AB539">
        <v>2.9635199999999999</v>
      </c>
      <c r="AC539" s="2">
        <v>239469000</v>
      </c>
      <c r="AD539" s="1">
        <v>0</v>
      </c>
      <c r="AE539" s="1">
        <v>0</v>
      </c>
      <c r="AF539" s="1">
        <v>0</v>
      </c>
      <c r="AG539" s="1">
        <v>0</v>
      </c>
      <c r="AH539" s="2">
        <v>4154730</v>
      </c>
      <c r="AI539" s="1">
        <v>135428</v>
      </c>
      <c r="AJ539" s="1">
        <v>0</v>
      </c>
      <c r="AK539" s="8">
        <f t="shared" si="35"/>
        <v>18</v>
      </c>
      <c r="AL539" s="8">
        <f t="shared" si="34"/>
        <v>11</v>
      </c>
      <c r="AM539">
        <f t="shared" si="32"/>
        <v>0</v>
      </c>
      <c r="AN539">
        <f t="shared" si="33"/>
        <v>0</v>
      </c>
    </row>
    <row r="540" spans="1:40" x14ac:dyDescent="0.35">
      <c r="A540">
        <v>85.081199999999995</v>
      </c>
      <c r="B540">
        <v>85.138999999999996</v>
      </c>
      <c r="C540">
        <v>3.2957200000000002</v>
      </c>
      <c r="D540">
        <v>0</v>
      </c>
      <c r="E540">
        <v>0</v>
      </c>
      <c r="F540">
        <v>2.7172000000000001</v>
      </c>
      <c r="G540">
        <v>2.7172000000000001</v>
      </c>
      <c r="H540">
        <v>0</v>
      </c>
      <c r="I540">
        <v>0.51622999999999997</v>
      </c>
      <c r="J540">
        <v>5.3222399999999999</v>
      </c>
      <c r="K540" s="2">
        <v>67078600</v>
      </c>
      <c r="L540" s="1">
        <v>0</v>
      </c>
      <c r="M540" s="1">
        <v>0</v>
      </c>
      <c r="N540" s="1">
        <v>0</v>
      </c>
      <c r="O540" s="1">
        <v>0</v>
      </c>
      <c r="P540" s="2">
        <v>4062150</v>
      </c>
      <c r="Q540" s="1">
        <v>279333</v>
      </c>
      <c r="R540" s="1">
        <v>0</v>
      </c>
      <c r="S540">
        <v>99.302199999999999</v>
      </c>
      <c r="T540">
        <v>98.274000000000001</v>
      </c>
      <c r="U540">
        <v>2.9013900000000001</v>
      </c>
      <c r="V540">
        <v>0</v>
      </c>
      <c r="W540">
        <v>0</v>
      </c>
      <c r="X540">
        <v>1.5820099999999999</v>
      </c>
      <c r="Y540">
        <v>1.5820099999999999</v>
      </c>
      <c r="Z540">
        <v>0</v>
      </c>
      <c r="AA540">
        <v>1.24068</v>
      </c>
      <c r="AB540">
        <v>2.9635199999999999</v>
      </c>
      <c r="AC540" s="2">
        <v>239602000</v>
      </c>
      <c r="AD540" s="1">
        <v>0</v>
      </c>
      <c r="AE540" s="1">
        <v>0</v>
      </c>
      <c r="AF540" s="1">
        <v>0</v>
      </c>
      <c r="AG540" s="1">
        <v>0</v>
      </c>
      <c r="AH540" s="2">
        <v>4093050</v>
      </c>
      <c r="AI540" s="1">
        <v>133418</v>
      </c>
      <c r="AJ540" s="1">
        <v>0</v>
      </c>
      <c r="AK540" s="8">
        <f t="shared" si="35"/>
        <v>19</v>
      </c>
      <c r="AL540" s="8">
        <f t="shared" si="34"/>
        <v>11</v>
      </c>
      <c r="AM540">
        <f t="shared" si="32"/>
        <v>0</v>
      </c>
      <c r="AN540">
        <f t="shared" si="33"/>
        <v>0</v>
      </c>
    </row>
    <row r="541" spans="1:40" x14ac:dyDescent="0.35">
      <c r="A541">
        <v>85.138999999999996</v>
      </c>
      <c r="B541">
        <v>85.138999999999996</v>
      </c>
      <c r="C541">
        <v>3.37019</v>
      </c>
      <c r="D541">
        <v>0</v>
      </c>
      <c r="E541">
        <v>0</v>
      </c>
      <c r="F541">
        <v>2.71767</v>
      </c>
      <c r="G541">
        <v>2.71767</v>
      </c>
      <c r="H541">
        <v>0</v>
      </c>
      <c r="I541">
        <v>0.50920299999999996</v>
      </c>
      <c r="J541">
        <v>5.3222399999999999</v>
      </c>
      <c r="K541" s="2">
        <v>67358000</v>
      </c>
      <c r="L541" s="1">
        <v>0</v>
      </c>
      <c r="M541" s="1">
        <v>0</v>
      </c>
      <c r="N541" s="1">
        <v>0</v>
      </c>
      <c r="O541" s="1">
        <v>0</v>
      </c>
      <c r="P541" s="2">
        <v>4062850</v>
      </c>
      <c r="Q541" s="1">
        <v>279382</v>
      </c>
      <c r="R541" s="1">
        <v>0</v>
      </c>
      <c r="S541">
        <v>99.302199999999999</v>
      </c>
      <c r="T541">
        <v>98.274000000000001</v>
      </c>
      <c r="U541">
        <v>2.9613</v>
      </c>
      <c r="V541">
        <v>0</v>
      </c>
      <c r="W541">
        <v>0</v>
      </c>
      <c r="X541">
        <v>1.58229</v>
      </c>
      <c r="Y541">
        <v>1.58229</v>
      </c>
      <c r="Z541">
        <v>0</v>
      </c>
      <c r="AA541">
        <v>1.2222599999999999</v>
      </c>
      <c r="AB541">
        <v>2.9635199999999999</v>
      </c>
      <c r="AC541" s="2">
        <v>239736000</v>
      </c>
      <c r="AD541" s="1">
        <v>0</v>
      </c>
      <c r="AE541" s="1">
        <v>0</v>
      </c>
      <c r="AF541" s="1">
        <v>0</v>
      </c>
      <c r="AG541" s="1">
        <v>0</v>
      </c>
      <c r="AH541" s="2">
        <v>4093760</v>
      </c>
      <c r="AI541" s="1">
        <v>133441</v>
      </c>
      <c r="AJ541" s="1">
        <v>0</v>
      </c>
      <c r="AK541" s="8">
        <f t="shared" si="35"/>
        <v>20</v>
      </c>
      <c r="AL541" s="8">
        <f t="shared" si="34"/>
        <v>11</v>
      </c>
      <c r="AM541">
        <f t="shared" si="32"/>
        <v>0</v>
      </c>
      <c r="AN541">
        <f t="shared" si="33"/>
        <v>0</v>
      </c>
    </row>
    <row r="542" spans="1:40" x14ac:dyDescent="0.35">
      <c r="A542">
        <v>85.138999999999996</v>
      </c>
      <c r="B542">
        <v>85.138999999999996</v>
      </c>
      <c r="C542">
        <v>3.1870799999999999</v>
      </c>
      <c r="D542">
        <v>0</v>
      </c>
      <c r="E542">
        <v>0</v>
      </c>
      <c r="F542">
        <v>2.71814</v>
      </c>
      <c r="G542">
        <v>2.71814</v>
      </c>
      <c r="H542">
        <v>0</v>
      </c>
      <c r="I542">
        <v>0.50929199999999997</v>
      </c>
      <c r="J542">
        <v>5.3222399999999999</v>
      </c>
      <c r="K542" s="2">
        <v>67637500</v>
      </c>
      <c r="L542" s="1">
        <v>0</v>
      </c>
      <c r="M542" s="1">
        <v>0</v>
      </c>
      <c r="N542" s="1">
        <v>0</v>
      </c>
      <c r="O542" s="1">
        <v>0</v>
      </c>
      <c r="P542" s="2">
        <v>4063560</v>
      </c>
      <c r="Q542" s="1">
        <v>279431</v>
      </c>
      <c r="R542" s="1">
        <v>0</v>
      </c>
      <c r="S542">
        <v>99.302199999999999</v>
      </c>
      <c r="T542">
        <v>98.274000000000001</v>
      </c>
      <c r="U542">
        <v>2.8280400000000001</v>
      </c>
      <c r="V542">
        <v>0</v>
      </c>
      <c r="W542">
        <v>0</v>
      </c>
      <c r="X542">
        <v>1.58256</v>
      </c>
      <c r="Y542">
        <v>1.58256</v>
      </c>
      <c r="Z542">
        <v>0</v>
      </c>
      <c r="AA542">
        <v>1.22248</v>
      </c>
      <c r="AB542">
        <v>2.9635199999999999</v>
      </c>
      <c r="AC542" s="2">
        <v>239869000</v>
      </c>
      <c r="AD542" s="1">
        <v>0</v>
      </c>
      <c r="AE542" s="1">
        <v>0</v>
      </c>
      <c r="AF542" s="1">
        <v>0</v>
      </c>
      <c r="AG542" s="1">
        <v>0</v>
      </c>
      <c r="AH542" s="2">
        <v>4094470</v>
      </c>
      <c r="AI542" s="1">
        <v>133464</v>
      </c>
      <c r="AJ542" s="1">
        <v>0</v>
      </c>
      <c r="AK542" s="8">
        <f t="shared" si="35"/>
        <v>21</v>
      </c>
      <c r="AL542" s="8">
        <f t="shared" si="34"/>
        <v>11</v>
      </c>
      <c r="AM542">
        <f t="shared" si="32"/>
        <v>0</v>
      </c>
      <c r="AN542">
        <f t="shared" si="33"/>
        <v>0</v>
      </c>
    </row>
    <row r="543" spans="1:40" x14ac:dyDescent="0.35">
      <c r="A543">
        <v>84.971400000000003</v>
      </c>
      <c r="B543">
        <v>85.138999999999996</v>
      </c>
      <c r="C543">
        <v>2.9446599999999998</v>
      </c>
      <c r="D543">
        <v>0</v>
      </c>
      <c r="E543">
        <v>0</v>
      </c>
      <c r="F543">
        <v>2.71862</v>
      </c>
      <c r="G543">
        <v>2.71862</v>
      </c>
      <c r="H543">
        <v>0</v>
      </c>
      <c r="I543">
        <v>0.50938000000000005</v>
      </c>
      <c r="J543">
        <v>5.3222399999999999</v>
      </c>
      <c r="K543" s="2">
        <v>67916900</v>
      </c>
      <c r="L543" s="1">
        <v>0</v>
      </c>
      <c r="M543" s="1">
        <v>0</v>
      </c>
      <c r="N543" s="1">
        <v>0</v>
      </c>
      <c r="O543" s="1">
        <v>0</v>
      </c>
      <c r="P543" s="2">
        <v>4064260</v>
      </c>
      <c r="Q543" s="1">
        <v>279479</v>
      </c>
      <c r="R543" s="1">
        <v>0</v>
      </c>
      <c r="S543">
        <v>99.302199999999999</v>
      </c>
      <c r="T543">
        <v>98.274000000000001</v>
      </c>
      <c r="U543">
        <v>3.06487</v>
      </c>
      <c r="V543">
        <v>0</v>
      </c>
      <c r="W543">
        <v>0</v>
      </c>
      <c r="X543">
        <v>1.58284</v>
      </c>
      <c r="Y543">
        <v>1.58284</v>
      </c>
      <c r="Z543">
        <v>0</v>
      </c>
      <c r="AA543">
        <v>1.2226900000000001</v>
      </c>
      <c r="AB543">
        <v>2.9635199999999999</v>
      </c>
      <c r="AC543" s="2">
        <v>240003000</v>
      </c>
      <c r="AD543" s="1">
        <v>0</v>
      </c>
      <c r="AE543" s="1">
        <v>0</v>
      </c>
      <c r="AF543" s="1">
        <v>0</v>
      </c>
      <c r="AG543" s="1">
        <v>0</v>
      </c>
      <c r="AH543" s="2">
        <v>4095180</v>
      </c>
      <c r="AI543" s="1">
        <v>133487</v>
      </c>
      <c r="AJ543" s="1">
        <v>0</v>
      </c>
      <c r="AK543" s="8">
        <f t="shared" si="35"/>
        <v>22</v>
      </c>
      <c r="AL543" s="8">
        <f t="shared" si="34"/>
        <v>11</v>
      </c>
      <c r="AM543">
        <f t="shared" si="32"/>
        <v>0</v>
      </c>
      <c r="AN543">
        <f t="shared" si="33"/>
        <v>0</v>
      </c>
    </row>
    <row r="544" spans="1:40" x14ac:dyDescent="0.35">
      <c r="A544">
        <v>84.538399999999996</v>
      </c>
      <c r="B544">
        <v>85.138999999999996</v>
      </c>
      <c r="C544">
        <v>2.7838799999999999</v>
      </c>
      <c r="D544">
        <v>0</v>
      </c>
      <c r="E544">
        <v>0</v>
      </c>
      <c r="F544">
        <v>2.8480699999999999</v>
      </c>
      <c r="G544">
        <v>2.8480699999999999</v>
      </c>
      <c r="H544">
        <v>0</v>
      </c>
      <c r="I544">
        <v>0.50946899999999995</v>
      </c>
      <c r="J544">
        <v>5.3222399999999999</v>
      </c>
      <c r="K544" s="2">
        <v>68209700</v>
      </c>
      <c r="L544" s="1">
        <v>0</v>
      </c>
      <c r="M544" s="1">
        <v>0</v>
      </c>
      <c r="N544" s="1">
        <v>0</v>
      </c>
      <c r="O544" s="1">
        <v>0</v>
      </c>
      <c r="P544" s="2">
        <v>4257800</v>
      </c>
      <c r="Q544" s="1">
        <v>292788</v>
      </c>
      <c r="R544" s="1">
        <v>0</v>
      </c>
      <c r="S544">
        <v>99.302199999999999</v>
      </c>
      <c r="T544">
        <v>98.274000000000001</v>
      </c>
      <c r="U544">
        <v>3.22932</v>
      </c>
      <c r="V544">
        <v>0</v>
      </c>
      <c r="W544">
        <v>0</v>
      </c>
      <c r="X544">
        <v>1.6687099999999999</v>
      </c>
      <c r="Y544">
        <v>1.6687099999999999</v>
      </c>
      <c r="Z544">
        <v>0</v>
      </c>
      <c r="AA544">
        <v>1.2229000000000001</v>
      </c>
      <c r="AB544">
        <v>2.9635199999999999</v>
      </c>
      <c r="AC544" s="2">
        <v>240143000</v>
      </c>
      <c r="AD544" s="1">
        <v>0</v>
      </c>
      <c r="AE544" s="1">
        <v>0</v>
      </c>
      <c r="AF544" s="1">
        <v>0</v>
      </c>
      <c r="AG544" s="1">
        <v>0</v>
      </c>
      <c r="AH544" s="2">
        <v>4317340</v>
      </c>
      <c r="AI544" s="1">
        <v>140729</v>
      </c>
      <c r="AJ544" s="1">
        <v>0</v>
      </c>
      <c r="AK544" s="8">
        <f t="shared" si="35"/>
        <v>23</v>
      </c>
      <c r="AL544" s="8">
        <f t="shared" si="34"/>
        <v>11</v>
      </c>
      <c r="AM544">
        <f t="shared" si="32"/>
        <v>0</v>
      </c>
      <c r="AN544">
        <f t="shared" si="33"/>
        <v>0</v>
      </c>
    </row>
    <row r="545" spans="1:40" x14ac:dyDescent="0.35">
      <c r="A545">
        <v>84.096599999999995</v>
      </c>
      <c r="B545">
        <v>85.138999999999996</v>
      </c>
      <c r="C545">
        <v>2.7869600000000001</v>
      </c>
      <c r="D545">
        <v>0</v>
      </c>
      <c r="E545">
        <v>0</v>
      </c>
      <c r="F545">
        <v>2.84857</v>
      </c>
      <c r="G545">
        <v>2.84857</v>
      </c>
      <c r="H545">
        <v>0</v>
      </c>
      <c r="I545">
        <v>0.53372900000000001</v>
      </c>
      <c r="J545">
        <v>5.3222399999999999</v>
      </c>
      <c r="K545" s="2">
        <v>68502600</v>
      </c>
      <c r="L545" s="1">
        <v>0</v>
      </c>
      <c r="M545" s="1">
        <v>0</v>
      </c>
      <c r="N545" s="1">
        <v>0</v>
      </c>
      <c r="O545" s="1">
        <v>0</v>
      </c>
      <c r="P545" s="2">
        <v>4258540</v>
      </c>
      <c r="Q545" s="1">
        <v>292838</v>
      </c>
      <c r="R545" s="1">
        <v>0</v>
      </c>
      <c r="S545">
        <v>99.302199999999999</v>
      </c>
      <c r="T545">
        <v>98.274000000000001</v>
      </c>
      <c r="U545">
        <v>2.7441499999999999</v>
      </c>
      <c r="V545">
        <v>0</v>
      </c>
      <c r="W545">
        <v>0</v>
      </c>
      <c r="X545">
        <v>1.669</v>
      </c>
      <c r="Y545">
        <v>1.669</v>
      </c>
      <c r="Z545">
        <v>0</v>
      </c>
      <c r="AA545">
        <v>1.2892399999999999</v>
      </c>
      <c r="AB545">
        <v>2.9635199999999999</v>
      </c>
      <c r="AC545" s="2">
        <v>240284000</v>
      </c>
      <c r="AD545" s="1">
        <v>0</v>
      </c>
      <c r="AE545" s="1">
        <v>0</v>
      </c>
      <c r="AF545" s="1">
        <v>0</v>
      </c>
      <c r="AG545" s="1">
        <v>0</v>
      </c>
      <c r="AH545" s="2">
        <v>4318090</v>
      </c>
      <c r="AI545" s="1">
        <v>140753</v>
      </c>
      <c r="AJ545" s="1">
        <v>0</v>
      </c>
      <c r="AK545" s="8">
        <f t="shared" si="35"/>
        <v>24</v>
      </c>
      <c r="AL545" s="8">
        <f t="shared" si="34"/>
        <v>11</v>
      </c>
      <c r="AM545">
        <f t="shared" si="32"/>
        <v>0</v>
      </c>
      <c r="AN545">
        <f t="shared" si="33"/>
        <v>0</v>
      </c>
    </row>
    <row r="546" spans="1:40" x14ac:dyDescent="0.35">
      <c r="A546">
        <v>83.405500000000004</v>
      </c>
      <c r="B546">
        <v>85.138999999999996</v>
      </c>
      <c r="C546">
        <v>2.4480300000000002</v>
      </c>
      <c r="D546">
        <v>0</v>
      </c>
      <c r="E546">
        <v>0</v>
      </c>
      <c r="F546">
        <v>2.8490600000000001</v>
      </c>
      <c r="G546">
        <v>2.8490600000000001</v>
      </c>
      <c r="H546">
        <v>0</v>
      </c>
      <c r="I546">
        <v>0.53382200000000002</v>
      </c>
      <c r="J546">
        <v>5.3222399999999999</v>
      </c>
      <c r="K546" s="2">
        <v>68795500</v>
      </c>
      <c r="L546" s="1">
        <v>0</v>
      </c>
      <c r="M546" s="1">
        <v>0</v>
      </c>
      <c r="N546" s="1">
        <v>0</v>
      </c>
      <c r="O546" s="1">
        <v>0</v>
      </c>
      <c r="P546" s="2">
        <v>4259280</v>
      </c>
      <c r="Q546" s="1">
        <v>292889</v>
      </c>
      <c r="R546" s="1">
        <v>0</v>
      </c>
      <c r="S546">
        <v>99.302199999999999</v>
      </c>
      <c r="T546">
        <v>98.274000000000001</v>
      </c>
      <c r="U546">
        <v>2.6003099999999999</v>
      </c>
      <c r="V546">
        <v>0</v>
      </c>
      <c r="W546">
        <v>0</v>
      </c>
      <c r="X546">
        <v>1.6692899999999999</v>
      </c>
      <c r="Y546">
        <v>1.6692899999999999</v>
      </c>
      <c r="Z546">
        <v>0</v>
      </c>
      <c r="AA546">
        <v>1.2894699999999999</v>
      </c>
      <c r="AB546">
        <v>2.9635199999999999</v>
      </c>
      <c r="AC546" s="2">
        <v>240425000</v>
      </c>
      <c r="AD546" s="1">
        <v>0</v>
      </c>
      <c r="AE546" s="1">
        <v>0</v>
      </c>
      <c r="AF546" s="1">
        <v>0</v>
      </c>
      <c r="AG546" s="1">
        <v>0</v>
      </c>
      <c r="AH546" s="2">
        <v>4318840</v>
      </c>
      <c r="AI546" s="1">
        <v>140777</v>
      </c>
      <c r="AJ546" s="1">
        <v>0</v>
      </c>
      <c r="AK546" s="8">
        <f t="shared" si="35"/>
        <v>25</v>
      </c>
      <c r="AL546" s="8">
        <f t="shared" si="34"/>
        <v>11</v>
      </c>
      <c r="AM546">
        <f t="shared" si="32"/>
        <v>0</v>
      </c>
      <c r="AN546">
        <f t="shared" si="33"/>
        <v>0</v>
      </c>
    </row>
    <row r="547" spans="1:40" x14ac:dyDescent="0.35">
      <c r="A547">
        <v>82.652600000000007</v>
      </c>
      <c r="B547">
        <v>85.138999999999996</v>
      </c>
      <c r="C547">
        <v>2.3724799999999999</v>
      </c>
      <c r="D547">
        <v>0</v>
      </c>
      <c r="E547">
        <v>0</v>
      </c>
      <c r="F547">
        <v>2.8495599999999999</v>
      </c>
      <c r="G547">
        <v>2.8495599999999999</v>
      </c>
      <c r="H547">
        <v>0</v>
      </c>
      <c r="I547">
        <v>0.53391500000000003</v>
      </c>
      <c r="J547">
        <v>5.3222399999999999</v>
      </c>
      <c r="K547" s="2">
        <v>69088400</v>
      </c>
      <c r="L547" s="1">
        <v>0</v>
      </c>
      <c r="M547" s="1">
        <v>0</v>
      </c>
      <c r="N547" s="1">
        <v>0</v>
      </c>
      <c r="O547" s="1">
        <v>0</v>
      </c>
      <c r="P547" s="2">
        <v>4260020</v>
      </c>
      <c r="Q547" s="1">
        <v>292940</v>
      </c>
      <c r="R547" s="1">
        <v>0</v>
      </c>
      <c r="S547">
        <v>99.302199999999999</v>
      </c>
      <c r="T547">
        <v>98.274000000000001</v>
      </c>
      <c r="U547">
        <v>2.6437200000000001</v>
      </c>
      <c r="V547">
        <v>0</v>
      </c>
      <c r="W547">
        <v>0</v>
      </c>
      <c r="X547">
        <v>1.6695800000000001</v>
      </c>
      <c r="Y547">
        <v>1.6695800000000001</v>
      </c>
      <c r="Z547">
        <v>0</v>
      </c>
      <c r="AA547">
        <v>1.28969</v>
      </c>
      <c r="AB547">
        <v>2.9635199999999999</v>
      </c>
      <c r="AC547" s="2">
        <v>240566000</v>
      </c>
      <c r="AD547" s="1">
        <v>0</v>
      </c>
      <c r="AE547" s="1">
        <v>0</v>
      </c>
      <c r="AF547" s="1">
        <v>0</v>
      </c>
      <c r="AG547" s="1">
        <v>0</v>
      </c>
      <c r="AH547" s="2">
        <v>4319590</v>
      </c>
      <c r="AI547" s="1">
        <v>140802</v>
      </c>
      <c r="AJ547" s="1">
        <v>0</v>
      </c>
      <c r="AK547" s="8">
        <f t="shared" si="35"/>
        <v>26</v>
      </c>
      <c r="AL547" s="8">
        <f t="shared" si="34"/>
        <v>11</v>
      </c>
      <c r="AM547">
        <f t="shared" si="32"/>
        <v>0</v>
      </c>
      <c r="AN547">
        <f t="shared" si="33"/>
        <v>0</v>
      </c>
    </row>
    <row r="548" spans="1:40" x14ac:dyDescent="0.35">
      <c r="A548">
        <v>81.7928</v>
      </c>
      <c r="B548">
        <v>85.138999999999996</v>
      </c>
      <c r="C548">
        <v>2.2488800000000002</v>
      </c>
      <c r="D548">
        <v>0</v>
      </c>
      <c r="E548">
        <v>0</v>
      </c>
      <c r="F548">
        <v>2.85005</v>
      </c>
      <c r="G548">
        <v>2.85005</v>
      </c>
      <c r="H548">
        <v>0</v>
      </c>
      <c r="I548">
        <v>0.53400700000000001</v>
      </c>
      <c r="J548">
        <v>5.3222399999999999</v>
      </c>
      <c r="K548" s="2">
        <v>69381400</v>
      </c>
      <c r="L548" s="1">
        <v>0</v>
      </c>
      <c r="M548" s="1">
        <v>0</v>
      </c>
      <c r="N548" s="1">
        <v>0</v>
      </c>
      <c r="O548" s="1">
        <v>0</v>
      </c>
      <c r="P548" s="2">
        <v>4260760</v>
      </c>
      <c r="Q548" s="1">
        <v>292991</v>
      </c>
      <c r="R548" s="1">
        <v>0</v>
      </c>
      <c r="S548">
        <v>99.302199999999999</v>
      </c>
      <c r="T548">
        <v>98.274000000000001</v>
      </c>
      <c r="U548">
        <v>2.5303200000000001</v>
      </c>
      <c r="V548">
        <v>0</v>
      </c>
      <c r="W548">
        <v>0</v>
      </c>
      <c r="X548">
        <v>1.66987</v>
      </c>
      <c r="Y548">
        <v>1.66987</v>
      </c>
      <c r="Z548">
        <v>0</v>
      </c>
      <c r="AA548">
        <v>1.2899099999999999</v>
      </c>
      <c r="AB548">
        <v>2.9635199999999999</v>
      </c>
      <c r="AC548" s="2">
        <v>240707000</v>
      </c>
      <c r="AD548" s="1">
        <v>0</v>
      </c>
      <c r="AE548" s="1">
        <v>0</v>
      </c>
      <c r="AF548" s="1">
        <v>0</v>
      </c>
      <c r="AG548" s="1">
        <v>0</v>
      </c>
      <c r="AH548" s="2">
        <v>4320340</v>
      </c>
      <c r="AI548" s="1">
        <v>140826</v>
      </c>
      <c r="AJ548" s="1">
        <v>0</v>
      </c>
      <c r="AK548" s="8">
        <f t="shared" si="35"/>
        <v>27</v>
      </c>
      <c r="AL548" s="8">
        <f t="shared" si="34"/>
        <v>11</v>
      </c>
      <c r="AM548">
        <f t="shared" si="32"/>
        <v>0</v>
      </c>
      <c r="AN548">
        <f t="shared" si="33"/>
        <v>0</v>
      </c>
    </row>
    <row r="549" spans="1:40" x14ac:dyDescent="0.35">
      <c r="A549">
        <v>80.932199999999995</v>
      </c>
      <c r="B549">
        <v>85.138999999999996</v>
      </c>
      <c r="C549">
        <v>2.1423399999999999</v>
      </c>
      <c r="D549">
        <v>0</v>
      </c>
      <c r="E549">
        <v>0</v>
      </c>
      <c r="F549">
        <v>2.8250199999999999</v>
      </c>
      <c r="G549">
        <v>2.8250199999999999</v>
      </c>
      <c r="H549">
        <v>0</v>
      </c>
      <c r="I549">
        <v>0.53410000000000002</v>
      </c>
      <c r="J549">
        <v>5.3222399999999999</v>
      </c>
      <c r="K549" s="2">
        <v>69671800</v>
      </c>
      <c r="L549" s="1">
        <v>0</v>
      </c>
      <c r="M549" s="1">
        <v>0</v>
      </c>
      <c r="N549" s="1">
        <v>0</v>
      </c>
      <c r="O549" s="1">
        <v>0</v>
      </c>
      <c r="P549" s="2">
        <v>4223330</v>
      </c>
      <c r="Q549" s="1">
        <v>290417</v>
      </c>
      <c r="R549" s="1">
        <v>0</v>
      </c>
      <c r="S549">
        <v>99.302199999999999</v>
      </c>
      <c r="T549">
        <v>98.274000000000001</v>
      </c>
      <c r="U549">
        <v>2.6687500000000002</v>
      </c>
      <c r="V549">
        <v>0</v>
      </c>
      <c r="W549">
        <v>0</v>
      </c>
      <c r="X549">
        <v>1.7172400000000001</v>
      </c>
      <c r="Y549">
        <v>1.7172400000000001</v>
      </c>
      <c r="Z549">
        <v>0</v>
      </c>
      <c r="AA549">
        <v>1.2901400000000001</v>
      </c>
      <c r="AB549">
        <v>2.9635199999999999</v>
      </c>
      <c r="AC549" s="2">
        <v>240851000</v>
      </c>
      <c r="AD549" s="1">
        <v>0</v>
      </c>
      <c r="AE549" s="1">
        <v>0</v>
      </c>
      <c r="AF549" s="1">
        <v>0</v>
      </c>
      <c r="AG549" s="1">
        <v>0</v>
      </c>
      <c r="AH549" s="2">
        <v>4442910</v>
      </c>
      <c r="AI549" s="1">
        <v>144822</v>
      </c>
      <c r="AJ549" s="1">
        <v>0</v>
      </c>
      <c r="AK549" s="8">
        <f t="shared" si="35"/>
        <v>28</v>
      </c>
      <c r="AL549" s="8">
        <f t="shared" si="34"/>
        <v>11</v>
      </c>
      <c r="AM549">
        <f t="shared" si="32"/>
        <v>0</v>
      </c>
      <c r="AN549">
        <f t="shared" si="33"/>
        <v>0</v>
      </c>
    </row>
    <row r="550" spans="1:40" x14ac:dyDescent="0.35">
      <c r="A550">
        <v>80.043999999999997</v>
      </c>
      <c r="B550">
        <v>85.138999999999996</v>
      </c>
      <c r="C550">
        <v>2.0826099999999999</v>
      </c>
      <c r="D550">
        <v>0</v>
      </c>
      <c r="E550">
        <v>0</v>
      </c>
      <c r="F550">
        <v>2.82551</v>
      </c>
      <c r="G550">
        <v>2.82551</v>
      </c>
      <c r="H550">
        <v>0</v>
      </c>
      <c r="I550">
        <v>0.52940900000000002</v>
      </c>
      <c r="J550">
        <v>5.3222399999999999</v>
      </c>
      <c r="K550" s="2">
        <v>69962300</v>
      </c>
      <c r="L550" s="1">
        <v>0</v>
      </c>
      <c r="M550" s="1">
        <v>0</v>
      </c>
      <c r="N550" s="1">
        <v>0</v>
      </c>
      <c r="O550" s="1">
        <v>0</v>
      </c>
      <c r="P550" s="2">
        <v>4224070</v>
      </c>
      <c r="Q550" s="1">
        <v>290468</v>
      </c>
      <c r="R550" s="1">
        <v>0</v>
      </c>
      <c r="S550">
        <v>99.302199999999999</v>
      </c>
      <c r="T550">
        <v>98.274000000000001</v>
      </c>
      <c r="U550">
        <v>2.6250200000000001</v>
      </c>
      <c r="V550">
        <v>0</v>
      </c>
      <c r="W550">
        <v>0</v>
      </c>
      <c r="X550">
        <v>1.7175400000000001</v>
      </c>
      <c r="Y550">
        <v>1.7175400000000001</v>
      </c>
      <c r="Z550">
        <v>0</v>
      </c>
      <c r="AA550">
        <v>1.32674</v>
      </c>
      <c r="AB550">
        <v>2.9635199999999999</v>
      </c>
      <c r="AC550" s="2">
        <v>240996000</v>
      </c>
      <c r="AD550" s="1">
        <v>0</v>
      </c>
      <c r="AE550" s="1">
        <v>0</v>
      </c>
      <c r="AF550" s="1">
        <v>0</v>
      </c>
      <c r="AG550" s="1">
        <v>0</v>
      </c>
      <c r="AH550" s="2">
        <v>4443680</v>
      </c>
      <c r="AI550" s="1">
        <v>144847</v>
      </c>
      <c r="AJ550" s="1">
        <v>0</v>
      </c>
      <c r="AK550" s="8">
        <f t="shared" si="35"/>
        <v>29</v>
      </c>
      <c r="AL550" s="8">
        <f t="shared" si="34"/>
        <v>11</v>
      </c>
      <c r="AM550">
        <f t="shared" si="32"/>
        <v>0</v>
      </c>
      <c r="AN550">
        <f t="shared" si="33"/>
        <v>0</v>
      </c>
    </row>
    <row r="551" spans="1:40" x14ac:dyDescent="0.35">
      <c r="A551">
        <v>79.002899999999997</v>
      </c>
      <c r="B551">
        <v>85.138999999999996</v>
      </c>
      <c r="C551">
        <v>1.92241</v>
      </c>
      <c r="D551">
        <v>0</v>
      </c>
      <c r="E551">
        <v>0</v>
      </c>
      <c r="F551">
        <v>2.8260000000000001</v>
      </c>
      <c r="G551">
        <v>2.8260000000000001</v>
      </c>
      <c r="H551">
        <v>0</v>
      </c>
      <c r="I551">
        <v>0.529501</v>
      </c>
      <c r="J551">
        <v>5.3222399999999999</v>
      </c>
      <c r="K551" s="2">
        <v>70252800</v>
      </c>
      <c r="L551" s="1">
        <v>0</v>
      </c>
      <c r="M551" s="1">
        <v>0</v>
      </c>
      <c r="N551" s="1">
        <v>0</v>
      </c>
      <c r="O551" s="1">
        <v>0</v>
      </c>
      <c r="P551" s="2">
        <v>4224800</v>
      </c>
      <c r="Q551" s="1">
        <v>290518</v>
      </c>
      <c r="R551" s="1">
        <v>0</v>
      </c>
      <c r="S551">
        <v>99.298699999999997</v>
      </c>
      <c r="T551">
        <v>98.274000000000001</v>
      </c>
      <c r="U551">
        <v>2.6048399999999998</v>
      </c>
      <c r="V551">
        <v>0</v>
      </c>
      <c r="W551">
        <v>0</v>
      </c>
      <c r="X551">
        <v>1.71784</v>
      </c>
      <c r="Y551">
        <v>1.71784</v>
      </c>
      <c r="Z551">
        <v>0</v>
      </c>
      <c r="AA551">
        <v>1.32697</v>
      </c>
      <c r="AB551">
        <v>2.9635199999999999</v>
      </c>
      <c r="AC551" s="2">
        <v>241141000</v>
      </c>
      <c r="AD551" s="1">
        <v>0</v>
      </c>
      <c r="AE551" s="1">
        <v>0</v>
      </c>
      <c r="AF551" s="1">
        <v>0</v>
      </c>
      <c r="AG551" s="1">
        <v>0</v>
      </c>
      <c r="AH551" s="2">
        <v>4444450</v>
      </c>
      <c r="AI551" s="1">
        <v>144872</v>
      </c>
      <c r="AJ551" s="1">
        <v>0</v>
      </c>
      <c r="AK551" s="8">
        <f t="shared" si="35"/>
        <v>30</v>
      </c>
      <c r="AL551" s="8">
        <f t="shared" si="34"/>
        <v>11</v>
      </c>
      <c r="AM551">
        <f t="shared" si="32"/>
        <v>0</v>
      </c>
      <c r="AN551">
        <f t="shared" si="33"/>
        <v>0</v>
      </c>
    </row>
    <row r="552" spans="1:40" x14ac:dyDescent="0.35">
      <c r="A552">
        <v>77.807100000000005</v>
      </c>
      <c r="B552">
        <v>85.138999999999996</v>
      </c>
      <c r="C552">
        <v>1.75627</v>
      </c>
      <c r="D552">
        <v>0</v>
      </c>
      <c r="E552">
        <v>0</v>
      </c>
      <c r="F552">
        <v>2.8264900000000002</v>
      </c>
      <c r="G552">
        <v>2.8264900000000002</v>
      </c>
      <c r="H552">
        <v>0</v>
      </c>
      <c r="I552">
        <v>0.52959299999999998</v>
      </c>
      <c r="J552">
        <v>5.3222399999999999</v>
      </c>
      <c r="K552" s="2">
        <v>70543400</v>
      </c>
      <c r="L552" s="1">
        <v>0</v>
      </c>
      <c r="M552" s="1">
        <v>0</v>
      </c>
      <c r="N552" s="1">
        <v>0</v>
      </c>
      <c r="O552" s="1">
        <v>0</v>
      </c>
      <c r="P552" s="2">
        <v>4225530</v>
      </c>
      <c r="Q552" s="1">
        <v>290569</v>
      </c>
      <c r="R552" s="1">
        <v>0</v>
      </c>
      <c r="S552">
        <v>99.186700000000002</v>
      </c>
      <c r="T552">
        <v>98.274000000000001</v>
      </c>
      <c r="U552">
        <v>2.3354300000000001</v>
      </c>
      <c r="V552">
        <v>0</v>
      </c>
      <c r="W552">
        <v>0</v>
      </c>
      <c r="X552">
        <v>1.7181299999999999</v>
      </c>
      <c r="Y552">
        <v>1.7181299999999999</v>
      </c>
      <c r="Z552">
        <v>0</v>
      </c>
      <c r="AA552">
        <v>1.3271999999999999</v>
      </c>
      <c r="AB552">
        <v>2.9635199999999999</v>
      </c>
      <c r="AC552" s="2">
        <v>241286000</v>
      </c>
      <c r="AD552" s="1">
        <v>0</v>
      </c>
      <c r="AE552" s="1">
        <v>0</v>
      </c>
      <c r="AF552" s="1">
        <v>0</v>
      </c>
      <c r="AG552" s="1">
        <v>0</v>
      </c>
      <c r="AH552" s="2">
        <v>4445220</v>
      </c>
      <c r="AI552" s="1">
        <v>144897</v>
      </c>
      <c r="AJ552" s="1">
        <v>0</v>
      </c>
      <c r="AK552" s="8">
        <f t="shared" si="35"/>
        <v>31</v>
      </c>
      <c r="AL552" s="8">
        <f t="shared" si="34"/>
        <v>11</v>
      </c>
      <c r="AM552">
        <f t="shared" si="32"/>
        <v>0</v>
      </c>
      <c r="AN552">
        <f t="shared" si="33"/>
        <v>0</v>
      </c>
    </row>
    <row r="553" spans="1:40" x14ac:dyDescent="0.35">
      <c r="A553">
        <v>76.392499999999998</v>
      </c>
      <c r="B553">
        <v>85.138999999999996</v>
      </c>
      <c r="C553">
        <v>1.5537700000000001</v>
      </c>
      <c r="D553">
        <v>0</v>
      </c>
      <c r="E553">
        <v>0</v>
      </c>
      <c r="F553">
        <v>2.89296</v>
      </c>
      <c r="G553">
        <v>2.89296</v>
      </c>
      <c r="H553">
        <v>0</v>
      </c>
      <c r="I553">
        <v>0.52968499999999996</v>
      </c>
      <c r="J553">
        <v>5.3222399999999999</v>
      </c>
      <c r="K553" s="2">
        <v>70840800</v>
      </c>
      <c r="L553" s="1">
        <v>0</v>
      </c>
      <c r="M553" s="1">
        <v>0</v>
      </c>
      <c r="N553" s="1">
        <v>0</v>
      </c>
      <c r="O553" s="1">
        <v>0</v>
      </c>
      <c r="P553" s="2">
        <v>4324900</v>
      </c>
      <c r="Q553" s="1">
        <v>297402</v>
      </c>
      <c r="R553" s="1">
        <v>0</v>
      </c>
      <c r="S553">
        <v>99.006399999999999</v>
      </c>
      <c r="T553">
        <v>98.274000000000001</v>
      </c>
      <c r="U553">
        <v>2.0882200000000002</v>
      </c>
      <c r="V553">
        <v>0</v>
      </c>
      <c r="W553">
        <v>0</v>
      </c>
      <c r="X553">
        <v>1.7604200000000001</v>
      </c>
      <c r="Y553">
        <v>1.7604200000000001</v>
      </c>
      <c r="Z553">
        <v>0</v>
      </c>
      <c r="AA553">
        <v>1.3274300000000001</v>
      </c>
      <c r="AB553">
        <v>2.9635199999999999</v>
      </c>
      <c r="AC553" s="2">
        <v>241435000</v>
      </c>
      <c r="AD553" s="1">
        <v>0</v>
      </c>
      <c r="AE553" s="1">
        <v>0</v>
      </c>
      <c r="AF553" s="1">
        <v>0</v>
      </c>
      <c r="AG553" s="1">
        <v>0</v>
      </c>
      <c r="AH553" s="2">
        <v>4554630</v>
      </c>
      <c r="AI553" s="1">
        <v>148464</v>
      </c>
      <c r="AJ553" s="1">
        <v>0</v>
      </c>
      <c r="AK553" s="8">
        <f t="shared" si="35"/>
        <v>32</v>
      </c>
      <c r="AL553" s="8">
        <f t="shared" si="34"/>
        <v>11</v>
      </c>
      <c r="AM553">
        <f t="shared" si="32"/>
        <v>0</v>
      </c>
      <c r="AN553">
        <f t="shared" si="33"/>
        <v>0</v>
      </c>
    </row>
    <row r="554" spans="1:40" x14ac:dyDescent="0.35">
      <c r="A554">
        <v>75.001300000000001</v>
      </c>
      <c r="B554">
        <v>85.138999999999996</v>
      </c>
      <c r="C554">
        <v>1.56345</v>
      </c>
      <c r="D554">
        <v>0</v>
      </c>
      <c r="E554">
        <v>0</v>
      </c>
      <c r="F554">
        <v>2.8934600000000001</v>
      </c>
      <c r="G554">
        <v>2.8934600000000001</v>
      </c>
      <c r="H554">
        <v>0</v>
      </c>
      <c r="I554">
        <v>0.54213999999999996</v>
      </c>
      <c r="J554">
        <v>5.3222399999999999</v>
      </c>
      <c r="K554" s="2">
        <v>71138200</v>
      </c>
      <c r="L554" s="1">
        <v>0</v>
      </c>
      <c r="M554" s="1">
        <v>0</v>
      </c>
      <c r="N554" s="1">
        <v>0</v>
      </c>
      <c r="O554" s="1">
        <v>0</v>
      </c>
      <c r="P554" s="2">
        <v>4325650</v>
      </c>
      <c r="Q554" s="1">
        <v>297453</v>
      </c>
      <c r="R554" s="1">
        <v>0</v>
      </c>
      <c r="S554">
        <v>98.901499999999999</v>
      </c>
      <c r="T554">
        <v>98.274000000000001</v>
      </c>
      <c r="U554">
        <v>2.0579800000000001</v>
      </c>
      <c r="V554">
        <v>0</v>
      </c>
      <c r="W554">
        <v>0</v>
      </c>
      <c r="X554">
        <v>1.7607299999999999</v>
      </c>
      <c r="Y554">
        <v>1.7607299999999999</v>
      </c>
      <c r="Z554">
        <v>0</v>
      </c>
      <c r="AA554">
        <v>1.3601000000000001</v>
      </c>
      <c r="AB554">
        <v>2.9635199999999999</v>
      </c>
      <c r="AC554" s="2">
        <v>241583000</v>
      </c>
      <c r="AD554" s="1">
        <v>0</v>
      </c>
      <c r="AE554" s="1">
        <v>0</v>
      </c>
      <c r="AF554" s="1">
        <v>0</v>
      </c>
      <c r="AG554" s="1">
        <v>0</v>
      </c>
      <c r="AH554" s="2">
        <v>4555430</v>
      </c>
      <c r="AI554" s="1">
        <v>148489</v>
      </c>
      <c r="AJ554" s="1">
        <v>0</v>
      </c>
      <c r="AK554" s="8">
        <f t="shared" si="35"/>
        <v>33</v>
      </c>
      <c r="AL554" s="8">
        <f t="shared" si="34"/>
        <v>11</v>
      </c>
      <c r="AM554">
        <f t="shared" si="32"/>
        <v>0</v>
      </c>
      <c r="AN554">
        <f t="shared" si="33"/>
        <v>0</v>
      </c>
    </row>
    <row r="555" spans="1:40" x14ac:dyDescent="0.35">
      <c r="A555">
        <v>73.519400000000005</v>
      </c>
      <c r="B555">
        <v>85.138999999999996</v>
      </c>
      <c r="C555">
        <v>1.4467399999999999</v>
      </c>
      <c r="D555">
        <v>0</v>
      </c>
      <c r="E555">
        <v>0</v>
      </c>
      <c r="F555">
        <v>2.8939599999999999</v>
      </c>
      <c r="G555">
        <v>2.8939599999999999</v>
      </c>
      <c r="H555">
        <v>0</v>
      </c>
      <c r="I555">
        <v>0.54223500000000002</v>
      </c>
      <c r="J555">
        <v>5.3222399999999999</v>
      </c>
      <c r="K555" s="2">
        <v>71435700</v>
      </c>
      <c r="L555" s="1">
        <v>0</v>
      </c>
      <c r="M555" s="1">
        <v>0</v>
      </c>
      <c r="N555" s="1">
        <v>0</v>
      </c>
      <c r="O555" s="1">
        <v>0</v>
      </c>
      <c r="P555" s="2">
        <v>4326400</v>
      </c>
      <c r="Q555" s="1">
        <v>297505</v>
      </c>
      <c r="R555" s="1">
        <v>0</v>
      </c>
      <c r="S555">
        <v>98.530500000000004</v>
      </c>
      <c r="T555">
        <v>98.274000000000001</v>
      </c>
      <c r="U555">
        <v>2.0724</v>
      </c>
      <c r="V555">
        <v>0</v>
      </c>
      <c r="W555">
        <v>0</v>
      </c>
      <c r="X555">
        <v>1.7610399999999999</v>
      </c>
      <c r="Y555">
        <v>1.7610399999999999</v>
      </c>
      <c r="Z555">
        <v>0</v>
      </c>
      <c r="AA555">
        <v>1.3603400000000001</v>
      </c>
      <c r="AB555">
        <v>2.9635199999999999</v>
      </c>
      <c r="AC555" s="2">
        <v>241732000</v>
      </c>
      <c r="AD555" s="1">
        <v>0</v>
      </c>
      <c r="AE555" s="1">
        <v>0</v>
      </c>
      <c r="AF555" s="1">
        <v>0</v>
      </c>
      <c r="AG555" s="1">
        <v>0</v>
      </c>
      <c r="AH555" s="2">
        <v>4556220</v>
      </c>
      <c r="AI555" s="1">
        <v>148515</v>
      </c>
      <c r="AJ555" s="1">
        <v>0</v>
      </c>
      <c r="AK555" s="8">
        <f t="shared" si="35"/>
        <v>34</v>
      </c>
      <c r="AL555" s="8">
        <f t="shared" si="34"/>
        <v>11</v>
      </c>
      <c r="AM555">
        <f t="shared" si="32"/>
        <v>0</v>
      </c>
      <c r="AN555">
        <f t="shared" si="33"/>
        <v>0</v>
      </c>
    </row>
    <row r="556" spans="1:40" x14ac:dyDescent="0.35">
      <c r="A556">
        <v>71.945599999999999</v>
      </c>
      <c r="B556">
        <v>85.138999999999996</v>
      </c>
      <c r="C556">
        <v>1.3407199999999999</v>
      </c>
      <c r="D556">
        <v>0</v>
      </c>
      <c r="E556">
        <v>0</v>
      </c>
      <c r="F556">
        <v>2.8944700000000001</v>
      </c>
      <c r="G556">
        <v>2.8944700000000001</v>
      </c>
      <c r="H556">
        <v>0</v>
      </c>
      <c r="I556">
        <v>0.54232899999999995</v>
      </c>
      <c r="J556">
        <v>5.3222399999999999</v>
      </c>
      <c r="K556" s="2">
        <v>71733300</v>
      </c>
      <c r="L556" s="1">
        <v>0</v>
      </c>
      <c r="M556" s="1">
        <v>0</v>
      </c>
      <c r="N556" s="1">
        <v>0</v>
      </c>
      <c r="O556" s="1">
        <v>0</v>
      </c>
      <c r="P556" s="2">
        <v>4327160</v>
      </c>
      <c r="Q556" s="1">
        <v>297557</v>
      </c>
      <c r="R556" s="1">
        <v>0</v>
      </c>
      <c r="S556">
        <v>98.314800000000005</v>
      </c>
      <c r="T556">
        <v>98.274000000000001</v>
      </c>
      <c r="U556">
        <v>1.8446</v>
      </c>
      <c r="V556">
        <v>0</v>
      </c>
      <c r="W556">
        <v>0</v>
      </c>
      <c r="X556">
        <v>1.7613399999999999</v>
      </c>
      <c r="Y556">
        <v>1.7613399999999999</v>
      </c>
      <c r="Z556">
        <v>0</v>
      </c>
      <c r="AA556">
        <v>1.3605799999999999</v>
      </c>
      <c r="AB556">
        <v>2.9635199999999999</v>
      </c>
      <c r="AC556" s="2">
        <v>241880000</v>
      </c>
      <c r="AD556" s="1">
        <v>0</v>
      </c>
      <c r="AE556" s="1">
        <v>0</v>
      </c>
      <c r="AF556" s="1">
        <v>0</v>
      </c>
      <c r="AG556" s="1">
        <v>0</v>
      </c>
      <c r="AH556" s="2">
        <v>4557010</v>
      </c>
      <c r="AI556" s="1">
        <v>148541</v>
      </c>
      <c r="AJ556" s="1">
        <v>0</v>
      </c>
      <c r="AK556" s="8">
        <f t="shared" si="35"/>
        <v>35</v>
      </c>
      <c r="AL556" s="8">
        <f t="shared" si="34"/>
        <v>11</v>
      </c>
      <c r="AM556">
        <f t="shared" si="32"/>
        <v>0</v>
      </c>
      <c r="AN556">
        <f t="shared" si="33"/>
        <v>0</v>
      </c>
    </row>
    <row r="557" spans="1:40" x14ac:dyDescent="0.35">
      <c r="A557">
        <v>70.257000000000005</v>
      </c>
      <c r="B557">
        <v>85.138999999999996</v>
      </c>
      <c r="C557">
        <v>1.36433</v>
      </c>
      <c r="D557">
        <v>0</v>
      </c>
      <c r="E557">
        <v>0</v>
      </c>
      <c r="F557">
        <v>3.0883099999999999</v>
      </c>
      <c r="G557">
        <v>3.0883099999999999</v>
      </c>
      <c r="H557">
        <v>0</v>
      </c>
      <c r="I557">
        <v>0.54242299999999999</v>
      </c>
      <c r="J557">
        <v>5.3222399999999999</v>
      </c>
      <c r="K557" s="2">
        <v>72050800</v>
      </c>
      <c r="L557" s="1">
        <v>0</v>
      </c>
      <c r="M557" s="1">
        <v>0</v>
      </c>
      <c r="N557" s="1">
        <v>0</v>
      </c>
      <c r="O557" s="1">
        <v>0</v>
      </c>
      <c r="P557" s="2">
        <v>4616950</v>
      </c>
      <c r="Q557" s="1">
        <v>317485</v>
      </c>
      <c r="R557" s="1">
        <v>0</v>
      </c>
      <c r="S557">
        <v>97.8065</v>
      </c>
      <c r="T557">
        <v>98.274000000000001</v>
      </c>
      <c r="U557">
        <v>2.1041599999999998</v>
      </c>
      <c r="V557">
        <v>0</v>
      </c>
      <c r="W557">
        <v>0</v>
      </c>
      <c r="X557">
        <v>1.9133199999999999</v>
      </c>
      <c r="Y557">
        <v>1.9133199999999999</v>
      </c>
      <c r="Z557">
        <v>0</v>
      </c>
      <c r="AA557">
        <v>1.3608100000000001</v>
      </c>
      <c r="AB557">
        <v>2.9635199999999999</v>
      </c>
      <c r="AC557" s="2">
        <v>242041000</v>
      </c>
      <c r="AD557" s="1">
        <v>0</v>
      </c>
      <c r="AE557" s="1">
        <v>0</v>
      </c>
      <c r="AF557" s="1">
        <v>0</v>
      </c>
      <c r="AG557" s="1">
        <v>0</v>
      </c>
      <c r="AH557" s="2">
        <v>4950210</v>
      </c>
      <c r="AI557" s="1">
        <v>161358</v>
      </c>
      <c r="AJ557" s="1">
        <v>0</v>
      </c>
      <c r="AK557" s="8">
        <f t="shared" si="35"/>
        <v>36</v>
      </c>
      <c r="AL557" s="8">
        <f t="shared" si="34"/>
        <v>11</v>
      </c>
      <c r="AM557">
        <f t="shared" si="32"/>
        <v>0</v>
      </c>
      <c r="AN557">
        <f t="shared" si="33"/>
        <v>0</v>
      </c>
    </row>
    <row r="558" spans="1:40" x14ac:dyDescent="0.35">
      <c r="A558">
        <v>68.3001</v>
      </c>
      <c r="B558">
        <v>85.138999999999996</v>
      </c>
      <c r="C558">
        <v>1.0461499999999999</v>
      </c>
      <c r="D558">
        <v>0</v>
      </c>
      <c r="E558">
        <v>0</v>
      </c>
      <c r="F558">
        <v>3.0888499999999999</v>
      </c>
      <c r="G558">
        <v>3.0888499999999999</v>
      </c>
      <c r="H558">
        <v>0</v>
      </c>
      <c r="I558">
        <v>0.57874999999999999</v>
      </c>
      <c r="J558">
        <v>5.3222399999999999</v>
      </c>
      <c r="K558" s="2">
        <v>72368300</v>
      </c>
      <c r="L558" s="1">
        <v>0</v>
      </c>
      <c r="M558" s="1">
        <v>0</v>
      </c>
      <c r="N558" s="1">
        <v>0</v>
      </c>
      <c r="O558" s="1">
        <v>0</v>
      </c>
      <c r="P558" s="2">
        <v>4617750</v>
      </c>
      <c r="Q558" s="1">
        <v>317540</v>
      </c>
      <c r="R558" s="1">
        <v>0</v>
      </c>
      <c r="S558">
        <v>97.295500000000004</v>
      </c>
      <c r="T558">
        <v>98.274000000000001</v>
      </c>
      <c r="U558">
        <v>1.7273700000000001</v>
      </c>
      <c r="V558">
        <v>0</v>
      </c>
      <c r="W558">
        <v>0</v>
      </c>
      <c r="X558">
        <v>1.9136500000000001</v>
      </c>
      <c r="Y558">
        <v>1.9136500000000001</v>
      </c>
      <c r="Z558">
        <v>0</v>
      </c>
      <c r="AA558">
        <v>1.4782299999999999</v>
      </c>
      <c r="AB558">
        <v>2.9635199999999999</v>
      </c>
      <c r="AC558" s="2">
        <v>242203000</v>
      </c>
      <c r="AD558" s="1">
        <v>0</v>
      </c>
      <c r="AE558" s="1">
        <v>0</v>
      </c>
      <c r="AF558" s="1">
        <v>0</v>
      </c>
      <c r="AG558" s="1">
        <v>0</v>
      </c>
      <c r="AH558" s="2">
        <v>4951070</v>
      </c>
      <c r="AI558" s="1">
        <v>161386</v>
      </c>
      <c r="AJ558" s="1">
        <v>0</v>
      </c>
      <c r="AK558" s="8">
        <f t="shared" si="35"/>
        <v>37</v>
      </c>
      <c r="AL558" s="8">
        <f t="shared" si="34"/>
        <v>11</v>
      </c>
      <c r="AM558">
        <f t="shared" si="32"/>
        <v>0</v>
      </c>
      <c r="AN558">
        <f t="shared" si="33"/>
        <v>0</v>
      </c>
    </row>
    <row r="559" spans="1:40" x14ac:dyDescent="0.35">
      <c r="A559">
        <v>66.625</v>
      </c>
      <c r="B559">
        <v>85.138999999999996</v>
      </c>
      <c r="C559">
        <v>1.06149</v>
      </c>
      <c r="D559">
        <v>0.01</v>
      </c>
      <c r="E559">
        <v>0</v>
      </c>
      <c r="F559">
        <v>2.7869899999999999</v>
      </c>
      <c r="G559">
        <v>3.0893899999999999</v>
      </c>
      <c r="H559">
        <v>0</v>
      </c>
      <c r="I559">
        <v>0.57884999999999998</v>
      </c>
      <c r="J559">
        <v>5.3222399999999999</v>
      </c>
      <c r="K559" s="2">
        <v>72277400</v>
      </c>
      <c r="L559" s="1">
        <v>0</v>
      </c>
      <c r="M559" s="1">
        <v>0</v>
      </c>
      <c r="N559" s="1">
        <v>0</v>
      </c>
      <c r="O559" s="1">
        <v>0</v>
      </c>
      <c r="P559" s="2">
        <v>4166470</v>
      </c>
      <c r="Q559" s="1">
        <v>-90943.7</v>
      </c>
      <c r="R559" s="1">
        <v>408539</v>
      </c>
      <c r="S559">
        <v>96.798699999999997</v>
      </c>
      <c r="T559">
        <v>98.274000000000001</v>
      </c>
      <c r="U559">
        <v>1.67363</v>
      </c>
      <c r="V559">
        <v>0</v>
      </c>
      <c r="W559">
        <v>0</v>
      </c>
      <c r="X559">
        <v>2.21638</v>
      </c>
      <c r="Y559">
        <v>1.91398</v>
      </c>
      <c r="Z559">
        <v>0</v>
      </c>
      <c r="AA559">
        <v>1.4784900000000001</v>
      </c>
      <c r="AB559">
        <v>2.9635199999999999</v>
      </c>
      <c r="AC559" s="2">
        <v>243147000</v>
      </c>
      <c r="AD559" s="1">
        <v>0</v>
      </c>
      <c r="AE559" s="1">
        <v>0</v>
      </c>
      <c r="AF559" s="1">
        <v>0</v>
      </c>
      <c r="AG559" s="1">
        <v>0</v>
      </c>
      <c r="AH559" s="2">
        <v>5734310</v>
      </c>
      <c r="AI559" s="1">
        <v>943795</v>
      </c>
      <c r="AJ559" s="1">
        <v>0</v>
      </c>
      <c r="AK559" s="8">
        <f t="shared" si="35"/>
        <v>38</v>
      </c>
      <c r="AL559" s="8">
        <f t="shared" si="34"/>
        <v>11</v>
      </c>
      <c r="AM559">
        <f t="shared" si="32"/>
        <v>0</v>
      </c>
      <c r="AN559">
        <f t="shared" si="33"/>
        <v>0</v>
      </c>
    </row>
    <row r="560" spans="1:40" x14ac:dyDescent="0.35">
      <c r="A560">
        <v>65.496700000000004</v>
      </c>
      <c r="B560">
        <v>85.138999999999996</v>
      </c>
      <c r="C560">
        <v>1.6437200000000001</v>
      </c>
      <c r="D560">
        <v>0.01</v>
      </c>
      <c r="E560">
        <v>0</v>
      </c>
      <c r="F560">
        <v>2.7875200000000002</v>
      </c>
      <c r="G560">
        <v>3.0899200000000002</v>
      </c>
      <c r="H560">
        <v>0</v>
      </c>
      <c r="I560">
        <v>0.522281</v>
      </c>
      <c r="J560">
        <v>5.3222399999999999</v>
      </c>
      <c r="K560" s="2">
        <v>72186500</v>
      </c>
      <c r="L560" s="1">
        <v>0</v>
      </c>
      <c r="M560" s="1">
        <v>0</v>
      </c>
      <c r="N560" s="1">
        <v>0</v>
      </c>
      <c r="O560" s="1">
        <v>0</v>
      </c>
      <c r="P560" s="2">
        <v>4167280</v>
      </c>
      <c r="Q560" s="1">
        <v>-90888.5</v>
      </c>
      <c r="R560" s="1">
        <v>408539</v>
      </c>
      <c r="S560">
        <v>96.387900000000002</v>
      </c>
      <c r="T560">
        <v>98.274000000000001</v>
      </c>
      <c r="U560">
        <v>1.9796199999999999</v>
      </c>
      <c r="V560">
        <v>0</v>
      </c>
      <c r="W560">
        <v>0</v>
      </c>
      <c r="X560">
        <v>2.21671</v>
      </c>
      <c r="Y560">
        <v>1.91431</v>
      </c>
      <c r="Z560">
        <v>0</v>
      </c>
      <c r="AA560">
        <v>1.71238</v>
      </c>
      <c r="AB560">
        <v>2.9635199999999999</v>
      </c>
      <c r="AC560" s="2">
        <v>244090000</v>
      </c>
      <c r="AD560" s="1">
        <v>0</v>
      </c>
      <c r="AE560" s="1">
        <v>0</v>
      </c>
      <c r="AF560" s="1">
        <v>0</v>
      </c>
      <c r="AG560" s="1">
        <v>0</v>
      </c>
      <c r="AH560" s="2">
        <v>5735170</v>
      </c>
      <c r="AI560" s="1">
        <v>943823</v>
      </c>
      <c r="AJ560" s="1">
        <v>0</v>
      </c>
      <c r="AK560" s="8">
        <f t="shared" si="35"/>
        <v>39</v>
      </c>
      <c r="AL560" s="8">
        <f t="shared" si="34"/>
        <v>11</v>
      </c>
      <c r="AM560">
        <f t="shared" si="32"/>
        <v>0</v>
      </c>
      <c r="AN560">
        <f t="shared" si="33"/>
        <v>0</v>
      </c>
    </row>
    <row r="561" spans="1:40" x14ac:dyDescent="0.35">
      <c r="A561">
        <v>64.924300000000002</v>
      </c>
      <c r="B561">
        <v>85.138999999999996</v>
      </c>
      <c r="C561">
        <v>2.21793</v>
      </c>
      <c r="D561">
        <v>0.01</v>
      </c>
      <c r="E561">
        <v>0</v>
      </c>
      <c r="F561">
        <v>2.7880600000000002</v>
      </c>
      <c r="G561">
        <v>3.0904600000000002</v>
      </c>
      <c r="H561">
        <v>0</v>
      </c>
      <c r="I561">
        <v>0.52238200000000001</v>
      </c>
      <c r="J561">
        <v>5.3222399999999999</v>
      </c>
      <c r="K561" s="2">
        <v>72095600</v>
      </c>
      <c r="L561" s="1">
        <v>0</v>
      </c>
      <c r="M561" s="1">
        <v>0</v>
      </c>
      <c r="N561" s="1">
        <v>0</v>
      </c>
      <c r="O561" s="1">
        <v>0</v>
      </c>
      <c r="P561" s="2">
        <v>4168080</v>
      </c>
      <c r="Q561" s="1">
        <v>-90833.3</v>
      </c>
      <c r="R561" s="1">
        <v>408539</v>
      </c>
      <c r="S561">
        <v>96.128699999999995</v>
      </c>
      <c r="T561">
        <v>98.274000000000001</v>
      </c>
      <c r="U561">
        <v>2.1724899999999998</v>
      </c>
      <c r="V561">
        <v>0</v>
      </c>
      <c r="W561">
        <v>0</v>
      </c>
      <c r="X561">
        <v>2.21705</v>
      </c>
      <c r="Y561">
        <v>1.91465</v>
      </c>
      <c r="Z561">
        <v>0</v>
      </c>
      <c r="AA561">
        <v>1.7126300000000001</v>
      </c>
      <c r="AB561">
        <v>2.9635199999999999</v>
      </c>
      <c r="AC561" s="2">
        <v>245034000</v>
      </c>
      <c r="AD561" s="1">
        <v>0</v>
      </c>
      <c r="AE561" s="1">
        <v>0</v>
      </c>
      <c r="AF561" s="1">
        <v>0</v>
      </c>
      <c r="AG561" s="1">
        <v>0</v>
      </c>
      <c r="AH561" s="2">
        <v>5736030</v>
      </c>
      <c r="AI561" s="1">
        <v>943851</v>
      </c>
      <c r="AJ561" s="1">
        <v>0</v>
      </c>
      <c r="AK561" s="8">
        <f t="shared" si="35"/>
        <v>40</v>
      </c>
      <c r="AL561" s="8">
        <f t="shared" si="34"/>
        <v>11</v>
      </c>
      <c r="AM561">
        <f t="shared" si="32"/>
        <v>0</v>
      </c>
      <c r="AN561">
        <f t="shared" si="33"/>
        <v>0</v>
      </c>
    </row>
    <row r="562" spans="1:40" x14ac:dyDescent="0.35">
      <c r="A562">
        <v>63.866300000000003</v>
      </c>
      <c r="B562">
        <v>85.138999999999996</v>
      </c>
      <c r="C562">
        <v>1.6113900000000001</v>
      </c>
      <c r="D562">
        <v>0.01</v>
      </c>
      <c r="E562">
        <v>0</v>
      </c>
      <c r="F562">
        <v>2.6942900000000001</v>
      </c>
      <c r="G562">
        <v>2.9966900000000001</v>
      </c>
      <c r="H562">
        <v>0</v>
      </c>
      <c r="I562">
        <v>0.522482</v>
      </c>
      <c r="J562">
        <v>5.3222399999999999</v>
      </c>
      <c r="K562" s="2">
        <v>71995200</v>
      </c>
      <c r="L562" s="1">
        <v>0</v>
      </c>
      <c r="M562" s="1">
        <v>0</v>
      </c>
      <c r="N562" s="1">
        <v>0</v>
      </c>
      <c r="O562" s="1">
        <v>0</v>
      </c>
      <c r="P562" s="2">
        <v>4027890</v>
      </c>
      <c r="Q562" s="1">
        <v>-100473</v>
      </c>
      <c r="R562" s="1">
        <v>408539</v>
      </c>
      <c r="S562">
        <v>95.981499999999997</v>
      </c>
      <c r="T562">
        <v>98.274000000000001</v>
      </c>
      <c r="U562">
        <v>2.7059799999999998</v>
      </c>
      <c r="V562">
        <v>0</v>
      </c>
      <c r="W562">
        <v>0</v>
      </c>
      <c r="X562">
        <v>2.1252399999999998</v>
      </c>
      <c r="Y562">
        <v>1.82284</v>
      </c>
      <c r="Z562">
        <v>0</v>
      </c>
      <c r="AA562">
        <v>1.71289</v>
      </c>
      <c r="AB562">
        <v>2.9635199999999999</v>
      </c>
      <c r="AC562" s="2">
        <v>245970000</v>
      </c>
      <c r="AD562" s="1">
        <v>0</v>
      </c>
      <c r="AE562" s="1">
        <v>0</v>
      </c>
      <c r="AF562" s="1">
        <v>0</v>
      </c>
      <c r="AG562" s="1">
        <v>0</v>
      </c>
      <c r="AH562" s="2">
        <v>5498510</v>
      </c>
      <c r="AI562" s="1">
        <v>936108</v>
      </c>
      <c r="AJ562" s="1">
        <v>0</v>
      </c>
      <c r="AK562" s="8">
        <f t="shared" si="35"/>
        <v>41</v>
      </c>
      <c r="AL562" s="8">
        <f t="shared" si="34"/>
        <v>11</v>
      </c>
      <c r="AM562">
        <f t="shared" si="32"/>
        <v>0</v>
      </c>
      <c r="AN562">
        <f t="shared" si="33"/>
        <v>0</v>
      </c>
    </row>
    <row r="563" spans="1:40" x14ac:dyDescent="0.35">
      <c r="A563">
        <v>63.221499999999999</v>
      </c>
      <c r="B563">
        <v>85.138999999999996</v>
      </c>
      <c r="C563">
        <v>2.0260500000000001</v>
      </c>
      <c r="D563">
        <v>0.02</v>
      </c>
      <c r="E563">
        <v>0</v>
      </c>
      <c r="F563">
        <v>2.6948099999999999</v>
      </c>
      <c r="G563">
        <v>2.9972099999999999</v>
      </c>
      <c r="H563">
        <v>0</v>
      </c>
      <c r="I563">
        <v>0.50490900000000005</v>
      </c>
      <c r="J563">
        <v>5.3222399999999999</v>
      </c>
      <c r="K563" s="2">
        <v>71894700</v>
      </c>
      <c r="L563" s="1">
        <v>0</v>
      </c>
      <c r="M563" s="1">
        <v>0</v>
      </c>
      <c r="N563" s="1">
        <v>0</v>
      </c>
      <c r="O563" s="1">
        <v>0</v>
      </c>
      <c r="P563" s="2">
        <v>4028670</v>
      </c>
      <c r="Q563" s="1">
        <v>-100420</v>
      </c>
      <c r="R563" s="1">
        <v>408539</v>
      </c>
      <c r="S563">
        <v>95.997600000000006</v>
      </c>
      <c r="T563">
        <v>98.274000000000001</v>
      </c>
      <c r="U563">
        <v>3.06149</v>
      </c>
      <c r="V563">
        <v>0</v>
      </c>
      <c r="W563">
        <v>0</v>
      </c>
      <c r="X563">
        <v>2.1255600000000001</v>
      </c>
      <c r="Y563">
        <v>1.8231599999999999</v>
      </c>
      <c r="Z563">
        <v>0</v>
      </c>
      <c r="AA563">
        <v>1.6419600000000001</v>
      </c>
      <c r="AB563">
        <v>2.9635199999999999</v>
      </c>
      <c r="AC563" s="2">
        <v>246907000</v>
      </c>
      <c r="AD563" s="1">
        <v>0</v>
      </c>
      <c r="AE563" s="1">
        <v>0</v>
      </c>
      <c r="AF563" s="1">
        <v>0</v>
      </c>
      <c r="AG563" s="1">
        <v>0</v>
      </c>
      <c r="AH563" s="2">
        <v>5499330</v>
      </c>
      <c r="AI563" s="1">
        <v>936135</v>
      </c>
      <c r="AJ563" s="1">
        <v>0</v>
      </c>
      <c r="AK563" s="8">
        <f t="shared" si="35"/>
        <v>42</v>
      </c>
      <c r="AL563" s="8">
        <f t="shared" si="34"/>
        <v>11</v>
      </c>
      <c r="AM563">
        <f t="shared" si="32"/>
        <v>0</v>
      </c>
      <c r="AN563">
        <f t="shared" si="33"/>
        <v>0</v>
      </c>
    </row>
    <row r="564" spans="1:40" x14ac:dyDescent="0.35">
      <c r="A564">
        <v>63.655000000000001</v>
      </c>
      <c r="B564">
        <v>85.138999999999996</v>
      </c>
      <c r="C564">
        <v>3.1599499999999998</v>
      </c>
      <c r="D564">
        <v>0.02</v>
      </c>
      <c r="E564">
        <v>0</v>
      </c>
      <c r="F564">
        <v>2.6953299999999998</v>
      </c>
      <c r="G564">
        <v>2.9977299999999998</v>
      </c>
      <c r="H564">
        <v>0</v>
      </c>
      <c r="I564">
        <v>0.50500699999999998</v>
      </c>
      <c r="J564">
        <v>5.3222399999999999</v>
      </c>
      <c r="K564" s="2">
        <v>71794400</v>
      </c>
      <c r="L564" s="1">
        <v>0</v>
      </c>
      <c r="M564" s="1">
        <v>0</v>
      </c>
      <c r="N564" s="1">
        <v>0</v>
      </c>
      <c r="O564" s="1">
        <v>0</v>
      </c>
      <c r="P564" s="2">
        <v>4029450</v>
      </c>
      <c r="Q564" s="1">
        <v>-100366</v>
      </c>
      <c r="R564" s="1">
        <v>408539</v>
      </c>
      <c r="S564">
        <v>96.649299999999997</v>
      </c>
      <c r="T564">
        <v>98.274000000000001</v>
      </c>
      <c r="U564">
        <v>5.2295400000000001</v>
      </c>
      <c r="V564">
        <v>0</v>
      </c>
      <c r="W564">
        <v>0</v>
      </c>
      <c r="X564">
        <v>2.12588</v>
      </c>
      <c r="Y564">
        <v>1.82348</v>
      </c>
      <c r="Z564">
        <v>0</v>
      </c>
      <c r="AA564">
        <v>1.6422099999999999</v>
      </c>
      <c r="AB564">
        <v>2.9635199999999999</v>
      </c>
      <c r="AC564" s="2">
        <v>247843000</v>
      </c>
      <c r="AD564" s="1">
        <v>0</v>
      </c>
      <c r="AE564" s="1">
        <v>0</v>
      </c>
      <c r="AF564" s="1">
        <v>0</v>
      </c>
      <c r="AG564" s="1">
        <v>0</v>
      </c>
      <c r="AH564" s="2">
        <v>5500150</v>
      </c>
      <c r="AI564" s="1">
        <v>936162</v>
      </c>
      <c r="AJ564" s="1">
        <v>0</v>
      </c>
      <c r="AK564" s="8">
        <f t="shared" si="35"/>
        <v>43</v>
      </c>
      <c r="AL564" s="8">
        <f t="shared" si="34"/>
        <v>11</v>
      </c>
      <c r="AM564">
        <f t="shared" si="32"/>
        <v>0</v>
      </c>
      <c r="AN564">
        <f t="shared" si="33"/>
        <v>0</v>
      </c>
    </row>
    <row r="565" spans="1:40" x14ac:dyDescent="0.35">
      <c r="A565">
        <v>63.843400000000003</v>
      </c>
      <c r="B565">
        <v>85.138999999999996</v>
      </c>
      <c r="C565">
        <v>3.0482800000000001</v>
      </c>
      <c r="D565">
        <v>0.02</v>
      </c>
      <c r="E565">
        <v>0</v>
      </c>
      <c r="F565">
        <v>2.6958500000000001</v>
      </c>
      <c r="G565">
        <v>2.9982500000000001</v>
      </c>
      <c r="H565">
        <v>0</v>
      </c>
      <c r="I565">
        <v>0.505104</v>
      </c>
      <c r="J565">
        <v>5.3222399999999999</v>
      </c>
      <c r="K565" s="2">
        <v>71694100</v>
      </c>
      <c r="L565" s="1">
        <v>0</v>
      </c>
      <c r="M565" s="1">
        <v>0</v>
      </c>
      <c r="N565" s="1">
        <v>0</v>
      </c>
      <c r="O565" s="1">
        <v>0</v>
      </c>
      <c r="P565" s="2">
        <v>4030230</v>
      </c>
      <c r="Q565" s="1">
        <v>-100313</v>
      </c>
      <c r="R565" s="1">
        <v>408539</v>
      </c>
      <c r="S565">
        <v>97.171300000000002</v>
      </c>
      <c r="T565">
        <v>98.274000000000001</v>
      </c>
      <c r="U565">
        <v>4.7357699999999996</v>
      </c>
      <c r="V565">
        <v>0</v>
      </c>
      <c r="W565">
        <v>0</v>
      </c>
      <c r="X565">
        <v>2.1261899999999998</v>
      </c>
      <c r="Y565">
        <v>1.82379</v>
      </c>
      <c r="Z565">
        <v>0</v>
      </c>
      <c r="AA565">
        <v>1.64245</v>
      </c>
      <c r="AB565">
        <v>2.9635199999999999</v>
      </c>
      <c r="AC565" s="2">
        <v>248779000</v>
      </c>
      <c r="AD565" s="1">
        <v>0</v>
      </c>
      <c r="AE565" s="1">
        <v>0</v>
      </c>
      <c r="AF565" s="1">
        <v>0</v>
      </c>
      <c r="AG565" s="1">
        <v>0</v>
      </c>
      <c r="AH565" s="2">
        <v>5500970</v>
      </c>
      <c r="AI565" s="1">
        <v>936188</v>
      </c>
      <c r="AJ565" s="1">
        <v>0</v>
      </c>
      <c r="AK565" s="8">
        <f t="shared" si="35"/>
        <v>44</v>
      </c>
      <c r="AL565" s="8">
        <f t="shared" si="34"/>
        <v>11</v>
      </c>
      <c r="AM565">
        <f t="shared" si="32"/>
        <v>0</v>
      </c>
      <c r="AN565">
        <f t="shared" si="33"/>
        <v>0</v>
      </c>
    </row>
    <row r="566" spans="1:40" x14ac:dyDescent="0.35">
      <c r="A566">
        <v>64.514799999999994</v>
      </c>
      <c r="B566">
        <v>85.138999999999996</v>
      </c>
      <c r="C566">
        <v>3.4954299999999998</v>
      </c>
      <c r="D566">
        <v>0.02</v>
      </c>
      <c r="E566">
        <v>0</v>
      </c>
      <c r="F566">
        <v>2.6189</v>
      </c>
      <c r="G566">
        <v>2.9213</v>
      </c>
      <c r="H566">
        <v>0</v>
      </c>
      <c r="I566">
        <v>0.50520200000000004</v>
      </c>
      <c r="J566">
        <v>5.3222399999999999</v>
      </c>
      <c r="K566" s="2">
        <v>71585800</v>
      </c>
      <c r="L566" s="1">
        <v>0</v>
      </c>
      <c r="M566" s="1">
        <v>0</v>
      </c>
      <c r="N566" s="1">
        <v>0</v>
      </c>
      <c r="O566" s="1">
        <v>0</v>
      </c>
      <c r="P566" s="2">
        <v>3915200</v>
      </c>
      <c r="Q566" s="1">
        <v>-108223</v>
      </c>
      <c r="R566" s="1">
        <v>408539</v>
      </c>
      <c r="S566">
        <v>97.704599999999999</v>
      </c>
      <c r="T566">
        <v>98.274000000000001</v>
      </c>
      <c r="U566">
        <v>4.2950100000000004</v>
      </c>
      <c r="V566">
        <v>0</v>
      </c>
      <c r="W566">
        <v>0</v>
      </c>
      <c r="X566">
        <v>2.0425800000000001</v>
      </c>
      <c r="Y566">
        <v>1.7401800000000001</v>
      </c>
      <c r="Z566">
        <v>0</v>
      </c>
      <c r="AA566">
        <v>1.6427</v>
      </c>
      <c r="AB566">
        <v>2.9635199999999999</v>
      </c>
      <c r="AC566" s="2">
        <v>249708000</v>
      </c>
      <c r="AD566" s="1">
        <v>0</v>
      </c>
      <c r="AE566" s="1">
        <v>0</v>
      </c>
      <c r="AF566" s="1">
        <v>0</v>
      </c>
      <c r="AG566" s="1">
        <v>0</v>
      </c>
      <c r="AH566" s="2">
        <v>5284650</v>
      </c>
      <c r="AI566" s="1">
        <v>929137</v>
      </c>
      <c r="AJ566" s="1">
        <v>0</v>
      </c>
      <c r="AK566" s="8">
        <f t="shared" si="35"/>
        <v>45</v>
      </c>
      <c r="AL566" s="8">
        <f t="shared" si="34"/>
        <v>11</v>
      </c>
      <c r="AM566">
        <f t="shared" si="32"/>
        <v>0</v>
      </c>
      <c r="AN566">
        <f t="shared" si="33"/>
        <v>0</v>
      </c>
    </row>
    <row r="567" spans="1:40" x14ac:dyDescent="0.35">
      <c r="A567">
        <v>68.603200000000001</v>
      </c>
      <c r="B567">
        <v>85.138999999999996</v>
      </c>
      <c r="C567">
        <v>7.1324100000000001</v>
      </c>
      <c r="D567">
        <v>0.01</v>
      </c>
      <c r="E567">
        <v>0</v>
      </c>
      <c r="F567">
        <v>2.6194099999999998</v>
      </c>
      <c r="G567">
        <v>2.9218099999999998</v>
      </c>
      <c r="H567">
        <v>0</v>
      </c>
      <c r="I567">
        <v>0.49078300000000002</v>
      </c>
      <c r="J567">
        <v>5.3222399999999999</v>
      </c>
      <c r="K567" s="2">
        <v>71477700</v>
      </c>
      <c r="L567" s="1">
        <v>0</v>
      </c>
      <c r="M567" s="1">
        <v>0</v>
      </c>
      <c r="N567" s="1">
        <v>0</v>
      </c>
      <c r="O567" s="1">
        <v>0</v>
      </c>
      <c r="P567" s="2">
        <v>3915950</v>
      </c>
      <c r="Q567" s="1">
        <v>-108171</v>
      </c>
      <c r="R567" s="1">
        <v>408539</v>
      </c>
      <c r="S567">
        <v>99.302199999999999</v>
      </c>
      <c r="T567">
        <v>98.274000000000001</v>
      </c>
      <c r="U567">
        <v>8.5176800000000004</v>
      </c>
      <c r="V567">
        <v>0</v>
      </c>
      <c r="W567">
        <v>0</v>
      </c>
      <c r="X567">
        <v>2.0428799999999998</v>
      </c>
      <c r="Y567">
        <v>1.74048</v>
      </c>
      <c r="Z567">
        <v>0</v>
      </c>
      <c r="AA567">
        <v>1.5781000000000001</v>
      </c>
      <c r="AB567">
        <v>2.9635199999999999</v>
      </c>
      <c r="AC567" s="2">
        <v>250637000</v>
      </c>
      <c r="AD567" s="1">
        <v>0</v>
      </c>
      <c r="AE567" s="1">
        <v>0</v>
      </c>
      <c r="AF567" s="1">
        <v>0</v>
      </c>
      <c r="AG567" s="1">
        <v>0</v>
      </c>
      <c r="AH567" s="2">
        <v>5285430</v>
      </c>
      <c r="AI567" s="1">
        <v>929163</v>
      </c>
      <c r="AJ567" s="1">
        <v>0</v>
      </c>
      <c r="AK567" s="8">
        <f t="shared" si="35"/>
        <v>46</v>
      </c>
      <c r="AL567" s="8">
        <f t="shared" si="34"/>
        <v>11</v>
      </c>
      <c r="AM567">
        <f t="shared" si="32"/>
        <v>0</v>
      </c>
      <c r="AN567">
        <f t="shared" si="33"/>
        <v>0</v>
      </c>
    </row>
    <row r="568" spans="1:40" x14ac:dyDescent="0.35">
      <c r="A568">
        <v>70.882199999999997</v>
      </c>
      <c r="B568">
        <v>85.138999999999996</v>
      </c>
      <c r="C568">
        <v>5.5369099999999998</v>
      </c>
      <c r="D568">
        <v>0.02</v>
      </c>
      <c r="E568">
        <v>0</v>
      </c>
      <c r="F568">
        <v>2.61992</v>
      </c>
      <c r="G568">
        <v>2.92232</v>
      </c>
      <c r="H568">
        <v>0</v>
      </c>
      <c r="I568">
        <v>0.49087799999999998</v>
      </c>
      <c r="J568">
        <v>5.3222399999999999</v>
      </c>
      <c r="K568" s="2">
        <v>71369500</v>
      </c>
      <c r="L568" s="1">
        <v>0</v>
      </c>
      <c r="M568" s="1">
        <v>0</v>
      </c>
      <c r="N568" s="1">
        <v>0</v>
      </c>
      <c r="O568" s="1">
        <v>0</v>
      </c>
      <c r="P568" s="2">
        <v>3916710</v>
      </c>
      <c r="Q568" s="1">
        <v>-108118</v>
      </c>
      <c r="R568" s="1">
        <v>408539</v>
      </c>
      <c r="S568">
        <v>99.302199999999999</v>
      </c>
      <c r="T568">
        <v>98.274000000000001</v>
      </c>
      <c r="U568">
        <v>7.1652399999999998</v>
      </c>
      <c r="V568">
        <v>0</v>
      </c>
      <c r="W568">
        <v>0</v>
      </c>
      <c r="X568">
        <v>2.0431900000000001</v>
      </c>
      <c r="Y568">
        <v>1.7407900000000001</v>
      </c>
      <c r="Z568">
        <v>0</v>
      </c>
      <c r="AA568">
        <v>1.57833</v>
      </c>
      <c r="AB568">
        <v>2.9635199999999999</v>
      </c>
      <c r="AC568" s="2">
        <v>251566000</v>
      </c>
      <c r="AD568" s="1">
        <v>0</v>
      </c>
      <c r="AE568" s="1">
        <v>0</v>
      </c>
      <c r="AF568" s="1">
        <v>0</v>
      </c>
      <c r="AG568" s="1">
        <v>0</v>
      </c>
      <c r="AH568" s="2">
        <v>5286210</v>
      </c>
      <c r="AI568" s="1">
        <v>929188</v>
      </c>
      <c r="AJ568" s="1">
        <v>0</v>
      </c>
      <c r="AK568" s="8">
        <f t="shared" si="35"/>
        <v>47</v>
      </c>
      <c r="AL568" s="8">
        <f t="shared" si="34"/>
        <v>11</v>
      </c>
      <c r="AM568">
        <f t="shared" si="32"/>
        <v>0</v>
      </c>
      <c r="AN568">
        <f t="shared" si="33"/>
        <v>0</v>
      </c>
    </row>
    <row r="569" spans="1:40" x14ac:dyDescent="0.35">
      <c r="A569">
        <v>73.926000000000002</v>
      </c>
      <c r="B569">
        <v>85.138999999999996</v>
      </c>
      <c r="C569">
        <v>6.4046200000000004</v>
      </c>
      <c r="D569">
        <v>0.01</v>
      </c>
      <c r="E569">
        <v>0</v>
      </c>
      <c r="F569">
        <v>2.6204299999999998</v>
      </c>
      <c r="G569">
        <v>2.9228299999999998</v>
      </c>
      <c r="H569">
        <v>0</v>
      </c>
      <c r="I569">
        <v>0.49097299999999999</v>
      </c>
      <c r="J569">
        <v>5.3222399999999999</v>
      </c>
      <c r="K569" s="2">
        <v>71261500</v>
      </c>
      <c r="L569" s="1">
        <v>0</v>
      </c>
      <c r="M569" s="1">
        <v>0</v>
      </c>
      <c r="N569" s="1">
        <v>0</v>
      </c>
      <c r="O569" s="1">
        <v>0</v>
      </c>
      <c r="P569" s="2">
        <v>3917470</v>
      </c>
      <c r="Q569" s="1">
        <v>-108066</v>
      </c>
      <c r="R569" s="1">
        <v>408539</v>
      </c>
      <c r="S569">
        <v>99.302199999999999</v>
      </c>
      <c r="T569">
        <v>98.274000000000001</v>
      </c>
      <c r="U569">
        <v>8.8309999999999995</v>
      </c>
      <c r="V569">
        <v>0</v>
      </c>
      <c r="W569">
        <v>0</v>
      </c>
      <c r="X569">
        <v>2.0434899999999998</v>
      </c>
      <c r="Y569">
        <v>1.74109</v>
      </c>
      <c r="Z569">
        <v>0</v>
      </c>
      <c r="AA569">
        <v>1.57857</v>
      </c>
      <c r="AB569">
        <v>2.9635199999999999</v>
      </c>
      <c r="AC569" s="2">
        <v>252496000</v>
      </c>
      <c r="AD569" s="1">
        <v>0</v>
      </c>
      <c r="AE569" s="1">
        <v>0</v>
      </c>
      <c r="AF569" s="1">
        <v>0</v>
      </c>
      <c r="AG569" s="1">
        <v>0</v>
      </c>
      <c r="AH569" s="2">
        <v>5286990</v>
      </c>
      <c r="AI569" s="1">
        <v>929214</v>
      </c>
      <c r="AJ569" s="1">
        <v>0</v>
      </c>
      <c r="AK569" s="8">
        <f t="shared" si="35"/>
        <v>48</v>
      </c>
      <c r="AL569" s="8">
        <f t="shared" si="34"/>
        <v>11</v>
      </c>
      <c r="AM569">
        <f t="shared" si="32"/>
        <v>0</v>
      </c>
      <c r="AN569">
        <f t="shared" si="33"/>
        <v>0</v>
      </c>
    </row>
    <row r="570" spans="1:40" x14ac:dyDescent="0.35">
      <c r="A570">
        <v>75.806799999999996</v>
      </c>
      <c r="B570">
        <v>85.138999999999996</v>
      </c>
      <c r="C570">
        <v>5.2222999999999997</v>
      </c>
      <c r="D570">
        <v>0</v>
      </c>
      <c r="E570">
        <v>0</v>
      </c>
      <c r="F570">
        <v>2.7031700000000001</v>
      </c>
      <c r="G570">
        <v>2.7031700000000001</v>
      </c>
      <c r="H570">
        <v>0</v>
      </c>
      <c r="I570">
        <v>0.491068</v>
      </c>
      <c r="J570">
        <v>5.3222399999999999</v>
      </c>
      <c r="K570" s="2">
        <v>71539400</v>
      </c>
      <c r="L570" s="1">
        <v>0</v>
      </c>
      <c r="M570" s="1">
        <v>0</v>
      </c>
      <c r="N570" s="1">
        <v>0</v>
      </c>
      <c r="O570" s="1">
        <v>0</v>
      </c>
      <c r="P570" s="2">
        <v>4041180</v>
      </c>
      <c r="Q570" s="1">
        <v>277892</v>
      </c>
      <c r="R570" s="1">
        <v>0</v>
      </c>
      <c r="S570">
        <v>99.302199999999999</v>
      </c>
      <c r="T570">
        <v>98.274000000000001</v>
      </c>
      <c r="U570">
        <v>7.78139</v>
      </c>
      <c r="V570">
        <v>0</v>
      </c>
      <c r="W570">
        <v>0</v>
      </c>
      <c r="X570">
        <v>1.56647</v>
      </c>
      <c r="Y570">
        <v>1.56647</v>
      </c>
      <c r="Z570">
        <v>0</v>
      </c>
      <c r="AA570">
        <v>1.5788</v>
      </c>
      <c r="AB570">
        <v>2.9635199999999999</v>
      </c>
      <c r="AC570" s="2">
        <v>252628000</v>
      </c>
      <c r="AD570" s="1">
        <v>0</v>
      </c>
      <c r="AE570" s="1">
        <v>0</v>
      </c>
      <c r="AF570" s="1">
        <v>0</v>
      </c>
      <c r="AG570" s="1">
        <v>0</v>
      </c>
      <c r="AH570" s="2">
        <v>4052840</v>
      </c>
      <c r="AI570" s="1">
        <v>132107</v>
      </c>
      <c r="AJ570" s="1">
        <v>0</v>
      </c>
      <c r="AK570" s="8">
        <f t="shared" si="35"/>
        <v>49</v>
      </c>
      <c r="AL570" s="8">
        <f t="shared" si="34"/>
        <v>11</v>
      </c>
      <c r="AM570">
        <f t="shared" si="32"/>
        <v>0</v>
      </c>
      <c r="AN570">
        <f t="shared" si="33"/>
        <v>0</v>
      </c>
    </row>
    <row r="571" spans="1:40" x14ac:dyDescent="0.35">
      <c r="A571">
        <v>79.676900000000003</v>
      </c>
      <c r="B571">
        <v>85.138999999999996</v>
      </c>
      <c r="C571">
        <v>7.4658499999999997</v>
      </c>
      <c r="D571">
        <v>0</v>
      </c>
      <c r="E571">
        <v>0</v>
      </c>
      <c r="F571">
        <v>2.70364</v>
      </c>
      <c r="G571">
        <v>2.70364</v>
      </c>
      <c r="H571">
        <v>0</v>
      </c>
      <c r="I571">
        <v>0.506575</v>
      </c>
      <c r="J571">
        <v>5.3222399999999999</v>
      </c>
      <c r="K571" s="2">
        <v>71817300</v>
      </c>
      <c r="L571" s="1">
        <v>0</v>
      </c>
      <c r="M571" s="1">
        <v>0</v>
      </c>
      <c r="N571" s="1">
        <v>0</v>
      </c>
      <c r="O571" s="1">
        <v>0</v>
      </c>
      <c r="P571" s="2">
        <v>4041880</v>
      </c>
      <c r="Q571" s="1">
        <v>277940</v>
      </c>
      <c r="R571" s="1">
        <v>0</v>
      </c>
      <c r="S571">
        <v>99.302199999999999</v>
      </c>
      <c r="T571">
        <v>98.274000000000001</v>
      </c>
      <c r="U571">
        <v>7.2966699999999998</v>
      </c>
      <c r="V571">
        <v>0</v>
      </c>
      <c r="W571">
        <v>0</v>
      </c>
      <c r="X571">
        <v>1.5667500000000001</v>
      </c>
      <c r="Y571">
        <v>1.5667500000000001</v>
      </c>
      <c r="Z571">
        <v>0</v>
      </c>
      <c r="AA571">
        <v>1.2102599999999999</v>
      </c>
      <c r="AB571">
        <v>2.9635199999999999</v>
      </c>
      <c r="AC571" s="2">
        <v>252760000</v>
      </c>
      <c r="AD571" s="1">
        <v>0</v>
      </c>
      <c r="AE571" s="1">
        <v>0</v>
      </c>
      <c r="AF571" s="1">
        <v>0</v>
      </c>
      <c r="AG571" s="1">
        <v>0</v>
      </c>
      <c r="AH571" s="2">
        <v>4053550</v>
      </c>
      <c r="AI571" s="1">
        <v>132130</v>
      </c>
      <c r="AJ571" s="1">
        <v>0</v>
      </c>
      <c r="AK571" s="8">
        <f t="shared" si="35"/>
        <v>50</v>
      </c>
      <c r="AL571" s="8">
        <f t="shared" si="34"/>
        <v>11</v>
      </c>
      <c r="AM571">
        <f t="shared" si="32"/>
        <v>0</v>
      </c>
      <c r="AN571">
        <f t="shared" si="33"/>
        <v>0</v>
      </c>
    </row>
    <row r="572" spans="1:40" x14ac:dyDescent="0.35">
      <c r="A572">
        <v>84.7136</v>
      </c>
      <c r="B572">
        <v>85.138999999999996</v>
      </c>
      <c r="C572">
        <v>8.6001499999999993</v>
      </c>
      <c r="D572">
        <v>0</v>
      </c>
      <c r="E572">
        <v>0</v>
      </c>
      <c r="F572">
        <v>2.70411</v>
      </c>
      <c r="G572">
        <v>2.70411</v>
      </c>
      <c r="H572">
        <v>0</v>
      </c>
      <c r="I572">
        <v>0.50666299999999997</v>
      </c>
      <c r="J572">
        <v>5.3222399999999999</v>
      </c>
      <c r="K572" s="2">
        <v>72095300</v>
      </c>
      <c r="L572" s="1">
        <v>0</v>
      </c>
      <c r="M572" s="1">
        <v>0</v>
      </c>
      <c r="N572" s="1">
        <v>0</v>
      </c>
      <c r="O572" s="1">
        <v>0</v>
      </c>
      <c r="P572" s="2">
        <v>4042580</v>
      </c>
      <c r="Q572" s="1">
        <v>277988</v>
      </c>
      <c r="R572" s="1">
        <v>0</v>
      </c>
      <c r="S572">
        <v>99.302199999999999</v>
      </c>
      <c r="T572">
        <v>98.274000000000001</v>
      </c>
      <c r="U572">
        <v>8.5830400000000004</v>
      </c>
      <c r="V572">
        <v>0</v>
      </c>
      <c r="W572">
        <v>0</v>
      </c>
      <c r="X572">
        <v>1.5670200000000001</v>
      </c>
      <c r="Y572">
        <v>1.5670200000000001</v>
      </c>
      <c r="Z572">
        <v>0</v>
      </c>
      <c r="AA572">
        <v>1.2104699999999999</v>
      </c>
      <c r="AB572">
        <v>2.9635199999999999</v>
      </c>
      <c r="AC572" s="2">
        <v>252892000</v>
      </c>
      <c r="AD572" s="1">
        <v>0</v>
      </c>
      <c r="AE572" s="1">
        <v>0</v>
      </c>
      <c r="AF572" s="1">
        <v>0</v>
      </c>
      <c r="AG572" s="1">
        <v>0</v>
      </c>
      <c r="AH572" s="2">
        <v>4054250</v>
      </c>
      <c r="AI572" s="1">
        <v>132153</v>
      </c>
      <c r="AJ572" s="1">
        <v>0</v>
      </c>
      <c r="AK572" s="8">
        <f t="shared" si="35"/>
        <v>51</v>
      </c>
      <c r="AL572" s="8">
        <f t="shared" si="34"/>
        <v>11</v>
      </c>
      <c r="AM572">
        <f t="shared" si="32"/>
        <v>0</v>
      </c>
      <c r="AN572">
        <f t="shared" si="33"/>
        <v>0</v>
      </c>
    </row>
    <row r="573" spans="1:40" x14ac:dyDescent="0.35">
      <c r="A573">
        <v>85.138999999999996</v>
      </c>
      <c r="B573">
        <v>85.138999999999996</v>
      </c>
      <c r="C573">
        <v>7.4589800000000004</v>
      </c>
      <c r="D573">
        <v>0</v>
      </c>
      <c r="E573">
        <v>0</v>
      </c>
      <c r="F573">
        <v>2.70458</v>
      </c>
      <c r="G573">
        <v>2.70458</v>
      </c>
      <c r="H573">
        <v>0</v>
      </c>
      <c r="I573">
        <v>0.50675099999999995</v>
      </c>
      <c r="J573">
        <v>5.3222399999999999</v>
      </c>
      <c r="K573" s="2">
        <v>72373300</v>
      </c>
      <c r="L573" s="1">
        <v>0</v>
      </c>
      <c r="M573" s="1">
        <v>0</v>
      </c>
      <c r="N573" s="1">
        <v>0</v>
      </c>
      <c r="O573" s="1">
        <v>0</v>
      </c>
      <c r="P573" s="2">
        <v>4043280</v>
      </c>
      <c r="Q573" s="1">
        <v>278036</v>
      </c>
      <c r="R573" s="1">
        <v>0</v>
      </c>
      <c r="S573">
        <v>99.302199999999999</v>
      </c>
      <c r="T573">
        <v>98.274000000000001</v>
      </c>
      <c r="U573">
        <v>7.5167999999999999</v>
      </c>
      <c r="V573">
        <v>0</v>
      </c>
      <c r="W573">
        <v>0</v>
      </c>
      <c r="X573">
        <v>1.5672900000000001</v>
      </c>
      <c r="Y573">
        <v>1.5672900000000001</v>
      </c>
      <c r="Z573">
        <v>0</v>
      </c>
      <c r="AA573">
        <v>1.21068</v>
      </c>
      <c r="AB573">
        <v>2.9635199999999999</v>
      </c>
      <c r="AC573" s="2">
        <v>253024000</v>
      </c>
      <c r="AD573" s="1">
        <v>0</v>
      </c>
      <c r="AE573" s="1">
        <v>0</v>
      </c>
      <c r="AF573" s="1">
        <v>0</v>
      </c>
      <c r="AG573" s="1">
        <v>0</v>
      </c>
      <c r="AH573" s="2">
        <v>4054960</v>
      </c>
      <c r="AI573" s="1">
        <v>132176</v>
      </c>
      <c r="AJ573" s="1">
        <v>0</v>
      </c>
      <c r="AK573" s="8">
        <f t="shared" si="35"/>
        <v>52</v>
      </c>
      <c r="AL573" s="8">
        <f t="shared" si="34"/>
        <v>11</v>
      </c>
      <c r="AM573">
        <f t="shared" si="32"/>
        <v>253024000</v>
      </c>
      <c r="AN573">
        <f t="shared" si="33"/>
        <v>72373300</v>
      </c>
    </row>
    <row r="574" spans="1:40" x14ac:dyDescent="0.35">
      <c r="A574">
        <v>85.138999999999996</v>
      </c>
      <c r="B574">
        <v>85.138999999999996</v>
      </c>
      <c r="C574">
        <v>7.1895600000000002</v>
      </c>
      <c r="D574">
        <v>0</v>
      </c>
      <c r="E574">
        <v>0</v>
      </c>
      <c r="F574">
        <v>2.70505</v>
      </c>
      <c r="G574">
        <v>2.70505</v>
      </c>
      <c r="H574">
        <v>0</v>
      </c>
      <c r="I574">
        <v>0.50683900000000004</v>
      </c>
      <c r="J574">
        <v>5.3222399999999999</v>
      </c>
      <c r="K574" s="2">
        <v>72651400</v>
      </c>
      <c r="L574" s="1">
        <v>0</v>
      </c>
      <c r="M574" s="1">
        <v>0</v>
      </c>
      <c r="N574" s="1">
        <v>0</v>
      </c>
      <c r="O574" s="1">
        <v>0</v>
      </c>
      <c r="P574" s="2">
        <v>4043990</v>
      </c>
      <c r="Q574" s="1">
        <v>278085</v>
      </c>
      <c r="R574" s="1">
        <v>0</v>
      </c>
      <c r="S574">
        <v>99.302199999999999</v>
      </c>
      <c r="T574">
        <v>98.274000000000001</v>
      </c>
      <c r="U574">
        <v>7.4868100000000002</v>
      </c>
      <c r="V574">
        <v>0</v>
      </c>
      <c r="W574">
        <v>0</v>
      </c>
      <c r="X574">
        <v>1.5675600000000001</v>
      </c>
      <c r="Y574">
        <v>1.5675600000000001</v>
      </c>
      <c r="Z574">
        <v>0</v>
      </c>
      <c r="AA574">
        <v>1.21089</v>
      </c>
      <c r="AB574">
        <v>2.9635199999999999</v>
      </c>
      <c r="AC574" s="2">
        <v>253156000</v>
      </c>
      <c r="AD574" s="1">
        <v>0</v>
      </c>
      <c r="AE574" s="1">
        <v>0</v>
      </c>
      <c r="AF574" s="1">
        <v>0</v>
      </c>
      <c r="AG574" s="1">
        <v>0</v>
      </c>
      <c r="AH574" s="2">
        <v>4055660</v>
      </c>
      <c r="AI574" s="1">
        <v>132199</v>
      </c>
      <c r="AJ574" s="1">
        <v>0</v>
      </c>
      <c r="AK574" s="8">
        <f t="shared" si="35"/>
        <v>1</v>
      </c>
      <c r="AL574" s="8">
        <f t="shared" si="34"/>
        <v>12</v>
      </c>
      <c r="AM574">
        <f t="shared" si="32"/>
        <v>0</v>
      </c>
      <c r="AN574">
        <f t="shared" si="33"/>
        <v>0</v>
      </c>
    </row>
    <row r="575" spans="1:40" x14ac:dyDescent="0.35">
      <c r="A575">
        <v>85.138999999999996</v>
      </c>
      <c r="B575">
        <v>85.138999999999996</v>
      </c>
      <c r="C575">
        <v>9.3616700000000002</v>
      </c>
      <c r="D575">
        <v>0</v>
      </c>
      <c r="E575">
        <v>0</v>
      </c>
      <c r="F575">
        <v>2.79027</v>
      </c>
      <c r="G575">
        <v>2.79027</v>
      </c>
      <c r="H575">
        <v>0</v>
      </c>
      <c r="I575">
        <v>0.50692700000000002</v>
      </c>
      <c r="J575">
        <v>5.3222399999999999</v>
      </c>
      <c r="K575" s="2">
        <v>72938300</v>
      </c>
      <c r="L575" s="1">
        <v>0</v>
      </c>
      <c r="M575" s="1">
        <v>0</v>
      </c>
      <c r="N575" s="1">
        <v>0</v>
      </c>
      <c r="O575" s="1">
        <v>0</v>
      </c>
      <c r="P575" s="2">
        <v>4171390</v>
      </c>
      <c r="Q575" s="1">
        <v>286845</v>
      </c>
      <c r="R575" s="1">
        <v>0</v>
      </c>
      <c r="S575">
        <v>99.302199999999999</v>
      </c>
      <c r="T575">
        <v>98.274000000000001</v>
      </c>
      <c r="U575">
        <v>9.9890399999999993</v>
      </c>
      <c r="V575">
        <v>0</v>
      </c>
      <c r="W575">
        <v>0</v>
      </c>
      <c r="X575">
        <v>1.61853</v>
      </c>
      <c r="Y575">
        <v>1.61853</v>
      </c>
      <c r="Z575">
        <v>0</v>
      </c>
      <c r="AA575">
        <v>1.2111000000000001</v>
      </c>
      <c r="AB575">
        <v>2.9635199999999999</v>
      </c>
      <c r="AC575" s="2">
        <v>253293000</v>
      </c>
      <c r="AD575" s="1">
        <v>0</v>
      </c>
      <c r="AE575" s="1">
        <v>0</v>
      </c>
      <c r="AF575" s="1">
        <v>0</v>
      </c>
      <c r="AG575" s="1">
        <v>0</v>
      </c>
      <c r="AH575" s="2">
        <v>4187510</v>
      </c>
      <c r="AI575" s="1">
        <v>136497</v>
      </c>
      <c r="AJ575" s="1">
        <v>0</v>
      </c>
      <c r="AK575" s="8">
        <f t="shared" si="35"/>
        <v>2</v>
      </c>
      <c r="AL575" s="8">
        <f t="shared" si="34"/>
        <v>12</v>
      </c>
      <c r="AM575">
        <f t="shared" si="32"/>
        <v>0</v>
      </c>
      <c r="AN575">
        <f t="shared" si="33"/>
        <v>0</v>
      </c>
    </row>
    <row r="576" spans="1:40" x14ac:dyDescent="0.35">
      <c r="A576">
        <v>85.138999999999996</v>
      </c>
      <c r="B576">
        <v>85.138999999999996</v>
      </c>
      <c r="C576">
        <v>7.0572299999999997</v>
      </c>
      <c r="D576">
        <v>0</v>
      </c>
      <c r="E576">
        <v>0</v>
      </c>
      <c r="F576">
        <v>2.79074</v>
      </c>
      <c r="G576">
        <v>2.79074</v>
      </c>
      <c r="H576">
        <v>0</v>
      </c>
      <c r="I576">
        <v>0.52289699999999995</v>
      </c>
      <c r="J576">
        <v>5.3222399999999999</v>
      </c>
      <c r="K576" s="2">
        <v>73225200</v>
      </c>
      <c r="L576" s="1">
        <v>0</v>
      </c>
      <c r="M576" s="1">
        <v>0</v>
      </c>
      <c r="N576" s="1">
        <v>0</v>
      </c>
      <c r="O576" s="2">
        <v>29016000</v>
      </c>
      <c r="P576" s="2">
        <v>4172080</v>
      </c>
      <c r="Q576" s="1">
        <v>286893</v>
      </c>
      <c r="R576" s="1">
        <v>0</v>
      </c>
      <c r="S576">
        <v>99.302199999999999</v>
      </c>
      <c r="T576">
        <v>98.274000000000001</v>
      </c>
      <c r="U576">
        <v>7.5149600000000003</v>
      </c>
      <c r="V576">
        <v>0</v>
      </c>
      <c r="W576">
        <v>0</v>
      </c>
      <c r="X576">
        <v>1.6188</v>
      </c>
      <c r="Y576">
        <v>1.6188</v>
      </c>
      <c r="Z576">
        <v>0</v>
      </c>
      <c r="AA576">
        <v>1.25047</v>
      </c>
      <c r="AB576">
        <v>2.9635199999999999</v>
      </c>
      <c r="AC576" s="2">
        <v>253429000</v>
      </c>
      <c r="AD576" s="1">
        <v>0</v>
      </c>
      <c r="AE576" s="1">
        <v>0</v>
      </c>
      <c r="AF576" s="1">
        <v>0</v>
      </c>
      <c r="AG576" s="2">
        <v>7883220</v>
      </c>
      <c r="AH576" s="2">
        <v>4188210</v>
      </c>
      <c r="AI576" s="1">
        <v>136519</v>
      </c>
      <c r="AJ576" s="1">
        <v>0</v>
      </c>
      <c r="AK576" s="8">
        <f t="shared" si="35"/>
        <v>3</v>
      </c>
      <c r="AL576" s="8">
        <f t="shared" si="34"/>
        <v>12</v>
      </c>
      <c r="AM576">
        <f t="shared" si="32"/>
        <v>0</v>
      </c>
      <c r="AN576">
        <f t="shared" si="33"/>
        <v>0</v>
      </c>
    </row>
    <row r="577" spans="1:40" x14ac:dyDescent="0.35">
      <c r="A577">
        <v>85.138999999999996</v>
      </c>
      <c r="B577">
        <v>85.138999999999996</v>
      </c>
      <c r="C577">
        <v>5.8050100000000002</v>
      </c>
      <c r="D577">
        <v>0</v>
      </c>
      <c r="E577">
        <v>0</v>
      </c>
      <c r="F577">
        <v>2.7911999999999999</v>
      </c>
      <c r="G577">
        <v>2.7911999999999999</v>
      </c>
      <c r="H577">
        <v>0</v>
      </c>
      <c r="I577">
        <v>0.522984</v>
      </c>
      <c r="J577">
        <v>5.3222399999999999</v>
      </c>
      <c r="K577" s="2">
        <v>73512100</v>
      </c>
      <c r="L577" s="1">
        <v>0</v>
      </c>
      <c r="M577" s="1">
        <v>0</v>
      </c>
      <c r="N577" s="1">
        <v>0</v>
      </c>
      <c r="O577" s="1">
        <v>0</v>
      </c>
      <c r="P577" s="2">
        <v>4172780</v>
      </c>
      <c r="Q577" s="1">
        <v>286941</v>
      </c>
      <c r="R577" s="1">
        <v>0</v>
      </c>
      <c r="S577">
        <v>99.302199999999999</v>
      </c>
      <c r="T577">
        <v>98.274000000000001</v>
      </c>
      <c r="U577">
        <v>5.8411200000000001</v>
      </c>
      <c r="V577">
        <v>0</v>
      </c>
      <c r="W577">
        <v>0</v>
      </c>
      <c r="X577">
        <v>1.61907</v>
      </c>
      <c r="Y577">
        <v>1.61907</v>
      </c>
      <c r="Z577">
        <v>0</v>
      </c>
      <c r="AA577">
        <v>1.25068</v>
      </c>
      <c r="AB577">
        <v>2.9635199999999999</v>
      </c>
      <c r="AC577" s="2">
        <v>253566000</v>
      </c>
      <c r="AD577" s="1">
        <v>0</v>
      </c>
      <c r="AE577" s="1">
        <v>0</v>
      </c>
      <c r="AF577" s="1">
        <v>0</v>
      </c>
      <c r="AG577" s="1">
        <v>0</v>
      </c>
      <c r="AH577" s="2">
        <v>4188910</v>
      </c>
      <c r="AI577" s="1">
        <v>136542</v>
      </c>
      <c r="AJ577" s="1">
        <v>0</v>
      </c>
      <c r="AK577" s="8">
        <f t="shared" si="35"/>
        <v>4</v>
      </c>
      <c r="AL577" s="8">
        <f t="shared" si="34"/>
        <v>12</v>
      </c>
      <c r="AM577">
        <f t="shared" si="32"/>
        <v>0</v>
      </c>
      <c r="AN577">
        <f t="shared" si="33"/>
        <v>0</v>
      </c>
    </row>
    <row r="578" spans="1:40" x14ac:dyDescent="0.35">
      <c r="A578">
        <v>85.138999999999996</v>
      </c>
      <c r="B578">
        <v>85.138999999999996</v>
      </c>
      <c r="C578">
        <v>7.4544300000000003</v>
      </c>
      <c r="D578">
        <v>0</v>
      </c>
      <c r="E578">
        <v>0</v>
      </c>
      <c r="F578">
        <v>2.7916699999999999</v>
      </c>
      <c r="G578">
        <v>2.7916699999999999</v>
      </c>
      <c r="H578">
        <v>0</v>
      </c>
      <c r="I578">
        <v>0.52307099999999995</v>
      </c>
      <c r="J578">
        <v>5.3222399999999999</v>
      </c>
      <c r="K578" s="2">
        <v>73799100</v>
      </c>
      <c r="L578" s="1">
        <v>0</v>
      </c>
      <c r="M578" s="1">
        <v>0</v>
      </c>
      <c r="N578" s="1">
        <v>0</v>
      </c>
      <c r="O578" s="1">
        <v>0</v>
      </c>
      <c r="P578" s="2">
        <v>4173470</v>
      </c>
      <c r="Q578" s="1">
        <v>286989</v>
      </c>
      <c r="R578" s="1">
        <v>0</v>
      </c>
      <c r="S578">
        <v>99.302199999999999</v>
      </c>
      <c r="T578">
        <v>98.274000000000001</v>
      </c>
      <c r="U578">
        <v>6.3135599999999998</v>
      </c>
      <c r="V578">
        <v>0</v>
      </c>
      <c r="W578">
        <v>0</v>
      </c>
      <c r="X578">
        <v>1.61934</v>
      </c>
      <c r="Y578">
        <v>1.61934</v>
      </c>
      <c r="Z578">
        <v>0</v>
      </c>
      <c r="AA578">
        <v>1.2508900000000001</v>
      </c>
      <c r="AB578">
        <v>2.9635199999999999</v>
      </c>
      <c r="AC578" s="2">
        <v>253702000</v>
      </c>
      <c r="AD578" s="1">
        <v>0</v>
      </c>
      <c r="AE578" s="1">
        <v>0</v>
      </c>
      <c r="AF578" s="1">
        <v>0</v>
      </c>
      <c r="AG578" s="1">
        <v>0</v>
      </c>
      <c r="AH578" s="2">
        <v>4189610</v>
      </c>
      <c r="AI578" s="1">
        <v>136565</v>
      </c>
      <c r="AJ578" s="1">
        <v>0</v>
      </c>
      <c r="AK578" s="8">
        <f t="shared" si="35"/>
        <v>5</v>
      </c>
      <c r="AL578" s="8">
        <f t="shared" si="34"/>
        <v>12</v>
      </c>
      <c r="AM578">
        <f t="shared" si="32"/>
        <v>0</v>
      </c>
      <c r="AN578">
        <f t="shared" si="33"/>
        <v>0</v>
      </c>
    </row>
    <row r="579" spans="1:40" x14ac:dyDescent="0.35">
      <c r="A579">
        <v>85.138999999999996</v>
      </c>
      <c r="B579">
        <v>85.138999999999996</v>
      </c>
      <c r="C579">
        <v>5.1759199999999996</v>
      </c>
      <c r="D579">
        <v>0</v>
      </c>
      <c r="E579">
        <v>0</v>
      </c>
      <c r="F579">
        <v>3.06447</v>
      </c>
      <c r="G579">
        <v>3.06447</v>
      </c>
      <c r="H579">
        <v>0</v>
      </c>
      <c r="I579">
        <v>0.52315900000000004</v>
      </c>
      <c r="J579">
        <v>5.3222399999999999</v>
      </c>
      <c r="K579" s="2">
        <v>74114100</v>
      </c>
      <c r="L579" s="1">
        <v>0</v>
      </c>
      <c r="M579" s="1">
        <v>0</v>
      </c>
      <c r="N579" s="1">
        <v>0</v>
      </c>
      <c r="O579" s="1">
        <v>0</v>
      </c>
      <c r="P579" s="2">
        <v>4581310</v>
      </c>
      <c r="Q579" s="1">
        <v>315034</v>
      </c>
      <c r="R579" s="1">
        <v>0</v>
      </c>
      <c r="S579">
        <v>99.302199999999999</v>
      </c>
      <c r="T579">
        <v>98.274000000000001</v>
      </c>
      <c r="U579">
        <v>5.2515700000000001</v>
      </c>
      <c r="V579">
        <v>0</v>
      </c>
      <c r="W579">
        <v>0</v>
      </c>
      <c r="X579">
        <v>1.8100400000000001</v>
      </c>
      <c r="Y579">
        <v>1.8100400000000001</v>
      </c>
      <c r="Z579">
        <v>0</v>
      </c>
      <c r="AA579">
        <v>1.2511000000000001</v>
      </c>
      <c r="AB579">
        <v>2.9635199999999999</v>
      </c>
      <c r="AC579" s="2">
        <v>253855000</v>
      </c>
      <c r="AD579" s="1">
        <v>0</v>
      </c>
      <c r="AE579" s="1">
        <v>0</v>
      </c>
      <c r="AF579" s="1">
        <v>0</v>
      </c>
      <c r="AG579" s="1">
        <v>0</v>
      </c>
      <c r="AH579" s="2">
        <v>4683000</v>
      </c>
      <c r="AI579" s="1">
        <v>152648</v>
      </c>
      <c r="AJ579" s="1">
        <v>0</v>
      </c>
      <c r="AK579" s="8">
        <f t="shared" si="35"/>
        <v>6</v>
      </c>
      <c r="AL579" s="8">
        <f t="shared" si="34"/>
        <v>12</v>
      </c>
      <c r="AM579">
        <f t="shared" ref="AM579:AM642" si="36">IF(AK579=52,AC579,0)</f>
        <v>0</v>
      </c>
      <c r="AN579">
        <f t="shared" ref="AN579:AN642" si="37">IF(AK579=52,K579,0)</f>
        <v>0</v>
      </c>
    </row>
    <row r="580" spans="1:40" x14ac:dyDescent="0.35">
      <c r="A580">
        <v>85.138999999999996</v>
      </c>
      <c r="B580">
        <v>85.138999999999996</v>
      </c>
      <c r="C580">
        <v>12.844799999999999</v>
      </c>
      <c r="D580">
        <v>0</v>
      </c>
      <c r="E580">
        <v>0</v>
      </c>
      <c r="F580">
        <v>3.0649799999999998</v>
      </c>
      <c r="G580">
        <v>3.0649799999999998</v>
      </c>
      <c r="H580">
        <v>0</v>
      </c>
      <c r="I580">
        <v>0.57428199999999996</v>
      </c>
      <c r="J580">
        <v>5.3222399999999999</v>
      </c>
      <c r="K580" s="2">
        <v>74429200</v>
      </c>
      <c r="L580" s="1">
        <v>0</v>
      </c>
      <c r="M580" s="1">
        <v>0</v>
      </c>
      <c r="N580" s="1">
        <v>0</v>
      </c>
      <c r="O580" s="1">
        <v>0</v>
      </c>
      <c r="P580" s="2">
        <v>4582070</v>
      </c>
      <c r="Q580" s="1">
        <v>315086</v>
      </c>
      <c r="R580" s="1">
        <v>0</v>
      </c>
      <c r="S580">
        <v>99.302199999999999</v>
      </c>
      <c r="T580">
        <v>98.274000000000001</v>
      </c>
      <c r="U580">
        <v>17.266300000000001</v>
      </c>
      <c r="V580">
        <v>0</v>
      </c>
      <c r="W580">
        <v>0</v>
      </c>
      <c r="X580">
        <v>1.8103400000000001</v>
      </c>
      <c r="Y580">
        <v>1.8103400000000001</v>
      </c>
      <c r="Z580">
        <v>0</v>
      </c>
      <c r="AA580">
        <v>1.3984300000000001</v>
      </c>
      <c r="AB580">
        <v>2.9635199999999999</v>
      </c>
      <c r="AC580" s="2">
        <v>254008000</v>
      </c>
      <c r="AD580" s="1">
        <v>0</v>
      </c>
      <c r="AE580" s="1">
        <v>0</v>
      </c>
      <c r="AF580" s="1">
        <v>0</v>
      </c>
      <c r="AG580" s="1">
        <v>0</v>
      </c>
      <c r="AH580" s="2">
        <v>4683780</v>
      </c>
      <c r="AI580" s="1">
        <v>152673</v>
      </c>
      <c r="AJ580" s="1">
        <v>0</v>
      </c>
      <c r="AK580" s="8">
        <f t="shared" si="35"/>
        <v>7</v>
      </c>
      <c r="AL580" s="8">
        <f t="shared" ref="AL580:AL643" si="38">IF(AK579=52,AL579+1,AL579)</f>
        <v>12</v>
      </c>
      <c r="AM580">
        <f t="shared" si="36"/>
        <v>0</v>
      </c>
      <c r="AN580">
        <f t="shared" si="37"/>
        <v>0</v>
      </c>
    </row>
    <row r="581" spans="1:40" x14ac:dyDescent="0.35">
      <c r="A581">
        <v>85.138999999999996</v>
      </c>
      <c r="B581">
        <v>85.138999999999996</v>
      </c>
      <c r="C581">
        <v>8.3453300000000006</v>
      </c>
      <c r="D581">
        <v>0</v>
      </c>
      <c r="E581">
        <v>0</v>
      </c>
      <c r="F581">
        <v>3.06549</v>
      </c>
      <c r="G581">
        <v>3.06549</v>
      </c>
      <c r="H581">
        <v>0</v>
      </c>
      <c r="I581">
        <v>0.57437800000000006</v>
      </c>
      <c r="J581">
        <v>5.3222399999999999</v>
      </c>
      <c r="K581" s="2">
        <v>74744300</v>
      </c>
      <c r="L581" s="1">
        <v>0</v>
      </c>
      <c r="M581" s="1">
        <v>0</v>
      </c>
      <c r="N581" s="1">
        <v>0</v>
      </c>
      <c r="O581" s="1">
        <v>0</v>
      </c>
      <c r="P581" s="2">
        <v>4582840</v>
      </c>
      <c r="Q581" s="1">
        <v>315139</v>
      </c>
      <c r="R581" s="1">
        <v>0</v>
      </c>
      <c r="S581">
        <v>99.302199999999999</v>
      </c>
      <c r="T581">
        <v>98.274000000000001</v>
      </c>
      <c r="U581">
        <v>10.594099999999999</v>
      </c>
      <c r="V581">
        <v>0</v>
      </c>
      <c r="W581">
        <v>0</v>
      </c>
      <c r="X581">
        <v>1.81064</v>
      </c>
      <c r="Y581">
        <v>1.81064</v>
      </c>
      <c r="Z581">
        <v>0</v>
      </c>
      <c r="AA581">
        <v>1.3986700000000001</v>
      </c>
      <c r="AB581">
        <v>2.9635199999999999</v>
      </c>
      <c r="AC581" s="2">
        <v>254160000</v>
      </c>
      <c r="AD581" s="1">
        <v>0</v>
      </c>
      <c r="AE581" s="1">
        <v>0</v>
      </c>
      <c r="AF581" s="1">
        <v>0</v>
      </c>
      <c r="AG581" s="1">
        <v>0</v>
      </c>
      <c r="AH581" s="2">
        <v>4684560</v>
      </c>
      <c r="AI581" s="1">
        <v>152698</v>
      </c>
      <c r="AJ581" s="1">
        <v>0</v>
      </c>
      <c r="AK581" s="8">
        <f t="shared" si="35"/>
        <v>8</v>
      </c>
      <c r="AL581" s="8">
        <f t="shared" si="38"/>
        <v>12</v>
      </c>
      <c r="AM581">
        <f t="shared" si="36"/>
        <v>0</v>
      </c>
      <c r="AN581">
        <f t="shared" si="37"/>
        <v>0</v>
      </c>
    </row>
    <row r="582" spans="1:40" x14ac:dyDescent="0.35">
      <c r="A582">
        <v>85.138999999999996</v>
      </c>
      <c r="B582">
        <v>85.138999999999996</v>
      </c>
      <c r="C582">
        <v>6.77677</v>
      </c>
      <c r="D582">
        <v>0</v>
      </c>
      <c r="E582">
        <v>0</v>
      </c>
      <c r="F582">
        <v>3.0659999999999998</v>
      </c>
      <c r="G582">
        <v>3.0659999999999998</v>
      </c>
      <c r="H582">
        <v>0</v>
      </c>
      <c r="I582">
        <v>0.57447400000000004</v>
      </c>
      <c r="J582">
        <v>5.3222399999999999</v>
      </c>
      <c r="K582" s="2">
        <v>75059500</v>
      </c>
      <c r="L582" s="1">
        <v>0</v>
      </c>
      <c r="M582" s="1">
        <v>0</v>
      </c>
      <c r="N582" s="1">
        <v>0</v>
      </c>
      <c r="O582" s="1">
        <v>0</v>
      </c>
      <c r="P582" s="2">
        <v>4583600</v>
      </c>
      <c r="Q582" s="1">
        <v>315191</v>
      </c>
      <c r="R582" s="1">
        <v>0</v>
      </c>
      <c r="S582">
        <v>99.302199999999999</v>
      </c>
      <c r="T582">
        <v>98.274000000000001</v>
      </c>
      <c r="U582">
        <v>7.7387800000000002</v>
      </c>
      <c r="V582">
        <v>0</v>
      </c>
      <c r="W582">
        <v>0</v>
      </c>
      <c r="X582">
        <v>1.81094</v>
      </c>
      <c r="Y582">
        <v>1.81094</v>
      </c>
      <c r="Z582">
        <v>0</v>
      </c>
      <c r="AA582">
        <v>1.3989</v>
      </c>
      <c r="AB582">
        <v>2.9635199999999999</v>
      </c>
      <c r="AC582" s="2">
        <v>254313000</v>
      </c>
      <c r="AD582" s="1">
        <v>0</v>
      </c>
      <c r="AE582" s="1">
        <v>0</v>
      </c>
      <c r="AF582" s="1">
        <v>0</v>
      </c>
      <c r="AG582" s="1">
        <v>0</v>
      </c>
      <c r="AH582" s="2">
        <v>4685340</v>
      </c>
      <c r="AI582" s="1">
        <v>152724</v>
      </c>
      <c r="AJ582" s="1">
        <v>0</v>
      </c>
      <c r="AK582" s="8">
        <f t="shared" si="35"/>
        <v>9</v>
      </c>
      <c r="AL582" s="8">
        <f t="shared" si="38"/>
        <v>12</v>
      </c>
      <c r="AM582">
        <f t="shared" si="36"/>
        <v>0</v>
      </c>
      <c r="AN582">
        <f t="shared" si="37"/>
        <v>0</v>
      </c>
    </row>
    <row r="583" spans="1:40" x14ac:dyDescent="0.35">
      <c r="A583">
        <v>85.138999999999996</v>
      </c>
      <c r="B583">
        <v>85.138999999999996</v>
      </c>
      <c r="C583">
        <v>6.0071099999999999</v>
      </c>
      <c r="D583">
        <v>0</v>
      </c>
      <c r="E583">
        <v>0</v>
      </c>
      <c r="F583">
        <v>2.6778200000000001</v>
      </c>
      <c r="G583">
        <v>2.6778200000000001</v>
      </c>
      <c r="H583">
        <v>0</v>
      </c>
      <c r="I583">
        <v>0.574569</v>
      </c>
      <c r="J583">
        <v>5.3222399999999999</v>
      </c>
      <c r="K583" s="2">
        <v>75334800</v>
      </c>
      <c r="L583" s="1">
        <v>0</v>
      </c>
      <c r="M583" s="1">
        <v>0</v>
      </c>
      <c r="N583" s="1">
        <v>0</v>
      </c>
      <c r="O583" s="1">
        <v>0</v>
      </c>
      <c r="P583" s="2">
        <v>4003270</v>
      </c>
      <c r="Q583" s="1">
        <v>275285</v>
      </c>
      <c r="R583" s="1">
        <v>0</v>
      </c>
      <c r="S583">
        <v>99.302199999999999</v>
      </c>
      <c r="T583">
        <v>98.274000000000001</v>
      </c>
      <c r="U583">
        <v>7.8035600000000001</v>
      </c>
      <c r="V583">
        <v>0</v>
      </c>
      <c r="W583">
        <v>0</v>
      </c>
      <c r="X583">
        <v>1.5555099999999999</v>
      </c>
      <c r="Y583">
        <v>1.5555099999999999</v>
      </c>
      <c r="Z583">
        <v>0</v>
      </c>
      <c r="AA583">
        <v>1.39913</v>
      </c>
      <c r="AB583">
        <v>2.9635199999999999</v>
      </c>
      <c r="AC583" s="2">
        <v>254444000</v>
      </c>
      <c r="AD583" s="1">
        <v>0</v>
      </c>
      <c r="AE583" s="1">
        <v>0</v>
      </c>
      <c r="AF583" s="1">
        <v>0</v>
      </c>
      <c r="AG583" s="1">
        <v>0</v>
      </c>
      <c r="AH583" s="2">
        <v>4024480</v>
      </c>
      <c r="AI583" s="1">
        <v>131183</v>
      </c>
      <c r="AJ583" s="1">
        <v>0</v>
      </c>
      <c r="AK583" s="8">
        <f t="shared" si="35"/>
        <v>10</v>
      </c>
      <c r="AL583" s="8">
        <f t="shared" si="38"/>
        <v>12</v>
      </c>
      <c r="AM583">
        <f t="shared" si="36"/>
        <v>0</v>
      </c>
      <c r="AN583">
        <f t="shared" si="37"/>
        <v>0</v>
      </c>
    </row>
    <row r="584" spans="1:40" x14ac:dyDescent="0.35">
      <c r="A584">
        <v>85.138999999999996</v>
      </c>
      <c r="B584">
        <v>85.138999999999996</v>
      </c>
      <c r="C584">
        <v>4.7571500000000002</v>
      </c>
      <c r="D584">
        <v>0</v>
      </c>
      <c r="E584">
        <v>0</v>
      </c>
      <c r="F584">
        <v>2.6782599999999999</v>
      </c>
      <c r="G584">
        <v>2.6782599999999999</v>
      </c>
      <c r="H584">
        <v>0</v>
      </c>
      <c r="I584">
        <v>0.50182300000000002</v>
      </c>
      <c r="J584">
        <v>5.3222399999999999</v>
      </c>
      <c r="K584" s="2">
        <v>75610200</v>
      </c>
      <c r="L584" s="1">
        <v>0</v>
      </c>
      <c r="M584" s="1">
        <v>0</v>
      </c>
      <c r="N584" s="1">
        <v>0</v>
      </c>
      <c r="O584" s="1">
        <v>0</v>
      </c>
      <c r="P584" s="2">
        <v>4003930</v>
      </c>
      <c r="Q584" s="1">
        <v>275331</v>
      </c>
      <c r="R584" s="1">
        <v>0</v>
      </c>
      <c r="S584">
        <v>99.302199999999999</v>
      </c>
      <c r="T584">
        <v>98.274000000000001</v>
      </c>
      <c r="U584">
        <v>6.5378800000000004</v>
      </c>
      <c r="V584">
        <v>0</v>
      </c>
      <c r="W584">
        <v>0</v>
      </c>
      <c r="X584">
        <v>1.5557700000000001</v>
      </c>
      <c r="Y584">
        <v>1.5557700000000001</v>
      </c>
      <c r="Z584">
        <v>0</v>
      </c>
      <c r="AA584">
        <v>1.2017899999999999</v>
      </c>
      <c r="AB584">
        <v>2.9635199999999999</v>
      </c>
      <c r="AC584" s="2">
        <v>254576000</v>
      </c>
      <c r="AD584" s="1">
        <v>0</v>
      </c>
      <c r="AE584" s="1">
        <v>0</v>
      </c>
      <c r="AF584" s="1">
        <v>0</v>
      </c>
      <c r="AG584" s="1">
        <v>0</v>
      </c>
      <c r="AH584" s="2">
        <v>4025150</v>
      </c>
      <c r="AI584" s="1">
        <v>131204</v>
      </c>
      <c r="AJ584" s="1">
        <v>0</v>
      </c>
      <c r="AK584" s="8">
        <f t="shared" ref="AK584:AK647" si="39">IF(AK583=52, 1, AK583+1)</f>
        <v>11</v>
      </c>
      <c r="AL584" s="8">
        <f t="shared" si="38"/>
        <v>12</v>
      </c>
      <c r="AM584">
        <f t="shared" si="36"/>
        <v>0</v>
      </c>
      <c r="AN584">
        <f t="shared" si="37"/>
        <v>0</v>
      </c>
    </row>
    <row r="585" spans="1:40" x14ac:dyDescent="0.35">
      <c r="A585">
        <v>85.138999999999996</v>
      </c>
      <c r="B585">
        <v>85.138999999999996</v>
      </c>
      <c r="C585">
        <v>4.2199600000000004</v>
      </c>
      <c r="D585">
        <v>0</v>
      </c>
      <c r="E585">
        <v>0</v>
      </c>
      <c r="F585">
        <v>2.6787100000000001</v>
      </c>
      <c r="G585">
        <v>2.6787100000000001</v>
      </c>
      <c r="H585">
        <v>0</v>
      </c>
      <c r="I585">
        <v>0.50190599999999996</v>
      </c>
      <c r="J585">
        <v>5.3222399999999999</v>
      </c>
      <c r="K585" s="2">
        <v>75885500</v>
      </c>
      <c r="L585" s="1">
        <v>0</v>
      </c>
      <c r="M585" s="1">
        <v>0</v>
      </c>
      <c r="N585" s="1">
        <v>0</v>
      </c>
      <c r="O585" s="1">
        <v>0</v>
      </c>
      <c r="P585" s="2">
        <v>4004600</v>
      </c>
      <c r="Q585" s="1">
        <v>275376</v>
      </c>
      <c r="R585" s="1">
        <v>0</v>
      </c>
      <c r="S585">
        <v>99.302199999999999</v>
      </c>
      <c r="T585">
        <v>98.274000000000001</v>
      </c>
      <c r="U585">
        <v>6.2565799999999996</v>
      </c>
      <c r="V585">
        <v>0</v>
      </c>
      <c r="W585">
        <v>0</v>
      </c>
      <c r="X585">
        <v>1.55603</v>
      </c>
      <c r="Y585">
        <v>1.55603</v>
      </c>
      <c r="Z585">
        <v>0</v>
      </c>
      <c r="AA585">
        <v>1.2019899999999999</v>
      </c>
      <c r="AB585">
        <v>2.9635199999999999</v>
      </c>
      <c r="AC585" s="2">
        <v>254707000</v>
      </c>
      <c r="AD585" s="1">
        <v>0</v>
      </c>
      <c r="AE585" s="1">
        <v>0</v>
      </c>
      <c r="AF585" s="1">
        <v>0</v>
      </c>
      <c r="AG585" s="1">
        <v>0</v>
      </c>
      <c r="AH585" s="2">
        <v>4025820</v>
      </c>
      <c r="AI585" s="1">
        <v>131226</v>
      </c>
      <c r="AJ585" s="1">
        <v>0</v>
      </c>
      <c r="AK585" s="8">
        <f t="shared" si="39"/>
        <v>12</v>
      </c>
      <c r="AL585" s="8">
        <f t="shared" si="38"/>
        <v>12</v>
      </c>
      <c r="AM585">
        <f t="shared" si="36"/>
        <v>0</v>
      </c>
      <c r="AN585">
        <f t="shared" si="37"/>
        <v>0</v>
      </c>
    </row>
    <row r="586" spans="1:40" x14ac:dyDescent="0.35">
      <c r="A586">
        <v>85.138999999999996</v>
      </c>
      <c r="B586">
        <v>85.138999999999996</v>
      </c>
      <c r="C586">
        <v>5.0996300000000003</v>
      </c>
      <c r="D586">
        <v>0</v>
      </c>
      <c r="E586">
        <v>0</v>
      </c>
      <c r="F586">
        <v>2.67916</v>
      </c>
      <c r="G586">
        <v>2.67916</v>
      </c>
      <c r="H586">
        <v>0</v>
      </c>
      <c r="I586">
        <v>0.50199000000000005</v>
      </c>
      <c r="J586">
        <v>5.3222399999999999</v>
      </c>
      <c r="K586" s="2">
        <v>76161000</v>
      </c>
      <c r="L586" s="1">
        <v>0</v>
      </c>
      <c r="M586" s="1">
        <v>0</v>
      </c>
      <c r="N586" s="1">
        <v>0</v>
      </c>
      <c r="O586" s="1">
        <v>0</v>
      </c>
      <c r="P586" s="2">
        <v>4005270</v>
      </c>
      <c r="Q586" s="1">
        <v>275422</v>
      </c>
      <c r="R586" s="1">
        <v>0</v>
      </c>
      <c r="S586">
        <v>99.302199999999999</v>
      </c>
      <c r="T586">
        <v>98.274000000000001</v>
      </c>
      <c r="U586">
        <v>5.9003899999999998</v>
      </c>
      <c r="V586">
        <v>0</v>
      </c>
      <c r="W586">
        <v>0</v>
      </c>
      <c r="X586">
        <v>1.55629</v>
      </c>
      <c r="Y586">
        <v>1.55629</v>
      </c>
      <c r="Z586">
        <v>0</v>
      </c>
      <c r="AA586">
        <v>1.2021900000000001</v>
      </c>
      <c r="AB586">
        <v>2.9635199999999999</v>
      </c>
      <c r="AC586" s="2">
        <v>254838000</v>
      </c>
      <c r="AD586" s="1">
        <v>0</v>
      </c>
      <c r="AE586" s="1">
        <v>0</v>
      </c>
      <c r="AF586" s="1">
        <v>0</v>
      </c>
      <c r="AG586" s="1">
        <v>0</v>
      </c>
      <c r="AH586" s="2">
        <v>4026500</v>
      </c>
      <c r="AI586" s="1">
        <v>131248</v>
      </c>
      <c r="AJ586" s="1">
        <v>0</v>
      </c>
      <c r="AK586" s="8">
        <f t="shared" si="39"/>
        <v>13</v>
      </c>
      <c r="AL586" s="8">
        <f t="shared" si="38"/>
        <v>12</v>
      </c>
      <c r="AM586">
        <f t="shared" si="36"/>
        <v>0</v>
      </c>
      <c r="AN586">
        <f t="shared" si="37"/>
        <v>0</v>
      </c>
    </row>
    <row r="587" spans="1:40" x14ac:dyDescent="0.35">
      <c r="A587">
        <v>85.138999999999996</v>
      </c>
      <c r="B587">
        <v>85.138999999999996</v>
      </c>
      <c r="C587">
        <v>4.1375599999999997</v>
      </c>
      <c r="D587">
        <v>0</v>
      </c>
      <c r="E587">
        <v>0</v>
      </c>
      <c r="F587">
        <v>2.6796000000000002</v>
      </c>
      <c r="G587">
        <v>2.6796000000000002</v>
      </c>
      <c r="H587">
        <v>0</v>
      </c>
      <c r="I587">
        <v>0.50207400000000002</v>
      </c>
      <c r="J587">
        <v>5.3222399999999999</v>
      </c>
      <c r="K587" s="2">
        <v>76436400</v>
      </c>
      <c r="L587" s="1">
        <v>0</v>
      </c>
      <c r="M587" s="1">
        <v>0</v>
      </c>
      <c r="N587" s="1">
        <v>0</v>
      </c>
      <c r="O587" s="1">
        <v>0</v>
      </c>
      <c r="P587" s="2">
        <v>4005940</v>
      </c>
      <c r="Q587" s="1">
        <v>275468</v>
      </c>
      <c r="R587" s="1">
        <v>0</v>
      </c>
      <c r="S587">
        <v>99.302199999999999</v>
      </c>
      <c r="T587">
        <v>98.274000000000001</v>
      </c>
      <c r="U587">
        <v>5.1067999999999998</v>
      </c>
      <c r="V587">
        <v>0</v>
      </c>
      <c r="W587">
        <v>0</v>
      </c>
      <c r="X587">
        <v>1.5565500000000001</v>
      </c>
      <c r="Y587">
        <v>1.5565500000000001</v>
      </c>
      <c r="Z587">
        <v>0</v>
      </c>
      <c r="AA587">
        <v>1.2023900000000001</v>
      </c>
      <c r="AB587">
        <v>2.9635199999999999</v>
      </c>
      <c r="AC587" s="2">
        <v>254969000</v>
      </c>
      <c r="AD587" s="1">
        <v>0</v>
      </c>
      <c r="AE587" s="1">
        <v>0</v>
      </c>
      <c r="AF587" s="1">
        <v>0</v>
      </c>
      <c r="AG587" s="1">
        <v>0</v>
      </c>
      <c r="AH587" s="2">
        <v>4027170</v>
      </c>
      <c r="AI587" s="1">
        <v>131270</v>
      </c>
      <c r="AJ587" s="1">
        <v>0</v>
      </c>
      <c r="AK587" s="8">
        <f t="shared" si="39"/>
        <v>14</v>
      </c>
      <c r="AL587" s="8">
        <f t="shared" si="38"/>
        <v>12</v>
      </c>
      <c r="AM587">
        <f t="shared" si="36"/>
        <v>0</v>
      </c>
      <c r="AN587">
        <f t="shared" si="37"/>
        <v>0</v>
      </c>
    </row>
    <row r="588" spans="1:40" x14ac:dyDescent="0.35">
      <c r="A588">
        <v>85.138999999999996</v>
      </c>
      <c r="B588">
        <v>85.138999999999996</v>
      </c>
      <c r="C588">
        <v>5.2100200000000001</v>
      </c>
      <c r="D588">
        <v>0</v>
      </c>
      <c r="E588">
        <v>0</v>
      </c>
      <c r="F588">
        <v>2.7779699999999998</v>
      </c>
      <c r="G588">
        <v>2.7779699999999998</v>
      </c>
      <c r="H588">
        <v>0</v>
      </c>
      <c r="I588">
        <v>0.50215699999999996</v>
      </c>
      <c r="J588">
        <v>5.3222399999999999</v>
      </c>
      <c r="K588" s="2">
        <v>76722000</v>
      </c>
      <c r="L588" s="1">
        <v>0</v>
      </c>
      <c r="M588" s="1">
        <v>0</v>
      </c>
      <c r="N588" s="1">
        <v>0</v>
      </c>
      <c r="O588" s="1">
        <v>0</v>
      </c>
      <c r="P588" s="2">
        <v>4153000</v>
      </c>
      <c r="Q588" s="1">
        <v>285581</v>
      </c>
      <c r="R588" s="1">
        <v>0</v>
      </c>
      <c r="S588">
        <v>99.302199999999999</v>
      </c>
      <c r="T588">
        <v>98.274000000000001</v>
      </c>
      <c r="U588">
        <v>7.0324799999999996</v>
      </c>
      <c r="V588">
        <v>0</v>
      </c>
      <c r="W588">
        <v>0</v>
      </c>
      <c r="X588">
        <v>1.6194200000000001</v>
      </c>
      <c r="Y588">
        <v>1.6194200000000001</v>
      </c>
      <c r="Z588">
        <v>0</v>
      </c>
      <c r="AA588">
        <v>1.20259</v>
      </c>
      <c r="AB588">
        <v>2.9635199999999999</v>
      </c>
      <c r="AC588" s="2">
        <v>255106000</v>
      </c>
      <c r="AD588" s="1">
        <v>0</v>
      </c>
      <c r="AE588" s="1">
        <v>0</v>
      </c>
      <c r="AF588" s="1">
        <v>0</v>
      </c>
      <c r="AG588" s="1">
        <v>0</v>
      </c>
      <c r="AH588" s="2">
        <v>4189830</v>
      </c>
      <c r="AI588" s="1">
        <v>136572</v>
      </c>
      <c r="AJ588" s="1">
        <v>0</v>
      </c>
      <c r="AK588" s="8">
        <f t="shared" si="39"/>
        <v>15</v>
      </c>
      <c r="AL588" s="8">
        <f t="shared" si="38"/>
        <v>12</v>
      </c>
      <c r="AM588">
        <f t="shared" si="36"/>
        <v>0</v>
      </c>
      <c r="AN588">
        <f t="shared" si="37"/>
        <v>0</v>
      </c>
    </row>
    <row r="589" spans="1:40" x14ac:dyDescent="0.35">
      <c r="A589">
        <v>85.138999999999996</v>
      </c>
      <c r="B589">
        <v>85.138999999999996</v>
      </c>
      <c r="C589">
        <v>5.5855199999999998</v>
      </c>
      <c r="D589">
        <v>0</v>
      </c>
      <c r="E589">
        <v>0</v>
      </c>
      <c r="F589">
        <v>2.7784399999999998</v>
      </c>
      <c r="G589">
        <v>2.7784399999999998</v>
      </c>
      <c r="H589">
        <v>0</v>
      </c>
      <c r="I589">
        <v>0.52059200000000005</v>
      </c>
      <c r="J589">
        <v>5.3222399999999999</v>
      </c>
      <c r="K589" s="2">
        <v>77007600</v>
      </c>
      <c r="L589" s="1">
        <v>0</v>
      </c>
      <c r="M589" s="1">
        <v>0</v>
      </c>
      <c r="N589" s="1">
        <v>0</v>
      </c>
      <c r="O589" s="1">
        <v>0</v>
      </c>
      <c r="P589" s="2">
        <v>4153690</v>
      </c>
      <c r="Q589" s="1">
        <v>285629</v>
      </c>
      <c r="R589" s="1">
        <v>0</v>
      </c>
      <c r="S589">
        <v>99.302199999999999</v>
      </c>
      <c r="T589">
        <v>98.274000000000001</v>
      </c>
      <c r="U589">
        <v>7.2395899999999997</v>
      </c>
      <c r="V589">
        <v>0</v>
      </c>
      <c r="W589">
        <v>0</v>
      </c>
      <c r="X589">
        <v>1.6196900000000001</v>
      </c>
      <c r="Y589">
        <v>1.6196900000000001</v>
      </c>
      <c r="Z589">
        <v>0</v>
      </c>
      <c r="AA589">
        <v>1.2511699999999999</v>
      </c>
      <c r="AB589">
        <v>2.9635199999999999</v>
      </c>
      <c r="AC589" s="2">
        <v>255242000</v>
      </c>
      <c r="AD589" s="1">
        <v>0</v>
      </c>
      <c r="AE589" s="1">
        <v>0</v>
      </c>
      <c r="AF589" s="1">
        <v>0</v>
      </c>
      <c r="AG589" s="1">
        <v>0</v>
      </c>
      <c r="AH589" s="2">
        <v>4190530</v>
      </c>
      <c r="AI589" s="1">
        <v>136595</v>
      </c>
      <c r="AJ589" s="1">
        <v>0</v>
      </c>
      <c r="AK589" s="8">
        <f t="shared" si="39"/>
        <v>16</v>
      </c>
      <c r="AL589" s="8">
        <f t="shared" si="38"/>
        <v>12</v>
      </c>
      <c r="AM589">
        <f t="shared" si="36"/>
        <v>0</v>
      </c>
      <c r="AN589">
        <f t="shared" si="37"/>
        <v>0</v>
      </c>
    </row>
    <row r="590" spans="1:40" x14ac:dyDescent="0.35">
      <c r="A590">
        <v>85.138999999999996</v>
      </c>
      <c r="B590">
        <v>85.138999999999996</v>
      </c>
      <c r="C590">
        <v>5.1079999999999997</v>
      </c>
      <c r="D590">
        <v>0</v>
      </c>
      <c r="E590">
        <v>0</v>
      </c>
      <c r="F590">
        <v>2.7789000000000001</v>
      </c>
      <c r="G590">
        <v>2.7789000000000001</v>
      </c>
      <c r="H590">
        <v>0</v>
      </c>
      <c r="I590">
        <v>0.520679</v>
      </c>
      <c r="J590">
        <v>5.3222399999999999</v>
      </c>
      <c r="K590" s="2">
        <v>77293300</v>
      </c>
      <c r="L590" s="1">
        <v>0</v>
      </c>
      <c r="M590" s="1">
        <v>0</v>
      </c>
      <c r="N590" s="1">
        <v>0</v>
      </c>
      <c r="O590" s="1">
        <v>0</v>
      </c>
      <c r="P590" s="2">
        <v>4154380</v>
      </c>
      <c r="Q590" s="1">
        <v>285676</v>
      </c>
      <c r="R590" s="1">
        <v>0</v>
      </c>
      <c r="S590">
        <v>99.302199999999999</v>
      </c>
      <c r="T590">
        <v>98.274000000000001</v>
      </c>
      <c r="U590">
        <v>6.1945499999999996</v>
      </c>
      <c r="V590">
        <v>0</v>
      </c>
      <c r="W590">
        <v>0</v>
      </c>
      <c r="X590">
        <v>1.6199600000000001</v>
      </c>
      <c r="Y590">
        <v>1.6199600000000001</v>
      </c>
      <c r="Z590">
        <v>0</v>
      </c>
      <c r="AA590">
        <v>1.2513799999999999</v>
      </c>
      <c r="AB590">
        <v>2.9635199999999999</v>
      </c>
      <c r="AC590" s="2">
        <v>255379000</v>
      </c>
      <c r="AD590" s="1">
        <v>0</v>
      </c>
      <c r="AE590" s="1">
        <v>0</v>
      </c>
      <c r="AF590" s="1">
        <v>0</v>
      </c>
      <c r="AG590" s="1">
        <v>0</v>
      </c>
      <c r="AH590" s="2">
        <v>4191230</v>
      </c>
      <c r="AI590" s="1">
        <v>136618</v>
      </c>
      <c r="AJ590" s="1">
        <v>0</v>
      </c>
      <c r="AK590" s="8">
        <f t="shared" si="39"/>
        <v>17</v>
      </c>
      <c r="AL590" s="8">
        <f t="shared" si="38"/>
        <v>12</v>
      </c>
      <c r="AM590">
        <f t="shared" si="36"/>
        <v>0</v>
      </c>
      <c r="AN590">
        <f t="shared" si="37"/>
        <v>0</v>
      </c>
    </row>
    <row r="591" spans="1:40" x14ac:dyDescent="0.35">
      <c r="A591">
        <v>85.138999999999996</v>
      </c>
      <c r="B591">
        <v>85.138999999999996</v>
      </c>
      <c r="C591">
        <v>4.8578999999999999</v>
      </c>
      <c r="D591">
        <v>0</v>
      </c>
      <c r="E591">
        <v>0</v>
      </c>
      <c r="F591">
        <v>2.7793600000000001</v>
      </c>
      <c r="G591">
        <v>2.7793600000000001</v>
      </c>
      <c r="H591">
        <v>0</v>
      </c>
      <c r="I591">
        <v>0.52076599999999995</v>
      </c>
      <c r="J591">
        <v>5.3222399999999999</v>
      </c>
      <c r="K591" s="2">
        <v>77579000</v>
      </c>
      <c r="L591" s="1">
        <v>0</v>
      </c>
      <c r="M591" s="1">
        <v>0</v>
      </c>
      <c r="N591" s="1">
        <v>0</v>
      </c>
      <c r="O591" s="1">
        <v>0</v>
      </c>
      <c r="P591" s="2">
        <v>4155080</v>
      </c>
      <c r="Q591" s="1">
        <v>285724</v>
      </c>
      <c r="R591" s="1">
        <v>0</v>
      </c>
      <c r="S591">
        <v>99.302199999999999</v>
      </c>
      <c r="T591">
        <v>98.274000000000001</v>
      </c>
      <c r="U591">
        <v>5.8566500000000001</v>
      </c>
      <c r="V591">
        <v>0</v>
      </c>
      <c r="W591">
        <v>0</v>
      </c>
      <c r="X591">
        <v>1.6202300000000001</v>
      </c>
      <c r="Y591">
        <v>1.6202300000000001</v>
      </c>
      <c r="Z591">
        <v>0</v>
      </c>
      <c r="AA591">
        <v>1.2515799999999999</v>
      </c>
      <c r="AB591">
        <v>2.9635199999999999</v>
      </c>
      <c r="AC591" s="2">
        <v>255516000</v>
      </c>
      <c r="AD591" s="1">
        <v>0</v>
      </c>
      <c r="AE591" s="1">
        <v>0</v>
      </c>
      <c r="AF591" s="1">
        <v>0</v>
      </c>
      <c r="AG591" s="1">
        <v>0</v>
      </c>
      <c r="AH591" s="2">
        <v>4191930</v>
      </c>
      <c r="AI591" s="1">
        <v>136641</v>
      </c>
      <c r="AJ591" s="1">
        <v>0</v>
      </c>
      <c r="AK591" s="8">
        <f t="shared" si="39"/>
        <v>18</v>
      </c>
      <c r="AL591" s="8">
        <f t="shared" si="38"/>
        <v>12</v>
      </c>
      <c r="AM591">
        <f t="shared" si="36"/>
        <v>0</v>
      </c>
      <c r="AN591">
        <f t="shared" si="37"/>
        <v>0</v>
      </c>
    </row>
    <row r="592" spans="1:40" x14ac:dyDescent="0.35">
      <c r="A592">
        <v>85.138999999999996</v>
      </c>
      <c r="B592">
        <v>85.138999999999996</v>
      </c>
      <c r="C592">
        <v>4.0432100000000002</v>
      </c>
      <c r="D592">
        <v>0</v>
      </c>
      <c r="E592">
        <v>0</v>
      </c>
      <c r="F592">
        <v>2.7415099999999999</v>
      </c>
      <c r="G592">
        <v>2.7415099999999999</v>
      </c>
      <c r="H592">
        <v>0</v>
      </c>
      <c r="I592">
        <v>0.52085300000000001</v>
      </c>
      <c r="J592">
        <v>5.3222399999999999</v>
      </c>
      <c r="K592" s="2">
        <v>77860900</v>
      </c>
      <c r="L592" s="1">
        <v>0</v>
      </c>
      <c r="M592" s="1">
        <v>0</v>
      </c>
      <c r="N592" s="1">
        <v>0</v>
      </c>
      <c r="O592" s="1">
        <v>0</v>
      </c>
      <c r="P592" s="2">
        <v>4098490</v>
      </c>
      <c r="Q592" s="1">
        <v>281833</v>
      </c>
      <c r="R592" s="1">
        <v>0</v>
      </c>
      <c r="S592">
        <v>99.302199999999999</v>
      </c>
      <c r="T592">
        <v>98.274000000000001</v>
      </c>
      <c r="U592">
        <v>4.6782899999999996</v>
      </c>
      <c r="V592">
        <v>0</v>
      </c>
      <c r="W592">
        <v>0</v>
      </c>
      <c r="X592">
        <v>1.5961700000000001</v>
      </c>
      <c r="Y592">
        <v>1.5961700000000001</v>
      </c>
      <c r="Z592">
        <v>0</v>
      </c>
      <c r="AA592">
        <v>1.25179</v>
      </c>
      <c r="AB592">
        <v>2.9635199999999999</v>
      </c>
      <c r="AC592" s="2">
        <v>255650000</v>
      </c>
      <c r="AD592" s="1">
        <v>0</v>
      </c>
      <c r="AE592" s="1">
        <v>0</v>
      </c>
      <c r="AF592" s="1">
        <v>0</v>
      </c>
      <c r="AG592" s="1">
        <v>0</v>
      </c>
      <c r="AH592" s="2">
        <v>4129670</v>
      </c>
      <c r="AI592" s="1">
        <v>134611</v>
      </c>
      <c r="AJ592" s="1">
        <v>0</v>
      </c>
      <c r="AK592" s="8">
        <f t="shared" si="39"/>
        <v>19</v>
      </c>
      <c r="AL592" s="8">
        <f t="shared" si="38"/>
        <v>12</v>
      </c>
      <c r="AM592">
        <f t="shared" si="36"/>
        <v>0</v>
      </c>
      <c r="AN592">
        <f t="shared" si="37"/>
        <v>0</v>
      </c>
    </row>
    <row r="593" spans="1:40" x14ac:dyDescent="0.35">
      <c r="A593">
        <v>85.138999999999996</v>
      </c>
      <c r="B593">
        <v>85.138999999999996</v>
      </c>
      <c r="C593">
        <v>3.7553999999999998</v>
      </c>
      <c r="D593">
        <v>0</v>
      </c>
      <c r="E593">
        <v>0</v>
      </c>
      <c r="F593">
        <v>2.7419699999999998</v>
      </c>
      <c r="G593">
        <v>2.7419699999999998</v>
      </c>
      <c r="H593">
        <v>0</v>
      </c>
      <c r="I593">
        <v>0.51375999999999999</v>
      </c>
      <c r="J593">
        <v>5.3222399999999999</v>
      </c>
      <c r="K593" s="2">
        <v>78142700</v>
      </c>
      <c r="L593" s="1">
        <v>0</v>
      </c>
      <c r="M593" s="1">
        <v>0</v>
      </c>
      <c r="N593" s="1">
        <v>0</v>
      </c>
      <c r="O593" s="1">
        <v>0</v>
      </c>
      <c r="P593" s="2">
        <v>4099180</v>
      </c>
      <c r="Q593" s="1">
        <v>281880</v>
      </c>
      <c r="R593" s="1">
        <v>0</v>
      </c>
      <c r="S593">
        <v>99.302199999999999</v>
      </c>
      <c r="T593">
        <v>98.274000000000001</v>
      </c>
      <c r="U593">
        <v>3.7671700000000001</v>
      </c>
      <c r="V593">
        <v>0</v>
      </c>
      <c r="W593">
        <v>0</v>
      </c>
      <c r="X593">
        <v>1.5964400000000001</v>
      </c>
      <c r="Y593">
        <v>1.5964400000000001</v>
      </c>
      <c r="Z593">
        <v>0</v>
      </c>
      <c r="AA593">
        <v>1.2332000000000001</v>
      </c>
      <c r="AB593">
        <v>2.9635199999999999</v>
      </c>
      <c r="AC593" s="2">
        <v>255785000</v>
      </c>
      <c r="AD593" s="1">
        <v>0</v>
      </c>
      <c r="AE593" s="1">
        <v>0</v>
      </c>
      <c r="AF593" s="1">
        <v>0</v>
      </c>
      <c r="AG593" s="1">
        <v>0</v>
      </c>
      <c r="AH593" s="2">
        <v>4130360</v>
      </c>
      <c r="AI593" s="1">
        <v>134634</v>
      </c>
      <c r="AJ593" s="1">
        <v>0</v>
      </c>
      <c r="AK593" s="8">
        <f t="shared" si="39"/>
        <v>20</v>
      </c>
      <c r="AL593" s="8">
        <f t="shared" si="38"/>
        <v>12</v>
      </c>
      <c r="AM593">
        <f t="shared" si="36"/>
        <v>0</v>
      </c>
      <c r="AN593">
        <f t="shared" si="37"/>
        <v>0</v>
      </c>
    </row>
    <row r="594" spans="1:40" x14ac:dyDescent="0.35">
      <c r="A594">
        <v>85.138999999999996</v>
      </c>
      <c r="B594">
        <v>85.138999999999996</v>
      </c>
      <c r="C594">
        <v>3.3433899999999999</v>
      </c>
      <c r="D594">
        <v>0</v>
      </c>
      <c r="E594">
        <v>0</v>
      </c>
      <c r="F594">
        <v>2.7424300000000001</v>
      </c>
      <c r="G594">
        <v>2.7424300000000001</v>
      </c>
      <c r="H594">
        <v>0</v>
      </c>
      <c r="I594">
        <v>0.513845</v>
      </c>
      <c r="J594">
        <v>5.3222399999999999</v>
      </c>
      <c r="K594" s="2">
        <v>78424700</v>
      </c>
      <c r="L594" s="1">
        <v>0</v>
      </c>
      <c r="M594" s="1">
        <v>0</v>
      </c>
      <c r="N594" s="1">
        <v>0</v>
      </c>
      <c r="O594" s="1">
        <v>0</v>
      </c>
      <c r="P594" s="2">
        <v>4099860</v>
      </c>
      <c r="Q594" s="1">
        <v>281927</v>
      </c>
      <c r="R594" s="1">
        <v>0</v>
      </c>
      <c r="S594">
        <v>99.302199999999999</v>
      </c>
      <c r="T594">
        <v>98.274000000000001</v>
      </c>
      <c r="U594">
        <v>3.3031899999999998</v>
      </c>
      <c r="V594">
        <v>0</v>
      </c>
      <c r="W594">
        <v>0</v>
      </c>
      <c r="X594">
        <v>1.5967</v>
      </c>
      <c r="Y594">
        <v>1.5967</v>
      </c>
      <c r="Z594">
        <v>0</v>
      </c>
      <c r="AA594">
        <v>1.2334099999999999</v>
      </c>
      <c r="AB594">
        <v>2.9635199999999999</v>
      </c>
      <c r="AC594" s="2">
        <v>255920000</v>
      </c>
      <c r="AD594" s="1">
        <v>0</v>
      </c>
      <c r="AE594" s="1">
        <v>0</v>
      </c>
      <c r="AF594" s="1">
        <v>0</v>
      </c>
      <c r="AG594" s="1">
        <v>0</v>
      </c>
      <c r="AH594" s="2">
        <v>4131050</v>
      </c>
      <c r="AI594" s="1">
        <v>134656</v>
      </c>
      <c r="AJ594" s="1">
        <v>0</v>
      </c>
      <c r="AK594" s="8">
        <f t="shared" si="39"/>
        <v>21</v>
      </c>
      <c r="AL594" s="8">
        <f t="shared" si="38"/>
        <v>12</v>
      </c>
      <c r="AM594">
        <f t="shared" si="36"/>
        <v>0</v>
      </c>
      <c r="AN594">
        <f t="shared" si="37"/>
        <v>0</v>
      </c>
    </row>
    <row r="595" spans="1:40" x14ac:dyDescent="0.35">
      <c r="A595">
        <v>85.138999999999996</v>
      </c>
      <c r="B595">
        <v>85.138999999999996</v>
      </c>
      <c r="C595">
        <v>3.0826899999999999</v>
      </c>
      <c r="D595">
        <v>0</v>
      </c>
      <c r="E595">
        <v>0</v>
      </c>
      <c r="F595">
        <v>2.74288</v>
      </c>
      <c r="G595">
        <v>2.74288</v>
      </c>
      <c r="H595">
        <v>0</v>
      </c>
      <c r="I595">
        <v>0.51393100000000003</v>
      </c>
      <c r="J595">
        <v>5.3222399999999999</v>
      </c>
      <c r="K595" s="2">
        <v>78706600</v>
      </c>
      <c r="L595" s="1">
        <v>0</v>
      </c>
      <c r="M595" s="1">
        <v>0</v>
      </c>
      <c r="N595" s="1">
        <v>0</v>
      </c>
      <c r="O595" s="1">
        <v>0</v>
      </c>
      <c r="P595" s="2">
        <v>4100540</v>
      </c>
      <c r="Q595" s="1">
        <v>281974</v>
      </c>
      <c r="R595" s="1">
        <v>0</v>
      </c>
      <c r="S595">
        <v>99.302199999999999</v>
      </c>
      <c r="T595">
        <v>98.274000000000001</v>
      </c>
      <c r="U595">
        <v>3.0625100000000001</v>
      </c>
      <c r="V595">
        <v>0</v>
      </c>
      <c r="W595">
        <v>0</v>
      </c>
      <c r="X595">
        <v>1.59697</v>
      </c>
      <c r="Y595">
        <v>1.59697</v>
      </c>
      <c r="Z595">
        <v>0</v>
      </c>
      <c r="AA595">
        <v>1.2336100000000001</v>
      </c>
      <c r="AB595">
        <v>2.9635199999999999</v>
      </c>
      <c r="AC595" s="2">
        <v>256054000</v>
      </c>
      <c r="AD595" s="1">
        <v>0</v>
      </c>
      <c r="AE595" s="1">
        <v>0</v>
      </c>
      <c r="AF595" s="1">
        <v>0</v>
      </c>
      <c r="AG595" s="1">
        <v>0</v>
      </c>
      <c r="AH595" s="2">
        <v>4131740</v>
      </c>
      <c r="AI595" s="1">
        <v>134679</v>
      </c>
      <c r="AJ595" s="1">
        <v>0</v>
      </c>
      <c r="AK595" s="8">
        <f t="shared" si="39"/>
        <v>22</v>
      </c>
      <c r="AL595" s="8">
        <f t="shared" si="38"/>
        <v>12</v>
      </c>
      <c r="AM595">
        <f t="shared" si="36"/>
        <v>0</v>
      </c>
      <c r="AN595">
        <f t="shared" si="37"/>
        <v>0</v>
      </c>
    </row>
    <row r="596" spans="1:40" x14ac:dyDescent="0.35">
      <c r="A596">
        <v>84.911900000000003</v>
      </c>
      <c r="B596">
        <v>85.138999999999996</v>
      </c>
      <c r="C596">
        <v>2.92665</v>
      </c>
      <c r="D596">
        <v>0</v>
      </c>
      <c r="E596">
        <v>0</v>
      </c>
      <c r="F596">
        <v>2.8734799999999998</v>
      </c>
      <c r="G596">
        <v>2.8734799999999998</v>
      </c>
      <c r="H596">
        <v>0</v>
      </c>
      <c r="I596">
        <v>0.51401699999999995</v>
      </c>
      <c r="J596">
        <v>5.3222399999999999</v>
      </c>
      <c r="K596" s="2">
        <v>79002000</v>
      </c>
      <c r="L596" s="1">
        <v>0</v>
      </c>
      <c r="M596" s="1">
        <v>0</v>
      </c>
      <c r="N596" s="1">
        <v>0</v>
      </c>
      <c r="O596" s="1">
        <v>0</v>
      </c>
      <c r="P596" s="2">
        <v>4295780</v>
      </c>
      <c r="Q596" s="1">
        <v>295399</v>
      </c>
      <c r="R596" s="1">
        <v>0</v>
      </c>
      <c r="S596">
        <v>99.302199999999999</v>
      </c>
      <c r="T596">
        <v>98.274000000000001</v>
      </c>
      <c r="U596">
        <v>3.1709499999999999</v>
      </c>
      <c r="V596">
        <v>0</v>
      </c>
      <c r="W596">
        <v>0</v>
      </c>
      <c r="X596">
        <v>1.6835899999999999</v>
      </c>
      <c r="Y596">
        <v>1.6835899999999999</v>
      </c>
      <c r="Z596">
        <v>0</v>
      </c>
      <c r="AA596">
        <v>1.2338199999999999</v>
      </c>
      <c r="AB596">
        <v>2.9635199999999999</v>
      </c>
      <c r="AC596" s="2">
        <v>256196000</v>
      </c>
      <c r="AD596" s="1">
        <v>0</v>
      </c>
      <c r="AE596" s="1">
        <v>0</v>
      </c>
      <c r="AF596" s="1">
        <v>0</v>
      </c>
      <c r="AG596" s="1">
        <v>0</v>
      </c>
      <c r="AH596" s="2">
        <v>4355850</v>
      </c>
      <c r="AI596" s="1">
        <v>141984</v>
      </c>
      <c r="AJ596" s="1">
        <v>0</v>
      </c>
      <c r="AK596" s="8">
        <f t="shared" si="39"/>
        <v>23</v>
      </c>
      <c r="AL596" s="8">
        <f t="shared" si="38"/>
        <v>12</v>
      </c>
      <c r="AM596">
        <f t="shared" si="36"/>
        <v>0</v>
      </c>
      <c r="AN596">
        <f t="shared" si="37"/>
        <v>0</v>
      </c>
    </row>
    <row r="597" spans="1:40" x14ac:dyDescent="0.35">
      <c r="A597">
        <v>84.935100000000006</v>
      </c>
      <c r="B597">
        <v>85.138999999999996</v>
      </c>
      <c r="C597">
        <v>3.1575199999999999</v>
      </c>
      <c r="D597">
        <v>0</v>
      </c>
      <c r="E597">
        <v>0</v>
      </c>
      <c r="F597">
        <v>2.8739599999999998</v>
      </c>
      <c r="G597">
        <v>2.8739599999999998</v>
      </c>
      <c r="H597">
        <v>0</v>
      </c>
      <c r="I597">
        <v>0.53849000000000002</v>
      </c>
      <c r="J597">
        <v>5.3222399999999999</v>
      </c>
      <c r="K597" s="2">
        <v>79297500</v>
      </c>
      <c r="L597" s="1">
        <v>0</v>
      </c>
      <c r="M597" s="1">
        <v>0</v>
      </c>
      <c r="N597" s="1">
        <v>0</v>
      </c>
      <c r="O597" s="1">
        <v>0</v>
      </c>
      <c r="P597" s="2">
        <v>4296490</v>
      </c>
      <c r="Q597" s="1">
        <v>295448</v>
      </c>
      <c r="R597" s="1">
        <v>0</v>
      </c>
      <c r="S597">
        <v>99.302199999999999</v>
      </c>
      <c r="T597">
        <v>98.274000000000001</v>
      </c>
      <c r="U597">
        <v>3.59884</v>
      </c>
      <c r="V597">
        <v>0</v>
      </c>
      <c r="W597">
        <v>0</v>
      </c>
      <c r="X597">
        <v>1.68387</v>
      </c>
      <c r="Y597">
        <v>1.68387</v>
      </c>
      <c r="Z597">
        <v>0</v>
      </c>
      <c r="AA597">
        <v>1.30074</v>
      </c>
      <c r="AB597">
        <v>2.9635199999999999</v>
      </c>
      <c r="AC597" s="2">
        <v>256338000</v>
      </c>
      <c r="AD597" s="1">
        <v>0</v>
      </c>
      <c r="AE597" s="1">
        <v>0</v>
      </c>
      <c r="AF597" s="1">
        <v>0</v>
      </c>
      <c r="AG597" s="1">
        <v>0</v>
      </c>
      <c r="AH597" s="2">
        <v>4356570</v>
      </c>
      <c r="AI597" s="1">
        <v>142007</v>
      </c>
      <c r="AJ597" s="1">
        <v>0</v>
      </c>
      <c r="AK597" s="8">
        <f t="shared" si="39"/>
        <v>24</v>
      </c>
      <c r="AL597" s="8">
        <f t="shared" si="38"/>
        <v>12</v>
      </c>
      <c r="AM597">
        <f t="shared" si="36"/>
        <v>0</v>
      </c>
      <c r="AN597">
        <f t="shared" si="37"/>
        <v>0</v>
      </c>
    </row>
    <row r="598" spans="1:40" x14ac:dyDescent="0.35">
      <c r="A598">
        <v>84.914100000000005</v>
      </c>
      <c r="B598">
        <v>85.138999999999996</v>
      </c>
      <c r="C598">
        <v>3.09849</v>
      </c>
      <c r="D598">
        <v>0</v>
      </c>
      <c r="E598">
        <v>0</v>
      </c>
      <c r="F598">
        <v>2.8744399999999999</v>
      </c>
      <c r="G598">
        <v>2.8744399999999999</v>
      </c>
      <c r="H598">
        <v>0</v>
      </c>
      <c r="I598">
        <v>0.53857999999999995</v>
      </c>
      <c r="J598">
        <v>5.3222399999999999</v>
      </c>
      <c r="K598" s="2">
        <v>79593000</v>
      </c>
      <c r="L598" s="1">
        <v>0</v>
      </c>
      <c r="M598" s="1">
        <v>0</v>
      </c>
      <c r="N598" s="1">
        <v>0</v>
      </c>
      <c r="O598" s="1">
        <v>0</v>
      </c>
      <c r="P598" s="2">
        <v>4297210</v>
      </c>
      <c r="Q598" s="1">
        <v>295498</v>
      </c>
      <c r="R598" s="1">
        <v>0</v>
      </c>
      <c r="S598">
        <v>99.302199999999999</v>
      </c>
      <c r="T598">
        <v>98.274000000000001</v>
      </c>
      <c r="U598">
        <v>3.1711800000000001</v>
      </c>
      <c r="V598">
        <v>0</v>
      </c>
      <c r="W598">
        <v>0</v>
      </c>
      <c r="X598">
        <v>1.68415</v>
      </c>
      <c r="Y598">
        <v>1.68415</v>
      </c>
      <c r="Z598">
        <v>0</v>
      </c>
      <c r="AA598">
        <v>1.3009599999999999</v>
      </c>
      <c r="AB598">
        <v>2.9635199999999999</v>
      </c>
      <c r="AC598" s="2">
        <v>256480000</v>
      </c>
      <c r="AD598" s="1">
        <v>0</v>
      </c>
      <c r="AE598" s="1">
        <v>0</v>
      </c>
      <c r="AF598" s="1">
        <v>0</v>
      </c>
      <c r="AG598" s="1">
        <v>0</v>
      </c>
      <c r="AH598" s="2">
        <v>4357300</v>
      </c>
      <c r="AI598" s="1">
        <v>142031</v>
      </c>
      <c r="AJ598" s="1">
        <v>0</v>
      </c>
      <c r="AK598" s="8">
        <f t="shared" si="39"/>
        <v>25</v>
      </c>
      <c r="AL598" s="8">
        <f t="shared" si="38"/>
        <v>12</v>
      </c>
      <c r="AM598">
        <f t="shared" si="36"/>
        <v>0</v>
      </c>
      <c r="AN598">
        <f t="shared" si="37"/>
        <v>0</v>
      </c>
    </row>
    <row r="599" spans="1:40" x14ac:dyDescent="0.35">
      <c r="A599">
        <v>84.598399999999998</v>
      </c>
      <c r="B599">
        <v>85.138999999999996</v>
      </c>
      <c r="C599">
        <v>2.7567400000000002</v>
      </c>
      <c r="D599">
        <v>0</v>
      </c>
      <c r="E599">
        <v>0</v>
      </c>
      <c r="F599">
        <v>2.8749199999999999</v>
      </c>
      <c r="G599">
        <v>2.8749199999999999</v>
      </c>
      <c r="H599">
        <v>0</v>
      </c>
      <c r="I599">
        <v>0.53866899999999995</v>
      </c>
      <c r="J599">
        <v>5.3222399999999999</v>
      </c>
      <c r="K599" s="2">
        <v>79888500</v>
      </c>
      <c r="L599" s="1">
        <v>0</v>
      </c>
      <c r="M599" s="1">
        <v>0</v>
      </c>
      <c r="N599" s="1">
        <v>0</v>
      </c>
      <c r="O599" s="1">
        <v>0</v>
      </c>
      <c r="P599" s="2">
        <v>4297930</v>
      </c>
      <c r="Q599" s="1">
        <v>295547</v>
      </c>
      <c r="R599" s="1">
        <v>0</v>
      </c>
      <c r="S599">
        <v>99.302199999999999</v>
      </c>
      <c r="T599">
        <v>98.274000000000001</v>
      </c>
      <c r="U599">
        <v>3.0329000000000002</v>
      </c>
      <c r="V599">
        <v>0</v>
      </c>
      <c r="W599">
        <v>0</v>
      </c>
      <c r="X599">
        <v>1.6844300000000001</v>
      </c>
      <c r="Y599">
        <v>1.6844300000000001</v>
      </c>
      <c r="Z599">
        <v>0</v>
      </c>
      <c r="AA599">
        <v>1.30118</v>
      </c>
      <c r="AB599">
        <v>2.9635199999999999</v>
      </c>
      <c r="AC599" s="2">
        <v>256622000</v>
      </c>
      <c r="AD599" s="1">
        <v>0</v>
      </c>
      <c r="AE599" s="1">
        <v>0</v>
      </c>
      <c r="AF599" s="1">
        <v>0</v>
      </c>
      <c r="AG599" s="1">
        <v>0</v>
      </c>
      <c r="AH599" s="2">
        <v>4358030</v>
      </c>
      <c r="AI599" s="1">
        <v>142055</v>
      </c>
      <c r="AJ599" s="1">
        <v>0</v>
      </c>
      <c r="AK599" s="8">
        <f t="shared" si="39"/>
        <v>26</v>
      </c>
      <c r="AL599" s="8">
        <f t="shared" si="38"/>
        <v>12</v>
      </c>
      <c r="AM599">
        <f t="shared" si="36"/>
        <v>0</v>
      </c>
      <c r="AN599">
        <f t="shared" si="37"/>
        <v>0</v>
      </c>
    </row>
    <row r="600" spans="1:40" x14ac:dyDescent="0.35">
      <c r="A600">
        <v>84.166399999999996</v>
      </c>
      <c r="B600">
        <v>85.138999999999996</v>
      </c>
      <c r="C600">
        <v>2.61084</v>
      </c>
      <c r="D600">
        <v>0</v>
      </c>
      <c r="E600">
        <v>0</v>
      </c>
      <c r="F600">
        <v>2.8754</v>
      </c>
      <c r="G600">
        <v>2.8754</v>
      </c>
      <c r="H600">
        <v>0</v>
      </c>
      <c r="I600">
        <v>0.53875899999999999</v>
      </c>
      <c r="J600">
        <v>5.3222399999999999</v>
      </c>
      <c r="K600" s="2">
        <v>80184100</v>
      </c>
      <c r="L600" s="1">
        <v>0</v>
      </c>
      <c r="M600" s="1">
        <v>0</v>
      </c>
      <c r="N600" s="1">
        <v>0</v>
      </c>
      <c r="O600" s="1">
        <v>0</v>
      </c>
      <c r="P600" s="2">
        <v>4298640</v>
      </c>
      <c r="Q600" s="1">
        <v>295596</v>
      </c>
      <c r="R600" s="1">
        <v>0</v>
      </c>
      <c r="S600">
        <v>99.195499999999996</v>
      </c>
      <c r="T600">
        <v>98.274000000000001</v>
      </c>
      <c r="U600">
        <v>2.8871600000000002</v>
      </c>
      <c r="V600">
        <v>0</v>
      </c>
      <c r="W600">
        <v>0</v>
      </c>
      <c r="X600">
        <v>1.6847099999999999</v>
      </c>
      <c r="Y600">
        <v>1.6847099999999999</v>
      </c>
      <c r="Z600">
        <v>0</v>
      </c>
      <c r="AA600">
        <v>1.30139</v>
      </c>
      <c r="AB600">
        <v>2.9635199999999999</v>
      </c>
      <c r="AC600" s="2">
        <v>256764000</v>
      </c>
      <c r="AD600" s="1">
        <v>0</v>
      </c>
      <c r="AE600" s="1">
        <v>0</v>
      </c>
      <c r="AF600" s="1">
        <v>0</v>
      </c>
      <c r="AG600" s="1">
        <v>0</v>
      </c>
      <c r="AH600" s="2">
        <v>4358750</v>
      </c>
      <c r="AI600" s="1">
        <v>142079</v>
      </c>
      <c r="AJ600" s="1">
        <v>0</v>
      </c>
      <c r="AK600" s="8">
        <f t="shared" si="39"/>
        <v>27</v>
      </c>
      <c r="AL600" s="8">
        <f t="shared" si="38"/>
        <v>12</v>
      </c>
      <c r="AM600">
        <f t="shared" si="36"/>
        <v>0</v>
      </c>
      <c r="AN600">
        <f t="shared" si="37"/>
        <v>0</v>
      </c>
    </row>
    <row r="601" spans="1:40" x14ac:dyDescent="0.35">
      <c r="A601">
        <v>83.398300000000006</v>
      </c>
      <c r="B601">
        <v>85.138999999999996</v>
      </c>
      <c r="C601">
        <v>2.2173600000000002</v>
      </c>
      <c r="D601">
        <v>0</v>
      </c>
      <c r="E601">
        <v>0</v>
      </c>
      <c r="F601">
        <v>2.85012</v>
      </c>
      <c r="G601">
        <v>2.85012</v>
      </c>
      <c r="H601">
        <v>0</v>
      </c>
      <c r="I601">
        <v>0.53884900000000002</v>
      </c>
      <c r="J601">
        <v>5.3222399999999999</v>
      </c>
      <c r="K601" s="2">
        <v>80477100</v>
      </c>
      <c r="L601" s="1">
        <v>0</v>
      </c>
      <c r="M601" s="1">
        <v>0</v>
      </c>
      <c r="N601" s="1">
        <v>0</v>
      </c>
      <c r="O601" s="1">
        <v>0</v>
      </c>
      <c r="P601" s="2">
        <v>4260850</v>
      </c>
      <c r="Q601" s="1">
        <v>292998</v>
      </c>
      <c r="R601" s="1">
        <v>0</v>
      </c>
      <c r="S601">
        <v>98.960099999999997</v>
      </c>
      <c r="T601">
        <v>98.274000000000001</v>
      </c>
      <c r="U601">
        <v>2.2387700000000001</v>
      </c>
      <c r="V601">
        <v>0</v>
      </c>
      <c r="W601">
        <v>0</v>
      </c>
      <c r="X601">
        <v>1.7324999999999999</v>
      </c>
      <c r="Y601">
        <v>1.7324999999999999</v>
      </c>
      <c r="Z601">
        <v>0</v>
      </c>
      <c r="AA601">
        <v>1.3016099999999999</v>
      </c>
      <c r="AB601">
        <v>2.9635199999999999</v>
      </c>
      <c r="AC601" s="2">
        <v>256911000</v>
      </c>
      <c r="AD601" s="1">
        <v>0</v>
      </c>
      <c r="AE601" s="1">
        <v>0</v>
      </c>
      <c r="AF601" s="1">
        <v>0</v>
      </c>
      <c r="AG601" s="1">
        <v>0</v>
      </c>
      <c r="AH601" s="2">
        <v>4482380</v>
      </c>
      <c r="AI601" s="1">
        <v>146108</v>
      </c>
      <c r="AJ601" s="1">
        <v>0</v>
      </c>
      <c r="AK601" s="8">
        <f t="shared" si="39"/>
        <v>28</v>
      </c>
      <c r="AL601" s="8">
        <f t="shared" si="38"/>
        <v>12</v>
      </c>
      <c r="AM601">
        <f t="shared" si="36"/>
        <v>0</v>
      </c>
      <c r="AN601">
        <f t="shared" si="37"/>
        <v>0</v>
      </c>
    </row>
    <row r="602" spans="1:40" x14ac:dyDescent="0.35">
      <c r="A602">
        <v>82.341700000000003</v>
      </c>
      <c r="B602">
        <v>85.138999999999996</v>
      </c>
      <c r="C602">
        <v>1.8998699999999999</v>
      </c>
      <c r="D602">
        <v>0</v>
      </c>
      <c r="E602">
        <v>0</v>
      </c>
      <c r="F602">
        <v>2.85059</v>
      </c>
      <c r="G602">
        <v>2.85059</v>
      </c>
      <c r="H602">
        <v>0</v>
      </c>
      <c r="I602">
        <v>0.53411200000000003</v>
      </c>
      <c r="J602">
        <v>5.3222399999999999</v>
      </c>
      <c r="K602" s="2">
        <v>80770200</v>
      </c>
      <c r="L602" s="1">
        <v>0</v>
      </c>
      <c r="M602" s="1">
        <v>0</v>
      </c>
      <c r="N602" s="1">
        <v>0</v>
      </c>
      <c r="O602" s="1">
        <v>0</v>
      </c>
      <c r="P602" s="2">
        <v>4261560</v>
      </c>
      <c r="Q602" s="1">
        <v>293046</v>
      </c>
      <c r="R602" s="1">
        <v>0</v>
      </c>
      <c r="S602">
        <v>98.614400000000003</v>
      </c>
      <c r="T602">
        <v>98.274000000000001</v>
      </c>
      <c r="U602">
        <v>1.7902800000000001</v>
      </c>
      <c r="V602">
        <v>0</v>
      </c>
      <c r="W602">
        <v>0</v>
      </c>
      <c r="X602">
        <v>1.73278</v>
      </c>
      <c r="Y602">
        <v>1.73278</v>
      </c>
      <c r="Z602">
        <v>0</v>
      </c>
      <c r="AA602">
        <v>1.33853</v>
      </c>
      <c r="AB602">
        <v>2.9635199999999999</v>
      </c>
      <c r="AC602" s="2">
        <v>257057000</v>
      </c>
      <c r="AD602" s="1">
        <v>0</v>
      </c>
      <c r="AE602" s="1">
        <v>0</v>
      </c>
      <c r="AF602" s="1">
        <v>0</v>
      </c>
      <c r="AG602" s="1">
        <v>0</v>
      </c>
      <c r="AH602" s="2">
        <v>4483130</v>
      </c>
      <c r="AI602" s="1">
        <v>146133</v>
      </c>
      <c r="AJ602" s="1">
        <v>0</v>
      </c>
      <c r="AK602" s="8">
        <f t="shared" si="39"/>
        <v>29</v>
      </c>
      <c r="AL602" s="8">
        <f t="shared" si="38"/>
        <v>12</v>
      </c>
      <c r="AM602">
        <f t="shared" si="36"/>
        <v>0</v>
      </c>
      <c r="AN602">
        <f t="shared" si="37"/>
        <v>0</v>
      </c>
    </row>
    <row r="603" spans="1:40" x14ac:dyDescent="0.35">
      <c r="A603">
        <v>81.120099999999994</v>
      </c>
      <c r="B603">
        <v>85.138999999999996</v>
      </c>
      <c r="C603">
        <v>1.72746</v>
      </c>
      <c r="D603">
        <v>0</v>
      </c>
      <c r="E603">
        <v>0</v>
      </c>
      <c r="F603">
        <v>2.85107</v>
      </c>
      <c r="G603">
        <v>2.85107</v>
      </c>
      <c r="H603">
        <v>0</v>
      </c>
      <c r="I603">
        <v>0.53420100000000004</v>
      </c>
      <c r="J603">
        <v>5.3222399999999999</v>
      </c>
      <c r="K603" s="2">
        <v>81063300</v>
      </c>
      <c r="L603" s="1">
        <v>0</v>
      </c>
      <c r="M603" s="1">
        <v>0</v>
      </c>
      <c r="N603" s="1">
        <v>0</v>
      </c>
      <c r="O603" s="1">
        <v>0</v>
      </c>
      <c r="P603" s="2">
        <v>4262270</v>
      </c>
      <c r="Q603" s="1">
        <v>293095</v>
      </c>
      <c r="R603" s="1">
        <v>0</v>
      </c>
      <c r="S603">
        <v>98.157899999999998</v>
      </c>
      <c r="T603">
        <v>98.274000000000001</v>
      </c>
      <c r="U603">
        <v>1.70312</v>
      </c>
      <c r="V603">
        <v>0</v>
      </c>
      <c r="W603">
        <v>0</v>
      </c>
      <c r="X603">
        <v>1.7330700000000001</v>
      </c>
      <c r="Y603">
        <v>1.7330700000000001</v>
      </c>
      <c r="Z603">
        <v>0</v>
      </c>
      <c r="AA603">
        <v>1.3387500000000001</v>
      </c>
      <c r="AB603">
        <v>2.9635199999999999</v>
      </c>
      <c r="AC603" s="2">
        <v>257203000</v>
      </c>
      <c r="AD603" s="1">
        <v>0</v>
      </c>
      <c r="AE603" s="1">
        <v>0</v>
      </c>
      <c r="AF603" s="1">
        <v>0</v>
      </c>
      <c r="AG603" s="1">
        <v>0</v>
      </c>
      <c r="AH603" s="2">
        <v>4483870</v>
      </c>
      <c r="AI603" s="1">
        <v>146157</v>
      </c>
      <c r="AJ603" s="1">
        <v>0</v>
      </c>
      <c r="AK603" s="8">
        <f t="shared" si="39"/>
        <v>30</v>
      </c>
      <c r="AL603" s="8">
        <f t="shared" si="38"/>
        <v>12</v>
      </c>
      <c r="AM603">
        <f t="shared" si="36"/>
        <v>0</v>
      </c>
      <c r="AN603">
        <f t="shared" si="37"/>
        <v>0</v>
      </c>
    </row>
    <row r="604" spans="1:40" x14ac:dyDescent="0.35">
      <c r="A604">
        <v>79.763199999999998</v>
      </c>
      <c r="B604">
        <v>85.138999999999996</v>
      </c>
      <c r="C604">
        <v>1.57037</v>
      </c>
      <c r="D604">
        <v>0</v>
      </c>
      <c r="E604">
        <v>0</v>
      </c>
      <c r="F604">
        <v>2.85154</v>
      </c>
      <c r="G604">
        <v>2.85154</v>
      </c>
      <c r="H604">
        <v>0</v>
      </c>
      <c r="I604">
        <v>0.53429000000000004</v>
      </c>
      <c r="J604">
        <v>5.3222399999999999</v>
      </c>
      <c r="K604" s="2">
        <v>81356400</v>
      </c>
      <c r="L604" s="1">
        <v>0</v>
      </c>
      <c r="M604" s="1">
        <v>0</v>
      </c>
      <c r="N604" s="1">
        <v>0</v>
      </c>
      <c r="O604" s="1">
        <v>0</v>
      </c>
      <c r="P604" s="2">
        <v>4262990</v>
      </c>
      <c r="Q604" s="1">
        <v>293144</v>
      </c>
      <c r="R604" s="1">
        <v>0</v>
      </c>
      <c r="S604">
        <v>97.691400000000002</v>
      </c>
      <c r="T604">
        <v>98.274000000000001</v>
      </c>
      <c r="U604">
        <v>1.5766500000000001</v>
      </c>
      <c r="V604">
        <v>0</v>
      </c>
      <c r="W604">
        <v>0</v>
      </c>
      <c r="X604">
        <v>1.73336</v>
      </c>
      <c r="Y604">
        <v>1.73336</v>
      </c>
      <c r="Z604">
        <v>0</v>
      </c>
      <c r="AA604">
        <v>1.33897</v>
      </c>
      <c r="AB604">
        <v>2.9635199999999999</v>
      </c>
      <c r="AC604" s="2">
        <v>257349000</v>
      </c>
      <c r="AD604" s="1">
        <v>0</v>
      </c>
      <c r="AE604" s="1">
        <v>0</v>
      </c>
      <c r="AF604" s="1">
        <v>0</v>
      </c>
      <c r="AG604" s="1">
        <v>0</v>
      </c>
      <c r="AH604" s="2">
        <v>4484620</v>
      </c>
      <c r="AI604" s="1">
        <v>146181</v>
      </c>
      <c r="AJ604" s="1">
        <v>0</v>
      </c>
      <c r="AK604" s="8">
        <f t="shared" si="39"/>
        <v>31</v>
      </c>
      <c r="AL604" s="8">
        <f t="shared" si="38"/>
        <v>12</v>
      </c>
      <c r="AM604">
        <f t="shared" si="36"/>
        <v>0</v>
      </c>
      <c r="AN604">
        <f t="shared" si="37"/>
        <v>0</v>
      </c>
    </row>
    <row r="605" spans="1:40" x14ac:dyDescent="0.35">
      <c r="A605">
        <v>78.34</v>
      </c>
      <c r="B605">
        <v>85.138999999999996</v>
      </c>
      <c r="C605">
        <v>1.5148999999999999</v>
      </c>
      <c r="D605">
        <v>0</v>
      </c>
      <c r="E605">
        <v>0</v>
      </c>
      <c r="F605">
        <v>2.91858</v>
      </c>
      <c r="G605">
        <v>2.91858</v>
      </c>
      <c r="H605">
        <v>0</v>
      </c>
      <c r="I605">
        <v>0.53437900000000005</v>
      </c>
      <c r="J605">
        <v>5.3222399999999999</v>
      </c>
      <c r="K605" s="2">
        <v>81656500</v>
      </c>
      <c r="L605" s="1">
        <v>0</v>
      </c>
      <c r="M605" s="1">
        <v>0</v>
      </c>
      <c r="N605" s="1">
        <v>0</v>
      </c>
      <c r="O605" s="1">
        <v>0</v>
      </c>
      <c r="P605" s="2">
        <v>4363200</v>
      </c>
      <c r="Q605" s="1">
        <v>300036</v>
      </c>
      <c r="R605" s="1">
        <v>0</v>
      </c>
      <c r="S605">
        <v>97.111599999999996</v>
      </c>
      <c r="T605">
        <v>98.274000000000001</v>
      </c>
      <c r="U605">
        <v>1.52319</v>
      </c>
      <c r="V605">
        <v>0</v>
      </c>
      <c r="W605">
        <v>0</v>
      </c>
      <c r="X605">
        <v>1.7760100000000001</v>
      </c>
      <c r="Y605">
        <v>1.7760100000000001</v>
      </c>
      <c r="Z605">
        <v>0</v>
      </c>
      <c r="AA605">
        <v>1.3391999999999999</v>
      </c>
      <c r="AB605">
        <v>2.9635199999999999</v>
      </c>
      <c r="AC605" s="2">
        <v>257499000</v>
      </c>
      <c r="AD605" s="1">
        <v>0</v>
      </c>
      <c r="AE605" s="1">
        <v>0</v>
      </c>
      <c r="AF605" s="1">
        <v>0</v>
      </c>
      <c r="AG605" s="1">
        <v>0</v>
      </c>
      <c r="AH605" s="2">
        <v>4594970</v>
      </c>
      <c r="AI605" s="1">
        <v>149778</v>
      </c>
      <c r="AJ605" s="1">
        <v>0</v>
      </c>
      <c r="AK605" s="8">
        <f t="shared" si="39"/>
        <v>32</v>
      </c>
      <c r="AL605" s="8">
        <f t="shared" si="38"/>
        <v>12</v>
      </c>
      <c r="AM605">
        <f t="shared" si="36"/>
        <v>0</v>
      </c>
      <c r="AN605">
        <f t="shared" si="37"/>
        <v>0</v>
      </c>
    </row>
    <row r="606" spans="1:40" x14ac:dyDescent="0.35">
      <c r="A606">
        <v>77.237200000000001</v>
      </c>
      <c r="B606">
        <v>85.138999999999996</v>
      </c>
      <c r="C606">
        <v>1.8353900000000001</v>
      </c>
      <c r="D606">
        <v>0</v>
      </c>
      <c r="E606">
        <v>0</v>
      </c>
      <c r="F606">
        <v>2.9190700000000001</v>
      </c>
      <c r="G606">
        <v>2.9190700000000001</v>
      </c>
      <c r="H606">
        <v>0</v>
      </c>
      <c r="I606">
        <v>0.54694200000000004</v>
      </c>
      <c r="J606">
        <v>5.3222399999999999</v>
      </c>
      <c r="K606" s="2">
        <v>81956500</v>
      </c>
      <c r="L606" s="1">
        <v>0</v>
      </c>
      <c r="M606" s="1">
        <v>0</v>
      </c>
      <c r="N606" s="1">
        <v>0</v>
      </c>
      <c r="O606" s="1">
        <v>0</v>
      </c>
      <c r="P606" s="2">
        <v>4363930</v>
      </c>
      <c r="Q606" s="1">
        <v>300086</v>
      </c>
      <c r="R606" s="1">
        <v>0</v>
      </c>
      <c r="S606">
        <v>96.661500000000004</v>
      </c>
      <c r="T606">
        <v>98.274000000000001</v>
      </c>
      <c r="U606">
        <v>1.6451899999999999</v>
      </c>
      <c r="V606">
        <v>0</v>
      </c>
      <c r="W606">
        <v>0</v>
      </c>
      <c r="X606">
        <v>1.7763100000000001</v>
      </c>
      <c r="Y606">
        <v>1.7763100000000001</v>
      </c>
      <c r="Z606">
        <v>0</v>
      </c>
      <c r="AA606">
        <v>1.37215</v>
      </c>
      <c r="AB606">
        <v>2.9635199999999999</v>
      </c>
      <c r="AC606" s="2">
        <v>257649000</v>
      </c>
      <c r="AD606" s="1">
        <v>0</v>
      </c>
      <c r="AE606" s="1">
        <v>0</v>
      </c>
      <c r="AF606" s="1">
        <v>0</v>
      </c>
      <c r="AG606" s="1">
        <v>0</v>
      </c>
      <c r="AH606" s="2">
        <v>4595740</v>
      </c>
      <c r="AI606" s="1">
        <v>149803</v>
      </c>
      <c r="AJ606" s="1">
        <v>0</v>
      </c>
      <c r="AK606" s="8">
        <f t="shared" si="39"/>
        <v>33</v>
      </c>
      <c r="AL606" s="8">
        <f t="shared" si="38"/>
        <v>12</v>
      </c>
      <c r="AM606">
        <f t="shared" si="36"/>
        <v>0</v>
      </c>
      <c r="AN606">
        <f t="shared" si="37"/>
        <v>0</v>
      </c>
    </row>
    <row r="607" spans="1:40" x14ac:dyDescent="0.35">
      <c r="A607">
        <v>75.984099999999998</v>
      </c>
      <c r="B607">
        <v>85.138999999999996</v>
      </c>
      <c r="C607">
        <v>1.6617</v>
      </c>
      <c r="D607">
        <v>0</v>
      </c>
      <c r="E607">
        <v>0</v>
      </c>
      <c r="F607">
        <v>2.9195500000000001</v>
      </c>
      <c r="G607">
        <v>2.9195500000000001</v>
      </c>
      <c r="H607">
        <v>0</v>
      </c>
      <c r="I607">
        <v>0.54703299999999999</v>
      </c>
      <c r="J607">
        <v>5.3222399999999999</v>
      </c>
      <c r="K607" s="2">
        <v>82256700</v>
      </c>
      <c r="L607" s="1">
        <v>0</v>
      </c>
      <c r="M607" s="1">
        <v>0</v>
      </c>
      <c r="N607" s="1">
        <v>0</v>
      </c>
      <c r="O607" s="1">
        <v>0</v>
      </c>
      <c r="P607" s="2">
        <v>4364660</v>
      </c>
      <c r="Q607" s="1">
        <v>300136</v>
      </c>
      <c r="R607" s="1">
        <v>0</v>
      </c>
      <c r="S607">
        <v>96.003200000000007</v>
      </c>
      <c r="T607">
        <v>98.274000000000001</v>
      </c>
      <c r="U607">
        <v>1.5482800000000001</v>
      </c>
      <c r="V607">
        <v>0</v>
      </c>
      <c r="W607">
        <v>0</v>
      </c>
      <c r="X607">
        <v>1.77661</v>
      </c>
      <c r="Y607">
        <v>1.77661</v>
      </c>
      <c r="Z607">
        <v>0</v>
      </c>
      <c r="AA607">
        <v>1.3723799999999999</v>
      </c>
      <c r="AB607">
        <v>2.9635199999999999</v>
      </c>
      <c r="AC607" s="2">
        <v>257798000</v>
      </c>
      <c r="AD607" s="1">
        <v>0</v>
      </c>
      <c r="AE607" s="1">
        <v>0</v>
      </c>
      <c r="AF607" s="1">
        <v>0</v>
      </c>
      <c r="AG607" s="1">
        <v>0</v>
      </c>
      <c r="AH607" s="2">
        <v>4596500</v>
      </c>
      <c r="AI607" s="1">
        <v>149828</v>
      </c>
      <c r="AJ607" s="1">
        <v>0</v>
      </c>
      <c r="AK607" s="8">
        <f t="shared" si="39"/>
        <v>34</v>
      </c>
      <c r="AL607" s="8">
        <f t="shared" si="38"/>
        <v>12</v>
      </c>
      <c r="AM607">
        <f t="shared" si="36"/>
        <v>0</v>
      </c>
      <c r="AN607">
        <f t="shared" si="37"/>
        <v>0</v>
      </c>
    </row>
    <row r="608" spans="1:40" x14ac:dyDescent="0.35">
      <c r="A608">
        <v>74.594999999999999</v>
      </c>
      <c r="B608">
        <v>85.138999999999996</v>
      </c>
      <c r="C608">
        <v>1.5128699999999999</v>
      </c>
      <c r="D608">
        <v>0</v>
      </c>
      <c r="E608">
        <v>0</v>
      </c>
      <c r="F608">
        <v>2.9200400000000002</v>
      </c>
      <c r="G608">
        <v>2.9200400000000002</v>
      </c>
      <c r="H608">
        <v>0</v>
      </c>
      <c r="I608">
        <v>0.54712400000000005</v>
      </c>
      <c r="J608">
        <v>5.3222399999999999</v>
      </c>
      <c r="K608" s="2">
        <v>82556900</v>
      </c>
      <c r="L608" s="1">
        <v>0</v>
      </c>
      <c r="M608" s="1">
        <v>0</v>
      </c>
      <c r="N608" s="1">
        <v>0</v>
      </c>
      <c r="O608" s="1">
        <v>0</v>
      </c>
      <c r="P608" s="2">
        <v>4365390</v>
      </c>
      <c r="Q608" s="1">
        <v>300186</v>
      </c>
      <c r="R608" s="1">
        <v>0</v>
      </c>
      <c r="S608">
        <v>95.549099999999996</v>
      </c>
      <c r="T608">
        <v>98.274000000000001</v>
      </c>
      <c r="U608">
        <v>1.3574299999999999</v>
      </c>
      <c r="V608">
        <v>0</v>
      </c>
      <c r="W608">
        <v>0</v>
      </c>
      <c r="X608">
        <v>1.7768999999999999</v>
      </c>
      <c r="Y608">
        <v>1.7768999999999999</v>
      </c>
      <c r="Z608">
        <v>0</v>
      </c>
      <c r="AA608">
        <v>1.3726100000000001</v>
      </c>
      <c r="AB608">
        <v>2.9635199999999999</v>
      </c>
      <c r="AC608" s="2">
        <v>257948000</v>
      </c>
      <c r="AD608" s="1">
        <v>0</v>
      </c>
      <c r="AE608" s="1">
        <v>0</v>
      </c>
      <c r="AF608" s="1">
        <v>0</v>
      </c>
      <c r="AG608" s="1">
        <v>0</v>
      </c>
      <c r="AH608" s="2">
        <v>4597270</v>
      </c>
      <c r="AI608" s="1">
        <v>149853</v>
      </c>
      <c r="AJ608" s="1">
        <v>0</v>
      </c>
      <c r="AK608" s="8">
        <f t="shared" si="39"/>
        <v>35</v>
      </c>
      <c r="AL608" s="8">
        <f t="shared" si="38"/>
        <v>12</v>
      </c>
      <c r="AM608">
        <f t="shared" si="36"/>
        <v>0</v>
      </c>
      <c r="AN608">
        <f t="shared" si="37"/>
        <v>0</v>
      </c>
    </row>
    <row r="609" spans="1:40" x14ac:dyDescent="0.35">
      <c r="A609">
        <v>73.189599999999999</v>
      </c>
      <c r="B609">
        <v>85.138999999999996</v>
      </c>
      <c r="C609">
        <v>1.64209</v>
      </c>
      <c r="D609">
        <v>0</v>
      </c>
      <c r="E609">
        <v>0</v>
      </c>
      <c r="F609">
        <v>3.11558</v>
      </c>
      <c r="G609">
        <v>3.11558</v>
      </c>
      <c r="H609">
        <v>0</v>
      </c>
      <c r="I609">
        <v>0.54721500000000001</v>
      </c>
      <c r="J609">
        <v>5.3222399999999999</v>
      </c>
      <c r="K609" s="2">
        <v>82877100</v>
      </c>
      <c r="L609" s="1">
        <v>0</v>
      </c>
      <c r="M609" s="1">
        <v>0</v>
      </c>
      <c r="N609" s="1">
        <v>0</v>
      </c>
      <c r="O609" s="1">
        <v>0</v>
      </c>
      <c r="P609" s="2">
        <v>4657710</v>
      </c>
      <c r="Q609" s="1">
        <v>320287</v>
      </c>
      <c r="R609" s="1">
        <v>0</v>
      </c>
      <c r="S609">
        <v>94.661500000000004</v>
      </c>
      <c r="T609">
        <v>98.274000000000001</v>
      </c>
      <c r="U609">
        <v>1.7020200000000001</v>
      </c>
      <c r="V609">
        <v>0</v>
      </c>
      <c r="W609">
        <v>0</v>
      </c>
      <c r="X609">
        <v>1.93021</v>
      </c>
      <c r="Y609">
        <v>1.93021</v>
      </c>
      <c r="Z609">
        <v>0</v>
      </c>
      <c r="AA609">
        <v>1.37283</v>
      </c>
      <c r="AB609">
        <v>2.9635199999999999</v>
      </c>
      <c r="AC609" s="2">
        <v>258111000</v>
      </c>
      <c r="AD609" s="1">
        <v>0</v>
      </c>
      <c r="AE609" s="1">
        <v>0</v>
      </c>
      <c r="AF609" s="1">
        <v>0</v>
      </c>
      <c r="AG609" s="1">
        <v>0</v>
      </c>
      <c r="AH609" s="2">
        <v>4993910</v>
      </c>
      <c r="AI609" s="1">
        <v>162782</v>
      </c>
      <c r="AJ609" s="1">
        <v>0</v>
      </c>
      <c r="AK609" s="8">
        <f t="shared" si="39"/>
        <v>36</v>
      </c>
      <c r="AL609" s="8">
        <f t="shared" si="38"/>
        <v>12</v>
      </c>
      <c r="AM609">
        <f t="shared" si="36"/>
        <v>0</v>
      </c>
      <c r="AN609">
        <f t="shared" si="37"/>
        <v>0</v>
      </c>
    </row>
    <row r="610" spans="1:40" x14ac:dyDescent="0.35">
      <c r="A610">
        <v>71.626000000000005</v>
      </c>
      <c r="B610">
        <v>85.138999999999996</v>
      </c>
      <c r="C610">
        <v>1.44468</v>
      </c>
      <c r="D610">
        <v>0</v>
      </c>
      <c r="E610">
        <v>0</v>
      </c>
      <c r="F610">
        <v>3.1160999999999999</v>
      </c>
      <c r="G610">
        <v>3.1160999999999999</v>
      </c>
      <c r="H610">
        <v>0</v>
      </c>
      <c r="I610">
        <v>0.58385900000000002</v>
      </c>
      <c r="J610">
        <v>5.3222399999999999</v>
      </c>
      <c r="K610" s="2">
        <v>83197500</v>
      </c>
      <c r="L610" s="1">
        <v>0</v>
      </c>
      <c r="M610" s="1">
        <v>0</v>
      </c>
      <c r="N610" s="1">
        <v>0</v>
      </c>
      <c r="O610" s="1">
        <v>0</v>
      </c>
      <c r="P610" s="2">
        <v>4658480</v>
      </c>
      <c r="Q610" s="1">
        <v>320341</v>
      </c>
      <c r="R610" s="1">
        <v>0</v>
      </c>
      <c r="S610">
        <v>93.710499999999996</v>
      </c>
      <c r="T610">
        <v>98.274000000000001</v>
      </c>
      <c r="U610">
        <v>1.2174700000000001</v>
      </c>
      <c r="V610">
        <v>0</v>
      </c>
      <c r="W610">
        <v>0</v>
      </c>
      <c r="X610">
        <v>1.9305300000000001</v>
      </c>
      <c r="Y610">
        <v>1.9305300000000001</v>
      </c>
      <c r="Z610">
        <v>0</v>
      </c>
      <c r="AA610">
        <v>1.4912799999999999</v>
      </c>
      <c r="AB610">
        <v>2.9635199999999999</v>
      </c>
      <c r="AC610" s="2">
        <v>258274000</v>
      </c>
      <c r="AD610" s="1">
        <v>0</v>
      </c>
      <c r="AE610" s="1">
        <v>0</v>
      </c>
      <c r="AF610" s="1">
        <v>0</v>
      </c>
      <c r="AG610" s="1">
        <v>0</v>
      </c>
      <c r="AH610" s="2">
        <v>4994740</v>
      </c>
      <c r="AI610" s="1">
        <v>162809</v>
      </c>
      <c r="AJ610" s="1">
        <v>0</v>
      </c>
      <c r="AK610" s="8">
        <f t="shared" si="39"/>
        <v>37</v>
      </c>
      <c r="AL610" s="8">
        <f t="shared" si="38"/>
        <v>12</v>
      </c>
      <c r="AM610">
        <f t="shared" si="36"/>
        <v>0</v>
      </c>
      <c r="AN610">
        <f t="shared" si="37"/>
        <v>0</v>
      </c>
    </row>
    <row r="611" spans="1:40" x14ac:dyDescent="0.35">
      <c r="A611">
        <v>70.024900000000002</v>
      </c>
      <c r="B611">
        <v>85.138999999999996</v>
      </c>
      <c r="C611">
        <v>1.38934</v>
      </c>
      <c r="D611">
        <v>0</v>
      </c>
      <c r="E611">
        <v>0</v>
      </c>
      <c r="F611">
        <v>3.1166200000000002</v>
      </c>
      <c r="G611">
        <v>3.1166200000000002</v>
      </c>
      <c r="H611">
        <v>0</v>
      </c>
      <c r="I611">
        <v>0.58395600000000003</v>
      </c>
      <c r="J611">
        <v>5.3222399999999999</v>
      </c>
      <c r="K611" s="2">
        <v>83517900</v>
      </c>
      <c r="L611" s="1">
        <v>0</v>
      </c>
      <c r="M611" s="1">
        <v>0</v>
      </c>
      <c r="N611" s="1">
        <v>0</v>
      </c>
      <c r="O611" s="1">
        <v>0</v>
      </c>
      <c r="P611" s="2">
        <v>4659260</v>
      </c>
      <c r="Q611" s="1">
        <v>320394</v>
      </c>
      <c r="R611" s="1">
        <v>0</v>
      </c>
      <c r="S611">
        <v>92.797399999999996</v>
      </c>
      <c r="T611">
        <v>98.274000000000001</v>
      </c>
      <c r="U611">
        <v>1.04806</v>
      </c>
      <c r="V611">
        <v>0</v>
      </c>
      <c r="W611">
        <v>0</v>
      </c>
      <c r="X611">
        <v>1.93085</v>
      </c>
      <c r="Y611">
        <v>1.93085</v>
      </c>
      <c r="Z611">
        <v>0</v>
      </c>
      <c r="AA611">
        <v>1.49153</v>
      </c>
      <c r="AB611">
        <v>2.9635199999999999</v>
      </c>
      <c r="AC611" s="2">
        <v>258437000</v>
      </c>
      <c r="AD611" s="1">
        <v>0</v>
      </c>
      <c r="AE611" s="1">
        <v>0</v>
      </c>
      <c r="AF611" s="1">
        <v>0</v>
      </c>
      <c r="AG611" s="1">
        <v>0</v>
      </c>
      <c r="AH611" s="2">
        <v>4995570</v>
      </c>
      <c r="AI611" s="1">
        <v>162836</v>
      </c>
      <c r="AJ611" s="1">
        <v>0</v>
      </c>
      <c r="AK611" s="8">
        <f t="shared" si="39"/>
        <v>38</v>
      </c>
      <c r="AL611" s="8">
        <f t="shared" si="38"/>
        <v>12</v>
      </c>
      <c r="AM611">
        <f t="shared" si="36"/>
        <v>0</v>
      </c>
      <c r="AN611">
        <f t="shared" si="37"/>
        <v>0</v>
      </c>
    </row>
    <row r="612" spans="1:40" x14ac:dyDescent="0.35">
      <c r="A612">
        <v>68.272400000000005</v>
      </c>
      <c r="B612">
        <v>85.138999999999996</v>
      </c>
      <c r="C612">
        <v>1.23858</v>
      </c>
      <c r="D612">
        <v>0</v>
      </c>
      <c r="E612">
        <v>0</v>
      </c>
      <c r="F612">
        <v>3.11713</v>
      </c>
      <c r="G612">
        <v>3.11713</v>
      </c>
      <c r="H612">
        <v>0</v>
      </c>
      <c r="I612">
        <v>0.58405399999999996</v>
      </c>
      <c r="J612">
        <v>5.3222399999999999</v>
      </c>
      <c r="K612" s="2">
        <v>83838300</v>
      </c>
      <c r="L612" s="1">
        <v>0</v>
      </c>
      <c r="M612" s="1">
        <v>0</v>
      </c>
      <c r="N612" s="1">
        <v>0</v>
      </c>
      <c r="O612" s="1">
        <v>0</v>
      </c>
      <c r="P612" s="2">
        <v>4660040</v>
      </c>
      <c r="Q612" s="1">
        <v>320448</v>
      </c>
      <c r="R612" s="1">
        <v>0</v>
      </c>
      <c r="S612">
        <v>91.903199999999998</v>
      </c>
      <c r="T612">
        <v>98.274000000000001</v>
      </c>
      <c r="U612">
        <v>1.00596</v>
      </c>
      <c r="V612">
        <v>0</v>
      </c>
      <c r="W612">
        <v>0</v>
      </c>
      <c r="X612">
        <v>1.9311700000000001</v>
      </c>
      <c r="Y612">
        <v>1.9311700000000001</v>
      </c>
      <c r="Z612">
        <v>0</v>
      </c>
      <c r="AA612">
        <v>1.4917800000000001</v>
      </c>
      <c r="AB612">
        <v>2.9635199999999999</v>
      </c>
      <c r="AC612" s="2">
        <v>258600000</v>
      </c>
      <c r="AD612" s="1">
        <v>0</v>
      </c>
      <c r="AE612" s="1">
        <v>0</v>
      </c>
      <c r="AF612" s="1">
        <v>0</v>
      </c>
      <c r="AG612" s="1">
        <v>0</v>
      </c>
      <c r="AH612" s="2">
        <v>4996410</v>
      </c>
      <c r="AI612" s="1">
        <v>162864</v>
      </c>
      <c r="AJ612" s="1">
        <v>0</v>
      </c>
      <c r="AK612" s="8">
        <f t="shared" si="39"/>
        <v>39</v>
      </c>
      <c r="AL612" s="8">
        <f t="shared" si="38"/>
        <v>12</v>
      </c>
      <c r="AM612">
        <f t="shared" si="36"/>
        <v>0</v>
      </c>
      <c r="AN612">
        <f t="shared" si="37"/>
        <v>0</v>
      </c>
    </row>
    <row r="613" spans="1:40" x14ac:dyDescent="0.35">
      <c r="A613">
        <v>66.805199999999999</v>
      </c>
      <c r="B613">
        <v>85.138999999999996</v>
      </c>
      <c r="C613">
        <v>1.25529</v>
      </c>
      <c r="D613">
        <v>0.01</v>
      </c>
      <c r="E613">
        <v>0</v>
      </c>
      <c r="F613">
        <v>2.8152499999999998</v>
      </c>
      <c r="G613">
        <v>3.1176499999999998</v>
      </c>
      <c r="H613">
        <v>0</v>
      </c>
      <c r="I613">
        <v>0.58415099999999998</v>
      </c>
      <c r="J613">
        <v>5.3222399999999999</v>
      </c>
      <c r="K613" s="2">
        <v>83750300</v>
      </c>
      <c r="L613" s="1">
        <v>0</v>
      </c>
      <c r="M613" s="1">
        <v>0</v>
      </c>
      <c r="N613" s="1">
        <v>0</v>
      </c>
      <c r="O613" s="1">
        <v>0</v>
      </c>
      <c r="P613" s="2">
        <v>4208730</v>
      </c>
      <c r="Q613" s="1">
        <v>-88037.6</v>
      </c>
      <c r="R613" s="1">
        <v>408539</v>
      </c>
      <c r="S613">
        <v>91.346999999999994</v>
      </c>
      <c r="T613">
        <v>98.274000000000001</v>
      </c>
      <c r="U613">
        <v>1.09588</v>
      </c>
      <c r="V613">
        <v>0</v>
      </c>
      <c r="W613">
        <v>0</v>
      </c>
      <c r="X613">
        <v>2.2339000000000002</v>
      </c>
      <c r="Y613">
        <v>1.9315</v>
      </c>
      <c r="Z613">
        <v>0</v>
      </c>
      <c r="AA613">
        <v>1.4920199999999999</v>
      </c>
      <c r="AB613">
        <v>2.9635199999999999</v>
      </c>
      <c r="AC613" s="2">
        <v>259545000</v>
      </c>
      <c r="AD613" s="1">
        <v>0</v>
      </c>
      <c r="AE613" s="1">
        <v>0</v>
      </c>
      <c r="AF613" s="1">
        <v>0</v>
      </c>
      <c r="AG613" s="1">
        <v>0</v>
      </c>
      <c r="AH613" s="2">
        <v>5779620</v>
      </c>
      <c r="AI613" s="1">
        <v>945272</v>
      </c>
      <c r="AJ613" s="1">
        <v>0</v>
      </c>
      <c r="AK613" s="8">
        <f t="shared" si="39"/>
        <v>40</v>
      </c>
      <c r="AL613" s="8">
        <f t="shared" si="38"/>
        <v>12</v>
      </c>
      <c r="AM613">
        <f t="shared" si="36"/>
        <v>0</v>
      </c>
      <c r="AN613">
        <f t="shared" si="37"/>
        <v>0</v>
      </c>
    </row>
    <row r="614" spans="1:40" x14ac:dyDescent="0.35">
      <c r="A614">
        <v>65.548199999999994</v>
      </c>
      <c r="B614">
        <v>85.138999999999996</v>
      </c>
      <c r="C614">
        <v>1.3781099999999999</v>
      </c>
      <c r="D614">
        <v>0.01</v>
      </c>
      <c r="E614">
        <v>0</v>
      </c>
      <c r="F614">
        <v>2.7206399999999999</v>
      </c>
      <c r="G614">
        <v>3.0230399999999999</v>
      </c>
      <c r="H614">
        <v>0</v>
      </c>
      <c r="I614">
        <v>0.52757900000000002</v>
      </c>
      <c r="J614">
        <v>5.3222399999999999</v>
      </c>
      <c r="K614" s="2">
        <v>83652500</v>
      </c>
      <c r="L614" s="1">
        <v>0</v>
      </c>
      <c r="M614" s="1">
        <v>0</v>
      </c>
      <c r="N614" s="1">
        <v>0</v>
      </c>
      <c r="O614" s="1">
        <v>0</v>
      </c>
      <c r="P614" s="2">
        <v>4067280</v>
      </c>
      <c r="Q614" s="1">
        <v>-97764.6</v>
      </c>
      <c r="R614" s="1">
        <v>408539</v>
      </c>
      <c r="S614">
        <v>90.512900000000002</v>
      </c>
      <c r="T614">
        <v>98.274000000000001</v>
      </c>
      <c r="U614">
        <v>1.8961699999999999</v>
      </c>
      <c r="V614">
        <v>0</v>
      </c>
      <c r="W614">
        <v>0</v>
      </c>
      <c r="X614">
        <v>2.14127</v>
      </c>
      <c r="Y614">
        <v>1.83887</v>
      </c>
      <c r="Z614">
        <v>0</v>
      </c>
      <c r="AA614">
        <v>1.7259100000000001</v>
      </c>
      <c r="AB614">
        <v>2.9635199999999999</v>
      </c>
      <c r="AC614" s="2">
        <v>260482000</v>
      </c>
      <c r="AD614" s="1">
        <v>0</v>
      </c>
      <c r="AE614" s="1">
        <v>0</v>
      </c>
      <c r="AF614" s="1">
        <v>0</v>
      </c>
      <c r="AG614" s="1">
        <v>0</v>
      </c>
      <c r="AH614" s="2">
        <v>5539970</v>
      </c>
      <c r="AI614" s="1">
        <v>937460</v>
      </c>
      <c r="AJ614" s="1">
        <v>0</v>
      </c>
      <c r="AK614" s="8">
        <f t="shared" si="39"/>
        <v>41</v>
      </c>
      <c r="AL614" s="8">
        <f t="shared" si="38"/>
        <v>12</v>
      </c>
      <c r="AM614">
        <f t="shared" si="36"/>
        <v>0</v>
      </c>
      <c r="AN614">
        <f t="shared" si="37"/>
        <v>0</v>
      </c>
    </row>
    <row r="615" spans="1:40" x14ac:dyDescent="0.35">
      <c r="A615">
        <v>64.192599999999999</v>
      </c>
      <c r="B615">
        <v>85.138999999999996</v>
      </c>
      <c r="C615">
        <v>1.2701899999999999</v>
      </c>
      <c r="D615">
        <v>0.01</v>
      </c>
      <c r="E615">
        <v>0</v>
      </c>
      <c r="F615">
        <v>2.7211400000000001</v>
      </c>
      <c r="G615">
        <v>3.0235400000000001</v>
      </c>
      <c r="H615">
        <v>0</v>
      </c>
      <c r="I615">
        <v>0.50984700000000005</v>
      </c>
      <c r="J615">
        <v>5.3222399999999999</v>
      </c>
      <c r="K615" s="2">
        <v>83554800</v>
      </c>
      <c r="L615" s="1">
        <v>0</v>
      </c>
      <c r="M615" s="1">
        <v>0</v>
      </c>
      <c r="N615" s="1">
        <v>0</v>
      </c>
      <c r="O615" s="1">
        <v>0</v>
      </c>
      <c r="P615" s="2">
        <v>4068030</v>
      </c>
      <c r="Q615" s="1">
        <v>-97712.8</v>
      </c>
      <c r="R615" s="1">
        <v>408539</v>
      </c>
      <c r="S615">
        <v>89.491799999999998</v>
      </c>
      <c r="T615">
        <v>98.274000000000001</v>
      </c>
      <c r="U615">
        <v>1.07982</v>
      </c>
      <c r="V615">
        <v>0</v>
      </c>
      <c r="W615">
        <v>0</v>
      </c>
      <c r="X615">
        <v>2.1415799999999998</v>
      </c>
      <c r="Y615">
        <v>1.83918</v>
      </c>
      <c r="Z615">
        <v>0</v>
      </c>
      <c r="AA615">
        <v>1.6543399999999999</v>
      </c>
      <c r="AB615">
        <v>2.9635199999999999</v>
      </c>
      <c r="AC615" s="2">
        <v>261420000</v>
      </c>
      <c r="AD615" s="1">
        <v>0</v>
      </c>
      <c r="AE615" s="1">
        <v>0</v>
      </c>
      <c r="AF615" s="1">
        <v>0</v>
      </c>
      <c r="AG615" s="1">
        <v>0</v>
      </c>
      <c r="AH615" s="2">
        <v>5540770</v>
      </c>
      <c r="AI615" s="1">
        <v>937486</v>
      </c>
      <c r="AJ615" s="1">
        <v>0</v>
      </c>
      <c r="AK615" s="8">
        <f t="shared" si="39"/>
        <v>42</v>
      </c>
      <c r="AL615" s="8">
        <f t="shared" si="38"/>
        <v>12</v>
      </c>
      <c r="AM615">
        <f t="shared" si="36"/>
        <v>0</v>
      </c>
      <c r="AN615">
        <f t="shared" si="37"/>
        <v>0</v>
      </c>
    </row>
    <row r="616" spans="1:40" x14ac:dyDescent="0.35">
      <c r="A616">
        <v>62.638100000000001</v>
      </c>
      <c r="B616">
        <v>85.138999999999996</v>
      </c>
      <c r="C616">
        <v>1.0556000000000001</v>
      </c>
      <c r="D616">
        <v>0.01</v>
      </c>
      <c r="E616">
        <v>0</v>
      </c>
      <c r="F616">
        <v>2.7216399999999998</v>
      </c>
      <c r="G616">
        <v>3.0240399999999998</v>
      </c>
      <c r="H616">
        <v>0</v>
      </c>
      <c r="I616">
        <v>0.50994200000000001</v>
      </c>
      <c r="J616">
        <v>5.3222399999999999</v>
      </c>
      <c r="K616" s="2">
        <v>83457200</v>
      </c>
      <c r="L616" s="1">
        <v>0</v>
      </c>
      <c r="M616" s="1">
        <v>0</v>
      </c>
      <c r="N616" s="1">
        <v>0</v>
      </c>
      <c r="O616" s="1">
        <v>0</v>
      </c>
      <c r="P616" s="2">
        <v>4068790</v>
      </c>
      <c r="Q616" s="1">
        <v>-97661</v>
      </c>
      <c r="R616" s="1">
        <v>408539</v>
      </c>
      <c r="S616">
        <v>88.575500000000005</v>
      </c>
      <c r="T616">
        <v>98.274000000000001</v>
      </c>
      <c r="U616">
        <v>0.96306700000000001</v>
      </c>
      <c r="V616">
        <v>0</v>
      </c>
      <c r="W616">
        <v>0</v>
      </c>
      <c r="X616">
        <v>2.14188</v>
      </c>
      <c r="Y616">
        <v>1.83948</v>
      </c>
      <c r="Z616">
        <v>0</v>
      </c>
      <c r="AA616">
        <v>1.6545799999999999</v>
      </c>
      <c r="AB616">
        <v>2.9635199999999999</v>
      </c>
      <c r="AC616" s="2">
        <v>262357000</v>
      </c>
      <c r="AD616" s="1">
        <v>0</v>
      </c>
      <c r="AE616" s="1">
        <v>0</v>
      </c>
      <c r="AF616" s="1">
        <v>0</v>
      </c>
      <c r="AG616" s="1">
        <v>0</v>
      </c>
      <c r="AH616" s="2">
        <v>5541560</v>
      </c>
      <c r="AI616" s="1">
        <v>937512</v>
      </c>
      <c r="AJ616" s="1">
        <v>0</v>
      </c>
      <c r="AK616" s="8">
        <f t="shared" si="39"/>
        <v>43</v>
      </c>
      <c r="AL616" s="8">
        <f t="shared" si="38"/>
        <v>12</v>
      </c>
      <c r="AM616">
        <f t="shared" si="36"/>
        <v>0</v>
      </c>
      <c r="AN616">
        <f t="shared" si="37"/>
        <v>0</v>
      </c>
    </row>
    <row r="617" spans="1:40" x14ac:dyDescent="0.35">
      <c r="A617">
        <v>61.874499999999998</v>
      </c>
      <c r="B617">
        <v>85.138999999999996</v>
      </c>
      <c r="C617">
        <v>1.9569000000000001</v>
      </c>
      <c r="D617">
        <v>0.02</v>
      </c>
      <c r="E617">
        <v>0</v>
      </c>
      <c r="F617">
        <v>2.7221500000000001</v>
      </c>
      <c r="G617">
        <v>3.0245500000000001</v>
      </c>
      <c r="H617">
        <v>0</v>
      </c>
      <c r="I617">
        <v>0.51003600000000004</v>
      </c>
      <c r="J617">
        <v>5.3222399999999999</v>
      </c>
      <c r="K617" s="2">
        <v>83359500</v>
      </c>
      <c r="L617" s="1">
        <v>0</v>
      </c>
      <c r="M617" s="1">
        <v>0</v>
      </c>
      <c r="N617" s="1">
        <v>0</v>
      </c>
      <c r="O617" s="1">
        <v>0</v>
      </c>
      <c r="P617" s="2">
        <v>4069540</v>
      </c>
      <c r="Q617" s="1">
        <v>-97609.1</v>
      </c>
      <c r="R617" s="1">
        <v>408539</v>
      </c>
      <c r="S617">
        <v>88.108900000000006</v>
      </c>
      <c r="T617">
        <v>98.274000000000001</v>
      </c>
      <c r="U617">
        <v>1.3864099999999999</v>
      </c>
      <c r="V617">
        <v>0</v>
      </c>
      <c r="W617">
        <v>0</v>
      </c>
      <c r="X617">
        <v>2.1421899999999998</v>
      </c>
      <c r="Y617">
        <v>1.83979</v>
      </c>
      <c r="Z617">
        <v>0</v>
      </c>
      <c r="AA617">
        <v>1.65482</v>
      </c>
      <c r="AB617">
        <v>2.9635199999999999</v>
      </c>
      <c r="AC617" s="2">
        <v>263295000</v>
      </c>
      <c r="AD617" s="1">
        <v>0</v>
      </c>
      <c r="AE617" s="1">
        <v>0</v>
      </c>
      <c r="AF617" s="1">
        <v>0</v>
      </c>
      <c r="AG617" s="1">
        <v>0</v>
      </c>
      <c r="AH617" s="2">
        <v>5542350</v>
      </c>
      <c r="AI617" s="1">
        <v>937538</v>
      </c>
      <c r="AJ617" s="1">
        <v>0</v>
      </c>
      <c r="AK617" s="8">
        <f t="shared" si="39"/>
        <v>44</v>
      </c>
      <c r="AL617" s="8">
        <f t="shared" si="38"/>
        <v>12</v>
      </c>
      <c r="AM617">
        <f t="shared" si="36"/>
        <v>0</v>
      </c>
      <c r="AN617">
        <f t="shared" si="37"/>
        <v>0</v>
      </c>
    </row>
    <row r="618" spans="1:40" x14ac:dyDescent="0.35">
      <c r="A618">
        <v>62.9895</v>
      </c>
      <c r="B618">
        <v>85.138999999999996</v>
      </c>
      <c r="C618">
        <v>3.8990300000000002</v>
      </c>
      <c r="D618">
        <v>0.02</v>
      </c>
      <c r="E618">
        <v>0</v>
      </c>
      <c r="F618">
        <v>2.6445099999999999</v>
      </c>
      <c r="G618">
        <v>2.9469099999999999</v>
      </c>
      <c r="H618">
        <v>0</v>
      </c>
      <c r="I618">
        <v>0.510131</v>
      </c>
      <c r="J618">
        <v>5.3222399999999999</v>
      </c>
      <c r="K618" s="2">
        <v>83254000</v>
      </c>
      <c r="L618" s="1">
        <v>0</v>
      </c>
      <c r="M618" s="1">
        <v>0</v>
      </c>
      <c r="N618" s="1">
        <v>0</v>
      </c>
      <c r="O618" s="1">
        <v>0</v>
      </c>
      <c r="P618" s="2">
        <v>3953470</v>
      </c>
      <c r="Q618" s="1">
        <v>-105591</v>
      </c>
      <c r="R618" s="1">
        <v>408539</v>
      </c>
      <c r="S618">
        <v>88.222200000000001</v>
      </c>
      <c r="T618">
        <v>98.274000000000001</v>
      </c>
      <c r="U618">
        <v>2.0078800000000001</v>
      </c>
      <c r="V618">
        <v>0</v>
      </c>
      <c r="W618">
        <v>0</v>
      </c>
      <c r="X618">
        <v>2.05783</v>
      </c>
      <c r="Y618">
        <v>1.75543</v>
      </c>
      <c r="Z618">
        <v>0</v>
      </c>
      <c r="AA618">
        <v>1.65506</v>
      </c>
      <c r="AB618">
        <v>2.9635199999999999</v>
      </c>
      <c r="AC618" s="2">
        <v>264225000</v>
      </c>
      <c r="AD618" s="1">
        <v>0</v>
      </c>
      <c r="AE618" s="1">
        <v>0</v>
      </c>
      <c r="AF618" s="1">
        <v>0</v>
      </c>
      <c r="AG618" s="1">
        <v>0</v>
      </c>
      <c r="AH618" s="2">
        <v>5324110</v>
      </c>
      <c r="AI618" s="1">
        <v>930424</v>
      </c>
      <c r="AJ618" s="1">
        <v>0</v>
      </c>
      <c r="AK618" s="8">
        <f t="shared" si="39"/>
        <v>45</v>
      </c>
      <c r="AL618" s="8">
        <f t="shared" si="38"/>
        <v>12</v>
      </c>
      <c r="AM618">
        <f t="shared" si="36"/>
        <v>0</v>
      </c>
      <c r="AN618">
        <f t="shared" si="37"/>
        <v>0</v>
      </c>
    </row>
    <row r="619" spans="1:40" x14ac:dyDescent="0.35">
      <c r="A619">
        <v>61.000399999999999</v>
      </c>
      <c r="B619">
        <v>85.138999999999996</v>
      </c>
      <c r="C619">
        <v>0.753162</v>
      </c>
      <c r="D619">
        <v>0.02</v>
      </c>
      <c r="E619">
        <v>0</v>
      </c>
      <c r="F619">
        <v>2.645</v>
      </c>
      <c r="G619">
        <v>2.9474</v>
      </c>
      <c r="H619">
        <v>0</v>
      </c>
      <c r="I619">
        <v>0.49558099999999999</v>
      </c>
      <c r="J619">
        <v>5.3222399999999999</v>
      </c>
      <c r="K619" s="2">
        <v>83148400</v>
      </c>
      <c r="L619" s="1">
        <v>0</v>
      </c>
      <c r="M619" s="1">
        <v>0</v>
      </c>
      <c r="N619" s="1">
        <v>0</v>
      </c>
      <c r="O619" s="1">
        <v>0</v>
      </c>
      <c r="P619" s="2">
        <v>3954210</v>
      </c>
      <c r="Q619" s="1">
        <v>-105540</v>
      </c>
      <c r="R619" s="1">
        <v>408539</v>
      </c>
      <c r="S619">
        <v>87.816500000000005</v>
      </c>
      <c r="T619">
        <v>98.274000000000001</v>
      </c>
      <c r="U619">
        <v>1.95472</v>
      </c>
      <c r="V619">
        <v>0</v>
      </c>
      <c r="W619">
        <v>0</v>
      </c>
      <c r="X619">
        <v>2.0581299999999998</v>
      </c>
      <c r="Y619">
        <v>1.75573</v>
      </c>
      <c r="Z619">
        <v>0</v>
      </c>
      <c r="AA619">
        <v>1.58988</v>
      </c>
      <c r="AB619">
        <v>2.9635199999999999</v>
      </c>
      <c r="AC619" s="2">
        <v>265156000</v>
      </c>
      <c r="AD619" s="1">
        <v>0</v>
      </c>
      <c r="AE619" s="1">
        <v>0</v>
      </c>
      <c r="AF619" s="1">
        <v>0</v>
      </c>
      <c r="AG619" s="1">
        <v>0</v>
      </c>
      <c r="AH619" s="2">
        <v>5324860</v>
      </c>
      <c r="AI619" s="1">
        <v>930448</v>
      </c>
      <c r="AJ619" s="1">
        <v>0</v>
      </c>
      <c r="AK619" s="8">
        <f t="shared" si="39"/>
        <v>46</v>
      </c>
      <c r="AL619" s="8">
        <f t="shared" si="38"/>
        <v>12</v>
      </c>
      <c r="AM619">
        <f t="shared" si="36"/>
        <v>0</v>
      </c>
      <c r="AN619">
        <f t="shared" si="37"/>
        <v>0</v>
      </c>
    </row>
    <row r="620" spans="1:40" x14ac:dyDescent="0.35">
      <c r="A620">
        <v>59.9086</v>
      </c>
      <c r="B620">
        <v>85.138999999999996</v>
      </c>
      <c r="C620">
        <v>1.70197</v>
      </c>
      <c r="D620">
        <v>0.02</v>
      </c>
      <c r="E620">
        <v>0</v>
      </c>
      <c r="F620">
        <v>2.6454900000000001</v>
      </c>
      <c r="G620">
        <v>2.9478900000000001</v>
      </c>
      <c r="H620">
        <v>0</v>
      </c>
      <c r="I620">
        <v>0.49567299999999997</v>
      </c>
      <c r="J620">
        <v>5.3222399999999999</v>
      </c>
      <c r="K620" s="2">
        <v>83042900</v>
      </c>
      <c r="L620" s="1">
        <v>0</v>
      </c>
      <c r="M620" s="1">
        <v>0</v>
      </c>
      <c r="N620" s="1">
        <v>0</v>
      </c>
      <c r="O620" s="1">
        <v>0</v>
      </c>
      <c r="P620" s="2">
        <v>3954940</v>
      </c>
      <c r="Q620" s="1">
        <v>-105490</v>
      </c>
      <c r="R620" s="1">
        <v>408539</v>
      </c>
      <c r="S620">
        <v>87.892600000000002</v>
      </c>
      <c r="T620">
        <v>98.274000000000001</v>
      </c>
      <c r="U620">
        <v>1.97584</v>
      </c>
      <c r="V620">
        <v>0</v>
      </c>
      <c r="W620">
        <v>0</v>
      </c>
      <c r="X620">
        <v>2.0584199999999999</v>
      </c>
      <c r="Y620">
        <v>1.7560199999999999</v>
      </c>
      <c r="Z620">
        <v>0</v>
      </c>
      <c r="AA620">
        <v>1.5901099999999999</v>
      </c>
      <c r="AB620">
        <v>2.9635199999999999</v>
      </c>
      <c r="AC620" s="2">
        <v>266086000</v>
      </c>
      <c r="AD620" s="1">
        <v>0</v>
      </c>
      <c r="AE620" s="1">
        <v>0</v>
      </c>
      <c r="AF620" s="1">
        <v>0</v>
      </c>
      <c r="AG620" s="1">
        <v>0</v>
      </c>
      <c r="AH620" s="2">
        <v>5325620</v>
      </c>
      <c r="AI620" s="1">
        <v>930473</v>
      </c>
      <c r="AJ620" s="1">
        <v>0</v>
      </c>
      <c r="AK620" s="8">
        <f t="shared" si="39"/>
        <v>47</v>
      </c>
      <c r="AL620" s="8">
        <f t="shared" si="38"/>
        <v>12</v>
      </c>
      <c r="AM620">
        <f t="shared" si="36"/>
        <v>0</v>
      </c>
      <c r="AN620">
        <f t="shared" si="37"/>
        <v>0</v>
      </c>
    </row>
    <row r="621" spans="1:40" x14ac:dyDescent="0.35">
      <c r="A621">
        <v>60.429299999999998</v>
      </c>
      <c r="B621">
        <v>85.138999999999996</v>
      </c>
      <c r="C621">
        <v>3.3853900000000001</v>
      </c>
      <c r="D621">
        <v>0.02</v>
      </c>
      <c r="E621">
        <v>0</v>
      </c>
      <c r="F621">
        <v>2.6459800000000002</v>
      </c>
      <c r="G621">
        <v>2.9483799999999998</v>
      </c>
      <c r="H621">
        <v>0</v>
      </c>
      <c r="I621">
        <v>0.49576500000000001</v>
      </c>
      <c r="J621">
        <v>5.3222399999999999</v>
      </c>
      <c r="K621" s="2">
        <v>82937500</v>
      </c>
      <c r="L621" s="1">
        <v>0</v>
      </c>
      <c r="M621" s="1">
        <v>0</v>
      </c>
      <c r="N621" s="1">
        <v>0</v>
      </c>
      <c r="O621" s="1">
        <v>0</v>
      </c>
      <c r="P621" s="2">
        <v>3955680</v>
      </c>
      <c r="Q621" s="1">
        <v>-105439</v>
      </c>
      <c r="R621" s="1">
        <v>408539</v>
      </c>
      <c r="S621">
        <v>88.678799999999995</v>
      </c>
      <c r="T621">
        <v>98.274000000000001</v>
      </c>
      <c r="U621">
        <v>4.2998500000000002</v>
      </c>
      <c r="V621">
        <v>0</v>
      </c>
      <c r="W621">
        <v>0</v>
      </c>
      <c r="X621">
        <v>2.05871</v>
      </c>
      <c r="Y621">
        <v>1.75631</v>
      </c>
      <c r="Z621">
        <v>0</v>
      </c>
      <c r="AA621">
        <v>1.59033</v>
      </c>
      <c r="AB621">
        <v>2.9635199999999999</v>
      </c>
      <c r="AC621" s="2">
        <v>267017000</v>
      </c>
      <c r="AD621" s="1">
        <v>0</v>
      </c>
      <c r="AE621" s="1">
        <v>0</v>
      </c>
      <c r="AF621" s="1">
        <v>0</v>
      </c>
      <c r="AG621" s="1">
        <v>0</v>
      </c>
      <c r="AH621" s="2">
        <v>5326380</v>
      </c>
      <c r="AI621" s="1">
        <v>930498</v>
      </c>
      <c r="AJ621" s="1">
        <v>0</v>
      </c>
      <c r="AK621" s="8">
        <f t="shared" si="39"/>
        <v>48</v>
      </c>
      <c r="AL621" s="8">
        <f t="shared" si="38"/>
        <v>12</v>
      </c>
      <c r="AM621">
        <f t="shared" si="36"/>
        <v>0</v>
      </c>
      <c r="AN621">
        <f t="shared" si="37"/>
        <v>0</v>
      </c>
    </row>
    <row r="622" spans="1:40" x14ac:dyDescent="0.35">
      <c r="A622">
        <v>60.057099999999998</v>
      </c>
      <c r="B622">
        <v>85.138999999999996</v>
      </c>
      <c r="C622">
        <v>2.2374299999999998</v>
      </c>
      <c r="D622">
        <v>0.02</v>
      </c>
      <c r="E622">
        <v>0</v>
      </c>
      <c r="F622">
        <v>2.4243899999999998</v>
      </c>
      <c r="G622">
        <v>2.7267899999999998</v>
      </c>
      <c r="H622">
        <v>0</v>
      </c>
      <c r="I622">
        <v>0.49585699999999999</v>
      </c>
      <c r="J622">
        <v>5.3222399999999999</v>
      </c>
      <c r="K622" s="2">
        <v>82809300</v>
      </c>
      <c r="L622" s="1">
        <v>0</v>
      </c>
      <c r="M622" s="1">
        <v>0</v>
      </c>
      <c r="N622" s="1">
        <v>0</v>
      </c>
      <c r="O622" s="1">
        <v>0</v>
      </c>
      <c r="P622" s="2">
        <v>3624400</v>
      </c>
      <c r="Q622" s="1">
        <v>-128219</v>
      </c>
      <c r="R622" s="1">
        <v>408539</v>
      </c>
      <c r="S622">
        <v>89.508200000000002</v>
      </c>
      <c r="T622">
        <v>98.274000000000001</v>
      </c>
      <c r="U622">
        <v>4.1296099999999996</v>
      </c>
      <c r="V622">
        <v>0</v>
      </c>
      <c r="W622">
        <v>0</v>
      </c>
      <c r="X622">
        <v>1.88256</v>
      </c>
      <c r="Y622">
        <v>1.58016</v>
      </c>
      <c r="Z622">
        <v>0</v>
      </c>
      <c r="AA622">
        <v>1.59056</v>
      </c>
      <c r="AB622">
        <v>2.9635199999999999</v>
      </c>
      <c r="AC622" s="2">
        <v>267932000</v>
      </c>
      <c r="AD622" s="1">
        <v>0</v>
      </c>
      <c r="AE622" s="1">
        <v>0</v>
      </c>
      <c r="AF622" s="1">
        <v>0</v>
      </c>
      <c r="AG622" s="1">
        <v>0</v>
      </c>
      <c r="AH622" s="2">
        <v>4870630</v>
      </c>
      <c r="AI622" s="1">
        <v>915642</v>
      </c>
      <c r="AJ622" s="1">
        <v>0</v>
      </c>
      <c r="AK622" s="8">
        <f t="shared" si="39"/>
        <v>49</v>
      </c>
      <c r="AL622" s="8">
        <f t="shared" si="38"/>
        <v>12</v>
      </c>
      <c r="AM622">
        <f t="shared" si="36"/>
        <v>0</v>
      </c>
      <c r="AN622">
        <f t="shared" si="37"/>
        <v>0</v>
      </c>
    </row>
    <row r="623" spans="1:40" x14ac:dyDescent="0.35">
      <c r="A623">
        <v>60.124600000000001</v>
      </c>
      <c r="B623">
        <v>85.138999999999996</v>
      </c>
      <c r="C623">
        <v>2.7053799999999999</v>
      </c>
      <c r="D623">
        <v>0.02</v>
      </c>
      <c r="E623">
        <v>0</v>
      </c>
      <c r="F623">
        <v>2.4248400000000001</v>
      </c>
      <c r="G623">
        <v>2.7272400000000001</v>
      </c>
      <c r="H623">
        <v>0</v>
      </c>
      <c r="I623">
        <v>0.45433099999999998</v>
      </c>
      <c r="J623">
        <v>5.3222399999999999</v>
      </c>
      <c r="K623" s="2">
        <v>82681100</v>
      </c>
      <c r="L623" s="1">
        <v>0</v>
      </c>
      <c r="M623" s="1">
        <v>0</v>
      </c>
      <c r="N623" s="1">
        <v>0</v>
      </c>
      <c r="O623" s="1">
        <v>0</v>
      </c>
      <c r="P623" s="2">
        <v>3625080</v>
      </c>
      <c r="Q623" s="1">
        <v>-128172</v>
      </c>
      <c r="R623" s="1">
        <v>408539</v>
      </c>
      <c r="S623">
        <v>90.352699999999999</v>
      </c>
      <c r="T623">
        <v>98.274000000000001</v>
      </c>
      <c r="U623">
        <v>4.11477</v>
      </c>
      <c r="V623">
        <v>0</v>
      </c>
      <c r="W623">
        <v>0</v>
      </c>
      <c r="X623">
        <v>1.8828199999999999</v>
      </c>
      <c r="Y623">
        <v>1.5804199999999999</v>
      </c>
      <c r="Z623">
        <v>0</v>
      </c>
      <c r="AA623">
        <v>1.4544699999999999</v>
      </c>
      <c r="AB623">
        <v>2.9635199999999999</v>
      </c>
      <c r="AC623" s="2">
        <v>268848000</v>
      </c>
      <c r="AD623" s="1">
        <v>0</v>
      </c>
      <c r="AE623" s="1">
        <v>0</v>
      </c>
      <c r="AF623" s="1">
        <v>0</v>
      </c>
      <c r="AG623" s="1">
        <v>0</v>
      </c>
      <c r="AH623" s="2">
        <v>4871310</v>
      </c>
      <c r="AI623" s="1">
        <v>915664</v>
      </c>
      <c r="AJ623" s="1">
        <v>0</v>
      </c>
      <c r="AK623" s="8">
        <f t="shared" si="39"/>
        <v>50</v>
      </c>
      <c r="AL623" s="8">
        <f t="shared" si="38"/>
        <v>12</v>
      </c>
      <c r="AM623">
        <f t="shared" si="36"/>
        <v>0</v>
      </c>
      <c r="AN623">
        <f t="shared" si="37"/>
        <v>0</v>
      </c>
    </row>
    <row r="624" spans="1:40" x14ac:dyDescent="0.35">
      <c r="A624">
        <v>62.921700000000001</v>
      </c>
      <c r="B624">
        <v>85.138999999999996</v>
      </c>
      <c r="C624">
        <v>5.6846100000000002</v>
      </c>
      <c r="D624">
        <v>0.02</v>
      </c>
      <c r="E624">
        <v>0</v>
      </c>
      <c r="F624">
        <v>2.4253</v>
      </c>
      <c r="G624">
        <v>2.7277</v>
      </c>
      <c r="H624">
        <v>0</v>
      </c>
      <c r="I624">
        <v>0.45441599999999999</v>
      </c>
      <c r="J624">
        <v>5.3222399999999999</v>
      </c>
      <c r="K624" s="2">
        <v>82553000</v>
      </c>
      <c r="L624" s="1">
        <v>0</v>
      </c>
      <c r="M624" s="1">
        <v>0</v>
      </c>
      <c r="N624" s="1">
        <v>0</v>
      </c>
      <c r="O624" s="1">
        <v>0</v>
      </c>
      <c r="P624" s="2">
        <v>3625760</v>
      </c>
      <c r="Q624" s="1">
        <v>-128126</v>
      </c>
      <c r="R624" s="1">
        <v>408539</v>
      </c>
      <c r="S624">
        <v>92.7744</v>
      </c>
      <c r="T624">
        <v>98.274000000000001</v>
      </c>
      <c r="U624">
        <v>6.6162999999999998</v>
      </c>
      <c r="V624">
        <v>0</v>
      </c>
      <c r="W624">
        <v>0</v>
      </c>
      <c r="X624">
        <v>1.8830899999999999</v>
      </c>
      <c r="Y624">
        <v>1.5806899999999999</v>
      </c>
      <c r="Z624">
        <v>0</v>
      </c>
      <c r="AA624">
        <v>1.4546699999999999</v>
      </c>
      <c r="AB624">
        <v>2.9635199999999999</v>
      </c>
      <c r="AC624" s="2">
        <v>269764000</v>
      </c>
      <c r="AD624" s="1">
        <v>0</v>
      </c>
      <c r="AE624" s="1">
        <v>0</v>
      </c>
      <c r="AF624" s="1">
        <v>0</v>
      </c>
      <c r="AG624" s="1">
        <v>0</v>
      </c>
      <c r="AH624" s="2">
        <v>4871990</v>
      </c>
      <c r="AI624" s="1">
        <v>915686</v>
      </c>
      <c r="AJ624" s="1">
        <v>0</v>
      </c>
      <c r="AK624" s="8">
        <f t="shared" si="39"/>
        <v>51</v>
      </c>
      <c r="AL624" s="8">
        <f t="shared" si="38"/>
        <v>12</v>
      </c>
      <c r="AM624">
        <f t="shared" si="36"/>
        <v>0</v>
      </c>
      <c r="AN624">
        <f t="shared" si="37"/>
        <v>0</v>
      </c>
    </row>
    <row r="625" spans="1:40" x14ac:dyDescent="0.35">
      <c r="A625">
        <v>64.750200000000007</v>
      </c>
      <c r="B625">
        <v>85.138999999999996</v>
      </c>
      <c r="C625">
        <v>4.5471399999999997</v>
      </c>
      <c r="D625">
        <v>0.02</v>
      </c>
      <c r="E625">
        <v>0</v>
      </c>
      <c r="F625">
        <v>2.4257499999999999</v>
      </c>
      <c r="G625">
        <v>2.7281499999999999</v>
      </c>
      <c r="H625">
        <v>0</v>
      </c>
      <c r="I625">
        <v>0.45450099999999999</v>
      </c>
      <c r="J625">
        <v>5.3222399999999999</v>
      </c>
      <c r="K625" s="2">
        <v>82424900</v>
      </c>
      <c r="L625" s="1">
        <v>0</v>
      </c>
      <c r="M625" s="1">
        <v>0</v>
      </c>
      <c r="N625" s="1">
        <v>0</v>
      </c>
      <c r="O625" s="1">
        <v>0</v>
      </c>
      <c r="P625" s="2">
        <v>3626440</v>
      </c>
      <c r="Q625" s="1">
        <v>-128079</v>
      </c>
      <c r="R625" s="1">
        <v>408539</v>
      </c>
      <c r="S625">
        <v>93.713499999999996</v>
      </c>
      <c r="T625">
        <v>98.274000000000001</v>
      </c>
      <c r="U625">
        <v>4.4404000000000003</v>
      </c>
      <c r="V625">
        <v>0</v>
      </c>
      <c r="W625">
        <v>0</v>
      </c>
      <c r="X625">
        <v>1.8833500000000001</v>
      </c>
      <c r="Y625">
        <v>1.5809500000000001</v>
      </c>
      <c r="Z625">
        <v>0</v>
      </c>
      <c r="AA625">
        <v>1.4548700000000001</v>
      </c>
      <c r="AB625">
        <v>2.9635199999999999</v>
      </c>
      <c r="AC625" s="2">
        <v>270679000</v>
      </c>
      <c r="AD625" s="1">
        <v>0</v>
      </c>
      <c r="AE625" s="1">
        <v>0</v>
      </c>
      <c r="AF625" s="1">
        <v>0</v>
      </c>
      <c r="AG625" s="1">
        <v>0</v>
      </c>
      <c r="AH625" s="2">
        <v>4872680</v>
      </c>
      <c r="AI625" s="1">
        <v>915709</v>
      </c>
      <c r="AJ625" s="1">
        <v>0</v>
      </c>
      <c r="AK625" s="8">
        <f t="shared" si="39"/>
        <v>52</v>
      </c>
      <c r="AL625" s="8">
        <f t="shared" si="38"/>
        <v>12</v>
      </c>
      <c r="AM625">
        <f t="shared" si="36"/>
        <v>270679000</v>
      </c>
      <c r="AN625">
        <f t="shared" si="37"/>
        <v>82424900</v>
      </c>
    </row>
    <row r="626" spans="1:40" x14ac:dyDescent="0.35">
      <c r="A626">
        <v>65.492699999999999</v>
      </c>
      <c r="B626">
        <v>85.138999999999996</v>
      </c>
      <c r="C626">
        <v>3.5987300000000002</v>
      </c>
      <c r="D626">
        <v>0.01</v>
      </c>
      <c r="E626">
        <v>0</v>
      </c>
      <c r="F626">
        <v>2.4262100000000002</v>
      </c>
      <c r="G626">
        <v>2.7286100000000002</v>
      </c>
      <c r="H626">
        <v>0</v>
      </c>
      <c r="I626">
        <v>0.45458599999999999</v>
      </c>
      <c r="J626">
        <v>5.3222399999999999</v>
      </c>
      <c r="K626" s="2">
        <v>82296900</v>
      </c>
      <c r="L626" s="1">
        <v>0</v>
      </c>
      <c r="M626" s="1">
        <v>0</v>
      </c>
      <c r="N626" s="1">
        <v>0</v>
      </c>
      <c r="O626" s="1">
        <v>0</v>
      </c>
      <c r="P626" s="2">
        <v>3627120</v>
      </c>
      <c r="Q626" s="1">
        <v>-128032</v>
      </c>
      <c r="R626" s="1">
        <v>408539</v>
      </c>
      <c r="S626">
        <v>94.008300000000006</v>
      </c>
      <c r="T626">
        <v>98.274000000000001</v>
      </c>
      <c r="U626">
        <v>3.0741399999999999</v>
      </c>
      <c r="V626">
        <v>0</v>
      </c>
      <c r="W626">
        <v>0</v>
      </c>
      <c r="X626">
        <v>1.88361</v>
      </c>
      <c r="Y626">
        <v>1.58121</v>
      </c>
      <c r="Z626">
        <v>0</v>
      </c>
      <c r="AA626">
        <v>1.4550799999999999</v>
      </c>
      <c r="AB626">
        <v>2.9635199999999999</v>
      </c>
      <c r="AC626" s="2">
        <v>271595000</v>
      </c>
      <c r="AD626" s="1">
        <v>0</v>
      </c>
      <c r="AE626" s="1">
        <v>0</v>
      </c>
      <c r="AF626" s="1">
        <v>0</v>
      </c>
      <c r="AG626" s="1">
        <v>0</v>
      </c>
      <c r="AH626" s="2">
        <v>4873360</v>
      </c>
      <c r="AI626" s="1">
        <v>915731</v>
      </c>
      <c r="AJ626" s="1">
        <v>0</v>
      </c>
      <c r="AK626" s="8">
        <f t="shared" si="39"/>
        <v>1</v>
      </c>
      <c r="AL626" s="8">
        <f t="shared" si="38"/>
        <v>13</v>
      </c>
      <c r="AM626">
        <f t="shared" si="36"/>
        <v>0</v>
      </c>
      <c r="AN626">
        <f t="shared" si="37"/>
        <v>0</v>
      </c>
    </row>
    <row r="627" spans="1:40" x14ac:dyDescent="0.35">
      <c r="A627">
        <v>66.991</v>
      </c>
      <c r="B627">
        <v>85.138999999999996</v>
      </c>
      <c r="C627">
        <v>4.4702400000000004</v>
      </c>
      <c r="D627">
        <v>0.01</v>
      </c>
      <c r="E627">
        <v>0</v>
      </c>
      <c r="F627">
        <v>2.4262100000000002</v>
      </c>
      <c r="G627">
        <v>2.7286100000000002</v>
      </c>
      <c r="H627">
        <v>0</v>
      </c>
      <c r="I627">
        <v>0.45467200000000002</v>
      </c>
      <c r="J627">
        <v>5.3222399999999999</v>
      </c>
      <c r="K627" s="2">
        <v>82168800</v>
      </c>
      <c r="L627" s="1">
        <v>0</v>
      </c>
      <c r="M627" s="1">
        <v>0</v>
      </c>
      <c r="N627" s="1">
        <v>0</v>
      </c>
      <c r="O627" s="1">
        <v>0</v>
      </c>
      <c r="P627" s="2">
        <v>3627120</v>
      </c>
      <c r="Q627" s="1">
        <v>-128032</v>
      </c>
      <c r="R627" s="1">
        <v>408539</v>
      </c>
      <c r="S627">
        <v>94.269900000000007</v>
      </c>
      <c r="T627">
        <v>98.274000000000001</v>
      </c>
      <c r="U627">
        <v>3.1215600000000001</v>
      </c>
      <c r="V627">
        <v>0</v>
      </c>
      <c r="W627">
        <v>0</v>
      </c>
      <c r="X627">
        <v>1.88361</v>
      </c>
      <c r="Y627">
        <v>1.58121</v>
      </c>
      <c r="Z627">
        <v>0</v>
      </c>
      <c r="AA627">
        <v>1.4552799999999999</v>
      </c>
      <c r="AB627">
        <v>2.9635199999999999</v>
      </c>
      <c r="AC627" s="2">
        <v>272511000</v>
      </c>
      <c r="AD627" s="1">
        <v>0</v>
      </c>
      <c r="AE627" s="1">
        <v>0</v>
      </c>
      <c r="AF627" s="1">
        <v>0</v>
      </c>
      <c r="AG627" s="1">
        <v>0</v>
      </c>
      <c r="AH627" s="2">
        <v>4873360</v>
      </c>
      <c r="AI627" s="1">
        <v>915731</v>
      </c>
      <c r="AJ627" s="1">
        <v>0</v>
      </c>
      <c r="AK627" s="8">
        <f t="shared" si="39"/>
        <v>2</v>
      </c>
      <c r="AL627" s="8">
        <f t="shared" si="38"/>
        <v>13</v>
      </c>
      <c r="AM627">
        <f t="shared" si="36"/>
        <v>0</v>
      </c>
      <c r="AN627">
        <f t="shared" si="37"/>
        <v>0</v>
      </c>
    </row>
    <row r="628" spans="1:40" x14ac:dyDescent="0.35">
      <c r="A628">
        <v>69.486199999999997</v>
      </c>
      <c r="B628">
        <v>85.138999999999996</v>
      </c>
      <c r="C628">
        <v>5.65585</v>
      </c>
      <c r="D628">
        <v>0</v>
      </c>
      <c r="E628">
        <v>0</v>
      </c>
      <c r="F628">
        <v>2.8145500000000001</v>
      </c>
      <c r="G628">
        <v>2.8145500000000001</v>
      </c>
      <c r="H628">
        <v>0</v>
      </c>
      <c r="I628">
        <v>0.45467200000000002</v>
      </c>
      <c r="J628">
        <v>5.3222399999999999</v>
      </c>
      <c r="K628" s="2">
        <v>82458200</v>
      </c>
      <c r="L628" s="1">
        <v>0</v>
      </c>
      <c r="M628" s="1">
        <v>0</v>
      </c>
      <c r="N628" s="1">
        <v>0</v>
      </c>
      <c r="O628" s="2">
        <v>29016000</v>
      </c>
      <c r="P628" s="2">
        <v>4207680</v>
      </c>
      <c r="Q628" s="1">
        <v>289341</v>
      </c>
      <c r="R628" s="1">
        <v>0</v>
      </c>
      <c r="S628">
        <v>94.954999999999998</v>
      </c>
      <c r="T628">
        <v>98.274000000000001</v>
      </c>
      <c r="U628">
        <v>3.6139600000000001</v>
      </c>
      <c r="V628">
        <v>0</v>
      </c>
      <c r="W628">
        <v>0</v>
      </c>
      <c r="X628">
        <v>1.6326099999999999</v>
      </c>
      <c r="Y628">
        <v>1.6326099999999999</v>
      </c>
      <c r="Z628">
        <v>0</v>
      </c>
      <c r="AA628">
        <v>1.4552799999999999</v>
      </c>
      <c r="AB628">
        <v>2.9635199999999999</v>
      </c>
      <c r="AC628" s="2">
        <v>272649000</v>
      </c>
      <c r="AD628" s="1">
        <v>0</v>
      </c>
      <c r="AE628" s="1">
        <v>0</v>
      </c>
      <c r="AF628" s="1">
        <v>0</v>
      </c>
      <c r="AG628" s="2">
        <v>7883220</v>
      </c>
      <c r="AH628" s="2">
        <v>4223950</v>
      </c>
      <c r="AI628" s="1">
        <v>137684</v>
      </c>
      <c r="AJ628" s="1">
        <v>0</v>
      </c>
      <c r="AK628" s="8">
        <f t="shared" si="39"/>
        <v>3</v>
      </c>
      <c r="AL628" s="8">
        <f t="shared" si="38"/>
        <v>13</v>
      </c>
      <c r="AM628">
        <f t="shared" si="36"/>
        <v>0</v>
      </c>
      <c r="AN628">
        <f t="shared" si="37"/>
        <v>0</v>
      </c>
    </row>
    <row r="629" spans="1:40" x14ac:dyDescent="0.35">
      <c r="A629">
        <v>71.683400000000006</v>
      </c>
      <c r="B629">
        <v>85.138999999999996</v>
      </c>
      <c r="C629">
        <v>5.3402200000000004</v>
      </c>
      <c r="D629">
        <v>0</v>
      </c>
      <c r="E629">
        <v>0</v>
      </c>
      <c r="F629">
        <v>2.8149999999999999</v>
      </c>
      <c r="G629">
        <v>2.8149999999999999</v>
      </c>
      <c r="H629">
        <v>0</v>
      </c>
      <c r="I629">
        <v>0.527447</v>
      </c>
      <c r="J629">
        <v>5.3222399999999999</v>
      </c>
      <c r="K629" s="2">
        <v>82747600</v>
      </c>
      <c r="L629" s="1">
        <v>0</v>
      </c>
      <c r="M629" s="1">
        <v>0</v>
      </c>
      <c r="N629" s="1">
        <v>0</v>
      </c>
      <c r="O629" s="1">
        <v>0</v>
      </c>
      <c r="P629" s="2">
        <v>4208350</v>
      </c>
      <c r="Q629" s="1">
        <v>289388</v>
      </c>
      <c r="R629" s="1">
        <v>0</v>
      </c>
      <c r="S629">
        <v>95.800299999999993</v>
      </c>
      <c r="T629">
        <v>98.274000000000001</v>
      </c>
      <c r="U629">
        <v>4.2009999999999996</v>
      </c>
      <c r="V629">
        <v>0</v>
      </c>
      <c r="W629">
        <v>0</v>
      </c>
      <c r="X629">
        <v>1.63287</v>
      </c>
      <c r="Y629">
        <v>1.63287</v>
      </c>
      <c r="Z629">
        <v>0</v>
      </c>
      <c r="AA629">
        <v>1.26135</v>
      </c>
      <c r="AB629">
        <v>2.9635199999999999</v>
      </c>
      <c r="AC629" s="2">
        <v>272786000</v>
      </c>
      <c r="AD629" s="1">
        <v>0</v>
      </c>
      <c r="AE629" s="1">
        <v>0</v>
      </c>
      <c r="AF629" s="1">
        <v>0</v>
      </c>
      <c r="AG629" s="1">
        <v>0</v>
      </c>
      <c r="AH629" s="2">
        <v>4224620</v>
      </c>
      <c r="AI629" s="1">
        <v>137706</v>
      </c>
      <c r="AJ629" s="1">
        <v>0</v>
      </c>
      <c r="AK629" s="8">
        <f t="shared" si="39"/>
        <v>4</v>
      </c>
      <c r="AL629" s="8">
        <f t="shared" si="38"/>
        <v>13</v>
      </c>
      <c r="AM629">
        <f t="shared" si="36"/>
        <v>0</v>
      </c>
      <c r="AN629">
        <f t="shared" si="37"/>
        <v>0</v>
      </c>
    </row>
    <row r="630" spans="1:40" x14ac:dyDescent="0.35">
      <c r="A630">
        <v>76.207499999999996</v>
      </c>
      <c r="B630">
        <v>85.138999999999996</v>
      </c>
      <c r="C630">
        <v>7.7825100000000003</v>
      </c>
      <c r="D630">
        <v>0</v>
      </c>
      <c r="E630">
        <v>0</v>
      </c>
      <c r="F630">
        <v>2.8154499999999998</v>
      </c>
      <c r="G630">
        <v>2.8154499999999998</v>
      </c>
      <c r="H630">
        <v>0</v>
      </c>
      <c r="I630">
        <v>0.52753099999999997</v>
      </c>
      <c r="J630">
        <v>5.3222399999999999</v>
      </c>
      <c r="K630" s="2">
        <v>83037000</v>
      </c>
      <c r="L630" s="1">
        <v>0</v>
      </c>
      <c r="M630" s="1">
        <v>0</v>
      </c>
      <c r="N630" s="1">
        <v>0</v>
      </c>
      <c r="O630" s="1">
        <v>0</v>
      </c>
      <c r="P630" s="2">
        <v>4209030</v>
      </c>
      <c r="Q630" s="1">
        <v>289434</v>
      </c>
      <c r="R630" s="1">
        <v>0</v>
      </c>
      <c r="S630">
        <v>96.792000000000002</v>
      </c>
      <c r="T630">
        <v>98.274000000000001</v>
      </c>
      <c r="U630">
        <v>4.8109400000000004</v>
      </c>
      <c r="V630">
        <v>0</v>
      </c>
      <c r="W630">
        <v>0</v>
      </c>
      <c r="X630">
        <v>1.63313</v>
      </c>
      <c r="Y630">
        <v>1.63313</v>
      </c>
      <c r="Z630">
        <v>0</v>
      </c>
      <c r="AA630">
        <v>1.26156</v>
      </c>
      <c r="AB630">
        <v>2.9635199999999999</v>
      </c>
      <c r="AC630" s="2">
        <v>272924000</v>
      </c>
      <c r="AD630" s="1">
        <v>0</v>
      </c>
      <c r="AE630" s="1">
        <v>0</v>
      </c>
      <c r="AF630" s="1">
        <v>0</v>
      </c>
      <c r="AG630" s="1">
        <v>0</v>
      </c>
      <c r="AH630" s="2">
        <v>4225300</v>
      </c>
      <c r="AI630" s="1">
        <v>137728</v>
      </c>
      <c r="AJ630" s="1">
        <v>0</v>
      </c>
      <c r="AK630" s="8">
        <f t="shared" si="39"/>
        <v>5</v>
      </c>
      <c r="AL630" s="8">
        <f t="shared" si="38"/>
        <v>13</v>
      </c>
      <c r="AM630">
        <f t="shared" si="36"/>
        <v>0</v>
      </c>
      <c r="AN630">
        <f t="shared" si="37"/>
        <v>0</v>
      </c>
    </row>
    <row r="631" spans="1:40" x14ac:dyDescent="0.35">
      <c r="A631">
        <v>80.720600000000005</v>
      </c>
      <c r="B631">
        <v>85.138999999999996</v>
      </c>
      <c r="C631">
        <v>7.9918699999999996</v>
      </c>
      <c r="D631">
        <v>0</v>
      </c>
      <c r="E631">
        <v>0</v>
      </c>
      <c r="F631">
        <v>2.8159000000000001</v>
      </c>
      <c r="G631">
        <v>2.8159000000000001</v>
      </c>
      <c r="H631">
        <v>0</v>
      </c>
      <c r="I631">
        <v>0.52761499999999995</v>
      </c>
      <c r="J631">
        <v>5.3222399999999999</v>
      </c>
      <c r="K631" s="2">
        <v>83326500</v>
      </c>
      <c r="L631" s="1">
        <v>0</v>
      </c>
      <c r="M631" s="1">
        <v>0</v>
      </c>
      <c r="N631" s="1">
        <v>0</v>
      </c>
      <c r="O631" s="1">
        <v>0</v>
      </c>
      <c r="P631" s="2">
        <v>4209700</v>
      </c>
      <c r="Q631" s="1">
        <v>289480</v>
      </c>
      <c r="R631" s="1">
        <v>0</v>
      </c>
      <c r="S631">
        <v>97.726699999999994</v>
      </c>
      <c r="T631">
        <v>98.274000000000001</v>
      </c>
      <c r="U631">
        <v>5.0305200000000001</v>
      </c>
      <c r="V631">
        <v>0</v>
      </c>
      <c r="W631">
        <v>0</v>
      </c>
      <c r="X631">
        <v>1.6333899999999999</v>
      </c>
      <c r="Y631">
        <v>1.6333899999999999</v>
      </c>
      <c r="Z631">
        <v>0</v>
      </c>
      <c r="AA631">
        <v>1.26176</v>
      </c>
      <c r="AB631">
        <v>2.9635199999999999</v>
      </c>
      <c r="AC631" s="2">
        <v>273062000</v>
      </c>
      <c r="AD631" s="1">
        <v>0</v>
      </c>
      <c r="AE631" s="1">
        <v>0</v>
      </c>
      <c r="AF631" s="1">
        <v>0</v>
      </c>
      <c r="AG631" s="1">
        <v>0</v>
      </c>
      <c r="AH631" s="2">
        <v>4225970</v>
      </c>
      <c r="AI631" s="1">
        <v>137750</v>
      </c>
      <c r="AJ631" s="1">
        <v>0</v>
      </c>
      <c r="AK631" s="8">
        <f t="shared" si="39"/>
        <v>6</v>
      </c>
      <c r="AL631" s="8">
        <f t="shared" si="38"/>
        <v>13</v>
      </c>
      <c r="AM631">
        <f t="shared" si="36"/>
        <v>0</v>
      </c>
      <c r="AN631">
        <f t="shared" si="37"/>
        <v>0</v>
      </c>
    </row>
    <row r="632" spans="1:40" x14ac:dyDescent="0.35">
      <c r="A632">
        <v>81.785799999999995</v>
      </c>
      <c r="B632">
        <v>85.138999999999996</v>
      </c>
      <c r="C632">
        <v>4.6381399999999999</v>
      </c>
      <c r="D632">
        <v>0</v>
      </c>
      <c r="E632">
        <v>0</v>
      </c>
      <c r="F632">
        <v>3.0910500000000001</v>
      </c>
      <c r="G632">
        <v>3.0910500000000001</v>
      </c>
      <c r="H632">
        <v>0</v>
      </c>
      <c r="I632">
        <v>0.52769999999999995</v>
      </c>
      <c r="J632">
        <v>5.3222399999999999</v>
      </c>
      <c r="K632" s="2">
        <v>83644200</v>
      </c>
      <c r="L632" s="1">
        <v>0</v>
      </c>
      <c r="M632" s="1">
        <v>0</v>
      </c>
      <c r="N632" s="1">
        <v>0</v>
      </c>
      <c r="O632" s="1">
        <v>0</v>
      </c>
      <c r="P632" s="2">
        <v>4621040</v>
      </c>
      <c r="Q632" s="1">
        <v>317766</v>
      </c>
      <c r="R632" s="1">
        <v>0</v>
      </c>
      <c r="S632">
        <v>98.295199999999994</v>
      </c>
      <c r="T632">
        <v>98.274000000000001</v>
      </c>
      <c r="U632">
        <v>4.6639400000000002</v>
      </c>
      <c r="V632">
        <v>0</v>
      </c>
      <c r="W632">
        <v>0</v>
      </c>
      <c r="X632">
        <v>1.8257399999999999</v>
      </c>
      <c r="Y632">
        <v>1.8257399999999999</v>
      </c>
      <c r="Z632">
        <v>0</v>
      </c>
      <c r="AA632">
        <v>1.26196</v>
      </c>
      <c r="AB632">
        <v>2.9635199999999999</v>
      </c>
      <c r="AC632" s="2">
        <v>273216000</v>
      </c>
      <c r="AD632" s="1">
        <v>0</v>
      </c>
      <c r="AE632" s="1">
        <v>0</v>
      </c>
      <c r="AF632" s="1">
        <v>0</v>
      </c>
      <c r="AG632" s="1">
        <v>0</v>
      </c>
      <c r="AH632" s="2">
        <v>4723610</v>
      </c>
      <c r="AI632" s="1">
        <v>153972</v>
      </c>
      <c r="AJ632" s="1">
        <v>0</v>
      </c>
      <c r="AK632" s="8">
        <f t="shared" si="39"/>
        <v>7</v>
      </c>
      <c r="AL632" s="8">
        <f t="shared" si="38"/>
        <v>13</v>
      </c>
      <c r="AM632">
        <f t="shared" si="36"/>
        <v>0</v>
      </c>
      <c r="AN632">
        <f t="shared" si="37"/>
        <v>0</v>
      </c>
    </row>
    <row r="633" spans="1:40" x14ac:dyDescent="0.35">
      <c r="A633">
        <v>82.311300000000003</v>
      </c>
      <c r="B633">
        <v>85.138999999999996</v>
      </c>
      <c r="C633">
        <v>4.0586399999999996</v>
      </c>
      <c r="D633">
        <v>0</v>
      </c>
      <c r="E633">
        <v>0</v>
      </c>
      <c r="F633">
        <v>3.0915499999999998</v>
      </c>
      <c r="G633">
        <v>3.0915499999999998</v>
      </c>
      <c r="H633">
        <v>0</v>
      </c>
      <c r="I633">
        <v>0.57926299999999997</v>
      </c>
      <c r="J633">
        <v>5.3222399999999999</v>
      </c>
      <c r="K633" s="2">
        <v>83962100</v>
      </c>
      <c r="L633" s="1">
        <v>0</v>
      </c>
      <c r="M633" s="1">
        <v>0</v>
      </c>
      <c r="N633" s="1">
        <v>0</v>
      </c>
      <c r="O633" s="1">
        <v>0</v>
      </c>
      <c r="P633" s="2">
        <v>4621780</v>
      </c>
      <c r="Q633" s="1">
        <v>317817</v>
      </c>
      <c r="R633" s="1">
        <v>0</v>
      </c>
      <c r="S633">
        <v>98.736400000000003</v>
      </c>
      <c r="T633">
        <v>98.274000000000001</v>
      </c>
      <c r="U633">
        <v>4.4863499999999998</v>
      </c>
      <c r="V633">
        <v>0</v>
      </c>
      <c r="W633">
        <v>0</v>
      </c>
      <c r="X633">
        <v>1.82603</v>
      </c>
      <c r="Y633">
        <v>1.82603</v>
      </c>
      <c r="Z633">
        <v>0</v>
      </c>
      <c r="AA633">
        <v>1.41056</v>
      </c>
      <c r="AB633">
        <v>2.9635199999999999</v>
      </c>
      <c r="AC633" s="2">
        <v>273370000</v>
      </c>
      <c r="AD633" s="1">
        <v>0</v>
      </c>
      <c r="AE633" s="1">
        <v>0</v>
      </c>
      <c r="AF633" s="1">
        <v>0</v>
      </c>
      <c r="AG633" s="1">
        <v>0</v>
      </c>
      <c r="AH633" s="2">
        <v>4724370</v>
      </c>
      <c r="AI633" s="1">
        <v>153996</v>
      </c>
      <c r="AJ633" s="1">
        <v>0</v>
      </c>
      <c r="AK633" s="8">
        <f t="shared" si="39"/>
        <v>8</v>
      </c>
      <c r="AL633" s="8">
        <f t="shared" si="38"/>
        <v>13</v>
      </c>
      <c r="AM633">
        <f t="shared" si="36"/>
        <v>0</v>
      </c>
      <c r="AN633">
        <f t="shared" si="37"/>
        <v>0</v>
      </c>
    </row>
    <row r="634" spans="1:40" x14ac:dyDescent="0.35">
      <c r="A634">
        <v>83.843299999999999</v>
      </c>
      <c r="B634">
        <v>85.138999999999996</v>
      </c>
      <c r="C634">
        <v>5.1436599999999997</v>
      </c>
      <c r="D634">
        <v>0</v>
      </c>
      <c r="E634">
        <v>0</v>
      </c>
      <c r="F634">
        <v>3.0920399999999999</v>
      </c>
      <c r="G634">
        <v>3.0920399999999999</v>
      </c>
      <c r="H634">
        <v>0</v>
      </c>
      <c r="I634">
        <v>0.57935599999999998</v>
      </c>
      <c r="J634">
        <v>5.3222399999999999</v>
      </c>
      <c r="K634" s="2">
        <v>84279900</v>
      </c>
      <c r="L634" s="1">
        <v>0</v>
      </c>
      <c r="M634" s="1">
        <v>0</v>
      </c>
      <c r="N634" s="1">
        <v>0</v>
      </c>
      <c r="O634" s="1">
        <v>0</v>
      </c>
      <c r="P634" s="2">
        <v>4622520</v>
      </c>
      <c r="Q634" s="1">
        <v>317868</v>
      </c>
      <c r="R634" s="1">
        <v>0</v>
      </c>
      <c r="S634">
        <v>99.273899999999998</v>
      </c>
      <c r="T634">
        <v>98.274000000000001</v>
      </c>
      <c r="U634">
        <v>5.2681500000000003</v>
      </c>
      <c r="V634">
        <v>0</v>
      </c>
      <c r="W634">
        <v>0</v>
      </c>
      <c r="X634">
        <v>1.8263199999999999</v>
      </c>
      <c r="Y634">
        <v>1.8263199999999999</v>
      </c>
      <c r="Z634">
        <v>0</v>
      </c>
      <c r="AA634">
        <v>1.41079</v>
      </c>
      <c r="AB634">
        <v>2.9635199999999999</v>
      </c>
      <c r="AC634" s="2">
        <v>273524000</v>
      </c>
      <c r="AD634" s="1">
        <v>0</v>
      </c>
      <c r="AE634" s="1">
        <v>0</v>
      </c>
      <c r="AF634" s="1">
        <v>0</v>
      </c>
      <c r="AG634" s="1">
        <v>0</v>
      </c>
      <c r="AH634" s="2">
        <v>4725120</v>
      </c>
      <c r="AI634" s="1">
        <v>154021</v>
      </c>
      <c r="AJ634" s="1">
        <v>0</v>
      </c>
      <c r="AK634" s="8">
        <f t="shared" si="39"/>
        <v>9</v>
      </c>
      <c r="AL634" s="8">
        <f t="shared" si="38"/>
        <v>13</v>
      </c>
      <c r="AM634">
        <f t="shared" si="36"/>
        <v>0</v>
      </c>
      <c r="AN634">
        <f t="shared" si="37"/>
        <v>0</v>
      </c>
    </row>
    <row r="635" spans="1:40" x14ac:dyDescent="0.35">
      <c r="A635">
        <v>84.370500000000007</v>
      </c>
      <c r="B635">
        <v>85.138999999999996</v>
      </c>
      <c r="C635">
        <v>4.1553800000000001</v>
      </c>
      <c r="D635">
        <v>0</v>
      </c>
      <c r="E635">
        <v>0</v>
      </c>
      <c r="F635">
        <v>3.09253</v>
      </c>
      <c r="G635">
        <v>3.09253</v>
      </c>
      <c r="H635">
        <v>0</v>
      </c>
      <c r="I635">
        <v>0.57944799999999996</v>
      </c>
      <c r="J635">
        <v>5.3222399999999999</v>
      </c>
      <c r="K635" s="2">
        <v>84597800</v>
      </c>
      <c r="L635" s="1">
        <v>0</v>
      </c>
      <c r="M635" s="1">
        <v>0</v>
      </c>
      <c r="N635" s="1">
        <v>0</v>
      </c>
      <c r="O635" s="1">
        <v>0</v>
      </c>
      <c r="P635" s="2">
        <v>4623260</v>
      </c>
      <c r="Q635" s="1">
        <v>317918</v>
      </c>
      <c r="R635" s="1">
        <v>0</v>
      </c>
      <c r="S635">
        <v>99.302199999999999</v>
      </c>
      <c r="T635">
        <v>98.274000000000001</v>
      </c>
      <c r="U635">
        <v>4.2486300000000004</v>
      </c>
      <c r="V635">
        <v>0</v>
      </c>
      <c r="W635">
        <v>0</v>
      </c>
      <c r="X635">
        <v>1.8266100000000001</v>
      </c>
      <c r="Y635">
        <v>1.8266100000000001</v>
      </c>
      <c r="Z635">
        <v>0</v>
      </c>
      <c r="AA635">
        <v>1.4110100000000001</v>
      </c>
      <c r="AB635">
        <v>2.9635199999999999</v>
      </c>
      <c r="AC635" s="2">
        <v>273678000</v>
      </c>
      <c r="AD635" s="1">
        <v>0</v>
      </c>
      <c r="AE635" s="1">
        <v>0</v>
      </c>
      <c r="AF635" s="1">
        <v>0</v>
      </c>
      <c r="AG635" s="1">
        <v>0</v>
      </c>
      <c r="AH635" s="2">
        <v>4725880</v>
      </c>
      <c r="AI635" s="1">
        <v>154045</v>
      </c>
      <c r="AJ635" s="1">
        <v>0</v>
      </c>
      <c r="AK635" s="8">
        <f t="shared" si="39"/>
        <v>10</v>
      </c>
      <c r="AL635" s="8">
        <f t="shared" si="38"/>
        <v>13</v>
      </c>
      <c r="AM635">
        <f t="shared" si="36"/>
        <v>0</v>
      </c>
      <c r="AN635">
        <f t="shared" si="37"/>
        <v>0</v>
      </c>
    </row>
    <row r="636" spans="1:40" x14ac:dyDescent="0.35">
      <c r="A636">
        <v>85.138999999999996</v>
      </c>
      <c r="B636">
        <v>85.138999999999996</v>
      </c>
      <c r="C636">
        <v>4.3305800000000003</v>
      </c>
      <c r="D636">
        <v>0</v>
      </c>
      <c r="E636">
        <v>0</v>
      </c>
      <c r="F636">
        <v>2.7009699999999999</v>
      </c>
      <c r="G636">
        <v>2.7009699999999999</v>
      </c>
      <c r="H636">
        <v>0</v>
      </c>
      <c r="I636">
        <v>0.57954099999999997</v>
      </c>
      <c r="J636">
        <v>5.3222399999999999</v>
      </c>
      <c r="K636" s="2">
        <v>84875500</v>
      </c>
      <c r="L636" s="1">
        <v>0</v>
      </c>
      <c r="M636" s="1">
        <v>0</v>
      </c>
      <c r="N636" s="1">
        <v>0</v>
      </c>
      <c r="O636" s="1">
        <v>0</v>
      </c>
      <c r="P636" s="2">
        <v>4037880</v>
      </c>
      <c r="Q636" s="1">
        <v>277665</v>
      </c>
      <c r="R636" s="1">
        <v>0</v>
      </c>
      <c r="S636">
        <v>99.302199999999999</v>
      </c>
      <c r="T636">
        <v>98.274000000000001</v>
      </c>
      <c r="U636">
        <v>5.5185399999999998</v>
      </c>
      <c r="V636">
        <v>0</v>
      </c>
      <c r="W636">
        <v>0</v>
      </c>
      <c r="X636">
        <v>1.5689599999999999</v>
      </c>
      <c r="Y636">
        <v>1.5689599999999999</v>
      </c>
      <c r="Z636">
        <v>0</v>
      </c>
      <c r="AA636">
        <v>1.41124</v>
      </c>
      <c r="AB636">
        <v>2.9635199999999999</v>
      </c>
      <c r="AC636" s="2">
        <v>273810000</v>
      </c>
      <c r="AD636" s="1">
        <v>0</v>
      </c>
      <c r="AE636" s="1">
        <v>0</v>
      </c>
      <c r="AF636" s="1">
        <v>0</v>
      </c>
      <c r="AG636" s="1">
        <v>0</v>
      </c>
      <c r="AH636" s="2">
        <v>4059280</v>
      </c>
      <c r="AI636" s="1">
        <v>132317</v>
      </c>
      <c r="AJ636" s="1">
        <v>0</v>
      </c>
      <c r="AK636" s="8">
        <f t="shared" si="39"/>
        <v>11</v>
      </c>
      <c r="AL636" s="8">
        <f t="shared" si="38"/>
        <v>13</v>
      </c>
      <c r="AM636">
        <f t="shared" si="36"/>
        <v>0</v>
      </c>
      <c r="AN636">
        <f t="shared" si="37"/>
        <v>0</v>
      </c>
    </row>
    <row r="637" spans="1:40" x14ac:dyDescent="0.35">
      <c r="A637">
        <v>85.138999999999996</v>
      </c>
      <c r="B637">
        <v>85.138999999999996</v>
      </c>
      <c r="C637">
        <v>4.4445600000000001</v>
      </c>
      <c r="D637">
        <v>0</v>
      </c>
      <c r="E637">
        <v>0</v>
      </c>
      <c r="F637">
        <v>2.7014</v>
      </c>
      <c r="G637">
        <v>2.7014</v>
      </c>
      <c r="H637">
        <v>0</v>
      </c>
      <c r="I637">
        <v>0.50616099999999997</v>
      </c>
      <c r="J637">
        <v>5.3222399999999999</v>
      </c>
      <c r="K637" s="2">
        <v>85153200</v>
      </c>
      <c r="L637" s="1">
        <v>0</v>
      </c>
      <c r="M637" s="1">
        <v>0</v>
      </c>
      <c r="N637" s="1">
        <v>0</v>
      </c>
      <c r="O637" s="1">
        <v>0</v>
      </c>
      <c r="P637" s="2">
        <v>4038520</v>
      </c>
      <c r="Q637" s="1">
        <v>277709</v>
      </c>
      <c r="R637" s="1">
        <v>0</v>
      </c>
      <c r="S637">
        <v>99.302199999999999</v>
      </c>
      <c r="T637">
        <v>98.274000000000001</v>
      </c>
      <c r="U637">
        <v>6.36503</v>
      </c>
      <c r="V637">
        <v>0</v>
      </c>
      <c r="W637">
        <v>0</v>
      </c>
      <c r="X637">
        <v>1.56921</v>
      </c>
      <c r="Y637">
        <v>1.56921</v>
      </c>
      <c r="Z637">
        <v>0</v>
      </c>
      <c r="AA637">
        <v>1.21218</v>
      </c>
      <c r="AB637">
        <v>2.9635199999999999</v>
      </c>
      <c r="AC637" s="2">
        <v>273942000</v>
      </c>
      <c r="AD637" s="1">
        <v>0</v>
      </c>
      <c r="AE637" s="1">
        <v>0</v>
      </c>
      <c r="AF637" s="1">
        <v>0</v>
      </c>
      <c r="AG637" s="1">
        <v>0</v>
      </c>
      <c r="AH637" s="2">
        <v>4059920</v>
      </c>
      <c r="AI637" s="1">
        <v>132338</v>
      </c>
      <c r="AJ637" s="1">
        <v>0</v>
      </c>
      <c r="AK637" s="8">
        <f t="shared" si="39"/>
        <v>12</v>
      </c>
      <c r="AL637" s="8">
        <f t="shared" si="38"/>
        <v>13</v>
      </c>
      <c r="AM637">
        <f t="shared" si="36"/>
        <v>0</v>
      </c>
      <c r="AN637">
        <f t="shared" si="37"/>
        <v>0</v>
      </c>
    </row>
    <row r="638" spans="1:40" x14ac:dyDescent="0.35">
      <c r="A638">
        <v>85.138999999999996</v>
      </c>
      <c r="B638">
        <v>85.138999999999996</v>
      </c>
      <c r="C638">
        <v>4.0589399999999998</v>
      </c>
      <c r="D638">
        <v>0</v>
      </c>
      <c r="E638">
        <v>0</v>
      </c>
      <c r="F638">
        <v>2.7018300000000002</v>
      </c>
      <c r="G638">
        <v>2.7018300000000002</v>
      </c>
      <c r="H638">
        <v>0</v>
      </c>
      <c r="I638">
        <v>0.50624199999999997</v>
      </c>
      <c r="J638">
        <v>5.3222399999999999</v>
      </c>
      <c r="K638" s="2">
        <v>85431000</v>
      </c>
      <c r="L638" s="1">
        <v>0</v>
      </c>
      <c r="M638" s="1">
        <v>0</v>
      </c>
      <c r="N638" s="1">
        <v>0</v>
      </c>
      <c r="O638" s="1">
        <v>0</v>
      </c>
      <c r="P638" s="2">
        <v>4039170</v>
      </c>
      <c r="Q638" s="1">
        <v>277753</v>
      </c>
      <c r="R638" s="1">
        <v>0</v>
      </c>
      <c r="S638">
        <v>99.302199999999999</v>
      </c>
      <c r="T638">
        <v>98.274000000000001</v>
      </c>
      <c r="U638">
        <v>5.0922400000000003</v>
      </c>
      <c r="V638">
        <v>0</v>
      </c>
      <c r="W638">
        <v>0</v>
      </c>
      <c r="X638">
        <v>1.5694600000000001</v>
      </c>
      <c r="Y638">
        <v>1.5694600000000001</v>
      </c>
      <c r="Z638">
        <v>0</v>
      </c>
      <c r="AA638">
        <v>1.2123699999999999</v>
      </c>
      <c r="AB638">
        <v>2.9635199999999999</v>
      </c>
      <c r="AC638" s="2">
        <v>274075000</v>
      </c>
      <c r="AD638" s="1">
        <v>0</v>
      </c>
      <c r="AE638" s="1">
        <v>0</v>
      </c>
      <c r="AF638" s="1">
        <v>0</v>
      </c>
      <c r="AG638" s="1">
        <v>0</v>
      </c>
      <c r="AH638" s="2">
        <v>4060570</v>
      </c>
      <c r="AI638" s="1">
        <v>132359</v>
      </c>
      <c r="AJ638" s="1">
        <v>0</v>
      </c>
      <c r="AK638" s="8">
        <f t="shared" si="39"/>
        <v>13</v>
      </c>
      <c r="AL638" s="8">
        <f t="shared" si="38"/>
        <v>13</v>
      </c>
      <c r="AM638">
        <f t="shared" si="36"/>
        <v>0</v>
      </c>
      <c r="AN638">
        <f t="shared" si="37"/>
        <v>0</v>
      </c>
    </row>
    <row r="639" spans="1:40" x14ac:dyDescent="0.35">
      <c r="A639">
        <v>85.138999999999996</v>
      </c>
      <c r="B639">
        <v>85.138999999999996</v>
      </c>
      <c r="C639">
        <v>4.4000199999999996</v>
      </c>
      <c r="D639">
        <v>0</v>
      </c>
      <c r="E639">
        <v>0</v>
      </c>
      <c r="F639">
        <v>2.7022599999999999</v>
      </c>
      <c r="G639">
        <v>2.7022599999999999</v>
      </c>
      <c r="H639">
        <v>0</v>
      </c>
      <c r="I639">
        <v>0.50632299999999997</v>
      </c>
      <c r="J639">
        <v>5.3222399999999999</v>
      </c>
      <c r="K639" s="2">
        <v>85708800</v>
      </c>
      <c r="L639" s="1">
        <v>0</v>
      </c>
      <c r="M639" s="1">
        <v>0</v>
      </c>
      <c r="N639" s="1">
        <v>0</v>
      </c>
      <c r="O639" s="1">
        <v>0</v>
      </c>
      <c r="P639" s="2">
        <v>4039810</v>
      </c>
      <c r="Q639" s="1">
        <v>277798</v>
      </c>
      <c r="R639" s="1">
        <v>0</v>
      </c>
      <c r="S639">
        <v>99.302199999999999</v>
      </c>
      <c r="T639">
        <v>98.274000000000001</v>
      </c>
      <c r="U639">
        <v>5.0182599999999997</v>
      </c>
      <c r="V639">
        <v>0</v>
      </c>
      <c r="W639">
        <v>0</v>
      </c>
      <c r="X639">
        <v>1.5697099999999999</v>
      </c>
      <c r="Y639">
        <v>1.5697099999999999</v>
      </c>
      <c r="Z639">
        <v>0</v>
      </c>
      <c r="AA639">
        <v>1.2125699999999999</v>
      </c>
      <c r="AB639">
        <v>2.9635199999999999</v>
      </c>
      <c r="AC639" s="2">
        <v>274207000</v>
      </c>
      <c r="AD639" s="1">
        <v>0</v>
      </c>
      <c r="AE639" s="1">
        <v>0</v>
      </c>
      <c r="AF639" s="1">
        <v>0</v>
      </c>
      <c r="AG639" s="1">
        <v>0</v>
      </c>
      <c r="AH639" s="2">
        <v>4061220</v>
      </c>
      <c r="AI639" s="1">
        <v>132380</v>
      </c>
      <c r="AJ639" s="1">
        <v>0</v>
      </c>
      <c r="AK639" s="8">
        <f t="shared" si="39"/>
        <v>14</v>
      </c>
      <c r="AL639" s="8">
        <f t="shared" si="38"/>
        <v>13</v>
      </c>
      <c r="AM639">
        <f t="shared" si="36"/>
        <v>0</v>
      </c>
      <c r="AN639">
        <f t="shared" si="37"/>
        <v>0</v>
      </c>
    </row>
    <row r="640" spans="1:40" x14ac:dyDescent="0.35">
      <c r="A640">
        <v>85.138999999999996</v>
      </c>
      <c r="B640">
        <v>85.138999999999996</v>
      </c>
      <c r="C640">
        <v>3.7949999999999999</v>
      </c>
      <c r="D640">
        <v>0</v>
      </c>
      <c r="E640">
        <v>0</v>
      </c>
      <c r="F640">
        <v>2.70269</v>
      </c>
      <c r="G640">
        <v>2.70269</v>
      </c>
      <c r="H640">
        <v>0</v>
      </c>
      <c r="I640">
        <v>0.50640399999999997</v>
      </c>
      <c r="J640">
        <v>5.3222399999999999</v>
      </c>
      <c r="K640" s="2">
        <v>85986600</v>
      </c>
      <c r="L640" s="1">
        <v>0</v>
      </c>
      <c r="M640" s="1">
        <v>0</v>
      </c>
      <c r="N640" s="1">
        <v>0</v>
      </c>
      <c r="O640" s="1">
        <v>0</v>
      </c>
      <c r="P640" s="2">
        <v>4040460</v>
      </c>
      <c r="Q640" s="1">
        <v>277842</v>
      </c>
      <c r="R640" s="1">
        <v>0</v>
      </c>
      <c r="S640">
        <v>99.302199999999999</v>
      </c>
      <c r="T640">
        <v>98.274000000000001</v>
      </c>
      <c r="U640">
        <v>4.02623</v>
      </c>
      <c r="V640">
        <v>0</v>
      </c>
      <c r="W640">
        <v>0</v>
      </c>
      <c r="X640">
        <v>1.56996</v>
      </c>
      <c r="Y640">
        <v>1.56996</v>
      </c>
      <c r="Z640">
        <v>0</v>
      </c>
      <c r="AA640">
        <v>1.2127600000000001</v>
      </c>
      <c r="AB640">
        <v>2.9635199999999999</v>
      </c>
      <c r="AC640" s="2">
        <v>274340000</v>
      </c>
      <c r="AD640" s="1">
        <v>0</v>
      </c>
      <c r="AE640" s="1">
        <v>0</v>
      </c>
      <c r="AF640" s="1">
        <v>0</v>
      </c>
      <c r="AG640" s="1">
        <v>0</v>
      </c>
      <c r="AH640" s="2">
        <v>4061870</v>
      </c>
      <c r="AI640" s="1">
        <v>132401</v>
      </c>
      <c r="AJ640" s="1">
        <v>0</v>
      </c>
      <c r="AK640" s="8">
        <f t="shared" si="39"/>
        <v>15</v>
      </c>
      <c r="AL640" s="8">
        <f t="shared" si="38"/>
        <v>13</v>
      </c>
      <c r="AM640">
        <f t="shared" si="36"/>
        <v>0</v>
      </c>
      <c r="AN640">
        <f t="shared" si="37"/>
        <v>0</v>
      </c>
    </row>
    <row r="641" spans="1:40" x14ac:dyDescent="0.35">
      <c r="A641">
        <v>85.138999999999996</v>
      </c>
      <c r="B641">
        <v>85.138999999999996</v>
      </c>
      <c r="C641">
        <v>4.7438799999999999</v>
      </c>
      <c r="D641">
        <v>0</v>
      </c>
      <c r="E641">
        <v>0</v>
      </c>
      <c r="F641">
        <v>2.8018900000000002</v>
      </c>
      <c r="G641">
        <v>2.8018900000000002</v>
      </c>
      <c r="H641">
        <v>0</v>
      </c>
      <c r="I641">
        <v>0.50648499999999996</v>
      </c>
      <c r="J641">
        <v>5.3222399999999999</v>
      </c>
      <c r="K641" s="2">
        <v>86274600</v>
      </c>
      <c r="L641" s="1">
        <v>0</v>
      </c>
      <c r="M641" s="1">
        <v>0</v>
      </c>
      <c r="N641" s="1">
        <v>0</v>
      </c>
      <c r="O641" s="1">
        <v>0</v>
      </c>
      <c r="P641" s="2">
        <v>4188760</v>
      </c>
      <c r="Q641" s="1">
        <v>288040</v>
      </c>
      <c r="R641" s="1">
        <v>0</v>
      </c>
      <c r="S641">
        <v>99.302199999999999</v>
      </c>
      <c r="T641">
        <v>98.274000000000001</v>
      </c>
      <c r="U641">
        <v>4.4718999999999998</v>
      </c>
      <c r="V641">
        <v>0</v>
      </c>
      <c r="W641">
        <v>0</v>
      </c>
      <c r="X641">
        <v>1.63337</v>
      </c>
      <c r="Y641">
        <v>1.63337</v>
      </c>
      <c r="Z641">
        <v>0</v>
      </c>
      <c r="AA641">
        <v>1.21295</v>
      </c>
      <c r="AB641">
        <v>2.9635199999999999</v>
      </c>
      <c r="AC641" s="2">
        <v>274477000</v>
      </c>
      <c r="AD641" s="1">
        <v>0</v>
      </c>
      <c r="AE641" s="1">
        <v>0</v>
      </c>
      <c r="AF641" s="1">
        <v>0</v>
      </c>
      <c r="AG641" s="1">
        <v>0</v>
      </c>
      <c r="AH641" s="2">
        <v>4225910</v>
      </c>
      <c r="AI641" s="1">
        <v>137748</v>
      </c>
      <c r="AJ641" s="1">
        <v>0</v>
      </c>
      <c r="AK641" s="8">
        <f t="shared" si="39"/>
        <v>16</v>
      </c>
      <c r="AL641" s="8">
        <f t="shared" si="38"/>
        <v>13</v>
      </c>
      <c r="AM641">
        <f t="shared" si="36"/>
        <v>0</v>
      </c>
      <c r="AN641">
        <f t="shared" si="37"/>
        <v>0</v>
      </c>
    </row>
    <row r="642" spans="1:40" x14ac:dyDescent="0.35">
      <c r="A642">
        <v>85.138999999999996</v>
      </c>
      <c r="B642">
        <v>85.138999999999996</v>
      </c>
      <c r="C642">
        <v>6.0553999999999997</v>
      </c>
      <c r="D642">
        <v>0</v>
      </c>
      <c r="E642">
        <v>0</v>
      </c>
      <c r="F642">
        <v>2.8023400000000001</v>
      </c>
      <c r="G642">
        <v>2.8023400000000001</v>
      </c>
      <c r="H642">
        <v>0</v>
      </c>
      <c r="I642">
        <v>0.52507499999999996</v>
      </c>
      <c r="J642">
        <v>5.3222399999999999</v>
      </c>
      <c r="K642" s="2">
        <v>86562700</v>
      </c>
      <c r="L642" s="1">
        <v>0</v>
      </c>
      <c r="M642" s="1">
        <v>0</v>
      </c>
      <c r="N642" s="1">
        <v>0</v>
      </c>
      <c r="O642" s="1">
        <v>0</v>
      </c>
      <c r="P642" s="2">
        <v>4189430</v>
      </c>
      <c r="Q642" s="1">
        <v>288086</v>
      </c>
      <c r="R642" s="1">
        <v>0</v>
      </c>
      <c r="S642">
        <v>99.302199999999999</v>
      </c>
      <c r="T642">
        <v>98.274000000000001</v>
      </c>
      <c r="U642">
        <v>6.4269299999999996</v>
      </c>
      <c r="V642">
        <v>0</v>
      </c>
      <c r="W642">
        <v>0</v>
      </c>
      <c r="X642">
        <v>1.6336299999999999</v>
      </c>
      <c r="Y642">
        <v>1.6336299999999999</v>
      </c>
      <c r="Z642">
        <v>0</v>
      </c>
      <c r="AA642">
        <v>1.2619400000000001</v>
      </c>
      <c r="AB642">
        <v>2.9635199999999999</v>
      </c>
      <c r="AC642" s="2">
        <v>274615000</v>
      </c>
      <c r="AD642" s="1">
        <v>0</v>
      </c>
      <c r="AE642" s="1">
        <v>0</v>
      </c>
      <c r="AF642" s="1">
        <v>0</v>
      </c>
      <c r="AG642" s="1">
        <v>0</v>
      </c>
      <c r="AH642" s="2">
        <v>4226590</v>
      </c>
      <c r="AI642" s="1">
        <v>137770</v>
      </c>
      <c r="AJ642" s="1">
        <v>0</v>
      </c>
      <c r="AK642" s="8">
        <f t="shared" si="39"/>
        <v>17</v>
      </c>
      <c r="AL642" s="8">
        <f t="shared" si="38"/>
        <v>13</v>
      </c>
      <c r="AM642">
        <f t="shared" si="36"/>
        <v>0</v>
      </c>
      <c r="AN642">
        <f t="shared" si="37"/>
        <v>0</v>
      </c>
    </row>
    <row r="643" spans="1:40" x14ac:dyDescent="0.35">
      <c r="A643">
        <v>85.138999999999996</v>
      </c>
      <c r="B643">
        <v>85.138999999999996</v>
      </c>
      <c r="C643">
        <v>4.3157500000000004</v>
      </c>
      <c r="D643">
        <v>0</v>
      </c>
      <c r="E643">
        <v>0</v>
      </c>
      <c r="F643">
        <v>2.8027899999999999</v>
      </c>
      <c r="G643">
        <v>2.8027899999999999</v>
      </c>
      <c r="H643">
        <v>0</v>
      </c>
      <c r="I643">
        <v>0.52515900000000004</v>
      </c>
      <c r="J643">
        <v>5.3222399999999999</v>
      </c>
      <c r="K643" s="2">
        <v>86850900</v>
      </c>
      <c r="L643" s="1">
        <v>0</v>
      </c>
      <c r="M643" s="1">
        <v>0</v>
      </c>
      <c r="N643" s="1">
        <v>0</v>
      </c>
      <c r="O643" s="1">
        <v>0</v>
      </c>
      <c r="P643" s="2">
        <v>4190100</v>
      </c>
      <c r="Q643" s="1">
        <v>288132</v>
      </c>
      <c r="R643" s="1">
        <v>0</v>
      </c>
      <c r="S643">
        <v>99.302199999999999</v>
      </c>
      <c r="T643">
        <v>98.274000000000001</v>
      </c>
      <c r="U643">
        <v>4.4054500000000001</v>
      </c>
      <c r="V643">
        <v>0</v>
      </c>
      <c r="W643">
        <v>0</v>
      </c>
      <c r="X643">
        <v>1.6338900000000001</v>
      </c>
      <c r="Y643">
        <v>1.6338900000000001</v>
      </c>
      <c r="Z643">
        <v>0</v>
      </c>
      <c r="AA643">
        <v>1.26214</v>
      </c>
      <c r="AB643">
        <v>2.9635199999999999</v>
      </c>
      <c r="AC643" s="2">
        <v>274753000</v>
      </c>
      <c r="AD643" s="1">
        <v>0</v>
      </c>
      <c r="AE643" s="1">
        <v>0</v>
      </c>
      <c r="AF643" s="1">
        <v>0</v>
      </c>
      <c r="AG643" s="1">
        <v>0</v>
      </c>
      <c r="AH643" s="2">
        <v>4227260</v>
      </c>
      <c r="AI643" s="1">
        <v>137792</v>
      </c>
      <c r="AJ643" s="1">
        <v>0</v>
      </c>
      <c r="AK643" s="8">
        <f t="shared" si="39"/>
        <v>18</v>
      </c>
      <c r="AL643" s="8">
        <f t="shared" si="38"/>
        <v>13</v>
      </c>
      <c r="AM643">
        <f t="shared" ref="AM643:AM706" si="40">IF(AK643=52,AC643,0)</f>
        <v>0</v>
      </c>
      <c r="AN643">
        <f t="shared" ref="AN643:AN706" si="41">IF(AK643=52,K643,0)</f>
        <v>0</v>
      </c>
    </row>
    <row r="644" spans="1:40" x14ac:dyDescent="0.35">
      <c r="A644">
        <v>85.138999999999996</v>
      </c>
      <c r="B644">
        <v>85.138999999999996</v>
      </c>
      <c r="C644">
        <v>3.6883499999999998</v>
      </c>
      <c r="D644">
        <v>0</v>
      </c>
      <c r="E644">
        <v>0</v>
      </c>
      <c r="F644">
        <v>2.8032400000000002</v>
      </c>
      <c r="G644">
        <v>2.8032400000000002</v>
      </c>
      <c r="H644">
        <v>0</v>
      </c>
      <c r="I644">
        <v>0.52524199999999999</v>
      </c>
      <c r="J644">
        <v>5.3222399999999999</v>
      </c>
      <c r="K644" s="2">
        <v>87139000</v>
      </c>
      <c r="L644" s="1">
        <v>0</v>
      </c>
      <c r="M644" s="1">
        <v>0</v>
      </c>
      <c r="N644" s="1">
        <v>0</v>
      </c>
      <c r="O644" s="1">
        <v>0</v>
      </c>
      <c r="P644" s="2">
        <v>4190770</v>
      </c>
      <c r="Q644" s="1">
        <v>288178</v>
      </c>
      <c r="R644" s="1">
        <v>0</v>
      </c>
      <c r="S644">
        <v>99.302199999999999</v>
      </c>
      <c r="T644">
        <v>98.274000000000001</v>
      </c>
      <c r="U644">
        <v>3.6869700000000001</v>
      </c>
      <c r="V644">
        <v>0</v>
      </c>
      <c r="W644">
        <v>0</v>
      </c>
      <c r="X644">
        <v>1.63415</v>
      </c>
      <c r="Y644">
        <v>1.63415</v>
      </c>
      <c r="Z644">
        <v>0</v>
      </c>
      <c r="AA644">
        <v>1.26234</v>
      </c>
      <c r="AB644">
        <v>2.9635199999999999</v>
      </c>
      <c r="AC644" s="2">
        <v>274891000</v>
      </c>
      <c r="AD644" s="1">
        <v>0</v>
      </c>
      <c r="AE644" s="1">
        <v>0</v>
      </c>
      <c r="AF644" s="1">
        <v>0</v>
      </c>
      <c r="AG644" s="1">
        <v>0</v>
      </c>
      <c r="AH644" s="2">
        <v>4227940</v>
      </c>
      <c r="AI644" s="1">
        <v>137814</v>
      </c>
      <c r="AJ644" s="1">
        <v>0</v>
      </c>
      <c r="AK644" s="8">
        <f t="shared" si="39"/>
        <v>19</v>
      </c>
      <c r="AL644" s="8">
        <f t="shared" ref="AL644:AL707" si="42">IF(AK643=52,AL643+1,AL643)</f>
        <v>13</v>
      </c>
      <c r="AM644">
        <f t="shared" si="40"/>
        <v>0</v>
      </c>
      <c r="AN644">
        <f t="shared" si="41"/>
        <v>0</v>
      </c>
    </row>
    <row r="645" spans="1:40" x14ac:dyDescent="0.35">
      <c r="A645">
        <v>85.138999999999996</v>
      </c>
      <c r="B645">
        <v>85.138999999999996</v>
      </c>
      <c r="C645">
        <v>3.35968</v>
      </c>
      <c r="D645">
        <v>0</v>
      </c>
      <c r="E645">
        <v>0</v>
      </c>
      <c r="F645">
        <v>2.7650399999999999</v>
      </c>
      <c r="G645">
        <v>2.7650399999999999</v>
      </c>
      <c r="H645">
        <v>0</v>
      </c>
      <c r="I645">
        <v>0.52532599999999996</v>
      </c>
      <c r="J645">
        <v>5.3222399999999999</v>
      </c>
      <c r="K645" s="2">
        <v>87423300</v>
      </c>
      <c r="L645" s="1">
        <v>0</v>
      </c>
      <c r="M645" s="1">
        <v>0</v>
      </c>
      <c r="N645" s="1">
        <v>0</v>
      </c>
      <c r="O645" s="1">
        <v>0</v>
      </c>
      <c r="P645" s="2">
        <v>4133670</v>
      </c>
      <c r="Q645" s="1">
        <v>284252</v>
      </c>
      <c r="R645" s="1">
        <v>0</v>
      </c>
      <c r="S645">
        <v>99.302199999999999</v>
      </c>
      <c r="T645">
        <v>98.274000000000001</v>
      </c>
      <c r="U645">
        <v>3.4274900000000001</v>
      </c>
      <c r="V645">
        <v>0</v>
      </c>
      <c r="W645">
        <v>0</v>
      </c>
      <c r="X645">
        <v>1.6098699999999999</v>
      </c>
      <c r="Y645">
        <v>1.6098699999999999</v>
      </c>
      <c r="Z645">
        <v>0</v>
      </c>
      <c r="AA645">
        <v>1.2625500000000001</v>
      </c>
      <c r="AB645">
        <v>2.9635199999999999</v>
      </c>
      <c r="AC645" s="2">
        <v>275026000</v>
      </c>
      <c r="AD645" s="1">
        <v>0</v>
      </c>
      <c r="AE645" s="1">
        <v>0</v>
      </c>
      <c r="AF645" s="1">
        <v>0</v>
      </c>
      <c r="AG645" s="1">
        <v>0</v>
      </c>
      <c r="AH645" s="2">
        <v>4165110</v>
      </c>
      <c r="AI645" s="1">
        <v>135767</v>
      </c>
      <c r="AJ645" s="1">
        <v>0</v>
      </c>
      <c r="AK645" s="8">
        <f t="shared" si="39"/>
        <v>20</v>
      </c>
      <c r="AL645" s="8">
        <f t="shared" si="42"/>
        <v>13</v>
      </c>
      <c r="AM645">
        <f t="shared" si="40"/>
        <v>0</v>
      </c>
      <c r="AN645">
        <f t="shared" si="41"/>
        <v>0</v>
      </c>
    </row>
    <row r="646" spans="1:40" x14ac:dyDescent="0.35">
      <c r="A646">
        <v>85.060500000000005</v>
      </c>
      <c r="B646">
        <v>85.138999999999996</v>
      </c>
      <c r="C646">
        <v>3.0409299999999999</v>
      </c>
      <c r="D646">
        <v>0</v>
      </c>
      <c r="E646">
        <v>0</v>
      </c>
      <c r="F646">
        <v>2.7654800000000002</v>
      </c>
      <c r="G646">
        <v>2.7654800000000002</v>
      </c>
      <c r="H646">
        <v>0</v>
      </c>
      <c r="I646">
        <v>0.51816899999999999</v>
      </c>
      <c r="J646">
        <v>5.3222399999999999</v>
      </c>
      <c r="K646" s="2">
        <v>87707600</v>
      </c>
      <c r="L646" s="1">
        <v>0</v>
      </c>
      <c r="M646" s="1">
        <v>0</v>
      </c>
      <c r="N646" s="1">
        <v>0</v>
      </c>
      <c r="O646" s="1">
        <v>0</v>
      </c>
      <c r="P646" s="2">
        <v>4134330</v>
      </c>
      <c r="Q646" s="1">
        <v>284297</v>
      </c>
      <c r="R646" s="1">
        <v>0</v>
      </c>
      <c r="S646">
        <v>99.302199999999999</v>
      </c>
      <c r="T646">
        <v>98.274000000000001</v>
      </c>
      <c r="U646">
        <v>2.9081700000000001</v>
      </c>
      <c r="V646">
        <v>0</v>
      </c>
      <c r="W646">
        <v>0</v>
      </c>
      <c r="X646">
        <v>1.6101300000000001</v>
      </c>
      <c r="Y646">
        <v>1.6101300000000001</v>
      </c>
      <c r="Z646">
        <v>0</v>
      </c>
      <c r="AA646">
        <v>1.2437800000000001</v>
      </c>
      <c r="AB646">
        <v>2.9635199999999999</v>
      </c>
      <c r="AC646" s="2">
        <v>275162000</v>
      </c>
      <c r="AD646" s="1">
        <v>0</v>
      </c>
      <c r="AE646" s="1">
        <v>0</v>
      </c>
      <c r="AF646" s="1">
        <v>0</v>
      </c>
      <c r="AG646" s="1">
        <v>0</v>
      </c>
      <c r="AH646" s="2">
        <v>4165780</v>
      </c>
      <c r="AI646" s="1">
        <v>135788</v>
      </c>
      <c r="AJ646" s="1">
        <v>0</v>
      </c>
      <c r="AK646" s="8">
        <f t="shared" si="39"/>
        <v>21</v>
      </c>
      <c r="AL646" s="8">
        <f t="shared" si="42"/>
        <v>13</v>
      </c>
      <c r="AM646">
        <f t="shared" si="40"/>
        <v>0</v>
      </c>
      <c r="AN646">
        <f t="shared" si="41"/>
        <v>0</v>
      </c>
    </row>
    <row r="647" spans="1:40" x14ac:dyDescent="0.35">
      <c r="A647">
        <v>85.138999999999996</v>
      </c>
      <c r="B647">
        <v>85.138999999999996</v>
      </c>
      <c r="C647">
        <v>3.62859</v>
      </c>
      <c r="D647">
        <v>0</v>
      </c>
      <c r="E647">
        <v>0</v>
      </c>
      <c r="F647">
        <v>2.76593</v>
      </c>
      <c r="G647">
        <v>2.76593</v>
      </c>
      <c r="H647">
        <v>0</v>
      </c>
      <c r="I647">
        <v>0.51825200000000005</v>
      </c>
      <c r="J647">
        <v>5.3222399999999999</v>
      </c>
      <c r="K647" s="2">
        <v>87991900</v>
      </c>
      <c r="L647" s="1">
        <v>0</v>
      </c>
      <c r="M647" s="1">
        <v>0</v>
      </c>
      <c r="N647" s="1">
        <v>0</v>
      </c>
      <c r="O647" s="1">
        <v>0</v>
      </c>
      <c r="P647" s="2">
        <v>4134990</v>
      </c>
      <c r="Q647" s="1">
        <v>284343</v>
      </c>
      <c r="R647" s="1">
        <v>0</v>
      </c>
      <c r="S647">
        <v>99.302199999999999</v>
      </c>
      <c r="T647">
        <v>98.274000000000001</v>
      </c>
      <c r="U647">
        <v>3.1117400000000002</v>
      </c>
      <c r="V647">
        <v>0</v>
      </c>
      <c r="W647">
        <v>0</v>
      </c>
      <c r="X647">
        <v>1.6103799999999999</v>
      </c>
      <c r="Y647">
        <v>1.6103799999999999</v>
      </c>
      <c r="Z647">
        <v>0</v>
      </c>
      <c r="AA647">
        <v>1.2439800000000001</v>
      </c>
      <c r="AB647">
        <v>2.9635199999999999</v>
      </c>
      <c r="AC647" s="2">
        <v>275298000</v>
      </c>
      <c r="AD647" s="1">
        <v>0</v>
      </c>
      <c r="AE647" s="1">
        <v>0</v>
      </c>
      <c r="AF647" s="1">
        <v>0</v>
      </c>
      <c r="AG647" s="1">
        <v>0</v>
      </c>
      <c r="AH647" s="2">
        <v>4166450</v>
      </c>
      <c r="AI647" s="1">
        <v>135810</v>
      </c>
      <c r="AJ647" s="1">
        <v>0</v>
      </c>
      <c r="AK647" s="8">
        <f t="shared" si="39"/>
        <v>22</v>
      </c>
      <c r="AL647" s="8">
        <f t="shared" si="42"/>
        <v>13</v>
      </c>
      <c r="AM647">
        <f t="shared" si="40"/>
        <v>0</v>
      </c>
      <c r="AN647">
        <f t="shared" si="41"/>
        <v>0</v>
      </c>
    </row>
    <row r="648" spans="1:40" x14ac:dyDescent="0.35">
      <c r="A648">
        <v>84.912000000000006</v>
      </c>
      <c r="B648">
        <v>85.138999999999996</v>
      </c>
      <c r="C648">
        <v>2.7815699999999999</v>
      </c>
      <c r="D648">
        <v>0</v>
      </c>
      <c r="E648">
        <v>0</v>
      </c>
      <c r="F648">
        <v>2.7663700000000002</v>
      </c>
      <c r="G648">
        <v>2.7663700000000002</v>
      </c>
      <c r="H648">
        <v>0</v>
      </c>
      <c r="I648">
        <v>0.51833499999999999</v>
      </c>
      <c r="J648">
        <v>5.3222399999999999</v>
      </c>
      <c r="K648" s="2">
        <v>88276300</v>
      </c>
      <c r="L648" s="1">
        <v>0</v>
      </c>
      <c r="M648" s="1">
        <v>0</v>
      </c>
      <c r="N648" s="1">
        <v>0</v>
      </c>
      <c r="O648" s="1">
        <v>0</v>
      </c>
      <c r="P648" s="2">
        <v>4135650</v>
      </c>
      <c r="Q648" s="1">
        <v>284388</v>
      </c>
      <c r="R648" s="1">
        <v>0</v>
      </c>
      <c r="S648">
        <v>99.302199999999999</v>
      </c>
      <c r="T648">
        <v>98.274000000000001</v>
      </c>
      <c r="U648">
        <v>2.8871199999999999</v>
      </c>
      <c r="V648">
        <v>0</v>
      </c>
      <c r="W648">
        <v>0</v>
      </c>
      <c r="X648">
        <v>1.6106400000000001</v>
      </c>
      <c r="Y648">
        <v>1.6106400000000001</v>
      </c>
      <c r="Z648">
        <v>0</v>
      </c>
      <c r="AA648">
        <v>1.2441800000000001</v>
      </c>
      <c r="AB648">
        <v>2.9635199999999999</v>
      </c>
      <c r="AC648" s="2">
        <v>275434000</v>
      </c>
      <c r="AD648" s="1">
        <v>0</v>
      </c>
      <c r="AE648" s="1">
        <v>0</v>
      </c>
      <c r="AF648" s="1">
        <v>0</v>
      </c>
      <c r="AG648" s="1">
        <v>0</v>
      </c>
      <c r="AH648" s="2">
        <v>4167110</v>
      </c>
      <c r="AI648" s="1">
        <v>135832</v>
      </c>
      <c r="AJ648" s="1">
        <v>0</v>
      </c>
      <c r="AK648" s="8">
        <f t="shared" ref="AK648:AK711" si="43">IF(AK647=52, 1, AK647+1)</f>
        <v>23</v>
      </c>
      <c r="AL648" s="8">
        <f t="shared" si="42"/>
        <v>13</v>
      </c>
      <c r="AM648">
        <f t="shared" si="40"/>
        <v>0</v>
      </c>
      <c r="AN648">
        <f t="shared" si="41"/>
        <v>0</v>
      </c>
    </row>
    <row r="649" spans="1:40" x14ac:dyDescent="0.35">
      <c r="A649">
        <v>84.598200000000006</v>
      </c>
      <c r="B649">
        <v>85.138999999999996</v>
      </c>
      <c r="C649">
        <v>2.7824900000000001</v>
      </c>
      <c r="D649">
        <v>0</v>
      </c>
      <c r="E649">
        <v>0</v>
      </c>
      <c r="F649">
        <v>2.8980600000000001</v>
      </c>
      <c r="G649">
        <v>2.8980600000000001</v>
      </c>
      <c r="H649">
        <v>0</v>
      </c>
      <c r="I649">
        <v>0.51841700000000002</v>
      </c>
      <c r="J649">
        <v>5.3222399999999999</v>
      </c>
      <c r="K649" s="2">
        <v>88574200</v>
      </c>
      <c r="L649" s="1">
        <v>0</v>
      </c>
      <c r="M649" s="1">
        <v>0</v>
      </c>
      <c r="N649" s="1">
        <v>0</v>
      </c>
      <c r="O649" s="1">
        <v>0</v>
      </c>
      <c r="P649" s="2">
        <v>4332530</v>
      </c>
      <c r="Q649" s="1">
        <v>297926</v>
      </c>
      <c r="R649" s="1">
        <v>0</v>
      </c>
      <c r="S649">
        <v>99.272900000000007</v>
      </c>
      <c r="T649">
        <v>98.274000000000001</v>
      </c>
      <c r="U649">
        <v>2.6525599999999998</v>
      </c>
      <c r="V649">
        <v>0</v>
      </c>
      <c r="W649">
        <v>0</v>
      </c>
      <c r="X649">
        <v>1.6979900000000001</v>
      </c>
      <c r="Y649">
        <v>1.6979900000000001</v>
      </c>
      <c r="Z649">
        <v>0</v>
      </c>
      <c r="AA649">
        <v>1.24438</v>
      </c>
      <c r="AB649">
        <v>2.9635199999999999</v>
      </c>
      <c r="AC649" s="2">
        <v>275577000</v>
      </c>
      <c r="AD649" s="1">
        <v>0</v>
      </c>
      <c r="AE649" s="1">
        <v>0</v>
      </c>
      <c r="AF649" s="1">
        <v>0</v>
      </c>
      <c r="AG649" s="1">
        <v>0</v>
      </c>
      <c r="AH649" s="2">
        <v>4393110</v>
      </c>
      <c r="AI649" s="1">
        <v>143198</v>
      </c>
      <c r="AJ649" s="1">
        <v>0</v>
      </c>
      <c r="AK649" s="8">
        <f t="shared" si="43"/>
        <v>24</v>
      </c>
      <c r="AL649" s="8">
        <f t="shared" si="42"/>
        <v>13</v>
      </c>
      <c r="AM649">
        <f t="shared" si="40"/>
        <v>0</v>
      </c>
      <c r="AN649">
        <f t="shared" si="41"/>
        <v>0</v>
      </c>
    </row>
    <row r="650" spans="1:40" x14ac:dyDescent="0.35">
      <c r="A650">
        <v>84.229299999999995</v>
      </c>
      <c r="B650">
        <v>85.138999999999996</v>
      </c>
      <c r="C650">
        <v>2.7411500000000002</v>
      </c>
      <c r="D650">
        <v>0</v>
      </c>
      <c r="E650">
        <v>0</v>
      </c>
      <c r="F650">
        <v>2.89852</v>
      </c>
      <c r="G650">
        <v>2.89852</v>
      </c>
      <c r="H650">
        <v>0</v>
      </c>
      <c r="I650">
        <v>0.54309600000000002</v>
      </c>
      <c r="J650">
        <v>5.3222399999999999</v>
      </c>
      <c r="K650" s="2">
        <v>88872200</v>
      </c>
      <c r="L650" s="1">
        <v>0</v>
      </c>
      <c r="M650" s="1">
        <v>0</v>
      </c>
      <c r="N650" s="1">
        <v>0</v>
      </c>
      <c r="O650" s="1">
        <v>0</v>
      </c>
      <c r="P650" s="2">
        <v>4333220</v>
      </c>
      <c r="Q650" s="1">
        <v>297974</v>
      </c>
      <c r="R650" s="1">
        <v>0</v>
      </c>
      <c r="S650">
        <v>99.237899999999996</v>
      </c>
      <c r="T650">
        <v>98.274000000000001</v>
      </c>
      <c r="U650">
        <v>2.61761</v>
      </c>
      <c r="V650">
        <v>0</v>
      </c>
      <c r="W650">
        <v>0</v>
      </c>
      <c r="X650">
        <v>1.6982600000000001</v>
      </c>
      <c r="Y650">
        <v>1.6982600000000001</v>
      </c>
      <c r="Z650">
        <v>0</v>
      </c>
      <c r="AA650">
        <v>1.3118700000000001</v>
      </c>
      <c r="AB650">
        <v>2.9635199999999999</v>
      </c>
      <c r="AC650" s="2">
        <v>275720000</v>
      </c>
      <c r="AD650" s="1">
        <v>0</v>
      </c>
      <c r="AE650" s="1">
        <v>0</v>
      </c>
      <c r="AF650" s="1">
        <v>0</v>
      </c>
      <c r="AG650" s="1">
        <v>0</v>
      </c>
      <c r="AH650" s="2">
        <v>4393810</v>
      </c>
      <c r="AI650" s="1">
        <v>143221</v>
      </c>
      <c r="AJ650" s="1">
        <v>0</v>
      </c>
      <c r="AK650" s="8">
        <f t="shared" si="43"/>
        <v>25</v>
      </c>
      <c r="AL650" s="8">
        <f t="shared" si="42"/>
        <v>13</v>
      </c>
      <c r="AM650">
        <f t="shared" si="40"/>
        <v>0</v>
      </c>
      <c r="AN650">
        <f t="shared" si="41"/>
        <v>0</v>
      </c>
    </row>
    <row r="651" spans="1:40" x14ac:dyDescent="0.35">
      <c r="A651">
        <v>83.775199999999998</v>
      </c>
      <c r="B651">
        <v>85.138999999999996</v>
      </c>
      <c r="C651">
        <v>2.6463800000000002</v>
      </c>
      <c r="D651">
        <v>0</v>
      </c>
      <c r="E651">
        <v>0</v>
      </c>
      <c r="F651">
        <v>2.89899</v>
      </c>
      <c r="G651">
        <v>2.89899</v>
      </c>
      <c r="H651">
        <v>0</v>
      </c>
      <c r="I651">
        <v>0.54318299999999997</v>
      </c>
      <c r="J651">
        <v>5.3222399999999999</v>
      </c>
      <c r="K651" s="2">
        <v>89170200</v>
      </c>
      <c r="L651" s="1">
        <v>0</v>
      </c>
      <c r="M651" s="1">
        <v>0</v>
      </c>
      <c r="N651" s="1">
        <v>0</v>
      </c>
      <c r="O651" s="1">
        <v>0</v>
      </c>
      <c r="P651" s="2">
        <v>4333910</v>
      </c>
      <c r="Q651" s="1">
        <v>298021</v>
      </c>
      <c r="R651" s="1">
        <v>0</v>
      </c>
      <c r="S651">
        <v>99.215599999999995</v>
      </c>
      <c r="T651">
        <v>98.274000000000001</v>
      </c>
      <c r="U651">
        <v>2.7738</v>
      </c>
      <c r="V651">
        <v>0</v>
      </c>
      <c r="W651">
        <v>0</v>
      </c>
      <c r="X651">
        <v>1.6985300000000001</v>
      </c>
      <c r="Y651">
        <v>1.6985300000000001</v>
      </c>
      <c r="Z651">
        <v>0</v>
      </c>
      <c r="AA651">
        <v>1.3120799999999999</v>
      </c>
      <c r="AB651">
        <v>2.9635199999999999</v>
      </c>
      <c r="AC651" s="2">
        <v>275864000</v>
      </c>
      <c r="AD651" s="1">
        <v>0</v>
      </c>
      <c r="AE651" s="1">
        <v>0</v>
      </c>
      <c r="AF651" s="1">
        <v>0</v>
      </c>
      <c r="AG651" s="1">
        <v>0</v>
      </c>
      <c r="AH651" s="2">
        <v>4394510</v>
      </c>
      <c r="AI651" s="1">
        <v>143244</v>
      </c>
      <c r="AJ651" s="1">
        <v>0</v>
      </c>
      <c r="AK651" s="8">
        <f t="shared" si="43"/>
        <v>26</v>
      </c>
      <c r="AL651" s="8">
        <f t="shared" si="42"/>
        <v>13</v>
      </c>
      <c r="AM651">
        <f t="shared" si="40"/>
        <v>0</v>
      </c>
      <c r="AN651">
        <f t="shared" si="41"/>
        <v>0</v>
      </c>
    </row>
    <row r="652" spans="1:40" x14ac:dyDescent="0.35">
      <c r="A652">
        <v>83.094499999999996</v>
      </c>
      <c r="B652">
        <v>85.138999999999996</v>
      </c>
      <c r="C652">
        <v>2.4324400000000002</v>
      </c>
      <c r="D652">
        <v>0</v>
      </c>
      <c r="E652">
        <v>0</v>
      </c>
      <c r="F652">
        <v>2.8994499999999999</v>
      </c>
      <c r="G652">
        <v>2.8994499999999999</v>
      </c>
      <c r="H652">
        <v>0</v>
      </c>
      <c r="I652">
        <v>0.54327000000000003</v>
      </c>
      <c r="J652">
        <v>5.3222399999999999</v>
      </c>
      <c r="K652" s="2">
        <v>89468300</v>
      </c>
      <c r="L652" s="1">
        <v>0</v>
      </c>
      <c r="M652" s="1">
        <v>0</v>
      </c>
      <c r="N652" s="1">
        <v>0</v>
      </c>
      <c r="O652" s="1">
        <v>0</v>
      </c>
      <c r="P652" s="2">
        <v>4334600</v>
      </c>
      <c r="Q652" s="1">
        <v>298069</v>
      </c>
      <c r="R652" s="1">
        <v>0</v>
      </c>
      <c r="S652">
        <v>99.159300000000002</v>
      </c>
      <c r="T652">
        <v>98.274000000000001</v>
      </c>
      <c r="U652">
        <v>2.6185299999999998</v>
      </c>
      <c r="V652">
        <v>0</v>
      </c>
      <c r="W652">
        <v>0</v>
      </c>
      <c r="X652">
        <v>1.6988099999999999</v>
      </c>
      <c r="Y652">
        <v>1.6988099999999999</v>
      </c>
      <c r="Z652">
        <v>0</v>
      </c>
      <c r="AA652">
        <v>1.31229</v>
      </c>
      <c r="AB652">
        <v>2.9635199999999999</v>
      </c>
      <c r="AC652" s="2">
        <v>276007000</v>
      </c>
      <c r="AD652" s="1">
        <v>0</v>
      </c>
      <c r="AE652" s="1">
        <v>0</v>
      </c>
      <c r="AF652" s="1">
        <v>0</v>
      </c>
      <c r="AG652" s="1">
        <v>0</v>
      </c>
      <c r="AH652" s="2">
        <v>4395220</v>
      </c>
      <c r="AI652" s="1">
        <v>143267</v>
      </c>
      <c r="AJ652" s="1">
        <v>0</v>
      </c>
      <c r="AK652" s="8">
        <f t="shared" si="43"/>
        <v>27</v>
      </c>
      <c r="AL652" s="8">
        <f t="shared" si="42"/>
        <v>13</v>
      </c>
      <c r="AM652">
        <f t="shared" si="40"/>
        <v>0</v>
      </c>
      <c r="AN652">
        <f t="shared" si="41"/>
        <v>0</v>
      </c>
    </row>
    <row r="653" spans="1:40" x14ac:dyDescent="0.35">
      <c r="A653">
        <v>82.276600000000002</v>
      </c>
      <c r="B653">
        <v>85.138999999999996</v>
      </c>
      <c r="C653">
        <v>2.2530999999999999</v>
      </c>
      <c r="D653">
        <v>0</v>
      </c>
      <c r="E653">
        <v>0</v>
      </c>
      <c r="F653">
        <v>2.8999100000000002</v>
      </c>
      <c r="G653">
        <v>2.8999100000000002</v>
      </c>
      <c r="H653">
        <v>0</v>
      </c>
      <c r="I653">
        <v>0.54335699999999998</v>
      </c>
      <c r="J653">
        <v>5.3222399999999999</v>
      </c>
      <c r="K653" s="2">
        <v>89766400</v>
      </c>
      <c r="L653" s="1">
        <v>0</v>
      </c>
      <c r="M653" s="1">
        <v>0</v>
      </c>
      <c r="N653" s="1">
        <v>0</v>
      </c>
      <c r="O653" s="1">
        <v>0</v>
      </c>
      <c r="P653" s="2">
        <v>4335300</v>
      </c>
      <c r="Q653" s="1">
        <v>298117</v>
      </c>
      <c r="R653" s="1">
        <v>0</v>
      </c>
      <c r="S653">
        <v>99.116600000000005</v>
      </c>
      <c r="T653">
        <v>98.274000000000001</v>
      </c>
      <c r="U653">
        <v>2.6866300000000001</v>
      </c>
      <c r="V653">
        <v>0</v>
      </c>
      <c r="W653">
        <v>0</v>
      </c>
      <c r="X653">
        <v>1.6990799999999999</v>
      </c>
      <c r="Y653">
        <v>1.6990799999999999</v>
      </c>
      <c r="Z653">
        <v>0</v>
      </c>
      <c r="AA653">
        <v>1.3125</v>
      </c>
      <c r="AB653">
        <v>2.9635199999999999</v>
      </c>
      <c r="AC653" s="2">
        <v>276150000</v>
      </c>
      <c r="AD653" s="1">
        <v>0</v>
      </c>
      <c r="AE653" s="1">
        <v>0</v>
      </c>
      <c r="AF653" s="1">
        <v>0</v>
      </c>
      <c r="AG653" s="1">
        <v>0</v>
      </c>
      <c r="AH653" s="2">
        <v>4395920</v>
      </c>
      <c r="AI653" s="1">
        <v>143290</v>
      </c>
      <c r="AJ653" s="1">
        <v>0</v>
      </c>
      <c r="AK653" s="8">
        <f t="shared" si="43"/>
        <v>28</v>
      </c>
      <c r="AL653" s="8">
        <f t="shared" si="42"/>
        <v>13</v>
      </c>
      <c r="AM653">
        <f t="shared" si="40"/>
        <v>0</v>
      </c>
      <c r="AN653">
        <f t="shared" si="41"/>
        <v>0</v>
      </c>
    </row>
    <row r="654" spans="1:40" x14ac:dyDescent="0.35">
      <c r="A654">
        <v>81.359399999999994</v>
      </c>
      <c r="B654">
        <v>85.138999999999996</v>
      </c>
      <c r="C654">
        <v>2.12405</v>
      </c>
      <c r="D654">
        <v>0</v>
      </c>
      <c r="E654">
        <v>0</v>
      </c>
      <c r="F654">
        <v>2.8744000000000001</v>
      </c>
      <c r="G654">
        <v>2.8744000000000001</v>
      </c>
      <c r="H654">
        <v>0</v>
      </c>
      <c r="I654">
        <v>0.54344400000000004</v>
      </c>
      <c r="J654">
        <v>5.3222399999999999</v>
      </c>
      <c r="K654" s="2">
        <v>90061900</v>
      </c>
      <c r="L654" s="1">
        <v>0</v>
      </c>
      <c r="M654" s="1">
        <v>0</v>
      </c>
      <c r="N654" s="1">
        <v>0</v>
      </c>
      <c r="O654" s="1">
        <v>0</v>
      </c>
      <c r="P654" s="2">
        <v>4297150</v>
      </c>
      <c r="Q654" s="1">
        <v>295494</v>
      </c>
      <c r="R654" s="1">
        <v>0</v>
      </c>
      <c r="S654">
        <v>99.073300000000003</v>
      </c>
      <c r="T654">
        <v>98.274000000000001</v>
      </c>
      <c r="U654">
        <v>2.6594500000000001</v>
      </c>
      <c r="V654">
        <v>0</v>
      </c>
      <c r="W654">
        <v>0</v>
      </c>
      <c r="X654">
        <v>1.74726</v>
      </c>
      <c r="Y654">
        <v>1.74726</v>
      </c>
      <c r="Z654">
        <v>0</v>
      </c>
      <c r="AA654">
        <v>1.31271</v>
      </c>
      <c r="AB654">
        <v>2.9635199999999999</v>
      </c>
      <c r="AC654" s="2">
        <v>276297000</v>
      </c>
      <c r="AD654" s="1">
        <v>0</v>
      </c>
      <c r="AE654" s="1">
        <v>0</v>
      </c>
      <c r="AF654" s="1">
        <v>0</v>
      </c>
      <c r="AG654" s="1">
        <v>0</v>
      </c>
      <c r="AH654" s="2">
        <v>4520570</v>
      </c>
      <c r="AI654" s="1">
        <v>147353</v>
      </c>
      <c r="AJ654" s="1">
        <v>0</v>
      </c>
      <c r="AK654" s="8">
        <f t="shared" si="43"/>
        <v>29</v>
      </c>
      <c r="AL654" s="8">
        <f t="shared" si="42"/>
        <v>13</v>
      </c>
      <c r="AM654">
        <f t="shared" si="40"/>
        <v>0</v>
      </c>
      <c r="AN654">
        <f t="shared" si="41"/>
        <v>0</v>
      </c>
    </row>
    <row r="655" spans="1:40" x14ac:dyDescent="0.35">
      <c r="A655">
        <v>80.313599999999994</v>
      </c>
      <c r="B655">
        <v>85.138999999999996</v>
      </c>
      <c r="C655">
        <v>1.98803</v>
      </c>
      <c r="D655">
        <v>0</v>
      </c>
      <c r="E655">
        <v>0</v>
      </c>
      <c r="F655">
        <v>2.87486</v>
      </c>
      <c r="G655">
        <v>2.87486</v>
      </c>
      <c r="H655">
        <v>0</v>
      </c>
      <c r="I655">
        <v>0.53866199999999997</v>
      </c>
      <c r="J655">
        <v>5.3222399999999999</v>
      </c>
      <c r="K655" s="2">
        <v>90357500</v>
      </c>
      <c r="L655" s="1">
        <v>0</v>
      </c>
      <c r="M655" s="1">
        <v>0</v>
      </c>
      <c r="N655" s="1">
        <v>0</v>
      </c>
      <c r="O655" s="1">
        <v>0</v>
      </c>
      <c r="P655" s="2">
        <v>4297840</v>
      </c>
      <c r="Q655" s="1">
        <v>295541</v>
      </c>
      <c r="R655" s="1">
        <v>0</v>
      </c>
      <c r="S655">
        <v>99.003900000000002</v>
      </c>
      <c r="T655">
        <v>98.274000000000001</v>
      </c>
      <c r="U655">
        <v>2.5758100000000002</v>
      </c>
      <c r="V655">
        <v>0</v>
      </c>
      <c r="W655">
        <v>0</v>
      </c>
      <c r="X655">
        <v>1.74753</v>
      </c>
      <c r="Y655">
        <v>1.74753</v>
      </c>
      <c r="Z655">
        <v>0</v>
      </c>
      <c r="AA655">
        <v>1.3499300000000001</v>
      </c>
      <c r="AB655">
        <v>2.9635199999999999</v>
      </c>
      <c r="AC655" s="2">
        <v>276445000</v>
      </c>
      <c r="AD655" s="1">
        <v>0</v>
      </c>
      <c r="AE655" s="1">
        <v>0</v>
      </c>
      <c r="AF655" s="1">
        <v>0</v>
      </c>
      <c r="AG655" s="1">
        <v>0</v>
      </c>
      <c r="AH655" s="2">
        <v>4521290</v>
      </c>
      <c r="AI655" s="1">
        <v>147377</v>
      </c>
      <c r="AJ655" s="1">
        <v>0</v>
      </c>
      <c r="AK655" s="8">
        <f t="shared" si="43"/>
        <v>30</v>
      </c>
      <c r="AL655" s="8">
        <f t="shared" si="42"/>
        <v>13</v>
      </c>
      <c r="AM655">
        <f t="shared" si="40"/>
        <v>0</v>
      </c>
      <c r="AN655">
        <f t="shared" si="41"/>
        <v>0</v>
      </c>
    </row>
    <row r="656" spans="1:40" x14ac:dyDescent="0.35">
      <c r="A656">
        <v>79.100099999999998</v>
      </c>
      <c r="B656">
        <v>85.138999999999996</v>
      </c>
      <c r="C656">
        <v>1.81159</v>
      </c>
      <c r="D656">
        <v>0</v>
      </c>
      <c r="E656">
        <v>0</v>
      </c>
      <c r="F656">
        <v>2.8753199999999999</v>
      </c>
      <c r="G656">
        <v>2.8753199999999999</v>
      </c>
      <c r="H656">
        <v>0</v>
      </c>
      <c r="I656">
        <v>0.53874900000000003</v>
      </c>
      <c r="J656">
        <v>5.3222399999999999</v>
      </c>
      <c r="K656" s="2">
        <v>90653100</v>
      </c>
      <c r="L656" s="1">
        <v>0</v>
      </c>
      <c r="M656" s="1">
        <v>0</v>
      </c>
      <c r="N656" s="1">
        <v>0</v>
      </c>
      <c r="O656" s="1">
        <v>0</v>
      </c>
      <c r="P656" s="2">
        <v>4298530</v>
      </c>
      <c r="Q656" s="1">
        <v>295588</v>
      </c>
      <c r="R656" s="1">
        <v>0</v>
      </c>
      <c r="S656">
        <v>98.906199999999998</v>
      </c>
      <c r="T656">
        <v>98.274000000000001</v>
      </c>
      <c r="U656">
        <v>2.4490799999999999</v>
      </c>
      <c r="V656">
        <v>0</v>
      </c>
      <c r="W656">
        <v>0</v>
      </c>
      <c r="X656">
        <v>1.7478100000000001</v>
      </c>
      <c r="Y656">
        <v>1.7478100000000001</v>
      </c>
      <c r="Z656">
        <v>0</v>
      </c>
      <c r="AA656">
        <v>1.35015</v>
      </c>
      <c r="AB656">
        <v>2.9635199999999999</v>
      </c>
      <c r="AC656" s="2">
        <v>276592000</v>
      </c>
      <c r="AD656" s="1">
        <v>0</v>
      </c>
      <c r="AE656" s="1">
        <v>0</v>
      </c>
      <c r="AF656" s="1">
        <v>0</v>
      </c>
      <c r="AG656" s="1">
        <v>0</v>
      </c>
      <c r="AH656" s="2">
        <v>4522010</v>
      </c>
      <c r="AI656" s="1">
        <v>147400</v>
      </c>
      <c r="AJ656" s="1">
        <v>0</v>
      </c>
      <c r="AK656" s="8">
        <f t="shared" si="43"/>
        <v>31</v>
      </c>
      <c r="AL656" s="8">
        <f t="shared" si="42"/>
        <v>13</v>
      </c>
      <c r="AM656">
        <f t="shared" si="40"/>
        <v>0</v>
      </c>
      <c r="AN656">
        <f t="shared" si="41"/>
        <v>0</v>
      </c>
    </row>
    <row r="657" spans="1:40" x14ac:dyDescent="0.35">
      <c r="A657">
        <v>77.749099999999999</v>
      </c>
      <c r="B657">
        <v>85.138999999999996</v>
      </c>
      <c r="C657">
        <v>1.6453199999999999</v>
      </c>
      <c r="D657">
        <v>0</v>
      </c>
      <c r="E657">
        <v>0</v>
      </c>
      <c r="F657">
        <v>2.8757799999999998</v>
      </c>
      <c r="G657">
        <v>2.8757799999999998</v>
      </c>
      <c r="H657">
        <v>0</v>
      </c>
      <c r="I657">
        <v>0.53883499999999995</v>
      </c>
      <c r="J657">
        <v>5.3222399999999999</v>
      </c>
      <c r="K657" s="2">
        <v>90948700</v>
      </c>
      <c r="L657" s="1">
        <v>0</v>
      </c>
      <c r="M657" s="1">
        <v>0</v>
      </c>
      <c r="N657" s="1">
        <v>0</v>
      </c>
      <c r="O657" s="1">
        <v>0</v>
      </c>
      <c r="P657" s="2">
        <v>4299220</v>
      </c>
      <c r="Q657" s="1">
        <v>295636</v>
      </c>
      <c r="R657" s="1">
        <v>0</v>
      </c>
      <c r="S657">
        <v>98.764600000000002</v>
      </c>
      <c r="T657">
        <v>98.274000000000001</v>
      </c>
      <c r="U657">
        <v>2.2637800000000001</v>
      </c>
      <c r="V657">
        <v>0</v>
      </c>
      <c r="W657">
        <v>0</v>
      </c>
      <c r="X657">
        <v>1.7480899999999999</v>
      </c>
      <c r="Y657">
        <v>1.7480899999999999</v>
      </c>
      <c r="Z657">
        <v>0</v>
      </c>
      <c r="AA657">
        <v>1.35036</v>
      </c>
      <c r="AB657">
        <v>2.9635199999999999</v>
      </c>
      <c r="AC657" s="2">
        <v>276740000</v>
      </c>
      <c r="AD657" s="1">
        <v>0</v>
      </c>
      <c r="AE657" s="1">
        <v>0</v>
      </c>
      <c r="AF657" s="1">
        <v>0</v>
      </c>
      <c r="AG657" s="1">
        <v>0</v>
      </c>
      <c r="AH657" s="2">
        <v>4522730</v>
      </c>
      <c r="AI657" s="1">
        <v>147424</v>
      </c>
      <c r="AJ657" s="1">
        <v>0</v>
      </c>
      <c r="AK657" s="8">
        <f t="shared" si="43"/>
        <v>32</v>
      </c>
      <c r="AL657" s="8">
        <f t="shared" si="42"/>
        <v>13</v>
      </c>
      <c r="AM657">
        <f t="shared" si="40"/>
        <v>0</v>
      </c>
      <c r="AN657">
        <f t="shared" si="41"/>
        <v>0</v>
      </c>
    </row>
    <row r="658" spans="1:40" x14ac:dyDescent="0.35">
      <c r="A658">
        <v>76.423199999999994</v>
      </c>
      <c r="B658">
        <v>85.138999999999996</v>
      </c>
      <c r="C658">
        <v>1.69852</v>
      </c>
      <c r="D658">
        <v>0</v>
      </c>
      <c r="E658">
        <v>0</v>
      </c>
      <c r="F658">
        <v>2.9433600000000002</v>
      </c>
      <c r="G658">
        <v>2.9433600000000002</v>
      </c>
      <c r="H658">
        <v>0</v>
      </c>
      <c r="I658">
        <v>0.53892099999999998</v>
      </c>
      <c r="J658">
        <v>5.3222399999999999</v>
      </c>
      <c r="K658" s="2">
        <v>91251300</v>
      </c>
      <c r="L658" s="1">
        <v>0</v>
      </c>
      <c r="M658" s="1">
        <v>0</v>
      </c>
      <c r="N658" s="1">
        <v>0</v>
      </c>
      <c r="O658" s="1">
        <v>0</v>
      </c>
      <c r="P658" s="2">
        <v>4400250</v>
      </c>
      <c r="Q658" s="1">
        <v>302584</v>
      </c>
      <c r="R658" s="1">
        <v>0</v>
      </c>
      <c r="S658">
        <v>98.612499999999997</v>
      </c>
      <c r="T658">
        <v>98.274000000000001</v>
      </c>
      <c r="U658">
        <v>2.3603299999999998</v>
      </c>
      <c r="V658">
        <v>0</v>
      </c>
      <c r="W658">
        <v>0</v>
      </c>
      <c r="X658">
        <v>1.7910999999999999</v>
      </c>
      <c r="Y658">
        <v>1.7910999999999999</v>
      </c>
      <c r="Z658">
        <v>0</v>
      </c>
      <c r="AA658">
        <v>1.3505799999999999</v>
      </c>
      <c r="AB658">
        <v>2.9635199999999999</v>
      </c>
      <c r="AC658" s="2">
        <v>276891000</v>
      </c>
      <c r="AD658" s="1">
        <v>0</v>
      </c>
      <c r="AE658" s="1">
        <v>0</v>
      </c>
      <c r="AF658" s="1">
        <v>0</v>
      </c>
      <c r="AG658" s="1">
        <v>0</v>
      </c>
      <c r="AH658" s="2">
        <v>4633990</v>
      </c>
      <c r="AI658" s="1">
        <v>151050</v>
      </c>
      <c r="AJ658" s="1">
        <v>0</v>
      </c>
      <c r="AK658" s="8">
        <f t="shared" si="43"/>
        <v>33</v>
      </c>
      <c r="AL658" s="8">
        <f t="shared" si="42"/>
        <v>13</v>
      </c>
      <c r="AM658">
        <f t="shared" si="40"/>
        <v>0</v>
      </c>
      <c r="AN658">
        <f t="shared" si="41"/>
        <v>0</v>
      </c>
    </row>
    <row r="659" spans="1:40" x14ac:dyDescent="0.35">
      <c r="A659">
        <v>75.067599999999999</v>
      </c>
      <c r="B659">
        <v>85.138999999999996</v>
      </c>
      <c r="C659">
        <v>1.6595299999999999</v>
      </c>
      <c r="D659">
        <v>0</v>
      </c>
      <c r="E659">
        <v>0</v>
      </c>
      <c r="F659">
        <v>2.9438300000000002</v>
      </c>
      <c r="G659">
        <v>2.9438300000000002</v>
      </c>
      <c r="H659">
        <v>0</v>
      </c>
      <c r="I659">
        <v>0.55158600000000002</v>
      </c>
      <c r="J659">
        <v>5.3222399999999999</v>
      </c>
      <c r="K659" s="2">
        <v>91553900</v>
      </c>
      <c r="L659" s="1">
        <v>0</v>
      </c>
      <c r="M659" s="1">
        <v>0</v>
      </c>
      <c r="N659" s="1">
        <v>0</v>
      </c>
      <c r="O659" s="1">
        <v>0</v>
      </c>
      <c r="P659" s="2">
        <v>4400960</v>
      </c>
      <c r="Q659" s="1">
        <v>302632</v>
      </c>
      <c r="R659" s="1">
        <v>0</v>
      </c>
      <c r="S659">
        <v>98.411100000000005</v>
      </c>
      <c r="T659">
        <v>98.274000000000001</v>
      </c>
      <c r="U659">
        <v>2.45825</v>
      </c>
      <c r="V659">
        <v>0</v>
      </c>
      <c r="W659">
        <v>0</v>
      </c>
      <c r="X659">
        <v>1.79138</v>
      </c>
      <c r="Y659">
        <v>1.79138</v>
      </c>
      <c r="Z659">
        <v>0</v>
      </c>
      <c r="AA659">
        <v>1.3837999999999999</v>
      </c>
      <c r="AB659">
        <v>2.9635199999999999</v>
      </c>
      <c r="AC659" s="2">
        <v>277042000</v>
      </c>
      <c r="AD659" s="1">
        <v>0</v>
      </c>
      <c r="AE659" s="1">
        <v>0</v>
      </c>
      <c r="AF659" s="1">
        <v>0</v>
      </c>
      <c r="AG659" s="1">
        <v>0</v>
      </c>
      <c r="AH659" s="2">
        <v>4634730</v>
      </c>
      <c r="AI659" s="1">
        <v>151074</v>
      </c>
      <c r="AJ659" s="1">
        <v>0</v>
      </c>
      <c r="AK659" s="8">
        <f t="shared" si="43"/>
        <v>34</v>
      </c>
      <c r="AL659" s="8">
        <f t="shared" si="42"/>
        <v>13</v>
      </c>
      <c r="AM659">
        <f t="shared" si="40"/>
        <v>0</v>
      </c>
      <c r="AN659">
        <f t="shared" si="41"/>
        <v>0</v>
      </c>
    </row>
    <row r="660" spans="1:40" x14ac:dyDescent="0.35">
      <c r="A660">
        <v>73.622299999999996</v>
      </c>
      <c r="B660">
        <v>85.138999999999996</v>
      </c>
      <c r="C660">
        <v>1.54908</v>
      </c>
      <c r="D660">
        <v>0</v>
      </c>
      <c r="E660">
        <v>0</v>
      </c>
      <c r="F660">
        <v>2.9443000000000001</v>
      </c>
      <c r="G660">
        <v>2.9443000000000001</v>
      </c>
      <c r="H660">
        <v>0</v>
      </c>
      <c r="I660">
        <v>0.551674</v>
      </c>
      <c r="J660">
        <v>5.3222399999999999</v>
      </c>
      <c r="K660" s="2">
        <v>91856600</v>
      </c>
      <c r="L660" s="1">
        <v>0</v>
      </c>
      <c r="M660" s="1">
        <v>0</v>
      </c>
      <c r="N660" s="1">
        <v>0</v>
      </c>
      <c r="O660" s="1">
        <v>0</v>
      </c>
      <c r="P660" s="2">
        <v>4401660</v>
      </c>
      <c r="Q660" s="1">
        <v>302680</v>
      </c>
      <c r="R660" s="1">
        <v>0</v>
      </c>
      <c r="S660">
        <v>98.166799999999995</v>
      </c>
      <c r="T660">
        <v>98.274000000000001</v>
      </c>
      <c r="U660">
        <v>2.3109700000000002</v>
      </c>
      <c r="V660">
        <v>0</v>
      </c>
      <c r="W660">
        <v>0</v>
      </c>
      <c r="X660">
        <v>1.7916700000000001</v>
      </c>
      <c r="Y660">
        <v>1.7916700000000001</v>
      </c>
      <c r="Z660">
        <v>0</v>
      </c>
      <c r="AA660">
        <v>1.38402</v>
      </c>
      <c r="AB660">
        <v>2.9635199999999999</v>
      </c>
      <c r="AC660" s="2">
        <v>277193000</v>
      </c>
      <c r="AD660" s="1">
        <v>0</v>
      </c>
      <c r="AE660" s="1">
        <v>0</v>
      </c>
      <c r="AF660" s="1">
        <v>0</v>
      </c>
      <c r="AG660" s="1">
        <v>0</v>
      </c>
      <c r="AH660" s="2">
        <v>4635470</v>
      </c>
      <c r="AI660" s="1">
        <v>151098</v>
      </c>
      <c r="AJ660" s="1">
        <v>0</v>
      </c>
      <c r="AK660" s="8">
        <f t="shared" si="43"/>
        <v>35</v>
      </c>
      <c r="AL660" s="8">
        <f t="shared" si="42"/>
        <v>13</v>
      </c>
      <c r="AM660">
        <f t="shared" si="40"/>
        <v>0</v>
      </c>
      <c r="AN660">
        <f t="shared" si="41"/>
        <v>0</v>
      </c>
    </row>
    <row r="661" spans="1:40" x14ac:dyDescent="0.35">
      <c r="A661">
        <v>72.069299999999998</v>
      </c>
      <c r="B661">
        <v>85.138999999999996</v>
      </c>
      <c r="C661">
        <v>1.4217</v>
      </c>
      <c r="D661">
        <v>0</v>
      </c>
      <c r="E661">
        <v>0</v>
      </c>
      <c r="F661">
        <v>2.9447800000000002</v>
      </c>
      <c r="G661">
        <v>2.9447800000000002</v>
      </c>
      <c r="H661">
        <v>0</v>
      </c>
      <c r="I661">
        <v>0.551763</v>
      </c>
      <c r="J661">
        <v>5.3222399999999999</v>
      </c>
      <c r="K661" s="2">
        <v>92159300</v>
      </c>
      <c r="L661" s="1">
        <v>0</v>
      </c>
      <c r="M661" s="1">
        <v>0</v>
      </c>
      <c r="N661" s="1">
        <v>0</v>
      </c>
      <c r="O661" s="1">
        <v>0</v>
      </c>
      <c r="P661" s="2">
        <v>4402360</v>
      </c>
      <c r="Q661" s="1">
        <v>302729</v>
      </c>
      <c r="R661" s="1">
        <v>0</v>
      </c>
      <c r="S661">
        <v>97.917699999999996</v>
      </c>
      <c r="T661">
        <v>98.274000000000001</v>
      </c>
      <c r="U661">
        <v>2.17916</v>
      </c>
      <c r="V661">
        <v>0</v>
      </c>
      <c r="W661">
        <v>0</v>
      </c>
      <c r="X661">
        <v>1.7919499999999999</v>
      </c>
      <c r="Y661">
        <v>1.7919499999999999</v>
      </c>
      <c r="Z661">
        <v>0</v>
      </c>
      <c r="AA661">
        <v>1.3842399999999999</v>
      </c>
      <c r="AB661">
        <v>2.9635199999999999</v>
      </c>
      <c r="AC661" s="2">
        <v>277344000</v>
      </c>
      <c r="AD661" s="1">
        <v>0</v>
      </c>
      <c r="AE661" s="1">
        <v>0</v>
      </c>
      <c r="AF661" s="1">
        <v>0</v>
      </c>
      <c r="AG661" s="1">
        <v>0</v>
      </c>
      <c r="AH661" s="2">
        <v>4636210</v>
      </c>
      <c r="AI661" s="1">
        <v>151123</v>
      </c>
      <c r="AJ661" s="1">
        <v>0</v>
      </c>
      <c r="AK661" s="8">
        <f t="shared" si="43"/>
        <v>36</v>
      </c>
      <c r="AL661" s="8">
        <f t="shared" si="42"/>
        <v>13</v>
      </c>
      <c r="AM661">
        <f t="shared" si="40"/>
        <v>0</v>
      </c>
      <c r="AN661">
        <f t="shared" si="41"/>
        <v>0</v>
      </c>
    </row>
    <row r="662" spans="1:40" x14ac:dyDescent="0.35">
      <c r="A662">
        <v>70.335499999999996</v>
      </c>
      <c r="B662">
        <v>85.138999999999996</v>
      </c>
      <c r="C662">
        <v>1.37737</v>
      </c>
      <c r="D662">
        <v>0</v>
      </c>
      <c r="E662">
        <v>0</v>
      </c>
      <c r="F662">
        <v>3.14195</v>
      </c>
      <c r="G662">
        <v>3.14195</v>
      </c>
      <c r="H662">
        <v>0</v>
      </c>
      <c r="I662">
        <v>0.55185099999999998</v>
      </c>
      <c r="J662">
        <v>5.3222399999999999</v>
      </c>
      <c r="K662" s="2">
        <v>92482300</v>
      </c>
      <c r="L662" s="1">
        <v>0</v>
      </c>
      <c r="M662" s="1">
        <v>0</v>
      </c>
      <c r="N662" s="1">
        <v>0</v>
      </c>
      <c r="O662" s="1">
        <v>0</v>
      </c>
      <c r="P662" s="2">
        <v>4697130</v>
      </c>
      <c r="Q662" s="1">
        <v>322998</v>
      </c>
      <c r="R662" s="1">
        <v>0</v>
      </c>
      <c r="S662">
        <v>97.163399999999996</v>
      </c>
      <c r="T662">
        <v>98.274000000000001</v>
      </c>
      <c r="U662">
        <v>2.2397999999999998</v>
      </c>
      <c r="V662">
        <v>0</v>
      </c>
      <c r="W662">
        <v>0</v>
      </c>
      <c r="X662">
        <v>1.94655</v>
      </c>
      <c r="Y662">
        <v>1.94655</v>
      </c>
      <c r="Z662">
        <v>0</v>
      </c>
      <c r="AA662">
        <v>1.38446</v>
      </c>
      <c r="AB662">
        <v>2.9635199999999999</v>
      </c>
      <c r="AC662" s="2">
        <v>277508000</v>
      </c>
      <c r="AD662" s="1">
        <v>0</v>
      </c>
      <c r="AE662" s="1">
        <v>0</v>
      </c>
      <c r="AF662" s="1">
        <v>0</v>
      </c>
      <c r="AG662" s="1">
        <v>0</v>
      </c>
      <c r="AH662" s="2">
        <v>5036180</v>
      </c>
      <c r="AI662" s="1">
        <v>164160</v>
      </c>
      <c r="AJ662" s="1">
        <v>0</v>
      </c>
      <c r="AK662" s="8">
        <f t="shared" si="43"/>
        <v>37</v>
      </c>
      <c r="AL662" s="8">
        <f t="shared" si="42"/>
        <v>13</v>
      </c>
      <c r="AM662">
        <f t="shared" si="40"/>
        <v>0</v>
      </c>
      <c r="AN662">
        <f t="shared" si="41"/>
        <v>0</v>
      </c>
    </row>
    <row r="663" spans="1:40" x14ac:dyDescent="0.35">
      <c r="A663">
        <v>68.2881</v>
      </c>
      <c r="B663">
        <v>85.138999999999996</v>
      </c>
      <c r="C663">
        <v>1.04803</v>
      </c>
      <c r="D663">
        <v>0</v>
      </c>
      <c r="E663">
        <v>0</v>
      </c>
      <c r="F663">
        <v>3.1424500000000002</v>
      </c>
      <c r="G663">
        <v>3.1424500000000002</v>
      </c>
      <c r="H663">
        <v>0</v>
      </c>
      <c r="I663">
        <v>0.58880100000000002</v>
      </c>
      <c r="J663">
        <v>5.3222399999999999</v>
      </c>
      <c r="K663" s="2">
        <v>92805400</v>
      </c>
      <c r="L663" s="1">
        <v>0</v>
      </c>
      <c r="M663" s="1">
        <v>0</v>
      </c>
      <c r="N663" s="1">
        <v>0</v>
      </c>
      <c r="O663" s="1">
        <v>0</v>
      </c>
      <c r="P663" s="2">
        <v>4697880</v>
      </c>
      <c r="Q663" s="1">
        <v>323050</v>
      </c>
      <c r="R663" s="1">
        <v>0</v>
      </c>
      <c r="S663">
        <v>96.684399999999997</v>
      </c>
      <c r="T663">
        <v>98.274000000000001</v>
      </c>
      <c r="U663">
        <v>1.51413</v>
      </c>
      <c r="V663">
        <v>0</v>
      </c>
      <c r="W663">
        <v>0</v>
      </c>
      <c r="X663">
        <v>1.94686</v>
      </c>
      <c r="Y663">
        <v>1.94686</v>
      </c>
      <c r="Z663">
        <v>0</v>
      </c>
      <c r="AA663">
        <v>1.5039</v>
      </c>
      <c r="AB663">
        <v>2.9635199999999999</v>
      </c>
      <c r="AC663" s="2">
        <v>277672000</v>
      </c>
      <c r="AD663" s="1">
        <v>0</v>
      </c>
      <c r="AE663" s="1">
        <v>0</v>
      </c>
      <c r="AF663" s="1">
        <v>0</v>
      </c>
      <c r="AG663" s="1">
        <v>0</v>
      </c>
      <c r="AH663" s="2">
        <v>5036980</v>
      </c>
      <c r="AI663" s="1">
        <v>164186</v>
      </c>
      <c r="AJ663" s="1">
        <v>0</v>
      </c>
      <c r="AK663" s="8">
        <f t="shared" si="43"/>
        <v>38</v>
      </c>
      <c r="AL663" s="8">
        <f t="shared" si="42"/>
        <v>13</v>
      </c>
      <c r="AM663">
        <f t="shared" si="40"/>
        <v>0</v>
      </c>
      <c r="AN663">
        <f t="shared" si="41"/>
        <v>0</v>
      </c>
    </row>
    <row r="664" spans="1:40" x14ac:dyDescent="0.35">
      <c r="A664">
        <v>66.568399999999997</v>
      </c>
      <c r="B664">
        <v>85.138999999999996</v>
      </c>
      <c r="C664">
        <v>1.1299600000000001</v>
      </c>
      <c r="D664">
        <v>0.01</v>
      </c>
      <c r="E664">
        <v>0</v>
      </c>
      <c r="F664">
        <v>2.8405499999999999</v>
      </c>
      <c r="G664">
        <v>3.1429499999999999</v>
      </c>
      <c r="H664">
        <v>0</v>
      </c>
      <c r="I664">
        <v>0.58889499999999995</v>
      </c>
      <c r="J664">
        <v>5.3222399999999999</v>
      </c>
      <c r="K664" s="2">
        <v>92719900</v>
      </c>
      <c r="L664" s="1">
        <v>0</v>
      </c>
      <c r="M664" s="1">
        <v>0</v>
      </c>
      <c r="N664" s="1">
        <v>0</v>
      </c>
      <c r="O664" s="1">
        <v>0</v>
      </c>
      <c r="P664" s="2">
        <v>4246550</v>
      </c>
      <c r="Q664" s="1">
        <v>-85437.1</v>
      </c>
      <c r="R664" s="1">
        <v>408539</v>
      </c>
      <c r="S664">
        <v>95.718199999999996</v>
      </c>
      <c r="T664">
        <v>98.274000000000001</v>
      </c>
      <c r="U664">
        <v>1.8356399999999999</v>
      </c>
      <c r="V664">
        <v>0</v>
      </c>
      <c r="W664">
        <v>0</v>
      </c>
      <c r="X664">
        <v>2.2495699999999998</v>
      </c>
      <c r="Y664">
        <v>1.9471700000000001</v>
      </c>
      <c r="Z664">
        <v>0</v>
      </c>
      <c r="AA664">
        <v>1.50414</v>
      </c>
      <c r="AB664">
        <v>2.9635199999999999</v>
      </c>
      <c r="AC664" s="2">
        <v>278619000</v>
      </c>
      <c r="AD664" s="1">
        <v>0</v>
      </c>
      <c r="AE664" s="1">
        <v>0</v>
      </c>
      <c r="AF664" s="1">
        <v>0</v>
      </c>
      <c r="AG664" s="1">
        <v>0</v>
      </c>
      <c r="AH664" s="2">
        <v>5820170</v>
      </c>
      <c r="AI664" s="1">
        <v>946593</v>
      </c>
      <c r="AJ664" s="1">
        <v>0</v>
      </c>
      <c r="AK664" s="8">
        <f t="shared" si="43"/>
        <v>39</v>
      </c>
      <c r="AL664" s="8">
        <f t="shared" si="42"/>
        <v>13</v>
      </c>
      <c r="AM664">
        <f t="shared" si="40"/>
        <v>0</v>
      </c>
      <c r="AN664">
        <f t="shared" si="41"/>
        <v>0</v>
      </c>
    </row>
    <row r="665" spans="1:40" x14ac:dyDescent="0.35">
      <c r="A665">
        <v>64.678700000000006</v>
      </c>
      <c r="B665">
        <v>85.138999999999996</v>
      </c>
      <c r="C665">
        <v>0.93761700000000003</v>
      </c>
      <c r="D665">
        <v>0.01</v>
      </c>
      <c r="E665">
        <v>0</v>
      </c>
      <c r="F665">
        <v>2.8410500000000001</v>
      </c>
      <c r="G665">
        <v>3.1434500000000001</v>
      </c>
      <c r="H665">
        <v>0</v>
      </c>
      <c r="I665">
        <v>0.53231899999999999</v>
      </c>
      <c r="J665">
        <v>5.3222399999999999</v>
      </c>
      <c r="K665" s="2">
        <v>92634500</v>
      </c>
      <c r="L665" s="1">
        <v>0</v>
      </c>
      <c r="M665" s="1">
        <v>0</v>
      </c>
      <c r="N665" s="1">
        <v>0</v>
      </c>
      <c r="O665" s="1">
        <v>0</v>
      </c>
      <c r="P665" s="2">
        <v>4247300</v>
      </c>
      <c r="Q665" s="1">
        <v>-85385.5</v>
      </c>
      <c r="R665" s="1">
        <v>408539</v>
      </c>
      <c r="S665">
        <v>95.2607</v>
      </c>
      <c r="T665">
        <v>98.274000000000001</v>
      </c>
      <c r="U665">
        <v>1.3163800000000001</v>
      </c>
      <c r="V665">
        <v>0</v>
      </c>
      <c r="W665">
        <v>0</v>
      </c>
      <c r="X665">
        <v>2.2498800000000001</v>
      </c>
      <c r="Y665">
        <v>1.9474800000000001</v>
      </c>
      <c r="Z665">
        <v>0</v>
      </c>
      <c r="AA665">
        <v>1.7380199999999999</v>
      </c>
      <c r="AB665">
        <v>2.9635199999999999</v>
      </c>
      <c r="AC665" s="2">
        <v>279566000</v>
      </c>
      <c r="AD665" s="1">
        <v>0</v>
      </c>
      <c r="AE665" s="1">
        <v>0</v>
      </c>
      <c r="AF665" s="1">
        <v>0</v>
      </c>
      <c r="AG665" s="1">
        <v>0</v>
      </c>
      <c r="AH665" s="2">
        <v>5820970</v>
      </c>
      <c r="AI665" s="1">
        <v>946619</v>
      </c>
      <c r="AJ665" s="1">
        <v>0</v>
      </c>
      <c r="AK665" s="8">
        <f t="shared" si="43"/>
        <v>40</v>
      </c>
      <c r="AL665" s="8">
        <f t="shared" si="42"/>
        <v>13</v>
      </c>
      <c r="AM665">
        <f t="shared" si="40"/>
        <v>0</v>
      </c>
      <c r="AN665">
        <f t="shared" si="41"/>
        <v>0</v>
      </c>
    </row>
    <row r="666" spans="1:40" x14ac:dyDescent="0.35">
      <c r="A666">
        <v>63.330399999999997</v>
      </c>
      <c r="B666">
        <v>85.138999999999996</v>
      </c>
      <c r="C666">
        <v>1.46854</v>
      </c>
      <c r="D666">
        <v>0.01</v>
      </c>
      <c r="E666">
        <v>0</v>
      </c>
      <c r="F666">
        <v>2.8415599999999999</v>
      </c>
      <c r="G666">
        <v>3.1439599999999999</v>
      </c>
      <c r="H666">
        <v>0</v>
      </c>
      <c r="I666">
        <v>0.53241300000000003</v>
      </c>
      <c r="J666">
        <v>5.3222399999999999</v>
      </c>
      <c r="K666" s="2">
        <v>92549200</v>
      </c>
      <c r="L666" s="1">
        <v>0</v>
      </c>
      <c r="M666" s="1">
        <v>0</v>
      </c>
      <c r="N666" s="1">
        <v>0</v>
      </c>
      <c r="O666" s="1">
        <v>0</v>
      </c>
      <c r="P666" s="2">
        <v>4248050</v>
      </c>
      <c r="Q666" s="1">
        <v>-85333.8</v>
      </c>
      <c r="R666" s="1">
        <v>408539</v>
      </c>
      <c r="S666">
        <v>94.879099999999994</v>
      </c>
      <c r="T666">
        <v>98.274000000000001</v>
      </c>
      <c r="U666">
        <v>2.78335</v>
      </c>
      <c r="V666">
        <v>0</v>
      </c>
      <c r="W666">
        <v>0</v>
      </c>
      <c r="X666">
        <v>2.2501899999999999</v>
      </c>
      <c r="Y666">
        <v>1.9477899999999999</v>
      </c>
      <c r="Z666">
        <v>0</v>
      </c>
      <c r="AA666">
        <v>1.7382599999999999</v>
      </c>
      <c r="AB666">
        <v>2.9635199999999999</v>
      </c>
      <c r="AC666" s="2">
        <v>280512000</v>
      </c>
      <c r="AD666" s="1">
        <v>0</v>
      </c>
      <c r="AE666" s="1">
        <v>0</v>
      </c>
      <c r="AF666" s="1">
        <v>0</v>
      </c>
      <c r="AG666" s="1">
        <v>0</v>
      </c>
      <c r="AH666" s="2">
        <v>5821780</v>
      </c>
      <c r="AI666" s="1">
        <v>946646</v>
      </c>
      <c r="AJ666" s="1">
        <v>0</v>
      </c>
      <c r="AK666" s="8">
        <f t="shared" si="43"/>
        <v>41</v>
      </c>
      <c r="AL666" s="8">
        <f t="shared" si="42"/>
        <v>13</v>
      </c>
      <c r="AM666">
        <f t="shared" si="40"/>
        <v>0</v>
      </c>
      <c r="AN666">
        <f t="shared" si="41"/>
        <v>0</v>
      </c>
    </row>
    <row r="667" spans="1:40" x14ac:dyDescent="0.35">
      <c r="A667">
        <v>61.828099999999999</v>
      </c>
      <c r="B667">
        <v>85.138999999999996</v>
      </c>
      <c r="C667">
        <v>1.3022800000000001</v>
      </c>
      <c r="D667">
        <v>0.02</v>
      </c>
      <c r="E667">
        <v>0</v>
      </c>
      <c r="F667">
        <v>2.7461199999999999</v>
      </c>
      <c r="G667">
        <v>3.0485199999999999</v>
      </c>
      <c r="H667">
        <v>0</v>
      </c>
      <c r="I667">
        <v>0.53250699999999995</v>
      </c>
      <c r="J667">
        <v>5.3222399999999999</v>
      </c>
      <c r="K667" s="2">
        <v>92454100</v>
      </c>
      <c r="L667" s="1">
        <v>0</v>
      </c>
      <c r="M667" s="1">
        <v>0</v>
      </c>
      <c r="N667" s="1">
        <v>0</v>
      </c>
      <c r="O667" s="1">
        <v>0</v>
      </c>
      <c r="P667" s="2">
        <v>4105380</v>
      </c>
      <c r="Q667" s="1">
        <v>-95145.1</v>
      </c>
      <c r="R667" s="1">
        <v>408539</v>
      </c>
      <c r="S667">
        <v>94.075800000000001</v>
      </c>
      <c r="T667">
        <v>98.274000000000001</v>
      </c>
      <c r="U667">
        <v>1.8713</v>
      </c>
      <c r="V667">
        <v>0</v>
      </c>
      <c r="W667">
        <v>0</v>
      </c>
      <c r="X667">
        <v>2.1567699999999999</v>
      </c>
      <c r="Y667">
        <v>1.8543700000000001</v>
      </c>
      <c r="Z667">
        <v>0</v>
      </c>
      <c r="AA667">
        <v>1.7384999999999999</v>
      </c>
      <c r="AB667">
        <v>2.9635199999999999</v>
      </c>
      <c r="AC667" s="2">
        <v>281451000</v>
      </c>
      <c r="AD667" s="1">
        <v>0</v>
      </c>
      <c r="AE667" s="1">
        <v>0</v>
      </c>
      <c r="AF667" s="1">
        <v>0</v>
      </c>
      <c r="AG667" s="1">
        <v>0</v>
      </c>
      <c r="AH667" s="2">
        <v>5580080</v>
      </c>
      <c r="AI667" s="1">
        <v>938767</v>
      </c>
      <c r="AJ667" s="1">
        <v>0</v>
      </c>
      <c r="AK667" s="8">
        <f t="shared" si="43"/>
        <v>42</v>
      </c>
      <c r="AL667" s="8">
        <f t="shared" si="42"/>
        <v>13</v>
      </c>
      <c r="AM667">
        <f t="shared" si="40"/>
        <v>0</v>
      </c>
      <c r="AN667">
        <f t="shared" si="41"/>
        <v>0</v>
      </c>
    </row>
    <row r="668" spans="1:40" x14ac:dyDescent="0.35">
      <c r="A668">
        <v>60.138599999999997</v>
      </c>
      <c r="B668">
        <v>85.138999999999996</v>
      </c>
      <c r="C668">
        <v>1.0238799999999999</v>
      </c>
      <c r="D668">
        <v>0.02</v>
      </c>
      <c r="E668">
        <v>0</v>
      </c>
      <c r="F668">
        <v>2.7465999999999999</v>
      </c>
      <c r="G668">
        <v>3.0489999999999999</v>
      </c>
      <c r="H668">
        <v>0</v>
      </c>
      <c r="I668">
        <v>0.51462200000000002</v>
      </c>
      <c r="J668">
        <v>5.3222399999999999</v>
      </c>
      <c r="K668" s="2">
        <v>92359000</v>
      </c>
      <c r="L668" s="1">
        <v>0</v>
      </c>
      <c r="M668" s="1">
        <v>0</v>
      </c>
      <c r="N668" s="1">
        <v>0</v>
      </c>
      <c r="O668" s="1">
        <v>0</v>
      </c>
      <c r="P668" s="2">
        <v>4106100</v>
      </c>
      <c r="Q668" s="1">
        <v>-95095</v>
      </c>
      <c r="R668" s="1">
        <v>408539</v>
      </c>
      <c r="S668">
        <v>93.9221</v>
      </c>
      <c r="T668">
        <v>98.274000000000001</v>
      </c>
      <c r="U668">
        <v>1.43093</v>
      </c>
      <c r="V668">
        <v>0</v>
      </c>
      <c r="W668">
        <v>0</v>
      </c>
      <c r="X668">
        <v>2.15707</v>
      </c>
      <c r="Y668">
        <v>1.85467</v>
      </c>
      <c r="Z668">
        <v>0</v>
      </c>
      <c r="AA668">
        <v>1.66632</v>
      </c>
      <c r="AB668">
        <v>2.9635199999999999</v>
      </c>
      <c r="AC668" s="2">
        <v>282390000</v>
      </c>
      <c r="AD668" s="1">
        <v>0</v>
      </c>
      <c r="AE668" s="1">
        <v>0</v>
      </c>
      <c r="AF668" s="1">
        <v>0</v>
      </c>
      <c r="AG668" s="1">
        <v>0</v>
      </c>
      <c r="AH668" s="2">
        <v>5580840</v>
      </c>
      <c r="AI668" s="1">
        <v>938792</v>
      </c>
      <c r="AJ668" s="1">
        <v>0</v>
      </c>
      <c r="AK668" s="8">
        <f t="shared" si="43"/>
        <v>43</v>
      </c>
      <c r="AL668" s="8">
        <f t="shared" si="42"/>
        <v>13</v>
      </c>
      <c r="AM668">
        <f t="shared" si="40"/>
        <v>0</v>
      </c>
      <c r="AN668">
        <f t="shared" si="41"/>
        <v>0</v>
      </c>
    </row>
    <row r="669" spans="1:40" x14ac:dyDescent="0.35">
      <c r="A669">
        <v>59.744500000000002</v>
      </c>
      <c r="B669">
        <v>85.138999999999996</v>
      </c>
      <c r="C669">
        <v>2.3990800000000001</v>
      </c>
      <c r="D669">
        <v>0.02</v>
      </c>
      <c r="E669">
        <v>0</v>
      </c>
      <c r="F669">
        <v>2.74709</v>
      </c>
      <c r="G669">
        <v>3.04949</v>
      </c>
      <c r="H669">
        <v>0</v>
      </c>
      <c r="I669">
        <v>0.514714</v>
      </c>
      <c r="J669">
        <v>5.3222399999999999</v>
      </c>
      <c r="K669" s="2">
        <v>92263900</v>
      </c>
      <c r="L669" s="1">
        <v>0</v>
      </c>
      <c r="M669" s="1">
        <v>0</v>
      </c>
      <c r="N669" s="1">
        <v>0</v>
      </c>
      <c r="O669" s="1">
        <v>0</v>
      </c>
      <c r="P669" s="2">
        <v>4106830</v>
      </c>
      <c r="Q669" s="1">
        <v>-95044.9</v>
      </c>
      <c r="R669" s="1">
        <v>408539</v>
      </c>
      <c r="S669">
        <v>93.789400000000001</v>
      </c>
      <c r="T669">
        <v>98.274000000000001</v>
      </c>
      <c r="U669">
        <v>2.9361899999999999</v>
      </c>
      <c r="V669">
        <v>0</v>
      </c>
      <c r="W669">
        <v>0</v>
      </c>
      <c r="X669">
        <v>2.1573600000000002</v>
      </c>
      <c r="Y669">
        <v>1.8549599999999999</v>
      </c>
      <c r="Z669">
        <v>0</v>
      </c>
      <c r="AA669">
        <v>1.66655</v>
      </c>
      <c r="AB669">
        <v>2.9635199999999999</v>
      </c>
      <c r="AC669" s="2">
        <v>283329000</v>
      </c>
      <c r="AD669" s="1">
        <v>0</v>
      </c>
      <c r="AE669" s="1">
        <v>0</v>
      </c>
      <c r="AF669" s="1">
        <v>0</v>
      </c>
      <c r="AG669" s="1">
        <v>0</v>
      </c>
      <c r="AH669" s="2">
        <v>5581610</v>
      </c>
      <c r="AI669" s="1">
        <v>938817</v>
      </c>
      <c r="AJ669" s="1">
        <v>0</v>
      </c>
      <c r="AK669" s="8">
        <f t="shared" si="43"/>
        <v>44</v>
      </c>
      <c r="AL669" s="8">
        <f t="shared" si="42"/>
        <v>13</v>
      </c>
      <c r="AM669">
        <f t="shared" si="40"/>
        <v>0</v>
      </c>
      <c r="AN669">
        <f t="shared" si="41"/>
        <v>0</v>
      </c>
    </row>
    <row r="670" spans="1:40" x14ac:dyDescent="0.35">
      <c r="A670">
        <v>59.0792</v>
      </c>
      <c r="B670">
        <v>85.138999999999996</v>
      </c>
      <c r="C670">
        <v>2.2531400000000001</v>
      </c>
      <c r="D670">
        <v>0.02</v>
      </c>
      <c r="E670">
        <v>0</v>
      </c>
      <c r="F670">
        <v>2.7475800000000001</v>
      </c>
      <c r="G670">
        <v>3.0499800000000001</v>
      </c>
      <c r="H670">
        <v>0</v>
      </c>
      <c r="I670">
        <v>0.51480499999999996</v>
      </c>
      <c r="J670">
        <v>5.3222399999999999</v>
      </c>
      <c r="K670" s="2">
        <v>92168900</v>
      </c>
      <c r="L670" s="1">
        <v>0</v>
      </c>
      <c r="M670" s="1">
        <v>0</v>
      </c>
      <c r="N670" s="1">
        <v>0</v>
      </c>
      <c r="O670" s="1">
        <v>0</v>
      </c>
      <c r="P670" s="2">
        <v>4107560</v>
      </c>
      <c r="Q670" s="1">
        <v>-94994.8</v>
      </c>
      <c r="R670" s="1">
        <v>408539</v>
      </c>
      <c r="S670">
        <v>93.534599999999998</v>
      </c>
      <c r="T670">
        <v>98.274000000000001</v>
      </c>
      <c r="U670">
        <v>2.5519400000000001</v>
      </c>
      <c r="V670">
        <v>0</v>
      </c>
      <c r="W670">
        <v>0</v>
      </c>
      <c r="X670">
        <v>2.1576599999999999</v>
      </c>
      <c r="Y670">
        <v>1.8552599999999999</v>
      </c>
      <c r="Z670">
        <v>0</v>
      </c>
      <c r="AA670">
        <v>1.6667799999999999</v>
      </c>
      <c r="AB670">
        <v>2.9635199999999999</v>
      </c>
      <c r="AC670" s="2">
        <v>284267000</v>
      </c>
      <c r="AD670" s="1">
        <v>0</v>
      </c>
      <c r="AE670" s="1">
        <v>0</v>
      </c>
      <c r="AF670" s="1">
        <v>0</v>
      </c>
      <c r="AG670" s="1">
        <v>0</v>
      </c>
      <c r="AH670" s="2">
        <v>5582380</v>
      </c>
      <c r="AI670" s="1">
        <v>938842</v>
      </c>
      <c r="AJ670" s="1">
        <v>0</v>
      </c>
      <c r="AK670" s="8">
        <f t="shared" si="43"/>
        <v>45</v>
      </c>
      <c r="AL670" s="8">
        <f t="shared" si="42"/>
        <v>13</v>
      </c>
      <c r="AM670">
        <f t="shared" si="40"/>
        <v>0</v>
      </c>
      <c r="AN670">
        <f t="shared" si="41"/>
        <v>0</v>
      </c>
    </row>
    <row r="671" spans="1:40" x14ac:dyDescent="0.35">
      <c r="A671">
        <v>57.488399999999999</v>
      </c>
      <c r="B671">
        <v>85.138999999999996</v>
      </c>
      <c r="C671">
        <v>1.0896600000000001</v>
      </c>
      <c r="D671">
        <v>0.02</v>
      </c>
      <c r="E671">
        <v>0</v>
      </c>
      <c r="F671">
        <v>2.66927</v>
      </c>
      <c r="G671">
        <v>2.97167</v>
      </c>
      <c r="H671">
        <v>0</v>
      </c>
      <c r="I671">
        <v>0.51489600000000002</v>
      </c>
      <c r="J671">
        <v>5.3222399999999999</v>
      </c>
      <c r="K671" s="2">
        <v>92065900</v>
      </c>
      <c r="L671" s="1">
        <v>0</v>
      </c>
      <c r="M671" s="1">
        <v>0</v>
      </c>
      <c r="N671" s="1">
        <v>0</v>
      </c>
      <c r="O671" s="1">
        <v>0</v>
      </c>
      <c r="P671" s="2">
        <v>3990480</v>
      </c>
      <c r="Q671" s="1">
        <v>-103046</v>
      </c>
      <c r="R671" s="1">
        <v>408539</v>
      </c>
      <c r="S671">
        <v>93.471699999999998</v>
      </c>
      <c r="T671">
        <v>98.274000000000001</v>
      </c>
      <c r="U671">
        <v>1.84979</v>
      </c>
      <c r="V671">
        <v>0</v>
      </c>
      <c r="W671">
        <v>0</v>
      </c>
      <c r="X671">
        <v>2.0725799999999999</v>
      </c>
      <c r="Y671">
        <v>1.7701800000000001</v>
      </c>
      <c r="Z671">
        <v>0</v>
      </c>
      <c r="AA671">
        <v>1.6670100000000001</v>
      </c>
      <c r="AB671">
        <v>2.9635199999999999</v>
      </c>
      <c r="AC671" s="2">
        <v>285199000</v>
      </c>
      <c r="AD671" s="1">
        <v>0</v>
      </c>
      <c r="AE671" s="1">
        <v>0</v>
      </c>
      <c r="AF671" s="1">
        <v>0</v>
      </c>
      <c r="AG671" s="1">
        <v>0</v>
      </c>
      <c r="AH671" s="2">
        <v>5362260</v>
      </c>
      <c r="AI671" s="1">
        <v>931667</v>
      </c>
      <c r="AJ671" s="1">
        <v>0</v>
      </c>
      <c r="AK671" s="8">
        <f t="shared" si="43"/>
        <v>46</v>
      </c>
      <c r="AL671" s="8">
        <f t="shared" si="42"/>
        <v>13</v>
      </c>
      <c r="AM671">
        <f t="shared" si="40"/>
        <v>0</v>
      </c>
      <c r="AN671">
        <f t="shared" si="41"/>
        <v>0</v>
      </c>
    </row>
    <row r="672" spans="1:40" x14ac:dyDescent="0.35">
      <c r="A672">
        <v>56.285299999999999</v>
      </c>
      <c r="B672">
        <v>85.138999999999996</v>
      </c>
      <c r="C672">
        <v>1.4563600000000001</v>
      </c>
      <c r="D672">
        <v>0.02</v>
      </c>
      <c r="E672">
        <v>0</v>
      </c>
      <c r="F672">
        <v>2.66974</v>
      </c>
      <c r="G672">
        <v>2.97214</v>
      </c>
      <c r="H672">
        <v>0</v>
      </c>
      <c r="I672">
        <v>0.50022</v>
      </c>
      <c r="J672">
        <v>5.3222399999999999</v>
      </c>
      <c r="K672" s="2">
        <v>91962900</v>
      </c>
      <c r="L672" s="1">
        <v>0</v>
      </c>
      <c r="M672" s="1">
        <v>0</v>
      </c>
      <c r="N672" s="1">
        <v>0</v>
      </c>
      <c r="O672" s="1">
        <v>0</v>
      </c>
      <c r="P672" s="2">
        <v>3991190</v>
      </c>
      <c r="Q672" s="1">
        <v>-102997</v>
      </c>
      <c r="R672" s="1">
        <v>408539</v>
      </c>
      <c r="S672">
        <v>93.794499999999999</v>
      </c>
      <c r="T672">
        <v>98.274000000000001</v>
      </c>
      <c r="U672">
        <v>3.2212100000000001</v>
      </c>
      <c r="V672">
        <v>0</v>
      </c>
      <c r="W672">
        <v>0</v>
      </c>
      <c r="X672">
        <v>2.0728599999999999</v>
      </c>
      <c r="Y672">
        <v>1.7704599999999999</v>
      </c>
      <c r="Z672">
        <v>0</v>
      </c>
      <c r="AA672">
        <v>1.60128</v>
      </c>
      <c r="AB672">
        <v>2.9635199999999999</v>
      </c>
      <c r="AC672" s="2">
        <v>286131000</v>
      </c>
      <c r="AD672" s="1">
        <v>0</v>
      </c>
      <c r="AE672" s="1">
        <v>0</v>
      </c>
      <c r="AF672" s="1">
        <v>0</v>
      </c>
      <c r="AG672" s="1">
        <v>0</v>
      </c>
      <c r="AH672" s="2">
        <v>5362990</v>
      </c>
      <c r="AI672" s="1">
        <v>931691</v>
      </c>
      <c r="AJ672" s="1">
        <v>0</v>
      </c>
      <c r="AK672" s="8">
        <f t="shared" si="43"/>
        <v>47</v>
      </c>
      <c r="AL672" s="8">
        <f t="shared" si="42"/>
        <v>13</v>
      </c>
      <c r="AM672">
        <f t="shared" si="40"/>
        <v>0</v>
      </c>
      <c r="AN672">
        <f t="shared" si="41"/>
        <v>0</v>
      </c>
    </row>
    <row r="673" spans="1:40" x14ac:dyDescent="0.35">
      <c r="A673">
        <v>54.573900000000002</v>
      </c>
      <c r="B673">
        <v>85.138999999999996</v>
      </c>
      <c r="C673">
        <v>0.92418</v>
      </c>
      <c r="D673">
        <v>0.02</v>
      </c>
      <c r="E673">
        <v>0</v>
      </c>
      <c r="F673">
        <v>2.67022</v>
      </c>
      <c r="G673">
        <v>2.97262</v>
      </c>
      <c r="H673">
        <v>0</v>
      </c>
      <c r="I673">
        <v>0.500309</v>
      </c>
      <c r="J673">
        <v>5.3222399999999999</v>
      </c>
      <c r="K673" s="2">
        <v>91859900</v>
      </c>
      <c r="L673" s="1">
        <v>0</v>
      </c>
      <c r="M673" s="1">
        <v>0</v>
      </c>
      <c r="N673" s="1">
        <v>0</v>
      </c>
      <c r="O673" s="1">
        <v>0</v>
      </c>
      <c r="P673" s="2">
        <v>3991900</v>
      </c>
      <c r="Q673" s="1">
        <v>-102948</v>
      </c>
      <c r="R673" s="1">
        <v>408539</v>
      </c>
      <c r="S673">
        <v>93.7363</v>
      </c>
      <c r="T673">
        <v>98.274000000000001</v>
      </c>
      <c r="U673">
        <v>2.5273300000000001</v>
      </c>
      <c r="V673">
        <v>0</v>
      </c>
      <c r="W673">
        <v>0</v>
      </c>
      <c r="X673">
        <v>2.07315</v>
      </c>
      <c r="Y673">
        <v>1.77075</v>
      </c>
      <c r="Z673">
        <v>0</v>
      </c>
      <c r="AA673">
        <v>1.6014999999999999</v>
      </c>
      <c r="AB673">
        <v>2.9635199999999999</v>
      </c>
      <c r="AC673" s="2">
        <v>287063000</v>
      </c>
      <c r="AD673" s="1">
        <v>0</v>
      </c>
      <c r="AE673" s="1">
        <v>0</v>
      </c>
      <c r="AF673" s="1">
        <v>0</v>
      </c>
      <c r="AG673" s="1">
        <v>0</v>
      </c>
      <c r="AH673" s="2">
        <v>5363730</v>
      </c>
      <c r="AI673" s="1">
        <v>931715</v>
      </c>
      <c r="AJ673" s="1">
        <v>0</v>
      </c>
      <c r="AK673" s="8">
        <f t="shared" si="43"/>
        <v>48</v>
      </c>
      <c r="AL673" s="8">
        <f t="shared" si="42"/>
        <v>13</v>
      </c>
      <c r="AM673">
        <f t="shared" si="40"/>
        <v>0</v>
      </c>
      <c r="AN673">
        <f t="shared" si="41"/>
        <v>0</v>
      </c>
    </row>
    <row r="674" spans="1:40" x14ac:dyDescent="0.35">
      <c r="A674">
        <v>54.464399999999998</v>
      </c>
      <c r="B674">
        <v>85.138999999999996</v>
      </c>
      <c r="C674">
        <v>2.7208199999999998</v>
      </c>
      <c r="D674">
        <v>0.02</v>
      </c>
      <c r="E674">
        <v>0</v>
      </c>
      <c r="F674">
        <v>2.67069</v>
      </c>
      <c r="G674">
        <v>2.97309</v>
      </c>
      <c r="H674">
        <v>0</v>
      </c>
      <c r="I674">
        <v>0.50039800000000001</v>
      </c>
      <c r="J674">
        <v>5.3222399999999999</v>
      </c>
      <c r="K674" s="2">
        <v>91757000</v>
      </c>
      <c r="L674" s="1">
        <v>0</v>
      </c>
      <c r="M674" s="1">
        <v>0</v>
      </c>
      <c r="N674" s="1">
        <v>0</v>
      </c>
      <c r="O674" s="1">
        <v>0</v>
      </c>
      <c r="P674" s="2">
        <v>3992610</v>
      </c>
      <c r="Q674" s="1">
        <v>-102899</v>
      </c>
      <c r="R674" s="1">
        <v>408539</v>
      </c>
      <c r="S674">
        <v>93.931100000000001</v>
      </c>
      <c r="T674">
        <v>98.274000000000001</v>
      </c>
      <c r="U674">
        <v>3.18241</v>
      </c>
      <c r="V674">
        <v>0</v>
      </c>
      <c r="W674">
        <v>0</v>
      </c>
      <c r="X674">
        <v>2.0734300000000001</v>
      </c>
      <c r="Y674">
        <v>1.7710300000000001</v>
      </c>
      <c r="Z674">
        <v>0</v>
      </c>
      <c r="AA674">
        <v>1.60171</v>
      </c>
      <c r="AB674">
        <v>2.9635199999999999</v>
      </c>
      <c r="AC674" s="2">
        <v>287994000</v>
      </c>
      <c r="AD674" s="1">
        <v>0</v>
      </c>
      <c r="AE674" s="1">
        <v>0</v>
      </c>
      <c r="AF674" s="1">
        <v>0</v>
      </c>
      <c r="AG674" s="1">
        <v>0</v>
      </c>
      <c r="AH674" s="2">
        <v>5364460</v>
      </c>
      <c r="AI674" s="1">
        <v>931739</v>
      </c>
      <c r="AJ674" s="1">
        <v>0</v>
      </c>
      <c r="AK674" s="8">
        <f t="shared" si="43"/>
        <v>49</v>
      </c>
      <c r="AL674" s="8">
        <f t="shared" si="42"/>
        <v>13</v>
      </c>
      <c r="AM674">
        <f t="shared" si="40"/>
        <v>0</v>
      </c>
      <c r="AN674">
        <f t="shared" si="41"/>
        <v>0</v>
      </c>
    </row>
    <row r="675" spans="1:40" x14ac:dyDescent="0.35">
      <c r="A675">
        <v>54.241300000000003</v>
      </c>
      <c r="B675">
        <v>85.138999999999996</v>
      </c>
      <c r="C675">
        <v>2.4152</v>
      </c>
      <c r="D675">
        <v>0.02</v>
      </c>
      <c r="E675">
        <v>0</v>
      </c>
      <c r="F675">
        <v>2.4472200000000002</v>
      </c>
      <c r="G675">
        <v>2.7496200000000002</v>
      </c>
      <c r="H675">
        <v>0</v>
      </c>
      <c r="I675">
        <v>0.50048700000000002</v>
      </c>
      <c r="J675">
        <v>5.3222399999999999</v>
      </c>
      <c r="K675" s="2">
        <v>91631200</v>
      </c>
      <c r="L675" s="1">
        <v>0</v>
      </c>
      <c r="M675" s="1">
        <v>0</v>
      </c>
      <c r="N675" s="1">
        <v>0</v>
      </c>
      <c r="O675" s="1">
        <v>0</v>
      </c>
      <c r="P675" s="2">
        <v>3658540</v>
      </c>
      <c r="Q675" s="1">
        <v>-125872</v>
      </c>
      <c r="R675" s="1">
        <v>408539</v>
      </c>
      <c r="S675">
        <v>94.121700000000004</v>
      </c>
      <c r="T675">
        <v>98.274000000000001</v>
      </c>
      <c r="U675">
        <v>3.4291900000000002</v>
      </c>
      <c r="V675">
        <v>0</v>
      </c>
      <c r="W675">
        <v>0</v>
      </c>
      <c r="X675">
        <v>1.8957900000000001</v>
      </c>
      <c r="Y675">
        <v>1.5933900000000001</v>
      </c>
      <c r="Z675">
        <v>0</v>
      </c>
      <c r="AA675">
        <v>1.6019300000000001</v>
      </c>
      <c r="AB675">
        <v>2.9635199999999999</v>
      </c>
      <c r="AC675" s="2">
        <v>288911000</v>
      </c>
      <c r="AD675" s="1">
        <v>0</v>
      </c>
      <c r="AE675" s="1">
        <v>0</v>
      </c>
      <c r="AF675" s="1">
        <v>0</v>
      </c>
      <c r="AG675" s="1">
        <v>0</v>
      </c>
      <c r="AH675" s="2">
        <v>4904860</v>
      </c>
      <c r="AI675" s="1">
        <v>916758</v>
      </c>
      <c r="AJ675" s="1">
        <v>0</v>
      </c>
      <c r="AK675" s="8">
        <f t="shared" si="43"/>
        <v>50</v>
      </c>
      <c r="AL675" s="8">
        <f t="shared" si="42"/>
        <v>13</v>
      </c>
      <c r="AM675">
        <f t="shared" si="40"/>
        <v>0</v>
      </c>
      <c r="AN675">
        <f t="shared" si="41"/>
        <v>0</v>
      </c>
    </row>
    <row r="676" spans="1:40" x14ac:dyDescent="0.35">
      <c r="A676">
        <v>53.533000000000001</v>
      </c>
      <c r="B676">
        <v>85.138999999999996</v>
      </c>
      <c r="C676">
        <v>1.93293</v>
      </c>
      <c r="D676">
        <v>0.03</v>
      </c>
      <c r="E676">
        <v>0</v>
      </c>
      <c r="F676">
        <v>2.4476599999999999</v>
      </c>
      <c r="G676">
        <v>2.7500599999999999</v>
      </c>
      <c r="H676">
        <v>0</v>
      </c>
      <c r="I676">
        <v>0.45860899999999999</v>
      </c>
      <c r="J676">
        <v>5.3222399999999999</v>
      </c>
      <c r="K676" s="2">
        <v>91505300</v>
      </c>
      <c r="L676" s="1">
        <v>0</v>
      </c>
      <c r="M676" s="1">
        <v>0</v>
      </c>
      <c r="N676" s="1">
        <v>0</v>
      </c>
      <c r="O676" s="1">
        <v>0</v>
      </c>
      <c r="P676" s="2">
        <v>3659190</v>
      </c>
      <c r="Q676" s="1">
        <v>-125827</v>
      </c>
      <c r="R676" s="1">
        <v>408539</v>
      </c>
      <c r="S676">
        <v>94.365300000000005</v>
      </c>
      <c r="T676">
        <v>98.274000000000001</v>
      </c>
      <c r="U676">
        <v>3.08894</v>
      </c>
      <c r="V676">
        <v>0</v>
      </c>
      <c r="W676">
        <v>0</v>
      </c>
      <c r="X676">
        <v>1.89605</v>
      </c>
      <c r="Y676">
        <v>1.59365</v>
      </c>
      <c r="Z676">
        <v>0</v>
      </c>
      <c r="AA676">
        <v>1.46469</v>
      </c>
      <c r="AB676">
        <v>2.9635199999999999</v>
      </c>
      <c r="AC676" s="2">
        <v>289828000</v>
      </c>
      <c r="AD676" s="1">
        <v>0</v>
      </c>
      <c r="AE676" s="1">
        <v>0</v>
      </c>
      <c r="AF676" s="1">
        <v>0</v>
      </c>
      <c r="AG676" s="1">
        <v>0</v>
      </c>
      <c r="AH676" s="2">
        <v>4905520</v>
      </c>
      <c r="AI676" s="1">
        <v>916779</v>
      </c>
      <c r="AJ676" s="1">
        <v>0</v>
      </c>
      <c r="AK676" s="8">
        <f t="shared" si="43"/>
        <v>51</v>
      </c>
      <c r="AL676" s="8">
        <f t="shared" si="42"/>
        <v>13</v>
      </c>
      <c r="AM676">
        <f t="shared" si="40"/>
        <v>0</v>
      </c>
      <c r="AN676">
        <f t="shared" si="41"/>
        <v>0</v>
      </c>
    </row>
    <row r="677" spans="1:40" x14ac:dyDescent="0.35">
      <c r="A677">
        <v>53.3504</v>
      </c>
      <c r="B677">
        <v>85.138999999999996</v>
      </c>
      <c r="C677">
        <v>2.39181</v>
      </c>
      <c r="D677">
        <v>0.03</v>
      </c>
      <c r="E677">
        <v>0</v>
      </c>
      <c r="F677">
        <v>2.4481000000000002</v>
      </c>
      <c r="G677">
        <v>2.7505000000000002</v>
      </c>
      <c r="H677">
        <v>0</v>
      </c>
      <c r="I677">
        <v>0.45869199999999999</v>
      </c>
      <c r="J677">
        <v>5.3222399999999999</v>
      </c>
      <c r="K677" s="2">
        <v>91379600</v>
      </c>
      <c r="L677" s="1">
        <v>0</v>
      </c>
      <c r="M677" s="1">
        <v>0</v>
      </c>
      <c r="N677" s="1">
        <v>0</v>
      </c>
      <c r="O677" s="1">
        <v>0</v>
      </c>
      <c r="P677" s="2">
        <v>3659850</v>
      </c>
      <c r="Q677" s="1">
        <v>-125782</v>
      </c>
      <c r="R677" s="1">
        <v>408539</v>
      </c>
      <c r="S677">
        <v>94.710599999999999</v>
      </c>
      <c r="T677">
        <v>98.274000000000001</v>
      </c>
      <c r="U677">
        <v>3.5137499999999999</v>
      </c>
      <c r="V677">
        <v>0</v>
      </c>
      <c r="W677">
        <v>0</v>
      </c>
      <c r="X677">
        <v>1.8963000000000001</v>
      </c>
      <c r="Y677">
        <v>1.5939000000000001</v>
      </c>
      <c r="Z677">
        <v>0</v>
      </c>
      <c r="AA677">
        <v>1.46488</v>
      </c>
      <c r="AB677">
        <v>2.9635199999999999</v>
      </c>
      <c r="AC677" s="2">
        <v>290745000</v>
      </c>
      <c r="AD677" s="1">
        <v>0</v>
      </c>
      <c r="AE677" s="1">
        <v>0</v>
      </c>
      <c r="AF677" s="1">
        <v>0</v>
      </c>
      <c r="AG677" s="1">
        <v>0</v>
      </c>
      <c r="AH677" s="2">
        <v>4906180</v>
      </c>
      <c r="AI677" s="1">
        <v>916801</v>
      </c>
      <c r="AJ677" s="1">
        <v>0</v>
      </c>
      <c r="AK677" s="8">
        <f t="shared" si="43"/>
        <v>52</v>
      </c>
      <c r="AL677" s="8">
        <f t="shared" si="42"/>
        <v>13</v>
      </c>
      <c r="AM677">
        <f t="shared" si="40"/>
        <v>290745000</v>
      </c>
      <c r="AN677">
        <f t="shared" si="41"/>
        <v>91379600</v>
      </c>
    </row>
    <row r="678" spans="1:40" x14ac:dyDescent="0.35">
      <c r="A678">
        <v>53.011200000000002</v>
      </c>
      <c r="B678">
        <v>85.138999999999996</v>
      </c>
      <c r="C678">
        <v>2.40442</v>
      </c>
      <c r="D678">
        <v>0.03</v>
      </c>
      <c r="E678">
        <v>0</v>
      </c>
      <c r="F678">
        <v>2.4485399999999999</v>
      </c>
      <c r="G678">
        <v>2.7509399999999999</v>
      </c>
      <c r="H678">
        <v>0</v>
      </c>
      <c r="I678">
        <v>0.45877400000000002</v>
      </c>
      <c r="J678">
        <v>5.3222399999999999</v>
      </c>
      <c r="K678" s="2">
        <v>91253800</v>
      </c>
      <c r="L678" s="1">
        <v>0</v>
      </c>
      <c r="M678" s="1">
        <v>0</v>
      </c>
      <c r="N678" s="1">
        <v>0</v>
      </c>
      <c r="O678" s="1">
        <v>0</v>
      </c>
      <c r="P678" s="2">
        <v>3660510</v>
      </c>
      <c r="Q678" s="1">
        <v>-125736</v>
      </c>
      <c r="R678" s="1">
        <v>408539</v>
      </c>
      <c r="S678">
        <v>94.993899999999996</v>
      </c>
      <c r="T678">
        <v>98.274000000000001</v>
      </c>
      <c r="U678">
        <v>3.7010700000000001</v>
      </c>
      <c r="V678">
        <v>0</v>
      </c>
      <c r="W678">
        <v>0</v>
      </c>
      <c r="X678">
        <v>1.89656</v>
      </c>
      <c r="Y678">
        <v>1.59416</v>
      </c>
      <c r="Z678">
        <v>0</v>
      </c>
      <c r="AA678">
        <v>1.4650799999999999</v>
      </c>
      <c r="AB678">
        <v>2.9635199999999999</v>
      </c>
      <c r="AC678" s="2">
        <v>291661000</v>
      </c>
      <c r="AD678" s="1">
        <v>0</v>
      </c>
      <c r="AE678" s="1">
        <v>0</v>
      </c>
      <c r="AF678" s="1">
        <v>0</v>
      </c>
      <c r="AG678" s="1">
        <v>0</v>
      </c>
      <c r="AH678" s="2">
        <v>4906840</v>
      </c>
      <c r="AI678" s="1">
        <v>916822</v>
      </c>
      <c r="AJ678" s="1">
        <v>0</v>
      </c>
      <c r="AK678" s="8">
        <f t="shared" si="43"/>
        <v>1</v>
      </c>
      <c r="AL678" s="8">
        <f t="shared" si="42"/>
        <v>14</v>
      </c>
      <c r="AM678">
        <f t="shared" si="40"/>
        <v>0</v>
      </c>
      <c r="AN678">
        <f t="shared" si="41"/>
        <v>0</v>
      </c>
    </row>
    <row r="679" spans="1:40" x14ac:dyDescent="0.35">
      <c r="A679">
        <v>58.372700000000002</v>
      </c>
      <c r="B679">
        <v>85.138999999999996</v>
      </c>
      <c r="C679">
        <v>8.25258</v>
      </c>
      <c r="D679">
        <v>0.03</v>
      </c>
      <c r="E679">
        <v>0</v>
      </c>
      <c r="F679">
        <v>2.4489800000000002</v>
      </c>
      <c r="G679">
        <v>2.7513800000000002</v>
      </c>
      <c r="H679">
        <v>0</v>
      </c>
      <c r="I679">
        <v>0.45885700000000001</v>
      </c>
      <c r="J679">
        <v>5.3222399999999999</v>
      </c>
      <c r="K679" s="2">
        <v>91128100</v>
      </c>
      <c r="L679" s="1">
        <v>0</v>
      </c>
      <c r="M679" s="1">
        <v>0</v>
      </c>
      <c r="N679" s="1">
        <v>0</v>
      </c>
      <c r="O679" s="1">
        <v>0</v>
      </c>
      <c r="P679" s="2">
        <v>3661160</v>
      </c>
      <c r="Q679" s="1">
        <v>-125691</v>
      </c>
      <c r="R679" s="1">
        <v>408539</v>
      </c>
      <c r="S679">
        <v>97.188900000000004</v>
      </c>
      <c r="T679">
        <v>98.274000000000001</v>
      </c>
      <c r="U679">
        <v>7.9580599999999997</v>
      </c>
      <c r="V679">
        <v>0</v>
      </c>
      <c r="W679">
        <v>0</v>
      </c>
      <c r="X679">
        <v>1.8968100000000001</v>
      </c>
      <c r="Y679">
        <v>1.5944100000000001</v>
      </c>
      <c r="Z679">
        <v>0</v>
      </c>
      <c r="AA679">
        <v>1.4652799999999999</v>
      </c>
      <c r="AB679">
        <v>2.9635199999999999</v>
      </c>
      <c r="AC679" s="2">
        <v>292578000</v>
      </c>
      <c r="AD679" s="1">
        <v>0</v>
      </c>
      <c r="AE679" s="1">
        <v>0</v>
      </c>
      <c r="AF679" s="1">
        <v>0</v>
      </c>
      <c r="AG679" s="1">
        <v>0</v>
      </c>
      <c r="AH679" s="2">
        <v>4907500</v>
      </c>
      <c r="AI679" s="1">
        <v>916844</v>
      </c>
      <c r="AJ679" s="1">
        <v>0</v>
      </c>
      <c r="AK679" s="8">
        <f t="shared" si="43"/>
        <v>2</v>
      </c>
      <c r="AL679" s="8">
        <f t="shared" si="42"/>
        <v>14</v>
      </c>
      <c r="AM679">
        <f t="shared" si="40"/>
        <v>0</v>
      </c>
      <c r="AN679">
        <f t="shared" si="41"/>
        <v>0</v>
      </c>
    </row>
    <row r="680" spans="1:40" x14ac:dyDescent="0.35">
      <c r="A680">
        <v>64.028000000000006</v>
      </c>
      <c r="B680">
        <v>85.138999999999996</v>
      </c>
      <c r="C680">
        <v>8.8220899999999993</v>
      </c>
      <c r="D680">
        <v>0.03</v>
      </c>
      <c r="E680">
        <v>0</v>
      </c>
      <c r="F680">
        <v>2.5356200000000002</v>
      </c>
      <c r="G680">
        <v>2.8380200000000002</v>
      </c>
      <c r="H680">
        <v>0</v>
      </c>
      <c r="I680">
        <v>0.45893899999999999</v>
      </c>
      <c r="J680">
        <v>5.3222399999999999</v>
      </c>
      <c r="K680" s="2">
        <v>91011300</v>
      </c>
      <c r="L680" s="1">
        <v>0</v>
      </c>
      <c r="M680" s="1">
        <v>0</v>
      </c>
      <c r="N680" s="1">
        <v>0</v>
      </c>
      <c r="O680" s="2">
        <v>29016000</v>
      </c>
      <c r="P680" s="2">
        <v>3790690</v>
      </c>
      <c r="Q680" s="1">
        <v>-116785</v>
      </c>
      <c r="R680" s="1">
        <v>408539</v>
      </c>
      <c r="S680">
        <v>99.302199999999999</v>
      </c>
      <c r="T680">
        <v>98.274000000000001</v>
      </c>
      <c r="U680">
        <v>7.8887299999999998</v>
      </c>
      <c r="V680">
        <v>0</v>
      </c>
      <c r="W680">
        <v>0</v>
      </c>
      <c r="X680">
        <v>1.94862</v>
      </c>
      <c r="Y680">
        <v>1.64622</v>
      </c>
      <c r="Z680">
        <v>0</v>
      </c>
      <c r="AA680">
        <v>1.4654799999999999</v>
      </c>
      <c r="AB680">
        <v>2.9635199999999999</v>
      </c>
      <c r="AC680" s="2">
        <v>293499000</v>
      </c>
      <c r="AD680" s="1">
        <v>0</v>
      </c>
      <c r="AE680" s="1">
        <v>0</v>
      </c>
      <c r="AF680" s="1">
        <v>0</v>
      </c>
      <c r="AG680" s="2">
        <v>7883220</v>
      </c>
      <c r="AH680" s="2">
        <v>5041550</v>
      </c>
      <c r="AI680" s="1">
        <v>921213</v>
      </c>
      <c r="AJ680" s="1">
        <v>0</v>
      </c>
      <c r="AK680" s="8">
        <f t="shared" si="43"/>
        <v>3</v>
      </c>
      <c r="AL680" s="8">
        <f t="shared" si="42"/>
        <v>14</v>
      </c>
      <c r="AM680">
        <f t="shared" si="40"/>
        <v>0</v>
      </c>
      <c r="AN680">
        <f t="shared" si="41"/>
        <v>0</v>
      </c>
    </row>
    <row r="681" spans="1:40" x14ac:dyDescent="0.35">
      <c r="A681">
        <v>67.816000000000003</v>
      </c>
      <c r="B681">
        <v>85.138999999999996</v>
      </c>
      <c r="C681">
        <v>6.8606600000000002</v>
      </c>
      <c r="D681">
        <v>0.01</v>
      </c>
      <c r="E681">
        <v>0</v>
      </c>
      <c r="F681">
        <v>2.5360499999999999</v>
      </c>
      <c r="G681">
        <v>2.8384499999999999</v>
      </c>
      <c r="H681">
        <v>0</v>
      </c>
      <c r="I681">
        <v>0.47517500000000001</v>
      </c>
      <c r="J681">
        <v>5.3222399999999999</v>
      </c>
      <c r="K681" s="2">
        <v>90894600</v>
      </c>
      <c r="L681" s="1">
        <v>0</v>
      </c>
      <c r="M681" s="1">
        <v>0</v>
      </c>
      <c r="N681" s="1">
        <v>0</v>
      </c>
      <c r="O681" s="1">
        <v>0</v>
      </c>
      <c r="P681" s="2">
        <v>3791340</v>
      </c>
      <c r="Q681" s="1">
        <v>-116740</v>
      </c>
      <c r="R681" s="1">
        <v>408539</v>
      </c>
      <c r="S681">
        <v>99.302199999999999</v>
      </c>
      <c r="T681">
        <v>98.274000000000001</v>
      </c>
      <c r="U681">
        <v>7.40524</v>
      </c>
      <c r="V681">
        <v>0</v>
      </c>
      <c r="W681">
        <v>0</v>
      </c>
      <c r="X681">
        <v>1.9488700000000001</v>
      </c>
      <c r="Y681">
        <v>1.6464700000000001</v>
      </c>
      <c r="Z681">
        <v>0</v>
      </c>
      <c r="AA681">
        <v>1.5055099999999999</v>
      </c>
      <c r="AB681">
        <v>2.9635199999999999</v>
      </c>
      <c r="AC681" s="2">
        <v>294421000</v>
      </c>
      <c r="AD681" s="1">
        <v>0</v>
      </c>
      <c r="AE681" s="1">
        <v>0</v>
      </c>
      <c r="AF681" s="1">
        <v>0</v>
      </c>
      <c r="AG681" s="1">
        <v>0</v>
      </c>
      <c r="AH681" s="2">
        <v>5042200</v>
      </c>
      <c r="AI681" s="1">
        <v>921235</v>
      </c>
      <c r="AJ681" s="1">
        <v>0</v>
      </c>
      <c r="AK681" s="8">
        <f t="shared" si="43"/>
        <v>4</v>
      </c>
      <c r="AL681" s="8">
        <f t="shared" si="42"/>
        <v>14</v>
      </c>
      <c r="AM681">
        <f t="shared" si="40"/>
        <v>0</v>
      </c>
      <c r="AN681">
        <f t="shared" si="41"/>
        <v>0</v>
      </c>
    </row>
    <row r="682" spans="1:40" x14ac:dyDescent="0.35">
      <c r="A682">
        <v>70.081900000000005</v>
      </c>
      <c r="B682">
        <v>85.138999999999996</v>
      </c>
      <c r="C682">
        <v>5.5299699999999996</v>
      </c>
      <c r="D682">
        <v>0</v>
      </c>
      <c r="E682">
        <v>0</v>
      </c>
      <c r="F682">
        <v>2.8388900000000001</v>
      </c>
      <c r="G682">
        <v>2.8388900000000001</v>
      </c>
      <c r="H682">
        <v>0</v>
      </c>
      <c r="I682">
        <v>0.47525699999999999</v>
      </c>
      <c r="J682">
        <v>5.3222399999999999</v>
      </c>
      <c r="K682" s="2">
        <v>91186400</v>
      </c>
      <c r="L682" s="1">
        <v>0</v>
      </c>
      <c r="M682" s="1">
        <v>0</v>
      </c>
      <c r="N682" s="1">
        <v>0</v>
      </c>
      <c r="O682" s="1">
        <v>0</v>
      </c>
      <c r="P682" s="2">
        <v>4244070</v>
      </c>
      <c r="Q682" s="1">
        <v>291843</v>
      </c>
      <c r="R682" s="1">
        <v>0</v>
      </c>
      <c r="S682">
        <v>99.302199999999999</v>
      </c>
      <c r="T682">
        <v>98.274000000000001</v>
      </c>
      <c r="U682">
        <v>5.8762800000000004</v>
      </c>
      <c r="V682">
        <v>0</v>
      </c>
      <c r="W682">
        <v>0</v>
      </c>
      <c r="X682">
        <v>1.64673</v>
      </c>
      <c r="Y682">
        <v>1.64673</v>
      </c>
      <c r="Z682">
        <v>0</v>
      </c>
      <c r="AA682">
        <v>1.5057</v>
      </c>
      <c r="AB682">
        <v>2.9635199999999999</v>
      </c>
      <c r="AC682" s="2">
        <v>294560000</v>
      </c>
      <c r="AD682" s="1">
        <v>0</v>
      </c>
      <c r="AE682" s="1">
        <v>0</v>
      </c>
      <c r="AF682" s="1">
        <v>0</v>
      </c>
      <c r="AG682" s="1">
        <v>0</v>
      </c>
      <c r="AH682" s="2">
        <v>4260470</v>
      </c>
      <c r="AI682" s="1">
        <v>138875</v>
      </c>
      <c r="AJ682" s="1">
        <v>0</v>
      </c>
      <c r="AK682" s="8">
        <f t="shared" si="43"/>
        <v>5</v>
      </c>
      <c r="AL682" s="8">
        <f t="shared" si="42"/>
        <v>14</v>
      </c>
      <c r="AM682">
        <f t="shared" si="40"/>
        <v>0</v>
      </c>
      <c r="AN682">
        <f t="shared" si="41"/>
        <v>0</v>
      </c>
    </row>
    <row r="683" spans="1:40" x14ac:dyDescent="0.35">
      <c r="A683">
        <v>73.381399999999999</v>
      </c>
      <c r="B683">
        <v>85.138999999999996</v>
      </c>
      <c r="C683">
        <v>6.6897700000000002</v>
      </c>
      <c r="D683">
        <v>0</v>
      </c>
      <c r="E683">
        <v>0</v>
      </c>
      <c r="F683">
        <v>2.8393199999999998</v>
      </c>
      <c r="G683">
        <v>2.8393199999999998</v>
      </c>
      <c r="H683">
        <v>0</v>
      </c>
      <c r="I683">
        <v>0.53200800000000004</v>
      </c>
      <c r="J683">
        <v>5.3222399999999999</v>
      </c>
      <c r="K683" s="2">
        <v>91478300</v>
      </c>
      <c r="L683" s="1">
        <v>0</v>
      </c>
      <c r="M683" s="1">
        <v>0</v>
      </c>
      <c r="N683" s="1">
        <v>0</v>
      </c>
      <c r="O683" s="1">
        <v>0</v>
      </c>
      <c r="P683" s="2">
        <v>4244720</v>
      </c>
      <c r="Q683" s="1">
        <v>291888</v>
      </c>
      <c r="R683" s="1">
        <v>0</v>
      </c>
      <c r="S683">
        <v>99.302199999999999</v>
      </c>
      <c r="T683">
        <v>98.274000000000001</v>
      </c>
      <c r="U683">
        <v>5.7607299999999997</v>
      </c>
      <c r="V683">
        <v>0</v>
      </c>
      <c r="W683">
        <v>0</v>
      </c>
      <c r="X683">
        <v>1.6469800000000001</v>
      </c>
      <c r="Y683">
        <v>1.6469800000000001</v>
      </c>
      <c r="Z683">
        <v>0</v>
      </c>
      <c r="AA683">
        <v>1.2722599999999999</v>
      </c>
      <c r="AB683">
        <v>2.9635199999999999</v>
      </c>
      <c r="AC683" s="2">
        <v>294698000</v>
      </c>
      <c r="AD683" s="1">
        <v>0</v>
      </c>
      <c r="AE683" s="1">
        <v>0</v>
      </c>
      <c r="AF683" s="1">
        <v>0</v>
      </c>
      <c r="AG683" s="1">
        <v>0</v>
      </c>
      <c r="AH683" s="2">
        <v>4261120</v>
      </c>
      <c r="AI683" s="1">
        <v>138896</v>
      </c>
      <c r="AJ683" s="1">
        <v>0</v>
      </c>
      <c r="AK683" s="8">
        <f t="shared" si="43"/>
        <v>6</v>
      </c>
      <c r="AL683" s="8">
        <f t="shared" si="42"/>
        <v>14</v>
      </c>
      <c r="AM683">
        <f t="shared" si="40"/>
        <v>0</v>
      </c>
      <c r="AN683">
        <f t="shared" si="41"/>
        <v>0</v>
      </c>
    </row>
    <row r="684" spans="1:40" x14ac:dyDescent="0.35">
      <c r="A684">
        <v>79.392600000000002</v>
      </c>
      <c r="B684">
        <v>85.138999999999996</v>
      </c>
      <c r="C684">
        <v>9.7676499999999997</v>
      </c>
      <c r="D684">
        <v>0</v>
      </c>
      <c r="E684">
        <v>0</v>
      </c>
      <c r="F684">
        <v>3.1167400000000001</v>
      </c>
      <c r="G684">
        <v>3.1167400000000001</v>
      </c>
      <c r="H684">
        <v>0</v>
      </c>
      <c r="I684">
        <v>0.53208900000000003</v>
      </c>
      <c r="J684">
        <v>5.3222399999999999</v>
      </c>
      <c r="K684" s="2">
        <v>91798700</v>
      </c>
      <c r="L684" s="1">
        <v>0</v>
      </c>
      <c r="M684" s="1">
        <v>0</v>
      </c>
      <c r="N684" s="1">
        <v>0</v>
      </c>
      <c r="O684" s="1">
        <v>0</v>
      </c>
      <c r="P684" s="2">
        <v>4659450</v>
      </c>
      <c r="Q684" s="1">
        <v>320407</v>
      </c>
      <c r="R684" s="1">
        <v>0</v>
      </c>
      <c r="S684">
        <v>99.302199999999999</v>
      </c>
      <c r="T684">
        <v>98.274000000000001</v>
      </c>
      <c r="U684">
        <v>7.8943300000000001</v>
      </c>
      <c r="V684">
        <v>0</v>
      </c>
      <c r="W684">
        <v>0</v>
      </c>
      <c r="X684">
        <v>1.84091</v>
      </c>
      <c r="Y684">
        <v>1.84091</v>
      </c>
      <c r="Z684">
        <v>0</v>
      </c>
      <c r="AA684">
        <v>1.2724599999999999</v>
      </c>
      <c r="AB684">
        <v>2.9635199999999999</v>
      </c>
      <c r="AC684" s="2">
        <v>294854000</v>
      </c>
      <c r="AD684" s="1">
        <v>0</v>
      </c>
      <c r="AE684" s="1">
        <v>0</v>
      </c>
      <c r="AF684" s="1">
        <v>0</v>
      </c>
      <c r="AG684" s="1">
        <v>0</v>
      </c>
      <c r="AH684" s="2">
        <v>4762870</v>
      </c>
      <c r="AI684" s="1">
        <v>155251</v>
      </c>
      <c r="AJ684" s="1">
        <v>0</v>
      </c>
      <c r="AK684" s="8">
        <f t="shared" si="43"/>
        <v>7</v>
      </c>
      <c r="AL684" s="8">
        <f t="shared" si="42"/>
        <v>14</v>
      </c>
      <c r="AM684">
        <f t="shared" si="40"/>
        <v>0</v>
      </c>
      <c r="AN684">
        <f t="shared" si="41"/>
        <v>0</v>
      </c>
    </row>
    <row r="685" spans="1:40" x14ac:dyDescent="0.35">
      <c r="A685">
        <v>85.138999999999996</v>
      </c>
      <c r="B685">
        <v>85.138999999999996</v>
      </c>
      <c r="C685">
        <v>12.572100000000001</v>
      </c>
      <c r="D685">
        <v>0</v>
      </c>
      <c r="E685">
        <v>0</v>
      </c>
      <c r="F685">
        <v>3.1172200000000001</v>
      </c>
      <c r="G685">
        <v>3.1172200000000001</v>
      </c>
      <c r="H685">
        <v>0</v>
      </c>
      <c r="I685">
        <v>0.58407699999999996</v>
      </c>
      <c r="J685">
        <v>5.3222399999999999</v>
      </c>
      <c r="K685" s="2">
        <v>92119200</v>
      </c>
      <c r="L685" s="1">
        <v>0</v>
      </c>
      <c r="M685" s="1">
        <v>0</v>
      </c>
      <c r="N685" s="1">
        <v>0</v>
      </c>
      <c r="O685" s="1">
        <v>0</v>
      </c>
      <c r="P685" s="2">
        <v>4660160</v>
      </c>
      <c r="Q685" s="1">
        <v>320456</v>
      </c>
      <c r="R685" s="1">
        <v>0</v>
      </c>
      <c r="S685">
        <v>99.302199999999999</v>
      </c>
      <c r="T685">
        <v>98.274000000000001</v>
      </c>
      <c r="U685">
        <v>10.6259</v>
      </c>
      <c r="V685">
        <v>0</v>
      </c>
      <c r="W685">
        <v>0</v>
      </c>
      <c r="X685">
        <v>1.8411900000000001</v>
      </c>
      <c r="Y685">
        <v>1.8411900000000001</v>
      </c>
      <c r="Z685">
        <v>0</v>
      </c>
      <c r="AA685">
        <v>1.4222900000000001</v>
      </c>
      <c r="AB685">
        <v>2.9635199999999999</v>
      </c>
      <c r="AC685" s="2">
        <v>295009000</v>
      </c>
      <c r="AD685" s="1">
        <v>0</v>
      </c>
      <c r="AE685" s="1">
        <v>0</v>
      </c>
      <c r="AF685" s="1">
        <v>0</v>
      </c>
      <c r="AG685" s="1">
        <v>0</v>
      </c>
      <c r="AH685" s="2">
        <v>4763600</v>
      </c>
      <c r="AI685" s="1">
        <v>155275</v>
      </c>
      <c r="AJ685" s="1">
        <v>0</v>
      </c>
      <c r="AK685" s="8">
        <f t="shared" si="43"/>
        <v>8</v>
      </c>
      <c r="AL685" s="8">
        <f t="shared" si="42"/>
        <v>14</v>
      </c>
      <c r="AM685">
        <f t="shared" si="40"/>
        <v>0</v>
      </c>
      <c r="AN685">
        <f t="shared" si="41"/>
        <v>0</v>
      </c>
    </row>
    <row r="686" spans="1:40" x14ac:dyDescent="0.35">
      <c r="A686">
        <v>85.138999999999996</v>
      </c>
      <c r="B686">
        <v>85.138999999999996</v>
      </c>
      <c r="C686">
        <v>6.5665199999999997</v>
      </c>
      <c r="D686">
        <v>0</v>
      </c>
      <c r="E686">
        <v>0</v>
      </c>
      <c r="F686">
        <v>3.1176900000000001</v>
      </c>
      <c r="G686">
        <v>3.1176900000000001</v>
      </c>
      <c r="H686">
        <v>0</v>
      </c>
      <c r="I686">
        <v>0.58416699999999999</v>
      </c>
      <c r="J686">
        <v>5.3222399999999999</v>
      </c>
      <c r="K686" s="2">
        <v>92439700</v>
      </c>
      <c r="L686" s="1">
        <v>0</v>
      </c>
      <c r="M686" s="1">
        <v>0</v>
      </c>
      <c r="N686" s="1">
        <v>0</v>
      </c>
      <c r="O686" s="1">
        <v>0</v>
      </c>
      <c r="P686" s="2">
        <v>4660870</v>
      </c>
      <c r="Q686" s="1">
        <v>320505</v>
      </c>
      <c r="R686" s="1">
        <v>0</v>
      </c>
      <c r="S686">
        <v>99.302199999999999</v>
      </c>
      <c r="T686">
        <v>98.274000000000001</v>
      </c>
      <c r="U686">
        <v>5.8905500000000002</v>
      </c>
      <c r="V686">
        <v>0</v>
      </c>
      <c r="W686">
        <v>0</v>
      </c>
      <c r="X686">
        <v>1.8414699999999999</v>
      </c>
      <c r="Y686">
        <v>1.8414699999999999</v>
      </c>
      <c r="Z686">
        <v>0</v>
      </c>
      <c r="AA686">
        <v>1.4225000000000001</v>
      </c>
      <c r="AB686">
        <v>2.9635199999999999</v>
      </c>
      <c r="AC686" s="2">
        <v>295164000</v>
      </c>
      <c r="AD686" s="1">
        <v>0</v>
      </c>
      <c r="AE686" s="1">
        <v>0</v>
      </c>
      <c r="AF686" s="1">
        <v>0</v>
      </c>
      <c r="AG686" s="1">
        <v>0</v>
      </c>
      <c r="AH686" s="2">
        <v>4764330</v>
      </c>
      <c r="AI686" s="1">
        <v>155299</v>
      </c>
      <c r="AJ686" s="1">
        <v>0</v>
      </c>
      <c r="AK686" s="8">
        <f t="shared" si="43"/>
        <v>9</v>
      </c>
      <c r="AL686" s="8">
        <f t="shared" si="42"/>
        <v>14</v>
      </c>
      <c r="AM686">
        <f t="shared" si="40"/>
        <v>0</v>
      </c>
      <c r="AN686">
        <f t="shared" si="41"/>
        <v>0</v>
      </c>
    </row>
    <row r="687" spans="1:40" x14ac:dyDescent="0.35">
      <c r="A687">
        <v>85.138999999999996</v>
      </c>
      <c r="B687">
        <v>85.138999999999996</v>
      </c>
      <c r="C687">
        <v>5.1368900000000002</v>
      </c>
      <c r="D687">
        <v>0</v>
      </c>
      <c r="E687">
        <v>0</v>
      </c>
      <c r="F687">
        <v>3.1181700000000001</v>
      </c>
      <c r="G687">
        <v>3.1181700000000001</v>
      </c>
      <c r="H687">
        <v>0</v>
      </c>
      <c r="I687">
        <v>0.584256</v>
      </c>
      <c r="J687">
        <v>5.3222399999999999</v>
      </c>
      <c r="K687" s="2">
        <v>92760300</v>
      </c>
      <c r="L687" s="1">
        <v>0</v>
      </c>
      <c r="M687" s="1">
        <v>0</v>
      </c>
      <c r="N687" s="1">
        <v>0</v>
      </c>
      <c r="O687" s="1">
        <v>0</v>
      </c>
      <c r="P687" s="2">
        <v>4661590</v>
      </c>
      <c r="Q687" s="1">
        <v>320554</v>
      </c>
      <c r="R687" s="1">
        <v>0</v>
      </c>
      <c r="S687">
        <v>99.302199999999999</v>
      </c>
      <c r="T687">
        <v>98.274000000000001</v>
      </c>
      <c r="U687">
        <v>5.0456300000000001</v>
      </c>
      <c r="V687">
        <v>0</v>
      </c>
      <c r="W687">
        <v>0</v>
      </c>
      <c r="X687">
        <v>1.84175</v>
      </c>
      <c r="Y687">
        <v>1.84175</v>
      </c>
      <c r="Z687">
        <v>0</v>
      </c>
      <c r="AA687">
        <v>1.42272</v>
      </c>
      <c r="AB687">
        <v>2.9635199999999999</v>
      </c>
      <c r="AC687" s="2">
        <v>295320000</v>
      </c>
      <c r="AD687" s="1">
        <v>0</v>
      </c>
      <c r="AE687" s="1">
        <v>0</v>
      </c>
      <c r="AF687" s="1">
        <v>0</v>
      </c>
      <c r="AG687" s="1">
        <v>0</v>
      </c>
      <c r="AH687" s="2">
        <v>4765060</v>
      </c>
      <c r="AI687" s="1">
        <v>155322</v>
      </c>
      <c r="AJ687" s="1">
        <v>0</v>
      </c>
      <c r="AK687" s="8">
        <f t="shared" si="43"/>
        <v>10</v>
      </c>
      <c r="AL687" s="8">
        <f t="shared" si="42"/>
        <v>14</v>
      </c>
      <c r="AM687">
        <f t="shared" si="40"/>
        <v>0</v>
      </c>
      <c r="AN687">
        <f t="shared" si="41"/>
        <v>0</v>
      </c>
    </row>
    <row r="688" spans="1:40" x14ac:dyDescent="0.35">
      <c r="A688">
        <v>85.138999999999996</v>
      </c>
      <c r="B688">
        <v>85.138999999999996</v>
      </c>
      <c r="C688">
        <v>6.1143400000000003</v>
      </c>
      <c r="D688">
        <v>0</v>
      </c>
      <c r="E688">
        <v>0</v>
      </c>
      <c r="F688">
        <v>2.7233399999999999</v>
      </c>
      <c r="G688">
        <v>2.7233399999999999</v>
      </c>
      <c r="H688">
        <v>0</v>
      </c>
      <c r="I688">
        <v>0.584345</v>
      </c>
      <c r="J688">
        <v>5.3222399999999999</v>
      </c>
      <c r="K688" s="2">
        <v>93040200</v>
      </c>
      <c r="L688" s="1">
        <v>0</v>
      </c>
      <c r="M688" s="1">
        <v>0</v>
      </c>
      <c r="N688" s="1">
        <v>0</v>
      </c>
      <c r="O688" s="1">
        <v>0</v>
      </c>
      <c r="P688" s="2">
        <v>4071320</v>
      </c>
      <c r="Q688" s="1">
        <v>279965</v>
      </c>
      <c r="R688" s="1">
        <v>0</v>
      </c>
      <c r="S688">
        <v>99.302199999999999</v>
      </c>
      <c r="T688">
        <v>98.274000000000001</v>
      </c>
      <c r="U688">
        <v>6.6823399999999999</v>
      </c>
      <c r="V688">
        <v>0</v>
      </c>
      <c r="W688">
        <v>0</v>
      </c>
      <c r="X688">
        <v>1.58196</v>
      </c>
      <c r="Y688">
        <v>1.58196</v>
      </c>
      <c r="Z688">
        <v>0</v>
      </c>
      <c r="AA688">
        <v>1.4229400000000001</v>
      </c>
      <c r="AB688">
        <v>2.9635199999999999</v>
      </c>
      <c r="AC688" s="2">
        <v>295453000</v>
      </c>
      <c r="AD688" s="1">
        <v>0</v>
      </c>
      <c r="AE688" s="1">
        <v>0</v>
      </c>
      <c r="AF688" s="1">
        <v>0</v>
      </c>
      <c r="AG688" s="1">
        <v>0</v>
      </c>
      <c r="AH688" s="2">
        <v>4092900</v>
      </c>
      <c r="AI688" s="1">
        <v>133413</v>
      </c>
      <c r="AJ688" s="1">
        <v>0</v>
      </c>
      <c r="AK688" s="8">
        <f t="shared" si="43"/>
        <v>11</v>
      </c>
      <c r="AL688" s="8">
        <f t="shared" si="42"/>
        <v>14</v>
      </c>
      <c r="AM688">
        <f t="shared" si="40"/>
        <v>0</v>
      </c>
      <c r="AN688">
        <f t="shared" si="41"/>
        <v>0</v>
      </c>
    </row>
    <row r="689" spans="1:40" x14ac:dyDescent="0.35">
      <c r="A689">
        <v>85.138999999999996</v>
      </c>
      <c r="B689">
        <v>85.138999999999996</v>
      </c>
      <c r="C689">
        <v>6.5587400000000002</v>
      </c>
      <c r="D689">
        <v>0</v>
      </c>
      <c r="E689">
        <v>0</v>
      </c>
      <c r="F689">
        <v>2.72376</v>
      </c>
      <c r="G689">
        <v>2.72376</v>
      </c>
      <c r="H689">
        <v>0</v>
      </c>
      <c r="I689">
        <v>0.51035399999999997</v>
      </c>
      <c r="J689">
        <v>5.3222399999999999</v>
      </c>
      <c r="K689" s="2">
        <v>93320200</v>
      </c>
      <c r="L689" s="1">
        <v>0</v>
      </c>
      <c r="M689" s="1">
        <v>0</v>
      </c>
      <c r="N689" s="1">
        <v>0</v>
      </c>
      <c r="O689" s="1">
        <v>0</v>
      </c>
      <c r="P689" s="2">
        <v>4071950</v>
      </c>
      <c r="Q689" s="1">
        <v>280007</v>
      </c>
      <c r="R689" s="1">
        <v>0</v>
      </c>
      <c r="S689">
        <v>99.302199999999999</v>
      </c>
      <c r="T689">
        <v>98.274000000000001</v>
      </c>
      <c r="U689">
        <v>6.0403799999999999</v>
      </c>
      <c r="V689">
        <v>0</v>
      </c>
      <c r="W689">
        <v>0</v>
      </c>
      <c r="X689">
        <v>1.5822000000000001</v>
      </c>
      <c r="Y689">
        <v>1.5822000000000001</v>
      </c>
      <c r="Z689">
        <v>0</v>
      </c>
      <c r="AA689">
        <v>1.2222200000000001</v>
      </c>
      <c r="AB689">
        <v>2.9635199999999999</v>
      </c>
      <c r="AC689" s="2">
        <v>295586000</v>
      </c>
      <c r="AD689" s="1">
        <v>0</v>
      </c>
      <c r="AE689" s="1">
        <v>0</v>
      </c>
      <c r="AF689" s="1">
        <v>0</v>
      </c>
      <c r="AG689" s="1">
        <v>0</v>
      </c>
      <c r="AH689" s="2">
        <v>4093530</v>
      </c>
      <c r="AI689" s="1">
        <v>133433</v>
      </c>
      <c r="AJ689" s="1">
        <v>0</v>
      </c>
      <c r="AK689" s="8">
        <f t="shared" si="43"/>
        <v>12</v>
      </c>
      <c r="AL689" s="8">
        <f t="shared" si="42"/>
        <v>14</v>
      </c>
      <c r="AM689">
        <f t="shared" si="40"/>
        <v>0</v>
      </c>
      <c r="AN689">
        <f t="shared" si="41"/>
        <v>0</v>
      </c>
    </row>
    <row r="690" spans="1:40" x14ac:dyDescent="0.35">
      <c r="A690">
        <v>85.138999999999996</v>
      </c>
      <c r="B690">
        <v>85.138999999999996</v>
      </c>
      <c r="C690">
        <v>7.0769200000000003</v>
      </c>
      <c r="D690">
        <v>0</v>
      </c>
      <c r="E690">
        <v>0</v>
      </c>
      <c r="F690">
        <v>2.72417</v>
      </c>
      <c r="G690">
        <v>2.72417</v>
      </c>
      <c r="H690">
        <v>0</v>
      </c>
      <c r="I690">
        <v>0.510432</v>
      </c>
      <c r="J690">
        <v>5.3222399999999999</v>
      </c>
      <c r="K690" s="2">
        <v>93600300</v>
      </c>
      <c r="L690" s="1">
        <v>0</v>
      </c>
      <c r="M690" s="1">
        <v>0</v>
      </c>
      <c r="N690" s="1">
        <v>0</v>
      </c>
      <c r="O690" s="1">
        <v>0</v>
      </c>
      <c r="P690" s="2">
        <v>4072570</v>
      </c>
      <c r="Q690" s="1">
        <v>280050</v>
      </c>
      <c r="R690" s="1">
        <v>0</v>
      </c>
      <c r="S690">
        <v>99.302199999999999</v>
      </c>
      <c r="T690">
        <v>98.274000000000001</v>
      </c>
      <c r="U690">
        <v>5.4110199999999997</v>
      </c>
      <c r="V690">
        <v>0</v>
      </c>
      <c r="W690">
        <v>0</v>
      </c>
      <c r="X690">
        <v>1.5824400000000001</v>
      </c>
      <c r="Y690">
        <v>1.5824400000000001</v>
      </c>
      <c r="Z690">
        <v>0</v>
      </c>
      <c r="AA690">
        <v>1.22241</v>
      </c>
      <c r="AB690">
        <v>2.9635199999999999</v>
      </c>
      <c r="AC690" s="2">
        <v>295720000</v>
      </c>
      <c r="AD690" s="1">
        <v>0</v>
      </c>
      <c r="AE690" s="1">
        <v>0</v>
      </c>
      <c r="AF690" s="1">
        <v>0</v>
      </c>
      <c r="AG690" s="1">
        <v>0</v>
      </c>
      <c r="AH690" s="2">
        <v>4094150</v>
      </c>
      <c r="AI690" s="1">
        <v>133454</v>
      </c>
      <c r="AJ690" s="1">
        <v>0</v>
      </c>
      <c r="AK690" s="8">
        <f t="shared" si="43"/>
        <v>13</v>
      </c>
      <c r="AL690" s="8">
        <f t="shared" si="42"/>
        <v>14</v>
      </c>
      <c r="AM690">
        <f t="shared" si="40"/>
        <v>0</v>
      </c>
      <c r="AN690">
        <f t="shared" si="41"/>
        <v>0</v>
      </c>
    </row>
    <row r="691" spans="1:40" x14ac:dyDescent="0.35">
      <c r="A691">
        <v>85.138999999999996</v>
      </c>
      <c r="B691">
        <v>85.138999999999996</v>
      </c>
      <c r="C691">
        <v>8.9695800000000006</v>
      </c>
      <c r="D691">
        <v>0</v>
      </c>
      <c r="E691">
        <v>0</v>
      </c>
      <c r="F691">
        <v>2.7245900000000001</v>
      </c>
      <c r="G691">
        <v>2.7245900000000001</v>
      </c>
      <c r="H691">
        <v>0</v>
      </c>
      <c r="I691">
        <v>0.51051000000000002</v>
      </c>
      <c r="J691">
        <v>5.3222399999999999</v>
      </c>
      <c r="K691" s="2">
        <v>93880400</v>
      </c>
      <c r="L691" s="1">
        <v>0</v>
      </c>
      <c r="M691" s="1">
        <v>0</v>
      </c>
      <c r="N691" s="1">
        <v>0</v>
      </c>
      <c r="O691" s="1">
        <v>0</v>
      </c>
      <c r="P691" s="2">
        <v>4073190</v>
      </c>
      <c r="Q691" s="1">
        <v>280093</v>
      </c>
      <c r="R691" s="1">
        <v>0</v>
      </c>
      <c r="S691">
        <v>99.302199999999999</v>
      </c>
      <c r="T691">
        <v>98.274000000000001</v>
      </c>
      <c r="U691">
        <v>6.9771599999999996</v>
      </c>
      <c r="V691">
        <v>0</v>
      </c>
      <c r="W691">
        <v>0</v>
      </c>
      <c r="X691">
        <v>1.5826800000000001</v>
      </c>
      <c r="Y691">
        <v>1.5826800000000001</v>
      </c>
      <c r="Z691">
        <v>0</v>
      </c>
      <c r="AA691">
        <v>1.2225900000000001</v>
      </c>
      <c r="AB691">
        <v>2.9635199999999999</v>
      </c>
      <c r="AC691" s="2">
        <v>295853000</v>
      </c>
      <c r="AD691" s="1">
        <v>0</v>
      </c>
      <c r="AE691" s="1">
        <v>0</v>
      </c>
      <c r="AF691" s="1">
        <v>0</v>
      </c>
      <c r="AG691" s="1">
        <v>0</v>
      </c>
      <c r="AH691" s="2">
        <v>4094780</v>
      </c>
      <c r="AI691" s="1">
        <v>133474</v>
      </c>
      <c r="AJ691" s="1">
        <v>0</v>
      </c>
      <c r="AK691" s="8">
        <f t="shared" si="43"/>
        <v>14</v>
      </c>
      <c r="AL691" s="8">
        <f t="shared" si="42"/>
        <v>14</v>
      </c>
      <c r="AM691">
        <f t="shared" si="40"/>
        <v>0</v>
      </c>
      <c r="AN691">
        <f t="shared" si="41"/>
        <v>0</v>
      </c>
    </row>
    <row r="692" spans="1:40" x14ac:dyDescent="0.35">
      <c r="A692">
        <v>85.138999999999996</v>
      </c>
      <c r="B692">
        <v>85.138999999999996</v>
      </c>
      <c r="C692">
        <v>9.5841499999999993</v>
      </c>
      <c r="D692">
        <v>0</v>
      </c>
      <c r="E692">
        <v>0</v>
      </c>
      <c r="F692">
        <v>2.7250100000000002</v>
      </c>
      <c r="G692">
        <v>2.7250100000000002</v>
      </c>
      <c r="H692">
        <v>0</v>
      </c>
      <c r="I692">
        <v>0.51058800000000004</v>
      </c>
      <c r="J692">
        <v>5.3222399999999999</v>
      </c>
      <c r="K692" s="2">
        <v>94160500</v>
      </c>
      <c r="L692" s="1">
        <v>0</v>
      </c>
      <c r="M692" s="1">
        <v>0</v>
      </c>
      <c r="N692" s="1">
        <v>0</v>
      </c>
      <c r="O692" s="1">
        <v>0</v>
      </c>
      <c r="P692" s="2">
        <v>4073820</v>
      </c>
      <c r="Q692" s="1">
        <v>280136</v>
      </c>
      <c r="R692" s="1">
        <v>0</v>
      </c>
      <c r="S692">
        <v>99.302199999999999</v>
      </c>
      <c r="T692">
        <v>98.274000000000001</v>
      </c>
      <c r="U692">
        <v>8.5184899999999999</v>
      </c>
      <c r="V692">
        <v>0</v>
      </c>
      <c r="W692">
        <v>0</v>
      </c>
      <c r="X692">
        <v>1.5829299999999999</v>
      </c>
      <c r="Y692">
        <v>1.5829299999999999</v>
      </c>
      <c r="Z692">
        <v>0</v>
      </c>
      <c r="AA692">
        <v>1.22278</v>
      </c>
      <c r="AB692">
        <v>2.9635199999999999</v>
      </c>
      <c r="AC692" s="2">
        <v>295987000</v>
      </c>
      <c r="AD692" s="1">
        <v>0</v>
      </c>
      <c r="AE692" s="1">
        <v>0</v>
      </c>
      <c r="AF692" s="1">
        <v>0</v>
      </c>
      <c r="AG692" s="1">
        <v>0</v>
      </c>
      <c r="AH692" s="2">
        <v>4095410</v>
      </c>
      <c r="AI692" s="1">
        <v>133494</v>
      </c>
      <c r="AJ692" s="1">
        <v>0</v>
      </c>
      <c r="AK692" s="8">
        <f t="shared" si="43"/>
        <v>15</v>
      </c>
      <c r="AL692" s="8">
        <f t="shared" si="42"/>
        <v>14</v>
      </c>
      <c r="AM692">
        <f t="shared" si="40"/>
        <v>0</v>
      </c>
      <c r="AN692">
        <f t="shared" si="41"/>
        <v>0</v>
      </c>
    </row>
    <row r="693" spans="1:40" x14ac:dyDescent="0.35">
      <c r="A693">
        <v>85.138999999999996</v>
      </c>
      <c r="B693">
        <v>85.138999999999996</v>
      </c>
      <c r="C693">
        <v>4.75021</v>
      </c>
      <c r="D693">
        <v>0</v>
      </c>
      <c r="E693">
        <v>0</v>
      </c>
      <c r="F693">
        <v>2.8250099999999998</v>
      </c>
      <c r="G693">
        <v>2.8250099999999998</v>
      </c>
      <c r="H693">
        <v>0</v>
      </c>
      <c r="I693">
        <v>0.51066599999999995</v>
      </c>
      <c r="J693">
        <v>5.3222399999999999</v>
      </c>
      <c r="K693" s="2">
        <v>94450900</v>
      </c>
      <c r="L693" s="1">
        <v>0</v>
      </c>
      <c r="M693" s="1">
        <v>0</v>
      </c>
      <c r="N693" s="1">
        <v>0</v>
      </c>
      <c r="O693" s="1">
        <v>0</v>
      </c>
      <c r="P693" s="2">
        <v>4223310</v>
      </c>
      <c r="Q693" s="1">
        <v>290416</v>
      </c>
      <c r="R693" s="1">
        <v>0</v>
      </c>
      <c r="S693">
        <v>99.302199999999999</v>
      </c>
      <c r="T693">
        <v>98.274000000000001</v>
      </c>
      <c r="U693">
        <v>3.6490999999999998</v>
      </c>
      <c r="V693">
        <v>0</v>
      </c>
      <c r="W693">
        <v>0</v>
      </c>
      <c r="X693">
        <v>1.6468400000000001</v>
      </c>
      <c r="Y693">
        <v>1.6468400000000001</v>
      </c>
      <c r="Z693">
        <v>0</v>
      </c>
      <c r="AA693">
        <v>1.2229699999999999</v>
      </c>
      <c r="AB693">
        <v>2.9635199999999999</v>
      </c>
      <c r="AC693" s="2">
        <v>296126000</v>
      </c>
      <c r="AD693" s="1">
        <v>0</v>
      </c>
      <c r="AE693" s="1">
        <v>0</v>
      </c>
      <c r="AF693" s="1">
        <v>0</v>
      </c>
      <c r="AG693" s="1">
        <v>0</v>
      </c>
      <c r="AH693" s="2">
        <v>4260770</v>
      </c>
      <c r="AI693" s="1">
        <v>138885</v>
      </c>
      <c r="AJ693" s="1">
        <v>0</v>
      </c>
      <c r="AK693" s="8">
        <f t="shared" si="43"/>
        <v>16</v>
      </c>
      <c r="AL693" s="8">
        <f t="shared" si="42"/>
        <v>14</v>
      </c>
      <c r="AM693">
        <f t="shared" si="40"/>
        <v>0</v>
      </c>
      <c r="AN693">
        <f t="shared" si="41"/>
        <v>0</v>
      </c>
    </row>
    <row r="694" spans="1:40" x14ac:dyDescent="0.35">
      <c r="A694">
        <v>85.138999999999996</v>
      </c>
      <c r="B694">
        <v>85.138999999999996</v>
      </c>
      <c r="C694">
        <v>5.0644900000000002</v>
      </c>
      <c r="D694">
        <v>0</v>
      </c>
      <c r="E694">
        <v>0</v>
      </c>
      <c r="F694">
        <v>2.82544</v>
      </c>
      <c r="G694">
        <v>2.82544</v>
      </c>
      <c r="H694">
        <v>0</v>
      </c>
      <c r="I694">
        <v>0.52940600000000004</v>
      </c>
      <c r="J694">
        <v>5.3222399999999999</v>
      </c>
      <c r="K694" s="2">
        <v>94741400</v>
      </c>
      <c r="L694" s="1">
        <v>0</v>
      </c>
      <c r="M694" s="1">
        <v>0</v>
      </c>
      <c r="N694" s="1">
        <v>0</v>
      </c>
      <c r="O694" s="1">
        <v>0</v>
      </c>
      <c r="P694" s="2">
        <v>4223960</v>
      </c>
      <c r="Q694" s="1">
        <v>290460</v>
      </c>
      <c r="R694" s="1">
        <v>0</v>
      </c>
      <c r="S694">
        <v>99.302199999999999</v>
      </c>
      <c r="T694">
        <v>98.274000000000001</v>
      </c>
      <c r="U694">
        <v>3.6265499999999999</v>
      </c>
      <c r="V694">
        <v>0</v>
      </c>
      <c r="W694">
        <v>0</v>
      </c>
      <c r="X694">
        <v>1.6470899999999999</v>
      </c>
      <c r="Y694">
        <v>1.6470899999999999</v>
      </c>
      <c r="Z694">
        <v>0</v>
      </c>
      <c r="AA694">
        <v>1.2723500000000001</v>
      </c>
      <c r="AB694">
        <v>2.9635199999999999</v>
      </c>
      <c r="AC694" s="2">
        <v>296265000</v>
      </c>
      <c r="AD694" s="1">
        <v>0</v>
      </c>
      <c r="AE694" s="1">
        <v>0</v>
      </c>
      <c r="AF694" s="1">
        <v>0</v>
      </c>
      <c r="AG694" s="1">
        <v>0</v>
      </c>
      <c r="AH694" s="2">
        <v>4261420</v>
      </c>
      <c r="AI694" s="1">
        <v>138906</v>
      </c>
      <c r="AJ694" s="1">
        <v>0</v>
      </c>
      <c r="AK694" s="8">
        <f t="shared" si="43"/>
        <v>17</v>
      </c>
      <c r="AL694" s="8">
        <f t="shared" si="42"/>
        <v>14</v>
      </c>
      <c r="AM694">
        <f t="shared" si="40"/>
        <v>0</v>
      </c>
      <c r="AN694">
        <f t="shared" si="41"/>
        <v>0</v>
      </c>
    </row>
    <row r="695" spans="1:40" x14ac:dyDescent="0.35">
      <c r="A695">
        <v>85.138999999999996</v>
      </c>
      <c r="B695">
        <v>85.138999999999996</v>
      </c>
      <c r="C695">
        <v>4.0711700000000004</v>
      </c>
      <c r="D695">
        <v>0</v>
      </c>
      <c r="E695">
        <v>0</v>
      </c>
      <c r="F695">
        <v>2.8258700000000001</v>
      </c>
      <c r="G695">
        <v>2.8258700000000001</v>
      </c>
      <c r="H695">
        <v>0</v>
      </c>
      <c r="I695">
        <v>0.52948700000000004</v>
      </c>
      <c r="J695">
        <v>5.3222399999999999</v>
      </c>
      <c r="K695" s="2">
        <v>95031900</v>
      </c>
      <c r="L695" s="1">
        <v>0</v>
      </c>
      <c r="M695" s="1">
        <v>0</v>
      </c>
      <c r="N695" s="1">
        <v>0</v>
      </c>
      <c r="O695" s="1">
        <v>0</v>
      </c>
      <c r="P695" s="2">
        <v>4224600</v>
      </c>
      <c r="Q695" s="1">
        <v>290505</v>
      </c>
      <c r="R695" s="1">
        <v>0</v>
      </c>
      <c r="S695">
        <v>99.302199999999999</v>
      </c>
      <c r="T695">
        <v>98.274000000000001</v>
      </c>
      <c r="U695">
        <v>3.2339600000000002</v>
      </c>
      <c r="V695">
        <v>0</v>
      </c>
      <c r="W695">
        <v>0</v>
      </c>
      <c r="X695">
        <v>1.6473500000000001</v>
      </c>
      <c r="Y695">
        <v>1.6473500000000001</v>
      </c>
      <c r="Z695">
        <v>0</v>
      </c>
      <c r="AA695">
        <v>1.27254</v>
      </c>
      <c r="AB695">
        <v>2.9635199999999999</v>
      </c>
      <c r="AC695" s="2">
        <v>296404000</v>
      </c>
      <c r="AD695" s="1">
        <v>0</v>
      </c>
      <c r="AE695" s="1">
        <v>0</v>
      </c>
      <c r="AF695" s="1">
        <v>0</v>
      </c>
      <c r="AG695" s="1">
        <v>0</v>
      </c>
      <c r="AH695" s="2">
        <v>4262080</v>
      </c>
      <c r="AI695" s="1">
        <v>138927</v>
      </c>
      <c r="AJ695" s="1">
        <v>0</v>
      </c>
      <c r="AK695" s="8">
        <f t="shared" si="43"/>
        <v>18</v>
      </c>
      <c r="AL695" s="8">
        <f t="shared" si="42"/>
        <v>14</v>
      </c>
      <c r="AM695">
        <f t="shared" si="40"/>
        <v>0</v>
      </c>
      <c r="AN695">
        <f t="shared" si="41"/>
        <v>0</v>
      </c>
    </row>
    <row r="696" spans="1:40" x14ac:dyDescent="0.35">
      <c r="A696">
        <v>85.138999999999996</v>
      </c>
      <c r="B696">
        <v>85.138999999999996</v>
      </c>
      <c r="C696">
        <v>4.1957100000000001</v>
      </c>
      <c r="D696">
        <v>0</v>
      </c>
      <c r="E696">
        <v>0</v>
      </c>
      <c r="F696">
        <v>2.8262999999999998</v>
      </c>
      <c r="G696">
        <v>2.8262999999999998</v>
      </c>
      <c r="H696">
        <v>0</v>
      </c>
      <c r="I696">
        <v>0.52956800000000004</v>
      </c>
      <c r="J696">
        <v>5.3222399999999999</v>
      </c>
      <c r="K696" s="2">
        <v>95322400</v>
      </c>
      <c r="L696" s="1">
        <v>0</v>
      </c>
      <c r="M696" s="1">
        <v>0</v>
      </c>
      <c r="N696" s="1">
        <v>0</v>
      </c>
      <c r="O696" s="1">
        <v>0</v>
      </c>
      <c r="P696" s="2">
        <v>4225250</v>
      </c>
      <c r="Q696" s="1">
        <v>290549</v>
      </c>
      <c r="R696" s="1">
        <v>0</v>
      </c>
      <c r="S696">
        <v>99.058400000000006</v>
      </c>
      <c r="T696">
        <v>98.274000000000001</v>
      </c>
      <c r="U696">
        <v>3.2101799999999998</v>
      </c>
      <c r="V696">
        <v>0</v>
      </c>
      <c r="W696">
        <v>0</v>
      </c>
      <c r="X696">
        <v>1.6476</v>
      </c>
      <c r="Y696">
        <v>1.6476</v>
      </c>
      <c r="Z696">
        <v>0</v>
      </c>
      <c r="AA696">
        <v>1.27274</v>
      </c>
      <c r="AB696">
        <v>2.9635199999999999</v>
      </c>
      <c r="AC696" s="2">
        <v>296543000</v>
      </c>
      <c r="AD696" s="1">
        <v>0</v>
      </c>
      <c r="AE696" s="1">
        <v>0</v>
      </c>
      <c r="AF696" s="1">
        <v>0</v>
      </c>
      <c r="AG696" s="1">
        <v>0</v>
      </c>
      <c r="AH696" s="2">
        <v>4262730</v>
      </c>
      <c r="AI696" s="1">
        <v>138948</v>
      </c>
      <c r="AJ696" s="1">
        <v>0</v>
      </c>
      <c r="AK696" s="8">
        <f t="shared" si="43"/>
        <v>19</v>
      </c>
      <c r="AL696" s="8">
        <f t="shared" si="42"/>
        <v>14</v>
      </c>
      <c r="AM696">
        <f t="shared" si="40"/>
        <v>0</v>
      </c>
      <c r="AN696">
        <f t="shared" si="41"/>
        <v>0</v>
      </c>
    </row>
    <row r="697" spans="1:40" x14ac:dyDescent="0.35">
      <c r="A697">
        <v>85.138999999999996</v>
      </c>
      <c r="B697">
        <v>85.138999999999996</v>
      </c>
      <c r="C697">
        <v>3.64676</v>
      </c>
      <c r="D697">
        <v>0</v>
      </c>
      <c r="E697">
        <v>0</v>
      </c>
      <c r="F697">
        <v>2.7877800000000001</v>
      </c>
      <c r="G697">
        <v>2.7877800000000001</v>
      </c>
      <c r="H697">
        <v>0</v>
      </c>
      <c r="I697">
        <v>0.52964900000000004</v>
      </c>
      <c r="J697">
        <v>5.3222399999999999</v>
      </c>
      <c r="K697" s="2">
        <v>95609000</v>
      </c>
      <c r="L697" s="1">
        <v>0</v>
      </c>
      <c r="M697" s="1">
        <v>0</v>
      </c>
      <c r="N697" s="1">
        <v>0</v>
      </c>
      <c r="O697" s="1">
        <v>0</v>
      </c>
      <c r="P697" s="2">
        <v>4167650</v>
      </c>
      <c r="Q697" s="1">
        <v>286589</v>
      </c>
      <c r="R697" s="1">
        <v>0</v>
      </c>
      <c r="S697">
        <v>99.038399999999996</v>
      </c>
      <c r="T697">
        <v>98.274000000000001</v>
      </c>
      <c r="U697">
        <v>2.3466399999999998</v>
      </c>
      <c r="V697">
        <v>0</v>
      </c>
      <c r="W697">
        <v>0</v>
      </c>
      <c r="X697">
        <v>1.6231</v>
      </c>
      <c r="Y697">
        <v>1.6231</v>
      </c>
      <c r="Z697">
        <v>0</v>
      </c>
      <c r="AA697">
        <v>1.2729299999999999</v>
      </c>
      <c r="AB697">
        <v>2.9635199999999999</v>
      </c>
      <c r="AC697" s="2">
        <v>296679000</v>
      </c>
      <c r="AD697" s="1">
        <v>0</v>
      </c>
      <c r="AE697" s="1">
        <v>0</v>
      </c>
      <c r="AF697" s="1">
        <v>0</v>
      </c>
      <c r="AG697" s="1">
        <v>0</v>
      </c>
      <c r="AH697" s="2">
        <v>4199360</v>
      </c>
      <c r="AI697" s="1">
        <v>136883</v>
      </c>
      <c r="AJ697" s="1">
        <v>0</v>
      </c>
      <c r="AK697" s="8">
        <f t="shared" si="43"/>
        <v>20</v>
      </c>
      <c r="AL697" s="8">
        <f t="shared" si="42"/>
        <v>14</v>
      </c>
      <c r="AM697">
        <f t="shared" si="40"/>
        <v>0</v>
      </c>
      <c r="AN697">
        <f t="shared" si="41"/>
        <v>0</v>
      </c>
    </row>
    <row r="698" spans="1:40" x14ac:dyDescent="0.35">
      <c r="A698">
        <v>85.138999999999996</v>
      </c>
      <c r="B698">
        <v>85.138999999999996</v>
      </c>
      <c r="C698">
        <v>3.4306000000000001</v>
      </c>
      <c r="D698">
        <v>0</v>
      </c>
      <c r="E698">
        <v>0</v>
      </c>
      <c r="F698">
        <v>2.7881999999999998</v>
      </c>
      <c r="G698">
        <v>2.7881999999999998</v>
      </c>
      <c r="H698">
        <v>0</v>
      </c>
      <c r="I698">
        <v>0.52242900000000003</v>
      </c>
      <c r="J698">
        <v>5.3222399999999999</v>
      </c>
      <c r="K698" s="2">
        <v>95895700</v>
      </c>
      <c r="L698" s="1">
        <v>0</v>
      </c>
      <c r="M698" s="1">
        <v>0</v>
      </c>
      <c r="N698" s="1">
        <v>0</v>
      </c>
      <c r="O698" s="1">
        <v>0</v>
      </c>
      <c r="P698" s="2">
        <v>4168290</v>
      </c>
      <c r="Q698" s="1">
        <v>286633</v>
      </c>
      <c r="R698" s="1">
        <v>0</v>
      </c>
      <c r="S698">
        <v>99.209599999999995</v>
      </c>
      <c r="T698">
        <v>98.274000000000001</v>
      </c>
      <c r="U698">
        <v>2.3211499999999998</v>
      </c>
      <c r="V698">
        <v>0</v>
      </c>
      <c r="W698">
        <v>0</v>
      </c>
      <c r="X698">
        <v>1.6233500000000001</v>
      </c>
      <c r="Y698">
        <v>1.6233500000000001</v>
      </c>
      <c r="Z698">
        <v>0</v>
      </c>
      <c r="AA698">
        <v>1.2540100000000001</v>
      </c>
      <c r="AB698">
        <v>2.9635199999999999</v>
      </c>
      <c r="AC698" s="2">
        <v>296816000</v>
      </c>
      <c r="AD698" s="1">
        <v>0</v>
      </c>
      <c r="AE698" s="1">
        <v>0</v>
      </c>
      <c r="AF698" s="1">
        <v>0</v>
      </c>
      <c r="AG698" s="1">
        <v>0</v>
      </c>
      <c r="AH698" s="2">
        <v>4200000</v>
      </c>
      <c r="AI698" s="1">
        <v>136904</v>
      </c>
      <c r="AJ698" s="1">
        <v>0</v>
      </c>
      <c r="AK698" s="8">
        <f t="shared" si="43"/>
        <v>21</v>
      </c>
      <c r="AL698" s="8">
        <f t="shared" si="42"/>
        <v>14</v>
      </c>
      <c r="AM698">
        <f t="shared" si="40"/>
        <v>0</v>
      </c>
      <c r="AN698">
        <f t="shared" si="41"/>
        <v>0</v>
      </c>
    </row>
    <row r="699" spans="1:40" x14ac:dyDescent="0.35">
      <c r="A699">
        <v>85.138999999999996</v>
      </c>
      <c r="B699">
        <v>85.138999999999996</v>
      </c>
      <c r="C699">
        <v>3.30484</v>
      </c>
      <c r="D699">
        <v>0</v>
      </c>
      <c r="E699">
        <v>0</v>
      </c>
      <c r="F699">
        <v>2.7886299999999999</v>
      </c>
      <c r="G699">
        <v>2.7886299999999999</v>
      </c>
      <c r="H699">
        <v>0</v>
      </c>
      <c r="I699">
        <v>0.522509</v>
      </c>
      <c r="J699">
        <v>5.3222399999999999</v>
      </c>
      <c r="K699" s="2">
        <v>96182300</v>
      </c>
      <c r="L699" s="1">
        <v>0</v>
      </c>
      <c r="M699" s="1">
        <v>0</v>
      </c>
      <c r="N699" s="1">
        <v>0</v>
      </c>
      <c r="O699" s="1">
        <v>0</v>
      </c>
      <c r="P699" s="2">
        <v>4168930</v>
      </c>
      <c r="Q699" s="1">
        <v>286676</v>
      </c>
      <c r="R699" s="1">
        <v>0</v>
      </c>
      <c r="S699">
        <v>99.075299999999999</v>
      </c>
      <c r="T699">
        <v>98.274000000000001</v>
      </c>
      <c r="U699">
        <v>2.3911199999999999</v>
      </c>
      <c r="V699">
        <v>0</v>
      </c>
      <c r="W699">
        <v>0</v>
      </c>
      <c r="X699">
        <v>1.6235999999999999</v>
      </c>
      <c r="Y699">
        <v>1.6235999999999999</v>
      </c>
      <c r="Z699">
        <v>0</v>
      </c>
      <c r="AA699">
        <v>1.2542</v>
      </c>
      <c r="AB699">
        <v>2.9635199999999999</v>
      </c>
      <c r="AC699" s="2">
        <v>296953000</v>
      </c>
      <c r="AD699" s="1">
        <v>0</v>
      </c>
      <c r="AE699" s="1">
        <v>0</v>
      </c>
      <c r="AF699" s="1">
        <v>0</v>
      </c>
      <c r="AG699" s="1">
        <v>0</v>
      </c>
      <c r="AH699" s="2">
        <v>4200640</v>
      </c>
      <c r="AI699" s="1">
        <v>136925</v>
      </c>
      <c r="AJ699" s="1">
        <v>0</v>
      </c>
      <c r="AK699" s="8">
        <f t="shared" si="43"/>
        <v>22</v>
      </c>
      <c r="AL699" s="8">
        <f t="shared" si="42"/>
        <v>14</v>
      </c>
      <c r="AM699">
        <f t="shared" si="40"/>
        <v>0</v>
      </c>
      <c r="AN699">
        <f t="shared" si="41"/>
        <v>0</v>
      </c>
    </row>
    <row r="700" spans="1:40" x14ac:dyDescent="0.35">
      <c r="A700">
        <v>85.138999999999996</v>
      </c>
      <c r="B700">
        <v>85.138999999999996</v>
      </c>
      <c r="C700">
        <v>3.3428</v>
      </c>
      <c r="D700">
        <v>0</v>
      </c>
      <c r="E700">
        <v>0</v>
      </c>
      <c r="F700">
        <v>2.7890600000000001</v>
      </c>
      <c r="G700">
        <v>2.7890600000000001</v>
      </c>
      <c r="H700">
        <v>0</v>
      </c>
      <c r="I700">
        <v>0.52258899999999997</v>
      </c>
      <c r="J700">
        <v>5.3222399999999999</v>
      </c>
      <c r="K700" s="2">
        <v>96469100</v>
      </c>
      <c r="L700" s="1">
        <v>0</v>
      </c>
      <c r="M700" s="1">
        <v>0</v>
      </c>
      <c r="N700" s="1">
        <v>0</v>
      </c>
      <c r="O700" s="1">
        <v>0</v>
      </c>
      <c r="P700" s="2">
        <v>4169570</v>
      </c>
      <c r="Q700" s="1">
        <v>286720</v>
      </c>
      <c r="R700" s="1">
        <v>0</v>
      </c>
      <c r="S700">
        <v>99.163700000000006</v>
      </c>
      <c r="T700">
        <v>98.274000000000001</v>
      </c>
      <c r="U700">
        <v>2.2674500000000002</v>
      </c>
      <c r="V700">
        <v>0</v>
      </c>
      <c r="W700">
        <v>0</v>
      </c>
      <c r="X700">
        <v>1.62385</v>
      </c>
      <c r="Y700">
        <v>1.62385</v>
      </c>
      <c r="Z700">
        <v>0</v>
      </c>
      <c r="AA700">
        <v>1.2543899999999999</v>
      </c>
      <c r="AB700">
        <v>2.9635199999999999</v>
      </c>
      <c r="AC700" s="2">
        <v>297090000</v>
      </c>
      <c r="AD700" s="1">
        <v>0</v>
      </c>
      <c r="AE700" s="1">
        <v>0</v>
      </c>
      <c r="AF700" s="1">
        <v>0</v>
      </c>
      <c r="AG700" s="1">
        <v>0</v>
      </c>
      <c r="AH700" s="2">
        <v>4201290</v>
      </c>
      <c r="AI700" s="1">
        <v>136946</v>
      </c>
      <c r="AJ700" s="1">
        <v>0</v>
      </c>
      <c r="AK700" s="8">
        <f t="shared" si="43"/>
        <v>23</v>
      </c>
      <c r="AL700" s="8">
        <f t="shared" si="42"/>
        <v>14</v>
      </c>
      <c r="AM700">
        <f t="shared" si="40"/>
        <v>0</v>
      </c>
      <c r="AN700">
        <f t="shared" si="41"/>
        <v>0</v>
      </c>
    </row>
    <row r="701" spans="1:40" x14ac:dyDescent="0.35">
      <c r="A701">
        <v>85.138999999999996</v>
      </c>
      <c r="B701">
        <v>85.138999999999996</v>
      </c>
      <c r="C701">
        <v>3.2524099999999998</v>
      </c>
      <c r="D701">
        <v>0</v>
      </c>
      <c r="E701">
        <v>0</v>
      </c>
      <c r="F701">
        <v>2.9218099999999998</v>
      </c>
      <c r="G701">
        <v>2.9218099999999998</v>
      </c>
      <c r="H701">
        <v>0</v>
      </c>
      <c r="I701">
        <v>0.52266900000000005</v>
      </c>
      <c r="J701">
        <v>5.3222399999999999</v>
      </c>
      <c r="K701" s="2">
        <v>96769400</v>
      </c>
      <c r="L701" s="1">
        <v>0</v>
      </c>
      <c r="M701" s="1">
        <v>0</v>
      </c>
      <c r="N701" s="1">
        <v>0</v>
      </c>
      <c r="O701" s="1">
        <v>0</v>
      </c>
      <c r="P701" s="2">
        <v>4368030</v>
      </c>
      <c r="Q701" s="1">
        <v>300367</v>
      </c>
      <c r="R701" s="1">
        <v>0</v>
      </c>
      <c r="S701">
        <v>99.174300000000002</v>
      </c>
      <c r="T701">
        <v>98.274000000000001</v>
      </c>
      <c r="U701">
        <v>2.3250199999999999</v>
      </c>
      <c r="V701">
        <v>0</v>
      </c>
      <c r="W701">
        <v>0</v>
      </c>
      <c r="X701">
        <v>1.71191</v>
      </c>
      <c r="Y701">
        <v>1.71191</v>
      </c>
      <c r="Z701">
        <v>0</v>
      </c>
      <c r="AA701">
        <v>1.2545900000000001</v>
      </c>
      <c r="AB701">
        <v>2.9635199999999999</v>
      </c>
      <c r="AC701" s="2">
        <v>297235000</v>
      </c>
      <c r="AD701" s="1">
        <v>0</v>
      </c>
      <c r="AE701" s="1">
        <v>0</v>
      </c>
      <c r="AF701" s="1">
        <v>0</v>
      </c>
      <c r="AG701" s="1">
        <v>0</v>
      </c>
      <c r="AH701" s="2">
        <v>4429110</v>
      </c>
      <c r="AI701" s="1">
        <v>144372</v>
      </c>
      <c r="AJ701" s="1">
        <v>0</v>
      </c>
      <c r="AK701" s="8">
        <f t="shared" si="43"/>
        <v>24</v>
      </c>
      <c r="AL701" s="8">
        <f t="shared" si="42"/>
        <v>14</v>
      </c>
      <c r="AM701">
        <f t="shared" si="40"/>
        <v>0</v>
      </c>
      <c r="AN701">
        <f t="shared" si="41"/>
        <v>0</v>
      </c>
    </row>
    <row r="702" spans="1:40" x14ac:dyDescent="0.35">
      <c r="A702">
        <v>85.062399999999997</v>
      </c>
      <c r="B702">
        <v>85.138999999999996</v>
      </c>
      <c r="C702">
        <v>3.1089000000000002</v>
      </c>
      <c r="D702">
        <v>0</v>
      </c>
      <c r="E702">
        <v>0</v>
      </c>
      <c r="F702">
        <v>2.92225</v>
      </c>
      <c r="G702">
        <v>2.92225</v>
      </c>
      <c r="H702">
        <v>0</v>
      </c>
      <c r="I702">
        <v>0.54754700000000001</v>
      </c>
      <c r="J702">
        <v>5.3222399999999999</v>
      </c>
      <c r="K702" s="2">
        <v>97069800</v>
      </c>
      <c r="L702" s="1">
        <v>0</v>
      </c>
      <c r="M702" s="1">
        <v>0</v>
      </c>
      <c r="N702" s="1">
        <v>0</v>
      </c>
      <c r="O702" s="1">
        <v>0</v>
      </c>
      <c r="P702" s="2">
        <v>4368700</v>
      </c>
      <c r="Q702" s="1">
        <v>300413</v>
      </c>
      <c r="R702" s="1">
        <v>0</v>
      </c>
      <c r="S702">
        <v>99.14</v>
      </c>
      <c r="T702">
        <v>98.274000000000001</v>
      </c>
      <c r="U702">
        <v>2.4089399999999999</v>
      </c>
      <c r="V702">
        <v>0</v>
      </c>
      <c r="W702">
        <v>0</v>
      </c>
      <c r="X702">
        <v>1.71217</v>
      </c>
      <c r="Y702">
        <v>1.71217</v>
      </c>
      <c r="Z702">
        <v>0</v>
      </c>
      <c r="AA702">
        <v>1.3226199999999999</v>
      </c>
      <c r="AB702">
        <v>2.9635199999999999</v>
      </c>
      <c r="AC702" s="2">
        <v>297379000</v>
      </c>
      <c r="AD702" s="1">
        <v>0</v>
      </c>
      <c r="AE702" s="1">
        <v>0</v>
      </c>
      <c r="AF702" s="1">
        <v>0</v>
      </c>
      <c r="AG702" s="1">
        <v>0</v>
      </c>
      <c r="AH702" s="2">
        <v>4429780</v>
      </c>
      <c r="AI702" s="1">
        <v>144394</v>
      </c>
      <c r="AJ702" s="1">
        <v>0</v>
      </c>
      <c r="AK702" s="8">
        <f t="shared" si="43"/>
        <v>25</v>
      </c>
      <c r="AL702" s="8">
        <f t="shared" si="42"/>
        <v>14</v>
      </c>
      <c r="AM702">
        <f t="shared" si="40"/>
        <v>0</v>
      </c>
      <c r="AN702">
        <f t="shared" si="41"/>
        <v>0</v>
      </c>
    </row>
    <row r="703" spans="1:40" x14ac:dyDescent="0.35">
      <c r="A703">
        <v>84.899699999999996</v>
      </c>
      <c r="B703">
        <v>85.138999999999996</v>
      </c>
      <c r="C703">
        <v>3.0127600000000001</v>
      </c>
      <c r="D703">
        <v>0</v>
      </c>
      <c r="E703">
        <v>0</v>
      </c>
      <c r="F703">
        <v>2.9226999999999999</v>
      </c>
      <c r="G703">
        <v>2.9226999999999999</v>
      </c>
      <c r="H703">
        <v>0</v>
      </c>
      <c r="I703">
        <v>0.54762999999999995</v>
      </c>
      <c r="J703">
        <v>5.3222399999999999</v>
      </c>
      <c r="K703" s="2">
        <v>97370300</v>
      </c>
      <c r="L703" s="1">
        <v>0</v>
      </c>
      <c r="M703" s="1">
        <v>0</v>
      </c>
      <c r="N703" s="1">
        <v>0</v>
      </c>
      <c r="O703" s="1">
        <v>0</v>
      </c>
      <c r="P703" s="2">
        <v>4369360</v>
      </c>
      <c r="Q703" s="1">
        <v>300459</v>
      </c>
      <c r="R703" s="1">
        <v>0</v>
      </c>
      <c r="S703">
        <v>99.065399999999997</v>
      </c>
      <c r="T703">
        <v>98.274000000000001</v>
      </c>
      <c r="U703">
        <v>2.18398</v>
      </c>
      <c r="V703">
        <v>0</v>
      </c>
      <c r="W703">
        <v>0</v>
      </c>
      <c r="X703">
        <v>1.7124299999999999</v>
      </c>
      <c r="Y703">
        <v>1.7124299999999999</v>
      </c>
      <c r="Z703">
        <v>0</v>
      </c>
      <c r="AA703">
        <v>1.3228200000000001</v>
      </c>
      <c r="AB703">
        <v>2.9635199999999999</v>
      </c>
      <c r="AC703" s="2">
        <v>297523000</v>
      </c>
      <c r="AD703" s="1">
        <v>0</v>
      </c>
      <c r="AE703" s="1">
        <v>0</v>
      </c>
      <c r="AF703" s="1">
        <v>0</v>
      </c>
      <c r="AG703" s="1">
        <v>0</v>
      </c>
      <c r="AH703" s="2">
        <v>4430460</v>
      </c>
      <c r="AI703" s="1">
        <v>144416</v>
      </c>
      <c r="AJ703" s="1">
        <v>0</v>
      </c>
      <c r="AK703" s="8">
        <f t="shared" si="43"/>
        <v>26</v>
      </c>
      <c r="AL703" s="8">
        <f t="shared" si="42"/>
        <v>14</v>
      </c>
      <c r="AM703">
        <f t="shared" si="40"/>
        <v>0</v>
      </c>
      <c r="AN703">
        <f t="shared" si="41"/>
        <v>0</v>
      </c>
    </row>
    <row r="704" spans="1:40" x14ac:dyDescent="0.35">
      <c r="A704">
        <v>84.427099999999996</v>
      </c>
      <c r="B704">
        <v>85.138999999999996</v>
      </c>
      <c r="C704">
        <v>2.66486</v>
      </c>
      <c r="D704">
        <v>0</v>
      </c>
      <c r="E704">
        <v>0</v>
      </c>
      <c r="F704">
        <v>2.9231500000000001</v>
      </c>
      <c r="G704">
        <v>2.9231500000000001</v>
      </c>
      <c r="H704">
        <v>0</v>
      </c>
      <c r="I704">
        <v>0.54771400000000003</v>
      </c>
      <c r="J704">
        <v>5.3222399999999999</v>
      </c>
      <c r="K704" s="2">
        <v>97670800</v>
      </c>
      <c r="L704" s="1">
        <v>0</v>
      </c>
      <c r="M704" s="1">
        <v>0</v>
      </c>
      <c r="N704" s="1">
        <v>0</v>
      </c>
      <c r="O704" s="1">
        <v>0</v>
      </c>
      <c r="P704" s="2">
        <v>4370030</v>
      </c>
      <c r="Q704" s="1">
        <v>300505</v>
      </c>
      <c r="R704" s="1">
        <v>0</v>
      </c>
      <c r="S704">
        <v>99.019400000000005</v>
      </c>
      <c r="T704">
        <v>98.274000000000001</v>
      </c>
      <c r="U704">
        <v>2.0646</v>
      </c>
      <c r="V704">
        <v>0</v>
      </c>
      <c r="W704">
        <v>0</v>
      </c>
      <c r="X704">
        <v>1.71269</v>
      </c>
      <c r="Y704">
        <v>1.71269</v>
      </c>
      <c r="Z704">
        <v>0</v>
      </c>
      <c r="AA704">
        <v>1.3230200000000001</v>
      </c>
      <c r="AB704">
        <v>2.9635199999999999</v>
      </c>
      <c r="AC704" s="2">
        <v>297668000</v>
      </c>
      <c r="AD704" s="1">
        <v>0</v>
      </c>
      <c r="AE704" s="1">
        <v>0</v>
      </c>
      <c r="AF704" s="1">
        <v>0</v>
      </c>
      <c r="AG704" s="1">
        <v>0</v>
      </c>
      <c r="AH704" s="2">
        <v>4431140</v>
      </c>
      <c r="AI704" s="1">
        <v>144438</v>
      </c>
      <c r="AJ704" s="1">
        <v>0</v>
      </c>
      <c r="AK704" s="8">
        <f t="shared" si="43"/>
        <v>27</v>
      </c>
      <c r="AL704" s="8">
        <f t="shared" si="42"/>
        <v>14</v>
      </c>
      <c r="AM704">
        <f t="shared" si="40"/>
        <v>0</v>
      </c>
      <c r="AN704">
        <f t="shared" si="41"/>
        <v>0</v>
      </c>
    </row>
    <row r="705" spans="1:40" x14ac:dyDescent="0.35">
      <c r="A705">
        <v>83.756200000000007</v>
      </c>
      <c r="B705">
        <v>85.138999999999996</v>
      </c>
      <c r="C705">
        <v>2.42997</v>
      </c>
      <c r="D705">
        <v>0</v>
      </c>
      <c r="E705">
        <v>0</v>
      </c>
      <c r="F705">
        <v>2.9236</v>
      </c>
      <c r="G705">
        <v>2.9236</v>
      </c>
      <c r="H705">
        <v>0</v>
      </c>
      <c r="I705">
        <v>0.54779800000000001</v>
      </c>
      <c r="J705">
        <v>5.3222399999999999</v>
      </c>
      <c r="K705" s="2">
        <v>97971400</v>
      </c>
      <c r="L705" s="1">
        <v>0</v>
      </c>
      <c r="M705" s="1">
        <v>0</v>
      </c>
      <c r="N705" s="1">
        <v>0</v>
      </c>
      <c r="O705" s="1">
        <v>0</v>
      </c>
      <c r="P705" s="2">
        <v>4370700</v>
      </c>
      <c r="Q705" s="1">
        <v>300551</v>
      </c>
      <c r="R705" s="1">
        <v>0</v>
      </c>
      <c r="S705">
        <v>99.113900000000001</v>
      </c>
      <c r="T705">
        <v>98.274000000000001</v>
      </c>
      <c r="U705">
        <v>2.1210300000000002</v>
      </c>
      <c r="V705">
        <v>0</v>
      </c>
      <c r="W705">
        <v>0</v>
      </c>
      <c r="X705">
        <v>1.71295</v>
      </c>
      <c r="Y705">
        <v>1.71295</v>
      </c>
      <c r="Z705">
        <v>0</v>
      </c>
      <c r="AA705">
        <v>1.3232299999999999</v>
      </c>
      <c r="AB705">
        <v>2.9635199999999999</v>
      </c>
      <c r="AC705" s="2">
        <v>297812000</v>
      </c>
      <c r="AD705" s="1">
        <v>0</v>
      </c>
      <c r="AE705" s="1">
        <v>0</v>
      </c>
      <c r="AF705" s="1">
        <v>0</v>
      </c>
      <c r="AG705" s="1">
        <v>0</v>
      </c>
      <c r="AH705" s="2">
        <v>4431820</v>
      </c>
      <c r="AI705" s="1">
        <v>144460</v>
      </c>
      <c r="AJ705" s="1">
        <v>0</v>
      </c>
      <c r="AK705" s="8">
        <f t="shared" si="43"/>
        <v>28</v>
      </c>
      <c r="AL705" s="8">
        <f t="shared" si="42"/>
        <v>14</v>
      </c>
      <c r="AM705">
        <f t="shared" si="40"/>
        <v>0</v>
      </c>
      <c r="AN705">
        <f t="shared" si="41"/>
        <v>0</v>
      </c>
    </row>
    <row r="706" spans="1:40" x14ac:dyDescent="0.35">
      <c r="A706">
        <v>82.750699999999995</v>
      </c>
      <c r="B706">
        <v>85.138999999999996</v>
      </c>
      <c r="C706">
        <v>2.04887</v>
      </c>
      <c r="D706">
        <v>0</v>
      </c>
      <c r="E706">
        <v>0</v>
      </c>
      <c r="F706">
        <v>2.89785</v>
      </c>
      <c r="G706">
        <v>2.89785</v>
      </c>
      <c r="H706">
        <v>0</v>
      </c>
      <c r="I706">
        <v>0.54788199999999998</v>
      </c>
      <c r="J706">
        <v>5.3222399999999999</v>
      </c>
      <c r="K706" s="2">
        <v>98269300</v>
      </c>
      <c r="L706" s="1">
        <v>0</v>
      </c>
      <c r="M706" s="1">
        <v>0</v>
      </c>
      <c r="N706" s="1">
        <v>0</v>
      </c>
      <c r="O706" s="1">
        <v>0</v>
      </c>
      <c r="P706" s="2">
        <v>4332220</v>
      </c>
      <c r="Q706" s="1">
        <v>297905</v>
      </c>
      <c r="R706" s="1">
        <v>0</v>
      </c>
      <c r="S706">
        <v>99.159199999999998</v>
      </c>
      <c r="T706">
        <v>98.274000000000001</v>
      </c>
      <c r="U706">
        <v>2.3971900000000002</v>
      </c>
      <c r="V706">
        <v>0</v>
      </c>
      <c r="W706">
        <v>0</v>
      </c>
      <c r="X706">
        <v>1.7615099999999999</v>
      </c>
      <c r="Y706">
        <v>1.7615099999999999</v>
      </c>
      <c r="Z706">
        <v>0</v>
      </c>
      <c r="AA706">
        <v>1.3234300000000001</v>
      </c>
      <c r="AB706">
        <v>2.9635199999999999</v>
      </c>
      <c r="AC706" s="2">
        <v>297961000</v>
      </c>
      <c r="AD706" s="1">
        <v>0</v>
      </c>
      <c r="AE706" s="1">
        <v>0</v>
      </c>
      <c r="AF706" s="1">
        <v>0</v>
      </c>
      <c r="AG706" s="1">
        <v>0</v>
      </c>
      <c r="AH706" s="2">
        <v>4557450</v>
      </c>
      <c r="AI706" s="1">
        <v>148555</v>
      </c>
      <c r="AJ706" s="1">
        <v>0</v>
      </c>
      <c r="AK706" s="8">
        <f t="shared" si="43"/>
        <v>29</v>
      </c>
      <c r="AL706" s="8">
        <f t="shared" si="42"/>
        <v>14</v>
      </c>
      <c r="AM706">
        <f t="shared" si="40"/>
        <v>0</v>
      </c>
      <c r="AN706">
        <f t="shared" si="41"/>
        <v>0</v>
      </c>
    </row>
    <row r="707" spans="1:40" x14ac:dyDescent="0.35">
      <c r="A707">
        <v>81.655900000000003</v>
      </c>
      <c r="B707">
        <v>85.138999999999996</v>
      </c>
      <c r="C707">
        <v>1.94336</v>
      </c>
      <c r="D707">
        <v>0</v>
      </c>
      <c r="E707">
        <v>0</v>
      </c>
      <c r="F707">
        <v>2.8982999999999999</v>
      </c>
      <c r="G707">
        <v>2.8982999999999999</v>
      </c>
      <c r="H707">
        <v>0</v>
      </c>
      <c r="I707">
        <v>0.54305800000000004</v>
      </c>
      <c r="J707">
        <v>5.3222399999999999</v>
      </c>
      <c r="K707" s="2">
        <v>98567200</v>
      </c>
      <c r="L707" s="1">
        <v>0</v>
      </c>
      <c r="M707" s="1">
        <v>0</v>
      </c>
      <c r="N707" s="1">
        <v>0</v>
      </c>
      <c r="O707" s="1">
        <v>0</v>
      </c>
      <c r="P707" s="2">
        <v>4332880</v>
      </c>
      <c r="Q707" s="1">
        <v>297951</v>
      </c>
      <c r="R707" s="1">
        <v>0</v>
      </c>
      <c r="S707">
        <v>99.164900000000003</v>
      </c>
      <c r="T707">
        <v>98.274000000000001</v>
      </c>
      <c r="U707">
        <v>2.3012700000000001</v>
      </c>
      <c r="V707">
        <v>0</v>
      </c>
      <c r="W707">
        <v>0</v>
      </c>
      <c r="X707">
        <v>1.7617799999999999</v>
      </c>
      <c r="Y707">
        <v>1.7617799999999999</v>
      </c>
      <c r="Z707">
        <v>0</v>
      </c>
      <c r="AA707">
        <v>1.36094</v>
      </c>
      <c r="AB707">
        <v>2.9635199999999999</v>
      </c>
      <c r="AC707" s="2">
        <v>298109000</v>
      </c>
      <c r="AD707" s="1">
        <v>0</v>
      </c>
      <c r="AE707" s="1">
        <v>0</v>
      </c>
      <c r="AF707" s="1">
        <v>0</v>
      </c>
      <c r="AG707" s="1">
        <v>0</v>
      </c>
      <c r="AH707" s="2">
        <v>4558150</v>
      </c>
      <c r="AI707" s="1">
        <v>148578</v>
      </c>
      <c r="AJ707" s="1">
        <v>0</v>
      </c>
      <c r="AK707" s="8">
        <f t="shared" si="43"/>
        <v>30</v>
      </c>
      <c r="AL707" s="8">
        <f t="shared" si="42"/>
        <v>14</v>
      </c>
      <c r="AM707">
        <f t="shared" ref="AM707:AM770" si="44">IF(AK707=52,AC707,0)</f>
        <v>0</v>
      </c>
      <c r="AN707">
        <f t="shared" ref="AN707:AN770" si="45">IF(AK707=52,K707,0)</f>
        <v>0</v>
      </c>
    </row>
    <row r="708" spans="1:40" x14ac:dyDescent="0.35">
      <c r="A708">
        <v>80.432500000000005</v>
      </c>
      <c r="B708">
        <v>85.138999999999996</v>
      </c>
      <c r="C708">
        <v>1.8016000000000001</v>
      </c>
      <c r="D708">
        <v>0</v>
      </c>
      <c r="E708">
        <v>0</v>
      </c>
      <c r="F708">
        <v>2.8987400000000001</v>
      </c>
      <c r="G708">
        <v>2.8987400000000001</v>
      </c>
      <c r="H708">
        <v>0</v>
      </c>
      <c r="I708">
        <v>0.54314099999999998</v>
      </c>
      <c r="J708">
        <v>5.3222399999999999</v>
      </c>
      <c r="K708" s="2">
        <v>98865200</v>
      </c>
      <c r="L708" s="1">
        <v>0</v>
      </c>
      <c r="M708" s="1">
        <v>0</v>
      </c>
      <c r="N708" s="1">
        <v>0</v>
      </c>
      <c r="O708" s="1">
        <v>0</v>
      </c>
      <c r="P708" s="2">
        <v>4333540</v>
      </c>
      <c r="Q708" s="1">
        <v>297996</v>
      </c>
      <c r="R708" s="1">
        <v>0</v>
      </c>
      <c r="S708">
        <v>98.999200000000002</v>
      </c>
      <c r="T708">
        <v>98.274000000000001</v>
      </c>
      <c r="U708">
        <v>2.13795</v>
      </c>
      <c r="V708">
        <v>0</v>
      </c>
      <c r="W708">
        <v>0</v>
      </c>
      <c r="X708">
        <v>1.7620499999999999</v>
      </c>
      <c r="Y708">
        <v>1.7620499999999999</v>
      </c>
      <c r="Z708">
        <v>0</v>
      </c>
      <c r="AA708">
        <v>1.3611500000000001</v>
      </c>
      <c r="AB708">
        <v>2.9635199999999999</v>
      </c>
      <c r="AC708" s="2">
        <v>298258000</v>
      </c>
      <c r="AD708" s="1">
        <v>0</v>
      </c>
      <c r="AE708" s="1">
        <v>0</v>
      </c>
      <c r="AF708" s="1">
        <v>0</v>
      </c>
      <c r="AG708" s="1">
        <v>0</v>
      </c>
      <c r="AH708" s="2">
        <v>4558850</v>
      </c>
      <c r="AI708" s="1">
        <v>148601</v>
      </c>
      <c r="AJ708" s="1">
        <v>0</v>
      </c>
      <c r="AK708" s="8">
        <f t="shared" si="43"/>
        <v>31</v>
      </c>
      <c r="AL708" s="8">
        <f t="shared" ref="AL708:AL771" si="46">IF(AK707=52,AL707+1,AL707)</f>
        <v>14</v>
      </c>
      <c r="AM708">
        <f t="shared" si="44"/>
        <v>0</v>
      </c>
      <c r="AN708">
        <f t="shared" si="45"/>
        <v>0</v>
      </c>
    </row>
    <row r="709" spans="1:40" x14ac:dyDescent="0.35">
      <c r="A709">
        <v>79.134299999999996</v>
      </c>
      <c r="B709">
        <v>85.138999999999996</v>
      </c>
      <c r="C709">
        <v>1.7139</v>
      </c>
      <c r="D709">
        <v>0</v>
      </c>
      <c r="E709">
        <v>0</v>
      </c>
      <c r="F709">
        <v>2.8991799999999999</v>
      </c>
      <c r="G709">
        <v>2.8991799999999999</v>
      </c>
      <c r="H709">
        <v>0</v>
      </c>
      <c r="I709">
        <v>0.54322400000000004</v>
      </c>
      <c r="J709">
        <v>5.3222399999999999</v>
      </c>
      <c r="K709" s="2">
        <v>99163200</v>
      </c>
      <c r="L709" s="1">
        <v>0</v>
      </c>
      <c r="M709" s="1">
        <v>0</v>
      </c>
      <c r="N709" s="1">
        <v>0</v>
      </c>
      <c r="O709" s="1">
        <v>0</v>
      </c>
      <c r="P709" s="2">
        <v>4334210</v>
      </c>
      <c r="Q709" s="1">
        <v>298042</v>
      </c>
      <c r="R709" s="1">
        <v>0</v>
      </c>
      <c r="S709">
        <v>98.639300000000006</v>
      </c>
      <c r="T709">
        <v>98.274000000000001</v>
      </c>
      <c r="U709">
        <v>2.0187300000000001</v>
      </c>
      <c r="V709">
        <v>0</v>
      </c>
      <c r="W709">
        <v>0</v>
      </c>
      <c r="X709">
        <v>1.7623200000000001</v>
      </c>
      <c r="Y709">
        <v>1.7623200000000001</v>
      </c>
      <c r="Z709">
        <v>0</v>
      </c>
      <c r="AA709">
        <v>1.3613599999999999</v>
      </c>
      <c r="AB709">
        <v>2.9635199999999999</v>
      </c>
      <c r="AC709" s="2">
        <v>298407000</v>
      </c>
      <c r="AD709" s="1">
        <v>0</v>
      </c>
      <c r="AE709" s="1">
        <v>0</v>
      </c>
      <c r="AF709" s="1">
        <v>0</v>
      </c>
      <c r="AG709" s="1">
        <v>0</v>
      </c>
      <c r="AH709" s="2">
        <v>4559550</v>
      </c>
      <c r="AI709" s="1">
        <v>148624</v>
      </c>
      <c r="AJ709" s="1">
        <v>0</v>
      </c>
      <c r="AK709" s="8">
        <f t="shared" si="43"/>
        <v>32</v>
      </c>
      <c r="AL709" s="8">
        <f t="shared" si="46"/>
        <v>14</v>
      </c>
      <c r="AM709">
        <f t="shared" si="44"/>
        <v>0</v>
      </c>
      <c r="AN709">
        <f t="shared" si="45"/>
        <v>0</v>
      </c>
    </row>
    <row r="710" spans="1:40" x14ac:dyDescent="0.35">
      <c r="A710">
        <v>77.781999999999996</v>
      </c>
      <c r="B710">
        <v>85.138999999999996</v>
      </c>
      <c r="C710">
        <v>1.6765699999999999</v>
      </c>
      <c r="D710">
        <v>0</v>
      </c>
      <c r="E710">
        <v>0</v>
      </c>
      <c r="F710">
        <v>2.9672999999999998</v>
      </c>
      <c r="G710">
        <v>2.9672999999999998</v>
      </c>
      <c r="H710">
        <v>0</v>
      </c>
      <c r="I710">
        <v>0.54330699999999998</v>
      </c>
      <c r="J710">
        <v>5.3222399999999999</v>
      </c>
      <c r="K710" s="2">
        <v>99468300</v>
      </c>
      <c r="L710" s="1">
        <v>0</v>
      </c>
      <c r="M710" s="1">
        <v>0</v>
      </c>
      <c r="N710" s="1">
        <v>0</v>
      </c>
      <c r="O710" s="1">
        <v>0</v>
      </c>
      <c r="P710" s="2">
        <v>4436040</v>
      </c>
      <c r="Q710" s="1">
        <v>305044</v>
      </c>
      <c r="R710" s="1">
        <v>0</v>
      </c>
      <c r="S710">
        <v>98.451400000000007</v>
      </c>
      <c r="T710">
        <v>98.274000000000001</v>
      </c>
      <c r="U710">
        <v>1.8632200000000001</v>
      </c>
      <c r="V710">
        <v>0</v>
      </c>
      <c r="W710">
        <v>0</v>
      </c>
      <c r="X710">
        <v>1.80566</v>
      </c>
      <c r="Y710">
        <v>1.80566</v>
      </c>
      <c r="Z710">
        <v>0</v>
      </c>
      <c r="AA710">
        <v>1.3615699999999999</v>
      </c>
      <c r="AB710">
        <v>2.9635199999999999</v>
      </c>
      <c r="AC710" s="2">
        <v>298559000</v>
      </c>
      <c r="AD710" s="1">
        <v>0</v>
      </c>
      <c r="AE710" s="1">
        <v>0</v>
      </c>
      <c r="AF710" s="1">
        <v>0</v>
      </c>
      <c r="AG710" s="1">
        <v>0</v>
      </c>
      <c r="AH710" s="2">
        <v>4671670</v>
      </c>
      <c r="AI710" s="1">
        <v>152279</v>
      </c>
      <c r="AJ710" s="1">
        <v>0</v>
      </c>
      <c r="AK710" s="8">
        <f t="shared" si="43"/>
        <v>33</v>
      </c>
      <c r="AL710" s="8">
        <f t="shared" si="46"/>
        <v>14</v>
      </c>
      <c r="AM710">
        <f t="shared" si="44"/>
        <v>0</v>
      </c>
      <c r="AN710">
        <f t="shared" si="45"/>
        <v>0</v>
      </c>
    </row>
    <row r="711" spans="1:40" x14ac:dyDescent="0.35">
      <c r="A711">
        <v>76.438199999999995</v>
      </c>
      <c r="B711">
        <v>85.138999999999996</v>
      </c>
      <c r="C711">
        <v>1.6978800000000001</v>
      </c>
      <c r="D711">
        <v>0</v>
      </c>
      <c r="E711">
        <v>0</v>
      </c>
      <c r="F711">
        <v>2.9677500000000001</v>
      </c>
      <c r="G711">
        <v>2.9677500000000001</v>
      </c>
      <c r="H711">
        <v>0</v>
      </c>
      <c r="I711">
        <v>0.55607200000000001</v>
      </c>
      <c r="J711">
        <v>5.3222399999999999</v>
      </c>
      <c r="K711" s="2">
        <v>99773400</v>
      </c>
      <c r="L711" s="1">
        <v>0</v>
      </c>
      <c r="M711" s="1">
        <v>0</v>
      </c>
      <c r="N711" s="1">
        <v>0</v>
      </c>
      <c r="O711" s="1">
        <v>0</v>
      </c>
      <c r="P711" s="2">
        <v>4436720</v>
      </c>
      <c r="Q711" s="1">
        <v>305091</v>
      </c>
      <c r="R711" s="1">
        <v>0</v>
      </c>
      <c r="S711">
        <v>98.187399999999997</v>
      </c>
      <c r="T711">
        <v>98.274000000000001</v>
      </c>
      <c r="U711">
        <v>1.92581</v>
      </c>
      <c r="V711">
        <v>0</v>
      </c>
      <c r="W711">
        <v>0</v>
      </c>
      <c r="X711">
        <v>1.8059400000000001</v>
      </c>
      <c r="Y711">
        <v>1.8059400000000001</v>
      </c>
      <c r="Z711">
        <v>0</v>
      </c>
      <c r="AA711">
        <v>1.3950499999999999</v>
      </c>
      <c r="AB711">
        <v>2.9635199999999999</v>
      </c>
      <c r="AC711" s="2">
        <v>298711000</v>
      </c>
      <c r="AD711" s="1">
        <v>0</v>
      </c>
      <c r="AE711" s="1">
        <v>0</v>
      </c>
      <c r="AF711" s="1">
        <v>0</v>
      </c>
      <c r="AG711" s="1">
        <v>0</v>
      </c>
      <c r="AH711" s="2">
        <v>4672390</v>
      </c>
      <c r="AI711" s="1">
        <v>152302</v>
      </c>
      <c r="AJ711" s="1">
        <v>0</v>
      </c>
      <c r="AK711" s="8">
        <f t="shared" si="43"/>
        <v>34</v>
      </c>
      <c r="AL711" s="8">
        <f t="shared" si="46"/>
        <v>14</v>
      </c>
      <c r="AM711">
        <f t="shared" si="44"/>
        <v>0</v>
      </c>
      <c r="AN711">
        <f t="shared" si="45"/>
        <v>0</v>
      </c>
    </row>
    <row r="712" spans="1:40" x14ac:dyDescent="0.35">
      <c r="A712">
        <v>75.002499999999998</v>
      </c>
      <c r="B712">
        <v>85.138999999999996</v>
      </c>
      <c r="C712">
        <v>1.57528</v>
      </c>
      <c r="D712">
        <v>0</v>
      </c>
      <c r="E712">
        <v>0</v>
      </c>
      <c r="F712">
        <v>2.96821</v>
      </c>
      <c r="G712">
        <v>2.96821</v>
      </c>
      <c r="H712">
        <v>0</v>
      </c>
      <c r="I712">
        <v>0.55615700000000001</v>
      </c>
      <c r="J712">
        <v>5.3222399999999999</v>
      </c>
      <c r="K712" s="2">
        <v>100079000</v>
      </c>
      <c r="L712" s="1">
        <v>0</v>
      </c>
      <c r="M712" s="1">
        <v>0</v>
      </c>
      <c r="N712" s="1">
        <v>0</v>
      </c>
      <c r="O712" s="1">
        <v>0</v>
      </c>
      <c r="P712" s="2">
        <v>4437400</v>
      </c>
      <c r="Q712" s="1">
        <v>305138</v>
      </c>
      <c r="R712" s="1">
        <v>0</v>
      </c>
      <c r="S712">
        <v>97.709000000000003</v>
      </c>
      <c r="T712">
        <v>98.274000000000001</v>
      </c>
      <c r="U712">
        <v>1.84226</v>
      </c>
      <c r="V712">
        <v>0</v>
      </c>
      <c r="W712">
        <v>0</v>
      </c>
      <c r="X712">
        <v>1.8062100000000001</v>
      </c>
      <c r="Y712">
        <v>1.8062100000000001</v>
      </c>
      <c r="Z712">
        <v>0</v>
      </c>
      <c r="AA712">
        <v>1.39527</v>
      </c>
      <c r="AB712">
        <v>2.9635199999999999</v>
      </c>
      <c r="AC712" s="2">
        <v>298864000</v>
      </c>
      <c r="AD712" s="1">
        <v>0</v>
      </c>
      <c r="AE712" s="1">
        <v>0</v>
      </c>
      <c r="AF712" s="1">
        <v>0</v>
      </c>
      <c r="AG712" s="1">
        <v>0</v>
      </c>
      <c r="AH712" s="2">
        <v>4673100</v>
      </c>
      <c r="AI712" s="1">
        <v>152325</v>
      </c>
      <c r="AJ712" s="1">
        <v>0</v>
      </c>
      <c r="AK712" s="8">
        <f t="shared" ref="AK712:AK775" si="47">IF(AK711=52, 1, AK711+1)</f>
        <v>35</v>
      </c>
      <c r="AL712" s="8">
        <f t="shared" si="46"/>
        <v>14</v>
      </c>
      <c r="AM712">
        <f t="shared" si="44"/>
        <v>0</v>
      </c>
      <c r="AN712">
        <f t="shared" si="45"/>
        <v>0</v>
      </c>
    </row>
    <row r="713" spans="1:40" x14ac:dyDescent="0.35">
      <c r="A713">
        <v>73.443899999999999</v>
      </c>
      <c r="B713">
        <v>85.138999999999996</v>
      </c>
      <c r="C713">
        <v>1.43431</v>
      </c>
      <c r="D713">
        <v>0</v>
      </c>
      <c r="E713">
        <v>0</v>
      </c>
      <c r="F713">
        <v>2.9686599999999999</v>
      </c>
      <c r="G713">
        <v>2.9686599999999999</v>
      </c>
      <c r="H713">
        <v>0</v>
      </c>
      <c r="I713">
        <v>0.55624200000000001</v>
      </c>
      <c r="J713">
        <v>5.3222399999999999</v>
      </c>
      <c r="K713" s="2">
        <v>100384000</v>
      </c>
      <c r="L713" s="1">
        <v>0</v>
      </c>
      <c r="M713" s="1">
        <v>0</v>
      </c>
      <c r="N713" s="1">
        <v>0</v>
      </c>
      <c r="O713" s="1">
        <v>0</v>
      </c>
      <c r="P713" s="2">
        <v>4438070</v>
      </c>
      <c r="Q713" s="1">
        <v>305184</v>
      </c>
      <c r="R713" s="1">
        <v>0</v>
      </c>
      <c r="S713">
        <v>97.605599999999995</v>
      </c>
      <c r="T713">
        <v>98.274000000000001</v>
      </c>
      <c r="U713">
        <v>1.63432</v>
      </c>
      <c r="V713">
        <v>0</v>
      </c>
      <c r="W713">
        <v>0</v>
      </c>
      <c r="X713">
        <v>1.8064899999999999</v>
      </c>
      <c r="Y713">
        <v>1.8064899999999999</v>
      </c>
      <c r="Z713">
        <v>0</v>
      </c>
      <c r="AA713">
        <v>1.3954800000000001</v>
      </c>
      <c r="AB713">
        <v>2.9635199999999999</v>
      </c>
      <c r="AC713" s="2">
        <v>299016000</v>
      </c>
      <c r="AD713" s="1">
        <v>0</v>
      </c>
      <c r="AE713" s="1">
        <v>0</v>
      </c>
      <c r="AF713" s="1">
        <v>0</v>
      </c>
      <c r="AG713" s="1">
        <v>0</v>
      </c>
      <c r="AH713" s="2">
        <v>4673820</v>
      </c>
      <c r="AI713" s="1">
        <v>152348</v>
      </c>
      <c r="AJ713" s="1">
        <v>0</v>
      </c>
      <c r="AK713" s="8">
        <f t="shared" si="47"/>
        <v>36</v>
      </c>
      <c r="AL713" s="8">
        <f t="shared" si="46"/>
        <v>14</v>
      </c>
      <c r="AM713">
        <f t="shared" si="44"/>
        <v>0</v>
      </c>
      <c r="AN713">
        <f t="shared" si="45"/>
        <v>0</v>
      </c>
    </row>
    <row r="714" spans="1:40" x14ac:dyDescent="0.35">
      <c r="A714">
        <v>71.953999999999994</v>
      </c>
      <c r="B714">
        <v>85.138999999999996</v>
      </c>
      <c r="C714">
        <v>1.6586000000000001</v>
      </c>
      <c r="D714">
        <v>0</v>
      </c>
      <c r="E714">
        <v>0</v>
      </c>
      <c r="F714">
        <v>3.1674099999999998</v>
      </c>
      <c r="G714">
        <v>3.1674099999999998</v>
      </c>
      <c r="H714">
        <v>0</v>
      </c>
      <c r="I714">
        <v>0.55632700000000002</v>
      </c>
      <c r="J714">
        <v>5.3222399999999999</v>
      </c>
      <c r="K714" s="2">
        <v>100709000</v>
      </c>
      <c r="L714" s="1">
        <v>0</v>
      </c>
      <c r="M714" s="1">
        <v>0</v>
      </c>
      <c r="N714" s="1">
        <v>0</v>
      </c>
      <c r="O714" s="1">
        <v>0</v>
      </c>
      <c r="P714" s="2">
        <v>4735200</v>
      </c>
      <c r="Q714" s="1">
        <v>325616</v>
      </c>
      <c r="R714" s="1">
        <v>0</v>
      </c>
      <c r="S714">
        <v>97.4024</v>
      </c>
      <c r="T714">
        <v>98.274000000000001</v>
      </c>
      <c r="U714">
        <v>2.2272099999999999</v>
      </c>
      <c r="V714">
        <v>0</v>
      </c>
      <c r="W714">
        <v>0</v>
      </c>
      <c r="X714">
        <v>1.9623200000000001</v>
      </c>
      <c r="Y714">
        <v>1.9623200000000001</v>
      </c>
      <c r="Z714">
        <v>0</v>
      </c>
      <c r="AA714">
        <v>1.3956900000000001</v>
      </c>
      <c r="AB714">
        <v>2.9635199999999999</v>
      </c>
      <c r="AC714" s="2">
        <v>299181000</v>
      </c>
      <c r="AD714" s="1">
        <v>0</v>
      </c>
      <c r="AE714" s="1">
        <v>0</v>
      </c>
      <c r="AF714" s="1">
        <v>0</v>
      </c>
      <c r="AG714" s="1">
        <v>0</v>
      </c>
      <c r="AH714" s="2">
        <v>5076990</v>
      </c>
      <c r="AI714" s="1">
        <v>165490</v>
      </c>
      <c r="AJ714" s="1">
        <v>0</v>
      </c>
      <c r="AK714" s="8">
        <f t="shared" si="47"/>
        <v>37</v>
      </c>
      <c r="AL714" s="8">
        <f t="shared" si="46"/>
        <v>14</v>
      </c>
      <c r="AM714">
        <f t="shared" si="44"/>
        <v>0</v>
      </c>
      <c r="AN714">
        <f t="shared" si="45"/>
        <v>0</v>
      </c>
    </row>
    <row r="715" spans="1:40" x14ac:dyDescent="0.35">
      <c r="A715">
        <v>70.486000000000004</v>
      </c>
      <c r="B715">
        <v>85.138999999999996</v>
      </c>
      <c r="C715">
        <v>1.6809700000000001</v>
      </c>
      <c r="D715">
        <v>0</v>
      </c>
      <c r="E715">
        <v>0</v>
      </c>
      <c r="F715">
        <v>3.1678999999999999</v>
      </c>
      <c r="G715">
        <v>3.1678999999999999</v>
      </c>
      <c r="H715">
        <v>0</v>
      </c>
      <c r="I715">
        <v>0.59357300000000002</v>
      </c>
      <c r="J715">
        <v>5.3222399999999999</v>
      </c>
      <c r="K715" s="2">
        <v>101035000</v>
      </c>
      <c r="L715" s="1">
        <v>0</v>
      </c>
      <c r="M715" s="1">
        <v>0</v>
      </c>
      <c r="N715" s="1">
        <v>0</v>
      </c>
      <c r="O715" s="1">
        <v>0</v>
      </c>
      <c r="P715" s="2">
        <v>4735920</v>
      </c>
      <c r="Q715" s="1">
        <v>325666</v>
      </c>
      <c r="R715" s="1">
        <v>0</v>
      </c>
      <c r="S715">
        <v>97.172899999999998</v>
      </c>
      <c r="T715">
        <v>98.274000000000001</v>
      </c>
      <c r="U715">
        <v>2.16906</v>
      </c>
      <c r="V715">
        <v>0</v>
      </c>
      <c r="W715">
        <v>0</v>
      </c>
      <c r="X715">
        <v>1.96262</v>
      </c>
      <c r="Y715">
        <v>1.96262</v>
      </c>
      <c r="Z715">
        <v>0</v>
      </c>
      <c r="AA715">
        <v>1.5160899999999999</v>
      </c>
      <c r="AB715">
        <v>2.9635199999999999</v>
      </c>
      <c r="AC715" s="2">
        <v>299347000</v>
      </c>
      <c r="AD715" s="1">
        <v>0</v>
      </c>
      <c r="AE715" s="1">
        <v>0</v>
      </c>
      <c r="AF715" s="1">
        <v>0</v>
      </c>
      <c r="AG715" s="1">
        <v>0</v>
      </c>
      <c r="AH715" s="2">
        <v>5077770</v>
      </c>
      <c r="AI715" s="1">
        <v>165516</v>
      </c>
      <c r="AJ715" s="1">
        <v>0</v>
      </c>
      <c r="AK715" s="8">
        <f t="shared" si="47"/>
        <v>38</v>
      </c>
      <c r="AL715" s="8">
        <f t="shared" si="46"/>
        <v>14</v>
      </c>
      <c r="AM715">
        <f t="shared" si="44"/>
        <v>0</v>
      </c>
      <c r="AN715">
        <f t="shared" si="45"/>
        <v>0</v>
      </c>
    </row>
    <row r="716" spans="1:40" x14ac:dyDescent="0.35">
      <c r="A716">
        <v>69.082999999999998</v>
      </c>
      <c r="B716">
        <v>85.138999999999996</v>
      </c>
      <c r="C716">
        <v>1.51023</v>
      </c>
      <c r="D716">
        <v>0.01</v>
      </c>
      <c r="E716">
        <v>0</v>
      </c>
      <c r="F716">
        <v>2.86598</v>
      </c>
      <c r="G716">
        <v>3.16838</v>
      </c>
      <c r="H716">
        <v>0</v>
      </c>
      <c r="I716">
        <v>0.59366399999999997</v>
      </c>
      <c r="J716">
        <v>5.3222399999999999</v>
      </c>
      <c r="K716" s="2">
        <v>100952000</v>
      </c>
      <c r="L716" s="1">
        <v>0</v>
      </c>
      <c r="M716" s="1">
        <v>0</v>
      </c>
      <c r="N716" s="1">
        <v>0</v>
      </c>
      <c r="O716" s="1">
        <v>0</v>
      </c>
      <c r="P716" s="2">
        <v>4284570</v>
      </c>
      <c r="Q716" s="1">
        <v>-82823</v>
      </c>
      <c r="R716" s="1">
        <v>408539</v>
      </c>
      <c r="S716">
        <v>96.867599999999996</v>
      </c>
      <c r="T716">
        <v>98.274000000000001</v>
      </c>
      <c r="U716">
        <v>2.0799799999999999</v>
      </c>
      <c r="V716">
        <v>0</v>
      </c>
      <c r="W716">
        <v>0</v>
      </c>
      <c r="X716">
        <v>2.26532</v>
      </c>
      <c r="Y716">
        <v>1.96292</v>
      </c>
      <c r="Z716">
        <v>0</v>
      </c>
      <c r="AA716">
        <v>1.5163199999999999</v>
      </c>
      <c r="AB716">
        <v>2.9635199999999999</v>
      </c>
      <c r="AC716" s="2">
        <v>300295000</v>
      </c>
      <c r="AD716" s="1">
        <v>0</v>
      </c>
      <c r="AE716" s="1">
        <v>0</v>
      </c>
      <c r="AF716" s="1">
        <v>0</v>
      </c>
      <c r="AG716" s="1">
        <v>0</v>
      </c>
      <c r="AH716" s="2">
        <v>5860930</v>
      </c>
      <c r="AI716" s="1">
        <v>947922</v>
      </c>
      <c r="AJ716" s="1">
        <v>0</v>
      </c>
      <c r="AK716" s="8">
        <f t="shared" si="47"/>
        <v>39</v>
      </c>
      <c r="AL716" s="8">
        <f t="shared" si="46"/>
        <v>14</v>
      </c>
      <c r="AM716">
        <f t="shared" si="44"/>
        <v>0</v>
      </c>
      <c r="AN716">
        <f t="shared" si="45"/>
        <v>0</v>
      </c>
    </row>
    <row r="717" spans="1:40" x14ac:dyDescent="0.35">
      <c r="A717">
        <v>67.721299999999999</v>
      </c>
      <c r="B717">
        <v>85.138999999999996</v>
      </c>
      <c r="C717">
        <v>1.5248200000000001</v>
      </c>
      <c r="D717">
        <v>0.01</v>
      </c>
      <c r="E717">
        <v>0</v>
      </c>
      <c r="F717">
        <v>2.86646</v>
      </c>
      <c r="G717">
        <v>3.16886</v>
      </c>
      <c r="H717">
        <v>0</v>
      </c>
      <c r="I717">
        <v>0.53708500000000003</v>
      </c>
      <c r="J717">
        <v>5.3222399999999999</v>
      </c>
      <c r="K717" s="2">
        <v>100869000</v>
      </c>
      <c r="L717" s="1">
        <v>0</v>
      </c>
      <c r="M717" s="1">
        <v>0</v>
      </c>
      <c r="N717" s="1">
        <v>0</v>
      </c>
      <c r="O717" s="1">
        <v>0</v>
      </c>
      <c r="P717" s="2">
        <v>4285290</v>
      </c>
      <c r="Q717" s="1">
        <v>-82773.100000000006</v>
      </c>
      <c r="R717" s="1">
        <v>408539</v>
      </c>
      <c r="S717">
        <v>96.662000000000006</v>
      </c>
      <c r="T717">
        <v>98.274000000000001</v>
      </c>
      <c r="U717">
        <v>2.2547899999999998</v>
      </c>
      <c r="V717">
        <v>0</v>
      </c>
      <c r="W717">
        <v>0</v>
      </c>
      <c r="X717">
        <v>2.2656200000000002</v>
      </c>
      <c r="Y717">
        <v>1.96322</v>
      </c>
      <c r="Z717">
        <v>0</v>
      </c>
      <c r="AA717">
        <v>1.7501899999999999</v>
      </c>
      <c r="AB717">
        <v>2.9635199999999999</v>
      </c>
      <c r="AC717" s="2">
        <v>301243000</v>
      </c>
      <c r="AD717" s="1">
        <v>0</v>
      </c>
      <c r="AE717" s="1">
        <v>0</v>
      </c>
      <c r="AF717" s="1">
        <v>0</v>
      </c>
      <c r="AG717" s="1">
        <v>0</v>
      </c>
      <c r="AH717" s="2">
        <v>5861700</v>
      </c>
      <c r="AI717" s="1">
        <v>947947</v>
      </c>
      <c r="AJ717" s="1">
        <v>0</v>
      </c>
      <c r="AK717" s="8">
        <f t="shared" si="47"/>
        <v>40</v>
      </c>
      <c r="AL717" s="8">
        <f t="shared" si="46"/>
        <v>14</v>
      </c>
      <c r="AM717">
        <f t="shared" si="44"/>
        <v>0</v>
      </c>
      <c r="AN717">
        <f t="shared" si="45"/>
        <v>0</v>
      </c>
    </row>
    <row r="718" spans="1:40" x14ac:dyDescent="0.35">
      <c r="A718">
        <v>66.421999999999997</v>
      </c>
      <c r="B718">
        <v>85.138999999999996</v>
      </c>
      <c r="C718">
        <v>1.5807800000000001</v>
      </c>
      <c r="D718">
        <v>0.02</v>
      </c>
      <c r="E718">
        <v>0</v>
      </c>
      <c r="F718">
        <v>2.8669500000000001</v>
      </c>
      <c r="G718">
        <v>3.1693500000000001</v>
      </c>
      <c r="H718">
        <v>0</v>
      </c>
      <c r="I718">
        <v>0.53717499999999996</v>
      </c>
      <c r="J718">
        <v>5.3222399999999999</v>
      </c>
      <c r="K718" s="2">
        <v>100787000</v>
      </c>
      <c r="L718" s="1">
        <v>0</v>
      </c>
      <c r="M718" s="1">
        <v>0</v>
      </c>
      <c r="N718" s="1">
        <v>0</v>
      </c>
      <c r="O718" s="1">
        <v>0</v>
      </c>
      <c r="P718" s="2">
        <v>4286020</v>
      </c>
      <c r="Q718" s="1">
        <v>-82723.3</v>
      </c>
      <c r="R718" s="1">
        <v>408539</v>
      </c>
      <c r="S718">
        <v>96.457999999999998</v>
      </c>
      <c r="T718">
        <v>98.274000000000001</v>
      </c>
      <c r="U718">
        <v>2.6208399999999998</v>
      </c>
      <c r="V718">
        <v>0</v>
      </c>
      <c r="W718">
        <v>0</v>
      </c>
      <c r="X718">
        <v>2.2659199999999999</v>
      </c>
      <c r="Y718">
        <v>1.9635199999999999</v>
      </c>
      <c r="Z718">
        <v>0</v>
      </c>
      <c r="AA718">
        <v>1.7504200000000001</v>
      </c>
      <c r="AB718">
        <v>2.9635199999999999</v>
      </c>
      <c r="AC718" s="2">
        <v>302191000</v>
      </c>
      <c r="AD718" s="1">
        <v>0</v>
      </c>
      <c r="AE718" s="1">
        <v>0</v>
      </c>
      <c r="AF718" s="1">
        <v>0</v>
      </c>
      <c r="AG718" s="1">
        <v>0</v>
      </c>
      <c r="AH718" s="2">
        <v>5862480</v>
      </c>
      <c r="AI718" s="1">
        <v>947972</v>
      </c>
      <c r="AJ718" s="1">
        <v>0</v>
      </c>
      <c r="AK718" s="8">
        <f t="shared" si="47"/>
        <v>41</v>
      </c>
      <c r="AL718" s="8">
        <f t="shared" si="46"/>
        <v>14</v>
      </c>
      <c r="AM718">
        <f t="shared" si="44"/>
        <v>0</v>
      </c>
      <c r="AN718">
        <f t="shared" si="45"/>
        <v>0</v>
      </c>
    </row>
    <row r="719" spans="1:40" x14ac:dyDescent="0.35">
      <c r="A719">
        <v>65.336399999999998</v>
      </c>
      <c r="B719">
        <v>85.138999999999996</v>
      </c>
      <c r="C719">
        <v>1.6955100000000001</v>
      </c>
      <c r="D719">
        <v>0.02</v>
      </c>
      <c r="E719">
        <v>0</v>
      </c>
      <c r="F719">
        <v>2.7707199999999998</v>
      </c>
      <c r="G719">
        <v>3.0731199999999999</v>
      </c>
      <c r="H719">
        <v>0</v>
      </c>
      <c r="I719">
        <v>0.53726600000000002</v>
      </c>
      <c r="J719">
        <v>5.3222399999999999</v>
      </c>
      <c r="K719" s="2">
        <v>100694000</v>
      </c>
      <c r="L719" s="1">
        <v>0</v>
      </c>
      <c r="M719" s="1">
        <v>0</v>
      </c>
      <c r="N719" s="1">
        <v>0</v>
      </c>
      <c r="O719" s="1">
        <v>0</v>
      </c>
      <c r="P719" s="2">
        <v>4142160</v>
      </c>
      <c r="Q719" s="1">
        <v>-92615.9</v>
      </c>
      <c r="R719" s="1">
        <v>408539</v>
      </c>
      <c r="S719">
        <v>96.346500000000006</v>
      </c>
      <c r="T719">
        <v>98.274000000000001</v>
      </c>
      <c r="U719">
        <v>2.6716000000000002</v>
      </c>
      <c r="V719">
        <v>0</v>
      </c>
      <c r="W719">
        <v>0</v>
      </c>
      <c r="X719">
        <v>2.1717300000000002</v>
      </c>
      <c r="Y719">
        <v>1.8693299999999999</v>
      </c>
      <c r="Z719">
        <v>0</v>
      </c>
      <c r="AA719">
        <v>1.75065</v>
      </c>
      <c r="AB719">
        <v>2.9635199999999999</v>
      </c>
      <c r="AC719" s="2">
        <v>303131000</v>
      </c>
      <c r="AD719" s="1">
        <v>0</v>
      </c>
      <c r="AE719" s="1">
        <v>0</v>
      </c>
      <c r="AF719" s="1">
        <v>0</v>
      </c>
      <c r="AG719" s="1">
        <v>0</v>
      </c>
      <c r="AH719" s="2">
        <v>5618800</v>
      </c>
      <c r="AI719" s="1">
        <v>940029</v>
      </c>
      <c r="AJ719" s="1">
        <v>0</v>
      </c>
      <c r="AK719" s="8">
        <f t="shared" si="47"/>
        <v>42</v>
      </c>
      <c r="AL719" s="8">
        <f t="shared" si="46"/>
        <v>14</v>
      </c>
      <c r="AM719">
        <f t="shared" si="44"/>
        <v>0</v>
      </c>
      <c r="AN719">
        <f t="shared" si="45"/>
        <v>0</v>
      </c>
    </row>
    <row r="720" spans="1:40" x14ac:dyDescent="0.35">
      <c r="A720">
        <v>64.413899999999998</v>
      </c>
      <c r="B720">
        <v>85.138999999999996</v>
      </c>
      <c r="C720">
        <v>1.8829100000000001</v>
      </c>
      <c r="D720">
        <v>0.02</v>
      </c>
      <c r="E720">
        <v>0</v>
      </c>
      <c r="F720">
        <v>2.7711899999999998</v>
      </c>
      <c r="G720">
        <v>3.0735899999999998</v>
      </c>
      <c r="H720">
        <v>0</v>
      </c>
      <c r="I720">
        <v>0.51923299999999994</v>
      </c>
      <c r="J720">
        <v>5.3222399999999999</v>
      </c>
      <c r="K720" s="2">
        <v>100601000</v>
      </c>
      <c r="L720" s="1">
        <v>0</v>
      </c>
      <c r="M720" s="1">
        <v>0</v>
      </c>
      <c r="N720" s="1">
        <v>0</v>
      </c>
      <c r="O720" s="1">
        <v>0</v>
      </c>
      <c r="P720" s="2">
        <v>4142860</v>
      </c>
      <c r="Q720" s="1">
        <v>-92567.6</v>
      </c>
      <c r="R720" s="1">
        <v>408539</v>
      </c>
      <c r="S720">
        <v>96.227099999999993</v>
      </c>
      <c r="T720">
        <v>98.274000000000001</v>
      </c>
      <c r="U720">
        <v>2.4156900000000001</v>
      </c>
      <c r="V720">
        <v>0</v>
      </c>
      <c r="W720">
        <v>0</v>
      </c>
      <c r="X720">
        <v>2.1720199999999998</v>
      </c>
      <c r="Y720">
        <v>1.8696200000000001</v>
      </c>
      <c r="Z720">
        <v>0</v>
      </c>
      <c r="AA720">
        <v>1.67788</v>
      </c>
      <c r="AB720">
        <v>2.9635199999999999</v>
      </c>
      <c r="AC720" s="2">
        <v>304071000</v>
      </c>
      <c r="AD720" s="1">
        <v>0</v>
      </c>
      <c r="AE720" s="1">
        <v>0</v>
      </c>
      <c r="AF720" s="1">
        <v>0</v>
      </c>
      <c r="AG720" s="1">
        <v>0</v>
      </c>
      <c r="AH720" s="2">
        <v>5619540</v>
      </c>
      <c r="AI720" s="1">
        <v>940053</v>
      </c>
      <c r="AJ720" s="1">
        <v>0</v>
      </c>
      <c r="AK720" s="8">
        <f t="shared" si="47"/>
        <v>43</v>
      </c>
      <c r="AL720" s="8">
        <f t="shared" si="46"/>
        <v>14</v>
      </c>
      <c r="AM720">
        <f t="shared" si="44"/>
        <v>0</v>
      </c>
      <c r="AN720">
        <f t="shared" si="45"/>
        <v>0</v>
      </c>
    </row>
    <row r="721" spans="1:40" x14ac:dyDescent="0.35">
      <c r="A721">
        <v>64.108199999999997</v>
      </c>
      <c r="B721">
        <v>85.138999999999996</v>
      </c>
      <c r="C721">
        <v>2.5207999999999999</v>
      </c>
      <c r="D721">
        <v>0.02</v>
      </c>
      <c r="E721">
        <v>0</v>
      </c>
      <c r="F721">
        <v>2.7716599999999998</v>
      </c>
      <c r="G721">
        <v>3.0740599999999998</v>
      </c>
      <c r="H721">
        <v>0</v>
      </c>
      <c r="I721">
        <v>0.51932100000000003</v>
      </c>
      <c r="J721">
        <v>5.3222399999999999</v>
      </c>
      <c r="K721" s="2">
        <v>100509000</v>
      </c>
      <c r="L721" s="1">
        <v>0</v>
      </c>
      <c r="M721" s="1">
        <v>0</v>
      </c>
      <c r="N721" s="1">
        <v>0</v>
      </c>
      <c r="O721" s="1">
        <v>0</v>
      </c>
      <c r="P721" s="2">
        <v>4143560</v>
      </c>
      <c r="Q721" s="1">
        <v>-92519.2</v>
      </c>
      <c r="R721" s="1">
        <v>408539</v>
      </c>
      <c r="S721">
        <v>96.298299999999998</v>
      </c>
      <c r="T721">
        <v>98.274000000000001</v>
      </c>
      <c r="U721">
        <v>3.1018500000000002</v>
      </c>
      <c r="V721">
        <v>0</v>
      </c>
      <c r="W721">
        <v>0</v>
      </c>
      <c r="X721">
        <v>2.17231</v>
      </c>
      <c r="Y721">
        <v>1.86991</v>
      </c>
      <c r="Z721">
        <v>0</v>
      </c>
      <c r="AA721">
        <v>1.6780999999999999</v>
      </c>
      <c r="AB721">
        <v>2.9635199999999999</v>
      </c>
      <c r="AC721" s="2">
        <v>305011000</v>
      </c>
      <c r="AD721" s="1">
        <v>0</v>
      </c>
      <c r="AE721" s="1">
        <v>0</v>
      </c>
      <c r="AF721" s="1">
        <v>0</v>
      </c>
      <c r="AG721" s="1">
        <v>0</v>
      </c>
      <c r="AH721" s="2">
        <v>5620280</v>
      </c>
      <c r="AI721" s="1">
        <v>940078</v>
      </c>
      <c r="AJ721" s="1">
        <v>0</v>
      </c>
      <c r="AK721" s="8">
        <f t="shared" si="47"/>
        <v>44</v>
      </c>
      <c r="AL721" s="8">
        <f t="shared" si="46"/>
        <v>14</v>
      </c>
      <c r="AM721">
        <f t="shared" si="44"/>
        <v>0</v>
      </c>
      <c r="AN721">
        <f t="shared" si="45"/>
        <v>0</v>
      </c>
    </row>
    <row r="722" spans="1:40" x14ac:dyDescent="0.35">
      <c r="A722">
        <v>64.436800000000005</v>
      </c>
      <c r="B722">
        <v>85.138999999999996</v>
      </c>
      <c r="C722">
        <v>3.2431399999999999</v>
      </c>
      <c r="D722">
        <v>0.02</v>
      </c>
      <c r="E722">
        <v>0</v>
      </c>
      <c r="F722">
        <v>2.7721300000000002</v>
      </c>
      <c r="G722">
        <v>3.0745300000000002</v>
      </c>
      <c r="H722">
        <v>0</v>
      </c>
      <c r="I722">
        <v>0.51940900000000001</v>
      </c>
      <c r="J722">
        <v>5.3222399999999999</v>
      </c>
      <c r="K722" s="2">
        <v>100416000</v>
      </c>
      <c r="L722" s="1">
        <v>0</v>
      </c>
      <c r="M722" s="1">
        <v>0</v>
      </c>
      <c r="N722" s="1">
        <v>0</v>
      </c>
      <c r="O722" s="1">
        <v>0</v>
      </c>
      <c r="P722" s="2">
        <v>4144260</v>
      </c>
      <c r="Q722" s="1">
        <v>-92470.9</v>
      </c>
      <c r="R722" s="1">
        <v>408539</v>
      </c>
      <c r="S722">
        <v>96.86</v>
      </c>
      <c r="T722">
        <v>98.274000000000001</v>
      </c>
      <c r="U722">
        <v>4.6203099999999999</v>
      </c>
      <c r="V722">
        <v>0</v>
      </c>
      <c r="W722">
        <v>0</v>
      </c>
      <c r="X722">
        <v>2.17259</v>
      </c>
      <c r="Y722">
        <v>1.87019</v>
      </c>
      <c r="Z722">
        <v>0</v>
      </c>
      <c r="AA722">
        <v>1.67832</v>
      </c>
      <c r="AB722">
        <v>2.9635199999999999</v>
      </c>
      <c r="AC722" s="2">
        <v>305951000</v>
      </c>
      <c r="AD722" s="1">
        <v>0</v>
      </c>
      <c r="AE722" s="1">
        <v>0</v>
      </c>
      <c r="AF722" s="1">
        <v>0</v>
      </c>
      <c r="AG722" s="1">
        <v>0</v>
      </c>
      <c r="AH722" s="2">
        <v>5621020</v>
      </c>
      <c r="AI722" s="1">
        <v>940102</v>
      </c>
      <c r="AJ722" s="1">
        <v>0</v>
      </c>
      <c r="AK722" s="8">
        <f t="shared" si="47"/>
        <v>45</v>
      </c>
      <c r="AL722" s="8">
        <f t="shared" si="46"/>
        <v>14</v>
      </c>
      <c r="AM722">
        <f t="shared" si="44"/>
        <v>0</v>
      </c>
      <c r="AN722">
        <f t="shared" si="45"/>
        <v>0</v>
      </c>
    </row>
    <row r="723" spans="1:40" x14ac:dyDescent="0.35">
      <c r="A723">
        <v>63.964500000000001</v>
      </c>
      <c r="B723">
        <v>85.138999999999996</v>
      </c>
      <c r="C723">
        <v>2.3795700000000002</v>
      </c>
      <c r="D723">
        <v>0.02</v>
      </c>
      <c r="E723">
        <v>0</v>
      </c>
      <c r="F723">
        <v>2.6931699999999998</v>
      </c>
      <c r="G723">
        <v>2.9955699999999998</v>
      </c>
      <c r="H723">
        <v>0</v>
      </c>
      <c r="I723">
        <v>0.51949699999999999</v>
      </c>
      <c r="J723">
        <v>5.3222399999999999</v>
      </c>
      <c r="K723" s="2">
        <v>100316000</v>
      </c>
      <c r="L723" s="1">
        <v>0</v>
      </c>
      <c r="M723" s="1">
        <v>0</v>
      </c>
      <c r="N723" s="1">
        <v>0</v>
      </c>
      <c r="O723" s="1">
        <v>0</v>
      </c>
      <c r="P723" s="2">
        <v>4026210</v>
      </c>
      <c r="Q723" s="1">
        <v>-100589</v>
      </c>
      <c r="R723" s="1">
        <v>408539</v>
      </c>
      <c r="S723">
        <v>96.915300000000002</v>
      </c>
      <c r="T723">
        <v>98.274000000000001</v>
      </c>
      <c r="U723">
        <v>3.1188899999999999</v>
      </c>
      <c r="V723">
        <v>0</v>
      </c>
      <c r="W723">
        <v>0</v>
      </c>
      <c r="X723">
        <v>2.0868199999999999</v>
      </c>
      <c r="Y723">
        <v>1.7844199999999999</v>
      </c>
      <c r="Z723">
        <v>0</v>
      </c>
      <c r="AA723">
        <v>1.67855</v>
      </c>
      <c r="AB723">
        <v>2.9635199999999999</v>
      </c>
      <c r="AC723" s="2">
        <v>306884000</v>
      </c>
      <c r="AD723" s="1">
        <v>0</v>
      </c>
      <c r="AE723" s="1">
        <v>0</v>
      </c>
      <c r="AF723" s="1">
        <v>0</v>
      </c>
      <c r="AG723" s="1">
        <v>0</v>
      </c>
      <c r="AH723" s="2">
        <v>5399100</v>
      </c>
      <c r="AI723" s="1">
        <v>932868</v>
      </c>
      <c r="AJ723" s="1">
        <v>0</v>
      </c>
      <c r="AK723" s="8">
        <f t="shared" si="47"/>
        <v>46</v>
      </c>
      <c r="AL723" s="8">
        <f t="shared" si="46"/>
        <v>14</v>
      </c>
      <c r="AM723">
        <f t="shared" si="44"/>
        <v>0</v>
      </c>
      <c r="AN723">
        <f t="shared" si="45"/>
        <v>0</v>
      </c>
    </row>
    <row r="724" spans="1:40" x14ac:dyDescent="0.35">
      <c r="A724">
        <v>62.843600000000002</v>
      </c>
      <c r="B724">
        <v>85.138999999999996</v>
      </c>
      <c r="C724">
        <v>1.7464</v>
      </c>
      <c r="D724">
        <v>0.02</v>
      </c>
      <c r="E724">
        <v>0</v>
      </c>
      <c r="F724">
        <v>2.6936200000000001</v>
      </c>
      <c r="G724">
        <v>2.9960200000000001</v>
      </c>
      <c r="H724">
        <v>0</v>
      </c>
      <c r="I724">
        <v>0.50469900000000001</v>
      </c>
      <c r="J724">
        <v>5.3222399999999999</v>
      </c>
      <c r="K724" s="2">
        <v>100215000</v>
      </c>
      <c r="L724" s="1">
        <v>0</v>
      </c>
      <c r="M724" s="1">
        <v>0</v>
      </c>
      <c r="N724" s="1">
        <v>0</v>
      </c>
      <c r="O724" s="1">
        <v>0</v>
      </c>
      <c r="P724" s="2">
        <v>4026900</v>
      </c>
      <c r="Q724" s="1">
        <v>-100541</v>
      </c>
      <c r="R724" s="1">
        <v>408539</v>
      </c>
      <c r="S724">
        <v>96.837299999999999</v>
      </c>
      <c r="T724">
        <v>98.274000000000001</v>
      </c>
      <c r="U724">
        <v>2.8014199999999998</v>
      </c>
      <c r="V724">
        <v>0</v>
      </c>
      <c r="W724">
        <v>0</v>
      </c>
      <c r="X724">
        <v>2.0870899999999999</v>
      </c>
      <c r="Y724">
        <v>1.7846900000000001</v>
      </c>
      <c r="Z724">
        <v>0</v>
      </c>
      <c r="AA724">
        <v>1.6122799999999999</v>
      </c>
      <c r="AB724">
        <v>2.9635199999999999</v>
      </c>
      <c r="AC724" s="2">
        <v>307817000</v>
      </c>
      <c r="AD724" s="1">
        <v>0</v>
      </c>
      <c r="AE724" s="1">
        <v>0</v>
      </c>
      <c r="AF724" s="1">
        <v>0</v>
      </c>
      <c r="AG724" s="1">
        <v>0</v>
      </c>
      <c r="AH724" s="2">
        <v>5399800</v>
      </c>
      <c r="AI724" s="1">
        <v>932891</v>
      </c>
      <c r="AJ724" s="1">
        <v>0</v>
      </c>
      <c r="AK724" s="8">
        <f t="shared" si="47"/>
        <v>47</v>
      </c>
      <c r="AL724" s="8">
        <f t="shared" si="46"/>
        <v>14</v>
      </c>
      <c r="AM724">
        <f t="shared" si="44"/>
        <v>0</v>
      </c>
      <c r="AN724">
        <f t="shared" si="45"/>
        <v>0</v>
      </c>
    </row>
    <row r="725" spans="1:40" x14ac:dyDescent="0.35">
      <c r="A725">
        <v>62.2789</v>
      </c>
      <c r="B725">
        <v>85.138999999999996</v>
      </c>
      <c r="C725">
        <v>2.2424499999999998</v>
      </c>
      <c r="D725">
        <v>0.02</v>
      </c>
      <c r="E725">
        <v>0</v>
      </c>
      <c r="F725">
        <v>2.69408</v>
      </c>
      <c r="G725">
        <v>2.99648</v>
      </c>
      <c r="H725">
        <v>0</v>
      </c>
      <c r="I725">
        <v>0.50478500000000004</v>
      </c>
      <c r="J725">
        <v>5.3222399999999999</v>
      </c>
      <c r="K725" s="2">
        <v>100115000</v>
      </c>
      <c r="L725" s="1">
        <v>0</v>
      </c>
      <c r="M725" s="1">
        <v>0</v>
      </c>
      <c r="N725" s="1">
        <v>0</v>
      </c>
      <c r="O725" s="1">
        <v>0</v>
      </c>
      <c r="P725" s="2">
        <v>4027590</v>
      </c>
      <c r="Q725" s="1">
        <v>-100494</v>
      </c>
      <c r="R725" s="1">
        <v>408539</v>
      </c>
      <c r="S725">
        <v>96.915400000000005</v>
      </c>
      <c r="T725">
        <v>98.274000000000001</v>
      </c>
      <c r="U725">
        <v>3.3661599999999998</v>
      </c>
      <c r="V725">
        <v>0</v>
      </c>
      <c r="W725">
        <v>0</v>
      </c>
      <c r="X725">
        <v>2.0873599999999999</v>
      </c>
      <c r="Y725">
        <v>1.7849600000000001</v>
      </c>
      <c r="Z725">
        <v>0</v>
      </c>
      <c r="AA725">
        <v>1.61249</v>
      </c>
      <c r="AB725">
        <v>2.9635199999999999</v>
      </c>
      <c r="AC725" s="2">
        <v>308750000</v>
      </c>
      <c r="AD725" s="1">
        <v>0</v>
      </c>
      <c r="AE725" s="1">
        <v>0</v>
      </c>
      <c r="AF725" s="1">
        <v>0</v>
      </c>
      <c r="AG725" s="1">
        <v>0</v>
      </c>
      <c r="AH725" s="2">
        <v>5400510</v>
      </c>
      <c r="AI725" s="1">
        <v>932914</v>
      </c>
      <c r="AJ725" s="1">
        <v>0</v>
      </c>
      <c r="AK725" s="8">
        <f t="shared" si="47"/>
        <v>48</v>
      </c>
      <c r="AL725" s="8">
        <f t="shared" si="46"/>
        <v>14</v>
      </c>
      <c r="AM725">
        <f t="shared" si="44"/>
        <v>0</v>
      </c>
      <c r="AN725">
        <f t="shared" si="45"/>
        <v>0</v>
      </c>
    </row>
    <row r="726" spans="1:40" x14ac:dyDescent="0.35">
      <c r="A726">
        <v>68.328100000000006</v>
      </c>
      <c r="B726">
        <v>85.138999999999996</v>
      </c>
      <c r="C726">
        <v>9.0351400000000002</v>
      </c>
      <c r="D726">
        <v>0.02</v>
      </c>
      <c r="E726">
        <v>0</v>
      </c>
      <c r="F726">
        <v>2.6945399999999999</v>
      </c>
      <c r="G726">
        <v>2.9969399999999999</v>
      </c>
      <c r="H726">
        <v>0</v>
      </c>
      <c r="I726">
        <v>0.50487099999999996</v>
      </c>
      <c r="J726">
        <v>5.3222399999999999</v>
      </c>
      <c r="K726" s="2">
        <v>100014000</v>
      </c>
      <c r="L726" s="1">
        <v>0</v>
      </c>
      <c r="M726" s="1">
        <v>0</v>
      </c>
      <c r="N726" s="1">
        <v>0</v>
      </c>
      <c r="O726" s="1">
        <v>0</v>
      </c>
      <c r="P726" s="2">
        <v>4028270</v>
      </c>
      <c r="Q726" s="1">
        <v>-100447</v>
      </c>
      <c r="R726" s="1">
        <v>408539</v>
      </c>
      <c r="S726">
        <v>97.766000000000005</v>
      </c>
      <c r="T726">
        <v>98.274000000000001</v>
      </c>
      <c r="U726">
        <v>5.9149599999999998</v>
      </c>
      <c r="V726">
        <v>0</v>
      </c>
      <c r="W726">
        <v>0</v>
      </c>
      <c r="X726">
        <v>2.0876399999999999</v>
      </c>
      <c r="Y726">
        <v>1.7852399999999999</v>
      </c>
      <c r="Z726">
        <v>0</v>
      </c>
      <c r="AA726">
        <v>1.6127</v>
      </c>
      <c r="AB726">
        <v>2.9635199999999999</v>
      </c>
      <c r="AC726" s="2">
        <v>309683000</v>
      </c>
      <c r="AD726" s="1">
        <v>0</v>
      </c>
      <c r="AE726" s="1">
        <v>0</v>
      </c>
      <c r="AF726" s="1">
        <v>0</v>
      </c>
      <c r="AG726" s="1">
        <v>0</v>
      </c>
      <c r="AH726" s="2">
        <v>5401220</v>
      </c>
      <c r="AI726" s="1">
        <v>932937</v>
      </c>
      <c r="AJ726" s="1">
        <v>0</v>
      </c>
      <c r="AK726" s="8">
        <f t="shared" si="47"/>
        <v>49</v>
      </c>
      <c r="AL726" s="8">
        <f t="shared" si="46"/>
        <v>14</v>
      </c>
      <c r="AM726">
        <f t="shared" si="44"/>
        <v>0</v>
      </c>
      <c r="AN726">
        <f t="shared" si="45"/>
        <v>0</v>
      </c>
    </row>
    <row r="727" spans="1:40" x14ac:dyDescent="0.35">
      <c r="A727">
        <v>70.661900000000003</v>
      </c>
      <c r="B727">
        <v>85.138999999999996</v>
      </c>
      <c r="C727">
        <v>5.1666499999999997</v>
      </c>
      <c r="D727">
        <v>0.02</v>
      </c>
      <c r="E727">
        <v>0</v>
      </c>
      <c r="F727">
        <v>2.4692599999999998</v>
      </c>
      <c r="G727">
        <v>2.7716599999999998</v>
      </c>
      <c r="H727">
        <v>0</v>
      </c>
      <c r="I727">
        <v>0.50495699999999999</v>
      </c>
      <c r="J727">
        <v>5.3222399999999999</v>
      </c>
      <c r="K727" s="2">
        <v>99890800</v>
      </c>
      <c r="L727" s="1">
        <v>0</v>
      </c>
      <c r="M727" s="1">
        <v>0</v>
      </c>
      <c r="N727" s="1">
        <v>0</v>
      </c>
      <c r="O727" s="1">
        <v>0</v>
      </c>
      <c r="P727" s="2">
        <v>3691480</v>
      </c>
      <c r="Q727" s="1">
        <v>-123606</v>
      </c>
      <c r="R727" s="1">
        <v>408539</v>
      </c>
      <c r="S727">
        <v>98.218500000000006</v>
      </c>
      <c r="T727">
        <v>98.274000000000001</v>
      </c>
      <c r="U727">
        <v>4.5514000000000001</v>
      </c>
      <c r="V727">
        <v>0</v>
      </c>
      <c r="W727">
        <v>0</v>
      </c>
      <c r="X727">
        <v>1.90856</v>
      </c>
      <c r="Y727">
        <v>1.60616</v>
      </c>
      <c r="Z727">
        <v>0</v>
      </c>
      <c r="AA727">
        <v>1.6129100000000001</v>
      </c>
      <c r="AB727">
        <v>2.9635199999999999</v>
      </c>
      <c r="AC727" s="2">
        <v>310600000</v>
      </c>
      <c r="AD727" s="1">
        <v>0</v>
      </c>
      <c r="AE727" s="1">
        <v>0</v>
      </c>
      <c r="AF727" s="1">
        <v>0</v>
      </c>
      <c r="AG727" s="1">
        <v>0</v>
      </c>
      <c r="AH727" s="2">
        <v>4937910</v>
      </c>
      <c r="AI727" s="1">
        <v>917835</v>
      </c>
      <c r="AJ727" s="1">
        <v>0</v>
      </c>
      <c r="AK727" s="8">
        <f t="shared" si="47"/>
        <v>50</v>
      </c>
      <c r="AL727" s="8">
        <f t="shared" si="46"/>
        <v>14</v>
      </c>
      <c r="AM727">
        <f t="shared" si="44"/>
        <v>0</v>
      </c>
      <c r="AN727">
        <f t="shared" si="45"/>
        <v>0</v>
      </c>
    </row>
    <row r="728" spans="1:40" x14ac:dyDescent="0.35">
      <c r="A728">
        <v>74.450500000000005</v>
      </c>
      <c r="B728">
        <v>85.138999999999996</v>
      </c>
      <c r="C728">
        <v>6.6230099999999998</v>
      </c>
      <c r="D728">
        <v>0.01</v>
      </c>
      <c r="E728">
        <v>0</v>
      </c>
      <c r="F728">
        <v>2.4696899999999999</v>
      </c>
      <c r="G728">
        <v>2.7720899999999999</v>
      </c>
      <c r="H728">
        <v>0</v>
      </c>
      <c r="I728">
        <v>0.46273999999999998</v>
      </c>
      <c r="J728">
        <v>5.3222399999999999</v>
      </c>
      <c r="K728" s="2">
        <v>99767200</v>
      </c>
      <c r="L728" s="1">
        <v>0</v>
      </c>
      <c r="M728" s="1">
        <v>0</v>
      </c>
      <c r="N728" s="1">
        <v>0</v>
      </c>
      <c r="O728" s="1">
        <v>0</v>
      </c>
      <c r="P728" s="2">
        <v>3692120</v>
      </c>
      <c r="Q728" s="1">
        <v>-123563</v>
      </c>
      <c r="R728" s="1">
        <v>408539</v>
      </c>
      <c r="S728">
        <v>98.675299999999993</v>
      </c>
      <c r="T728">
        <v>98.274000000000001</v>
      </c>
      <c r="U728">
        <v>4.3304200000000002</v>
      </c>
      <c r="V728">
        <v>0</v>
      </c>
      <c r="W728">
        <v>0</v>
      </c>
      <c r="X728">
        <v>1.9088099999999999</v>
      </c>
      <c r="Y728">
        <v>1.6064099999999999</v>
      </c>
      <c r="Z728">
        <v>0</v>
      </c>
      <c r="AA728">
        <v>1.4745600000000001</v>
      </c>
      <c r="AB728">
        <v>2.9635199999999999</v>
      </c>
      <c r="AC728" s="2">
        <v>311518000</v>
      </c>
      <c r="AD728" s="1">
        <v>0</v>
      </c>
      <c r="AE728" s="1">
        <v>0</v>
      </c>
      <c r="AF728" s="1">
        <v>0</v>
      </c>
      <c r="AG728" s="1">
        <v>0</v>
      </c>
      <c r="AH728" s="2">
        <v>4938540</v>
      </c>
      <c r="AI728" s="1">
        <v>917856</v>
      </c>
      <c r="AJ728" s="1">
        <v>0</v>
      </c>
      <c r="AK728" s="8">
        <f t="shared" si="47"/>
        <v>51</v>
      </c>
      <c r="AL728" s="8">
        <f t="shared" si="46"/>
        <v>14</v>
      </c>
      <c r="AM728">
        <f t="shared" si="44"/>
        <v>0</v>
      </c>
      <c r="AN728">
        <f t="shared" si="45"/>
        <v>0</v>
      </c>
    </row>
    <row r="729" spans="1:40" x14ac:dyDescent="0.35">
      <c r="A729">
        <v>81.144900000000007</v>
      </c>
      <c r="B729">
        <v>85.138999999999996</v>
      </c>
      <c r="C729">
        <v>10.060499999999999</v>
      </c>
      <c r="D729">
        <v>0</v>
      </c>
      <c r="E729">
        <v>0</v>
      </c>
      <c r="F729">
        <v>2.77251</v>
      </c>
      <c r="G729">
        <v>2.77251</v>
      </c>
      <c r="H729">
        <v>0</v>
      </c>
      <c r="I729">
        <v>0.46281899999999998</v>
      </c>
      <c r="J729">
        <v>5.3222399999999999</v>
      </c>
      <c r="K729" s="2">
        <v>100052000</v>
      </c>
      <c r="L729" s="1">
        <v>0</v>
      </c>
      <c r="M729" s="1">
        <v>0</v>
      </c>
      <c r="N729" s="1">
        <v>0</v>
      </c>
      <c r="O729" s="1">
        <v>0</v>
      </c>
      <c r="P729" s="2">
        <v>4144830</v>
      </c>
      <c r="Q729" s="1">
        <v>285019</v>
      </c>
      <c r="R729" s="1">
        <v>0</v>
      </c>
      <c r="S729">
        <v>99.302199999999999</v>
      </c>
      <c r="T729">
        <v>98.274000000000001</v>
      </c>
      <c r="U729">
        <v>6.2817100000000003</v>
      </c>
      <c r="V729">
        <v>0</v>
      </c>
      <c r="W729">
        <v>0</v>
      </c>
      <c r="X729">
        <v>1.6066499999999999</v>
      </c>
      <c r="Y729">
        <v>1.6066499999999999</v>
      </c>
      <c r="Z729">
        <v>0</v>
      </c>
      <c r="AA729">
        <v>1.47475</v>
      </c>
      <c r="AB729">
        <v>2.9635199999999999</v>
      </c>
      <c r="AC729" s="2">
        <v>311654000</v>
      </c>
      <c r="AD729" s="1">
        <v>0</v>
      </c>
      <c r="AE729" s="1">
        <v>0</v>
      </c>
      <c r="AF729" s="1">
        <v>0</v>
      </c>
      <c r="AG729" s="1">
        <v>0</v>
      </c>
      <c r="AH729" s="2">
        <v>4156800</v>
      </c>
      <c r="AI729" s="1">
        <v>135496</v>
      </c>
      <c r="AJ729" s="1">
        <v>0</v>
      </c>
      <c r="AK729" s="8">
        <f t="shared" si="47"/>
        <v>52</v>
      </c>
      <c r="AL729" s="8">
        <f t="shared" si="46"/>
        <v>14</v>
      </c>
      <c r="AM729">
        <f t="shared" si="44"/>
        <v>311654000</v>
      </c>
      <c r="AN729">
        <f t="shared" si="45"/>
        <v>100052000</v>
      </c>
    </row>
    <row r="730" spans="1:40" x14ac:dyDescent="0.35">
      <c r="A730">
        <v>85.138999999999996</v>
      </c>
      <c r="B730">
        <v>85.138999999999996</v>
      </c>
      <c r="C730">
        <v>8.6910000000000007</v>
      </c>
      <c r="D730">
        <v>0</v>
      </c>
      <c r="E730">
        <v>0</v>
      </c>
      <c r="F730">
        <v>2.7729300000000001</v>
      </c>
      <c r="G730">
        <v>2.7729300000000001</v>
      </c>
      <c r="H730">
        <v>0</v>
      </c>
      <c r="I730">
        <v>0.51956800000000003</v>
      </c>
      <c r="J730">
        <v>5.3222399999999999</v>
      </c>
      <c r="K730" s="2">
        <v>100337000</v>
      </c>
      <c r="L730" s="1">
        <v>0</v>
      </c>
      <c r="M730" s="1">
        <v>0</v>
      </c>
      <c r="N730" s="1">
        <v>0</v>
      </c>
      <c r="O730" s="1">
        <v>0</v>
      </c>
      <c r="P730" s="2">
        <v>4145470</v>
      </c>
      <c r="Q730" s="1">
        <v>285063</v>
      </c>
      <c r="R730" s="1">
        <v>0</v>
      </c>
      <c r="S730">
        <v>99.302199999999999</v>
      </c>
      <c r="T730">
        <v>98.274000000000001</v>
      </c>
      <c r="U730">
        <v>7.8507300000000004</v>
      </c>
      <c r="V730">
        <v>0</v>
      </c>
      <c r="W730">
        <v>0</v>
      </c>
      <c r="X730">
        <v>1.6069</v>
      </c>
      <c r="Y730">
        <v>1.6069</v>
      </c>
      <c r="Z730">
        <v>0</v>
      </c>
      <c r="AA730">
        <v>1.2413000000000001</v>
      </c>
      <c r="AB730">
        <v>2.9635199999999999</v>
      </c>
      <c r="AC730" s="2">
        <v>311789000</v>
      </c>
      <c r="AD730" s="1">
        <v>0</v>
      </c>
      <c r="AE730" s="1">
        <v>0</v>
      </c>
      <c r="AF730" s="1">
        <v>0</v>
      </c>
      <c r="AG730" s="1">
        <v>0</v>
      </c>
      <c r="AH730" s="2">
        <v>4157430</v>
      </c>
      <c r="AI730" s="1">
        <v>135516</v>
      </c>
      <c r="AJ730" s="1">
        <v>0</v>
      </c>
      <c r="AK730" s="8">
        <f t="shared" si="47"/>
        <v>1</v>
      </c>
      <c r="AL730" s="8">
        <f t="shared" si="46"/>
        <v>15</v>
      </c>
      <c r="AM730">
        <f t="shared" si="44"/>
        <v>0</v>
      </c>
      <c r="AN730">
        <f t="shared" si="45"/>
        <v>0</v>
      </c>
    </row>
    <row r="731" spans="1:40" x14ac:dyDescent="0.35">
      <c r="A731">
        <v>85.138999999999996</v>
      </c>
      <c r="B731">
        <v>85.138999999999996</v>
      </c>
      <c r="C731">
        <v>9.0475300000000001</v>
      </c>
      <c r="D731">
        <v>0</v>
      </c>
      <c r="E731">
        <v>0</v>
      </c>
      <c r="F731">
        <v>2.7733599999999998</v>
      </c>
      <c r="G731">
        <v>2.7733599999999998</v>
      </c>
      <c r="H731">
        <v>0</v>
      </c>
      <c r="I731">
        <v>0.519648</v>
      </c>
      <c r="J731">
        <v>5.3222399999999999</v>
      </c>
      <c r="K731" s="2">
        <v>100622000</v>
      </c>
      <c r="L731" s="1">
        <v>0</v>
      </c>
      <c r="M731" s="1">
        <v>0</v>
      </c>
      <c r="N731" s="1">
        <v>0</v>
      </c>
      <c r="O731" s="1">
        <v>0</v>
      </c>
      <c r="P731" s="2">
        <v>4146100</v>
      </c>
      <c r="Q731" s="1">
        <v>285107</v>
      </c>
      <c r="R731" s="1">
        <v>0</v>
      </c>
      <c r="S731">
        <v>99.302199999999999</v>
      </c>
      <c r="T731">
        <v>98.274000000000001</v>
      </c>
      <c r="U731">
        <v>5.7983399999999996</v>
      </c>
      <c r="V731">
        <v>0</v>
      </c>
      <c r="W731">
        <v>0</v>
      </c>
      <c r="X731">
        <v>1.6071500000000001</v>
      </c>
      <c r="Y731">
        <v>1.6071500000000001</v>
      </c>
      <c r="Z731">
        <v>0</v>
      </c>
      <c r="AA731">
        <v>1.24149</v>
      </c>
      <c r="AB731">
        <v>2.9635199999999999</v>
      </c>
      <c r="AC731" s="2">
        <v>311925000</v>
      </c>
      <c r="AD731" s="1">
        <v>0</v>
      </c>
      <c r="AE731" s="1">
        <v>0</v>
      </c>
      <c r="AF731" s="1">
        <v>0</v>
      </c>
      <c r="AG731" s="1">
        <v>0</v>
      </c>
      <c r="AH731" s="2">
        <v>4158070</v>
      </c>
      <c r="AI731" s="1">
        <v>135537</v>
      </c>
      <c r="AJ731" s="1">
        <v>0</v>
      </c>
      <c r="AK731" s="8">
        <f t="shared" si="47"/>
        <v>2</v>
      </c>
      <c r="AL731" s="8">
        <f t="shared" si="46"/>
        <v>15</v>
      </c>
      <c r="AM731">
        <f t="shared" si="44"/>
        <v>0</v>
      </c>
      <c r="AN731">
        <f t="shared" si="45"/>
        <v>0</v>
      </c>
    </row>
    <row r="732" spans="1:40" x14ac:dyDescent="0.35">
      <c r="A732">
        <v>85.138999999999996</v>
      </c>
      <c r="B732">
        <v>85.138999999999996</v>
      </c>
      <c r="C732">
        <v>7.8916500000000003</v>
      </c>
      <c r="D732">
        <v>0</v>
      </c>
      <c r="E732">
        <v>0</v>
      </c>
      <c r="F732">
        <v>2.8606699999999998</v>
      </c>
      <c r="G732">
        <v>2.8606699999999998</v>
      </c>
      <c r="H732">
        <v>0</v>
      </c>
      <c r="I732">
        <v>0.51972700000000005</v>
      </c>
      <c r="J732">
        <v>5.3222399999999999</v>
      </c>
      <c r="K732" s="2">
        <v>100917000</v>
      </c>
      <c r="L732" s="1">
        <v>0</v>
      </c>
      <c r="M732" s="1">
        <v>0</v>
      </c>
      <c r="N732" s="1">
        <v>0</v>
      </c>
      <c r="O732" s="2">
        <v>29016000</v>
      </c>
      <c r="P732" s="2">
        <v>4276630</v>
      </c>
      <c r="Q732" s="1">
        <v>294082</v>
      </c>
      <c r="R732" s="1">
        <v>0</v>
      </c>
      <c r="S732">
        <v>99.302199999999999</v>
      </c>
      <c r="T732">
        <v>98.274000000000001</v>
      </c>
      <c r="U732">
        <v>7.8115500000000004</v>
      </c>
      <c r="V732">
        <v>0</v>
      </c>
      <c r="W732">
        <v>0</v>
      </c>
      <c r="X732">
        <v>1.6593599999999999</v>
      </c>
      <c r="Y732">
        <v>1.6593599999999999</v>
      </c>
      <c r="Z732">
        <v>0</v>
      </c>
      <c r="AA732">
        <v>1.2416799999999999</v>
      </c>
      <c r="AB732">
        <v>2.9635199999999999</v>
      </c>
      <c r="AC732" s="2">
        <v>312065000</v>
      </c>
      <c r="AD732" s="1">
        <v>0</v>
      </c>
      <c r="AE732" s="1">
        <v>0</v>
      </c>
      <c r="AF732" s="1">
        <v>0</v>
      </c>
      <c r="AG732" s="2">
        <v>7883220</v>
      </c>
      <c r="AH732" s="2">
        <v>4293160</v>
      </c>
      <c r="AI732" s="1">
        <v>139940</v>
      </c>
      <c r="AJ732" s="1">
        <v>0</v>
      </c>
      <c r="AK732" s="8">
        <f t="shared" si="47"/>
        <v>3</v>
      </c>
      <c r="AL732" s="8">
        <f t="shared" si="46"/>
        <v>15</v>
      </c>
      <c r="AM732">
        <f t="shared" si="44"/>
        <v>0</v>
      </c>
      <c r="AN732">
        <f t="shared" si="45"/>
        <v>0</v>
      </c>
    </row>
    <row r="733" spans="1:40" x14ac:dyDescent="0.35">
      <c r="A733">
        <v>85.138999999999996</v>
      </c>
      <c r="B733">
        <v>85.138999999999996</v>
      </c>
      <c r="C733">
        <v>5.6376799999999996</v>
      </c>
      <c r="D733">
        <v>0</v>
      </c>
      <c r="E733">
        <v>0</v>
      </c>
      <c r="F733">
        <v>2.8610899999999999</v>
      </c>
      <c r="G733">
        <v>2.8610899999999999</v>
      </c>
      <c r="H733">
        <v>0</v>
      </c>
      <c r="I733">
        <v>0.53608900000000004</v>
      </c>
      <c r="J733">
        <v>5.3222399999999999</v>
      </c>
      <c r="K733" s="2">
        <v>101211000</v>
      </c>
      <c r="L733" s="1">
        <v>0</v>
      </c>
      <c r="M733" s="1">
        <v>0</v>
      </c>
      <c r="N733" s="1">
        <v>0</v>
      </c>
      <c r="O733" s="1">
        <v>0</v>
      </c>
      <c r="P733" s="2">
        <v>4277250</v>
      </c>
      <c r="Q733" s="1">
        <v>294125</v>
      </c>
      <c r="R733" s="1">
        <v>0</v>
      </c>
      <c r="S733">
        <v>99.302199999999999</v>
      </c>
      <c r="T733">
        <v>98.274000000000001</v>
      </c>
      <c r="U733">
        <v>6.1955499999999999</v>
      </c>
      <c r="V733">
        <v>0</v>
      </c>
      <c r="W733">
        <v>0</v>
      </c>
      <c r="X733">
        <v>1.6596</v>
      </c>
      <c r="Y733">
        <v>1.6596</v>
      </c>
      <c r="Z733">
        <v>0</v>
      </c>
      <c r="AA733">
        <v>1.2820199999999999</v>
      </c>
      <c r="AB733">
        <v>2.9635199999999999</v>
      </c>
      <c r="AC733" s="2">
        <v>312205000</v>
      </c>
      <c r="AD733" s="1">
        <v>0</v>
      </c>
      <c r="AE733" s="1">
        <v>0</v>
      </c>
      <c r="AF733" s="1">
        <v>0</v>
      </c>
      <c r="AG733" s="1">
        <v>0</v>
      </c>
      <c r="AH733" s="2">
        <v>4293790</v>
      </c>
      <c r="AI733" s="1">
        <v>139961</v>
      </c>
      <c r="AJ733" s="1">
        <v>0</v>
      </c>
      <c r="AK733" s="8">
        <f t="shared" si="47"/>
        <v>4</v>
      </c>
      <c r="AL733" s="8">
        <f t="shared" si="46"/>
        <v>15</v>
      </c>
      <c r="AM733">
        <f t="shared" si="44"/>
        <v>0</v>
      </c>
      <c r="AN733">
        <f t="shared" si="45"/>
        <v>0</v>
      </c>
    </row>
    <row r="734" spans="1:40" x14ac:dyDescent="0.35">
      <c r="A734">
        <v>85.138999999999996</v>
      </c>
      <c r="B734">
        <v>85.138999999999996</v>
      </c>
      <c r="C734">
        <v>10.02</v>
      </c>
      <c r="D734">
        <v>0</v>
      </c>
      <c r="E734">
        <v>0</v>
      </c>
      <c r="F734">
        <v>2.86151</v>
      </c>
      <c r="G734">
        <v>2.86151</v>
      </c>
      <c r="H734">
        <v>0</v>
      </c>
      <c r="I734">
        <v>0.53616799999999998</v>
      </c>
      <c r="J734">
        <v>5.3222399999999999</v>
      </c>
      <c r="K734" s="2">
        <v>101505000</v>
      </c>
      <c r="L734" s="1">
        <v>0</v>
      </c>
      <c r="M734" s="1">
        <v>0</v>
      </c>
      <c r="N734" s="1">
        <v>0</v>
      </c>
      <c r="O734" s="1">
        <v>0</v>
      </c>
      <c r="P734" s="2">
        <v>4277880</v>
      </c>
      <c r="Q734" s="1">
        <v>294168</v>
      </c>
      <c r="R734" s="1">
        <v>0</v>
      </c>
      <c r="S734">
        <v>99.302199999999999</v>
      </c>
      <c r="T734">
        <v>98.274000000000001</v>
      </c>
      <c r="U734">
        <v>13.8118</v>
      </c>
      <c r="V734">
        <v>0</v>
      </c>
      <c r="W734">
        <v>0</v>
      </c>
      <c r="X734">
        <v>1.65985</v>
      </c>
      <c r="Y734">
        <v>1.65985</v>
      </c>
      <c r="Z734">
        <v>0</v>
      </c>
      <c r="AA734">
        <v>1.2822100000000001</v>
      </c>
      <c r="AB734">
        <v>2.9635199999999999</v>
      </c>
      <c r="AC734" s="2">
        <v>312345000</v>
      </c>
      <c r="AD734" s="1">
        <v>0</v>
      </c>
      <c r="AE734" s="1">
        <v>0</v>
      </c>
      <c r="AF734" s="1">
        <v>0</v>
      </c>
      <c r="AG734" s="1">
        <v>0</v>
      </c>
      <c r="AH734" s="2">
        <v>4294420</v>
      </c>
      <c r="AI734" s="1">
        <v>139981</v>
      </c>
      <c r="AJ734" s="1">
        <v>0</v>
      </c>
      <c r="AK734" s="8">
        <f t="shared" si="47"/>
        <v>5</v>
      </c>
      <c r="AL734" s="8">
        <f t="shared" si="46"/>
        <v>15</v>
      </c>
      <c r="AM734">
        <f t="shared" si="44"/>
        <v>0</v>
      </c>
      <c r="AN734">
        <f t="shared" si="45"/>
        <v>0</v>
      </c>
    </row>
    <row r="735" spans="1:40" x14ac:dyDescent="0.35">
      <c r="A735">
        <v>85.138999999999996</v>
      </c>
      <c r="B735">
        <v>85.138999999999996</v>
      </c>
      <c r="C735">
        <v>6.8671699999999998</v>
      </c>
      <c r="D735">
        <v>0</v>
      </c>
      <c r="E735">
        <v>0</v>
      </c>
      <c r="F735">
        <v>2.86192</v>
      </c>
      <c r="G735">
        <v>2.86192</v>
      </c>
      <c r="H735">
        <v>0</v>
      </c>
      <c r="I735">
        <v>0.536246</v>
      </c>
      <c r="J735">
        <v>5.3222399999999999</v>
      </c>
      <c r="K735" s="2">
        <v>101799000</v>
      </c>
      <c r="L735" s="1">
        <v>0</v>
      </c>
      <c r="M735" s="1">
        <v>0</v>
      </c>
      <c r="N735" s="1">
        <v>0</v>
      </c>
      <c r="O735" s="1">
        <v>0</v>
      </c>
      <c r="P735" s="2">
        <v>4278500</v>
      </c>
      <c r="Q735" s="1">
        <v>294211</v>
      </c>
      <c r="R735" s="1">
        <v>0</v>
      </c>
      <c r="S735">
        <v>99.302199999999999</v>
      </c>
      <c r="T735">
        <v>98.274000000000001</v>
      </c>
      <c r="U735">
        <v>10.264699999999999</v>
      </c>
      <c r="V735">
        <v>0</v>
      </c>
      <c r="W735">
        <v>0</v>
      </c>
      <c r="X735">
        <v>1.6600900000000001</v>
      </c>
      <c r="Y735">
        <v>1.6600900000000001</v>
      </c>
      <c r="Z735">
        <v>0</v>
      </c>
      <c r="AA735">
        <v>1.2824</v>
      </c>
      <c r="AB735">
        <v>2.9635199999999999</v>
      </c>
      <c r="AC735" s="2">
        <v>312485000</v>
      </c>
      <c r="AD735" s="1">
        <v>0</v>
      </c>
      <c r="AE735" s="1">
        <v>0</v>
      </c>
      <c r="AF735" s="1">
        <v>0</v>
      </c>
      <c r="AG735" s="1">
        <v>0</v>
      </c>
      <c r="AH735" s="2">
        <v>4295040</v>
      </c>
      <c r="AI735" s="1">
        <v>140002</v>
      </c>
      <c r="AJ735" s="1">
        <v>0</v>
      </c>
      <c r="AK735" s="8">
        <f t="shared" si="47"/>
        <v>6</v>
      </c>
      <c r="AL735" s="8">
        <f t="shared" si="46"/>
        <v>15</v>
      </c>
      <c r="AM735">
        <f t="shared" si="44"/>
        <v>0</v>
      </c>
      <c r="AN735">
        <f t="shared" si="45"/>
        <v>0</v>
      </c>
    </row>
    <row r="736" spans="1:40" x14ac:dyDescent="0.35">
      <c r="A736">
        <v>85.138999999999996</v>
      </c>
      <c r="B736">
        <v>85.138999999999996</v>
      </c>
      <c r="C736">
        <v>5.1924799999999998</v>
      </c>
      <c r="D736">
        <v>0</v>
      </c>
      <c r="E736">
        <v>0</v>
      </c>
      <c r="F736">
        <v>3.1415299999999999</v>
      </c>
      <c r="G736">
        <v>3.1415299999999999</v>
      </c>
      <c r="H736">
        <v>0</v>
      </c>
      <c r="I736">
        <v>0.53632500000000005</v>
      </c>
      <c r="J736">
        <v>5.3222399999999999</v>
      </c>
      <c r="K736" s="2">
        <v>102122000</v>
      </c>
      <c r="L736" s="1">
        <v>0</v>
      </c>
      <c r="M736" s="1">
        <v>0</v>
      </c>
      <c r="N736" s="1">
        <v>0</v>
      </c>
      <c r="O736" s="1">
        <v>0</v>
      </c>
      <c r="P736" s="2">
        <v>4696510</v>
      </c>
      <c r="Q736" s="1">
        <v>322955</v>
      </c>
      <c r="R736" s="1">
        <v>0</v>
      </c>
      <c r="S736">
        <v>99.302199999999999</v>
      </c>
      <c r="T736">
        <v>98.274000000000001</v>
      </c>
      <c r="U736">
        <v>6.6310900000000004</v>
      </c>
      <c r="V736">
        <v>0</v>
      </c>
      <c r="W736">
        <v>0</v>
      </c>
      <c r="X736">
        <v>1.85555</v>
      </c>
      <c r="Y736">
        <v>1.85555</v>
      </c>
      <c r="Z736">
        <v>0</v>
      </c>
      <c r="AA736">
        <v>1.2825800000000001</v>
      </c>
      <c r="AB736">
        <v>2.9635199999999999</v>
      </c>
      <c r="AC736" s="2">
        <v>312641000</v>
      </c>
      <c r="AD736" s="1">
        <v>0</v>
      </c>
      <c r="AE736" s="1">
        <v>0</v>
      </c>
      <c r="AF736" s="1">
        <v>0</v>
      </c>
      <c r="AG736" s="1">
        <v>0</v>
      </c>
      <c r="AH736" s="2">
        <v>4800750</v>
      </c>
      <c r="AI736" s="1">
        <v>156486</v>
      </c>
      <c r="AJ736" s="1">
        <v>0</v>
      </c>
      <c r="AK736" s="8">
        <f t="shared" si="47"/>
        <v>7</v>
      </c>
      <c r="AL736" s="8">
        <f t="shared" si="46"/>
        <v>15</v>
      </c>
      <c r="AM736">
        <f t="shared" si="44"/>
        <v>0</v>
      </c>
      <c r="AN736">
        <f t="shared" si="45"/>
        <v>0</v>
      </c>
    </row>
    <row r="737" spans="1:40" x14ac:dyDescent="0.35">
      <c r="A737">
        <v>85.138999999999996</v>
      </c>
      <c r="B737">
        <v>85.138999999999996</v>
      </c>
      <c r="C737">
        <v>6.3659999999999997</v>
      </c>
      <c r="D737">
        <v>0</v>
      </c>
      <c r="E737">
        <v>0</v>
      </c>
      <c r="F737">
        <v>3.1419899999999998</v>
      </c>
      <c r="G737">
        <v>3.1419899999999998</v>
      </c>
      <c r="H737">
        <v>0</v>
      </c>
      <c r="I737">
        <v>0.588723</v>
      </c>
      <c r="J737">
        <v>5.3222399999999999</v>
      </c>
      <c r="K737" s="2">
        <v>102445000</v>
      </c>
      <c r="L737" s="1">
        <v>0</v>
      </c>
      <c r="M737" s="1">
        <v>0</v>
      </c>
      <c r="N737" s="1">
        <v>0</v>
      </c>
      <c r="O737" s="1">
        <v>0</v>
      </c>
      <c r="P737" s="2">
        <v>4697190</v>
      </c>
      <c r="Q737" s="1">
        <v>323003</v>
      </c>
      <c r="R737" s="1">
        <v>0</v>
      </c>
      <c r="S737">
        <v>99.302199999999999</v>
      </c>
      <c r="T737">
        <v>98.274000000000001</v>
      </c>
      <c r="U737">
        <v>8.2821200000000008</v>
      </c>
      <c r="V737">
        <v>0</v>
      </c>
      <c r="W737">
        <v>0</v>
      </c>
      <c r="X737">
        <v>1.85582</v>
      </c>
      <c r="Y737">
        <v>1.85582</v>
      </c>
      <c r="Z737">
        <v>0</v>
      </c>
      <c r="AA737">
        <v>1.4336</v>
      </c>
      <c r="AB737">
        <v>2.9635199999999999</v>
      </c>
      <c r="AC737" s="2">
        <v>312798000</v>
      </c>
      <c r="AD737" s="1">
        <v>0</v>
      </c>
      <c r="AE737" s="1">
        <v>0</v>
      </c>
      <c r="AF737" s="1">
        <v>0</v>
      </c>
      <c r="AG737" s="1">
        <v>0</v>
      </c>
      <c r="AH737" s="2">
        <v>4801450</v>
      </c>
      <c r="AI737" s="1">
        <v>156509</v>
      </c>
      <c r="AJ737" s="1">
        <v>0</v>
      </c>
      <c r="AK737" s="8">
        <f t="shared" si="47"/>
        <v>8</v>
      </c>
      <c r="AL737" s="8">
        <f t="shared" si="46"/>
        <v>15</v>
      </c>
      <c r="AM737">
        <f t="shared" si="44"/>
        <v>0</v>
      </c>
      <c r="AN737">
        <f t="shared" si="45"/>
        <v>0</v>
      </c>
    </row>
    <row r="738" spans="1:40" x14ac:dyDescent="0.35">
      <c r="A738">
        <v>85.138999999999996</v>
      </c>
      <c r="B738">
        <v>85.138999999999996</v>
      </c>
      <c r="C738">
        <v>6.7926599999999997</v>
      </c>
      <c r="D738">
        <v>0</v>
      </c>
      <c r="E738">
        <v>0</v>
      </c>
      <c r="F738">
        <v>3.1424500000000002</v>
      </c>
      <c r="G738">
        <v>3.1424500000000002</v>
      </c>
      <c r="H738">
        <v>0</v>
      </c>
      <c r="I738">
        <v>0.58880900000000003</v>
      </c>
      <c r="J738">
        <v>5.3222399999999999</v>
      </c>
      <c r="K738" s="2">
        <v>102768000</v>
      </c>
      <c r="L738" s="1">
        <v>0</v>
      </c>
      <c r="M738" s="1">
        <v>0</v>
      </c>
      <c r="N738" s="1">
        <v>0</v>
      </c>
      <c r="O738" s="1">
        <v>0</v>
      </c>
      <c r="P738" s="2">
        <v>4697880</v>
      </c>
      <c r="Q738" s="1">
        <v>323050</v>
      </c>
      <c r="R738" s="1">
        <v>0</v>
      </c>
      <c r="S738">
        <v>99.302199999999999</v>
      </c>
      <c r="T738">
        <v>98.274000000000001</v>
      </c>
      <c r="U738">
        <v>9.9942299999999999</v>
      </c>
      <c r="V738">
        <v>0</v>
      </c>
      <c r="W738">
        <v>0</v>
      </c>
      <c r="X738">
        <v>1.85609</v>
      </c>
      <c r="Y738">
        <v>1.85609</v>
      </c>
      <c r="Z738">
        <v>0</v>
      </c>
      <c r="AA738">
        <v>1.43381</v>
      </c>
      <c r="AB738">
        <v>2.9635199999999999</v>
      </c>
      <c r="AC738" s="2">
        <v>312954000</v>
      </c>
      <c r="AD738" s="1">
        <v>0</v>
      </c>
      <c r="AE738" s="1">
        <v>0</v>
      </c>
      <c r="AF738" s="1">
        <v>0</v>
      </c>
      <c r="AG738" s="1">
        <v>0</v>
      </c>
      <c r="AH738" s="2">
        <v>4802160</v>
      </c>
      <c r="AI738" s="1">
        <v>156532</v>
      </c>
      <c r="AJ738" s="1">
        <v>0</v>
      </c>
      <c r="AK738" s="8">
        <f t="shared" si="47"/>
        <v>9</v>
      </c>
      <c r="AL738" s="8">
        <f t="shared" si="46"/>
        <v>15</v>
      </c>
      <c r="AM738">
        <f t="shared" si="44"/>
        <v>0</v>
      </c>
      <c r="AN738">
        <f t="shared" si="45"/>
        <v>0</v>
      </c>
    </row>
    <row r="739" spans="1:40" x14ac:dyDescent="0.35">
      <c r="A739">
        <v>85.138999999999996</v>
      </c>
      <c r="B739">
        <v>85.138999999999996</v>
      </c>
      <c r="C739">
        <v>4.7095599999999997</v>
      </c>
      <c r="D739">
        <v>0</v>
      </c>
      <c r="E739">
        <v>0</v>
      </c>
      <c r="F739">
        <v>3.1429100000000001</v>
      </c>
      <c r="G739">
        <v>3.1429100000000001</v>
      </c>
      <c r="H739">
        <v>0</v>
      </c>
      <c r="I739">
        <v>0.58889499999999995</v>
      </c>
      <c r="J739">
        <v>5.3222399999999999</v>
      </c>
      <c r="K739" s="2">
        <v>103091000</v>
      </c>
      <c r="L739" s="1">
        <v>0</v>
      </c>
      <c r="M739" s="1">
        <v>0</v>
      </c>
      <c r="N739" s="1">
        <v>0</v>
      </c>
      <c r="O739" s="1">
        <v>0</v>
      </c>
      <c r="P739" s="2">
        <v>4698570</v>
      </c>
      <c r="Q739" s="1">
        <v>323097</v>
      </c>
      <c r="R739" s="1">
        <v>0</v>
      </c>
      <c r="S739">
        <v>99.302199999999999</v>
      </c>
      <c r="T739">
        <v>98.274000000000001</v>
      </c>
      <c r="U739">
        <v>5.1453800000000003</v>
      </c>
      <c r="V739">
        <v>0</v>
      </c>
      <c r="W739">
        <v>0</v>
      </c>
      <c r="X739">
        <v>1.85636</v>
      </c>
      <c r="Y739">
        <v>1.85636</v>
      </c>
      <c r="Z739">
        <v>0</v>
      </c>
      <c r="AA739">
        <v>1.4340200000000001</v>
      </c>
      <c r="AB739">
        <v>2.9635199999999999</v>
      </c>
      <c r="AC739" s="2">
        <v>313111000</v>
      </c>
      <c r="AD739" s="1">
        <v>0</v>
      </c>
      <c r="AE739" s="1">
        <v>0</v>
      </c>
      <c r="AF739" s="1">
        <v>0</v>
      </c>
      <c r="AG739" s="1">
        <v>0</v>
      </c>
      <c r="AH739" s="2">
        <v>4802860</v>
      </c>
      <c r="AI739" s="1">
        <v>156555</v>
      </c>
      <c r="AJ739" s="1">
        <v>0</v>
      </c>
      <c r="AK739" s="8">
        <f t="shared" si="47"/>
        <v>10</v>
      </c>
      <c r="AL739" s="8">
        <f t="shared" si="46"/>
        <v>15</v>
      </c>
      <c r="AM739">
        <f t="shared" si="44"/>
        <v>0</v>
      </c>
      <c r="AN739">
        <f t="shared" si="45"/>
        <v>0</v>
      </c>
    </row>
    <row r="740" spans="1:40" x14ac:dyDescent="0.35">
      <c r="A740">
        <v>85.138999999999996</v>
      </c>
      <c r="B740">
        <v>85.138999999999996</v>
      </c>
      <c r="C740">
        <v>6.1656700000000004</v>
      </c>
      <c r="D740">
        <v>0</v>
      </c>
      <c r="E740">
        <v>0</v>
      </c>
      <c r="F740">
        <v>2.7449300000000001</v>
      </c>
      <c r="G740">
        <v>2.7449300000000001</v>
      </c>
      <c r="H740">
        <v>0</v>
      </c>
      <c r="I740">
        <v>0.58898099999999998</v>
      </c>
      <c r="J740">
        <v>5.3222399999999999</v>
      </c>
      <c r="K740" s="2">
        <v>103373000</v>
      </c>
      <c r="L740" s="1">
        <v>0</v>
      </c>
      <c r="M740" s="1">
        <v>0</v>
      </c>
      <c r="N740" s="1">
        <v>0</v>
      </c>
      <c r="O740" s="1">
        <v>0</v>
      </c>
      <c r="P740" s="2">
        <v>4103590</v>
      </c>
      <c r="Q740" s="1">
        <v>282184</v>
      </c>
      <c r="R740" s="1">
        <v>0</v>
      </c>
      <c r="S740">
        <v>99.302199999999999</v>
      </c>
      <c r="T740">
        <v>98.274000000000001</v>
      </c>
      <c r="U740">
        <v>9.0819100000000006</v>
      </c>
      <c r="V740">
        <v>0</v>
      </c>
      <c r="W740">
        <v>0</v>
      </c>
      <c r="X740">
        <v>1.5945</v>
      </c>
      <c r="Y740">
        <v>1.5945</v>
      </c>
      <c r="Z740">
        <v>0</v>
      </c>
      <c r="AA740">
        <v>1.4342299999999999</v>
      </c>
      <c r="AB740">
        <v>2.9635199999999999</v>
      </c>
      <c r="AC740" s="2">
        <v>313245000</v>
      </c>
      <c r="AD740" s="1">
        <v>0</v>
      </c>
      <c r="AE740" s="1">
        <v>0</v>
      </c>
      <c r="AF740" s="1">
        <v>0</v>
      </c>
      <c r="AG740" s="1">
        <v>0</v>
      </c>
      <c r="AH740" s="2">
        <v>4125340</v>
      </c>
      <c r="AI740" s="1">
        <v>134470</v>
      </c>
      <c r="AJ740" s="1">
        <v>0</v>
      </c>
      <c r="AK740" s="8">
        <f t="shared" si="47"/>
        <v>11</v>
      </c>
      <c r="AL740" s="8">
        <f t="shared" si="46"/>
        <v>15</v>
      </c>
      <c r="AM740">
        <f t="shared" si="44"/>
        <v>0</v>
      </c>
      <c r="AN740">
        <f t="shared" si="45"/>
        <v>0</v>
      </c>
    </row>
    <row r="741" spans="1:40" x14ac:dyDescent="0.35">
      <c r="A741">
        <v>85.138999999999996</v>
      </c>
      <c r="B741">
        <v>85.138999999999996</v>
      </c>
      <c r="C741">
        <v>7.9927200000000003</v>
      </c>
      <c r="D741">
        <v>0</v>
      </c>
      <c r="E741">
        <v>0</v>
      </c>
      <c r="F741">
        <v>2.74533</v>
      </c>
      <c r="G741">
        <v>2.74533</v>
      </c>
      <c r="H741">
        <v>0</v>
      </c>
      <c r="I741">
        <v>0.51439900000000005</v>
      </c>
      <c r="J741">
        <v>5.3222399999999999</v>
      </c>
      <c r="K741" s="2">
        <v>103656000</v>
      </c>
      <c r="L741" s="1">
        <v>0</v>
      </c>
      <c r="M741" s="1">
        <v>0</v>
      </c>
      <c r="N741" s="1">
        <v>0</v>
      </c>
      <c r="O741" s="1">
        <v>0</v>
      </c>
      <c r="P741" s="2">
        <v>4104190</v>
      </c>
      <c r="Q741" s="1">
        <v>282225</v>
      </c>
      <c r="R741" s="1">
        <v>0</v>
      </c>
      <c r="S741">
        <v>99.302199999999999</v>
      </c>
      <c r="T741">
        <v>98.274000000000001</v>
      </c>
      <c r="U741">
        <v>8.5998800000000006</v>
      </c>
      <c r="V741">
        <v>0</v>
      </c>
      <c r="W741">
        <v>0</v>
      </c>
      <c r="X741">
        <v>1.59473</v>
      </c>
      <c r="Y741">
        <v>1.59473</v>
      </c>
      <c r="Z741">
        <v>0</v>
      </c>
      <c r="AA741">
        <v>1.2319100000000001</v>
      </c>
      <c r="AB741">
        <v>2.9635199999999999</v>
      </c>
      <c r="AC741" s="2">
        <v>313380000</v>
      </c>
      <c r="AD741" s="1">
        <v>0</v>
      </c>
      <c r="AE741" s="1">
        <v>0</v>
      </c>
      <c r="AF741" s="1">
        <v>0</v>
      </c>
      <c r="AG741" s="1">
        <v>0</v>
      </c>
      <c r="AH741" s="2">
        <v>4125940</v>
      </c>
      <c r="AI741" s="1">
        <v>134490</v>
      </c>
      <c r="AJ741" s="1">
        <v>0</v>
      </c>
      <c r="AK741" s="8">
        <f t="shared" si="47"/>
        <v>12</v>
      </c>
      <c r="AL741" s="8">
        <f t="shared" si="46"/>
        <v>15</v>
      </c>
      <c r="AM741">
        <f t="shared" si="44"/>
        <v>0</v>
      </c>
      <c r="AN741">
        <f t="shared" si="45"/>
        <v>0</v>
      </c>
    </row>
    <row r="742" spans="1:40" x14ac:dyDescent="0.35">
      <c r="A742">
        <v>85.138999999999996</v>
      </c>
      <c r="B742">
        <v>85.138999999999996</v>
      </c>
      <c r="C742">
        <v>11.641</v>
      </c>
      <c r="D742">
        <v>0</v>
      </c>
      <c r="E742">
        <v>0</v>
      </c>
      <c r="F742">
        <v>2.74573</v>
      </c>
      <c r="G742">
        <v>2.74573</v>
      </c>
      <c r="H742">
        <v>0</v>
      </c>
      <c r="I742">
        <v>0.51447399999999999</v>
      </c>
      <c r="J742">
        <v>5.3222399999999999</v>
      </c>
      <c r="K742" s="2">
        <v>103938000</v>
      </c>
      <c r="L742" s="1">
        <v>0</v>
      </c>
      <c r="M742" s="1">
        <v>0</v>
      </c>
      <c r="N742" s="1">
        <v>0</v>
      </c>
      <c r="O742" s="1">
        <v>0</v>
      </c>
      <c r="P742" s="2">
        <v>4104790</v>
      </c>
      <c r="Q742" s="1">
        <v>282266</v>
      </c>
      <c r="R742" s="1">
        <v>0</v>
      </c>
      <c r="S742">
        <v>99.302199999999999</v>
      </c>
      <c r="T742">
        <v>98.274000000000001</v>
      </c>
      <c r="U742">
        <v>18.7699</v>
      </c>
      <c r="V742">
        <v>0</v>
      </c>
      <c r="W742">
        <v>0</v>
      </c>
      <c r="X742">
        <v>1.5949599999999999</v>
      </c>
      <c r="Y742">
        <v>1.5949599999999999</v>
      </c>
      <c r="Z742">
        <v>0</v>
      </c>
      <c r="AA742">
        <v>1.2320899999999999</v>
      </c>
      <c r="AB742">
        <v>2.9635199999999999</v>
      </c>
      <c r="AC742" s="2">
        <v>313514000</v>
      </c>
      <c r="AD742" s="1">
        <v>0</v>
      </c>
      <c r="AE742" s="1">
        <v>0</v>
      </c>
      <c r="AF742" s="1">
        <v>0</v>
      </c>
      <c r="AG742" s="1">
        <v>0</v>
      </c>
      <c r="AH742" s="2">
        <v>4126550</v>
      </c>
      <c r="AI742" s="1">
        <v>134510</v>
      </c>
      <c r="AJ742" s="1">
        <v>0</v>
      </c>
      <c r="AK742" s="8">
        <f t="shared" si="47"/>
        <v>13</v>
      </c>
      <c r="AL742" s="8">
        <f t="shared" si="46"/>
        <v>15</v>
      </c>
      <c r="AM742">
        <f t="shared" si="44"/>
        <v>0</v>
      </c>
      <c r="AN742">
        <f t="shared" si="45"/>
        <v>0</v>
      </c>
    </row>
    <row r="743" spans="1:40" x14ac:dyDescent="0.35">
      <c r="A743">
        <v>85.138999999999996</v>
      </c>
      <c r="B743">
        <v>85.138999999999996</v>
      </c>
      <c r="C743">
        <v>13.4206</v>
      </c>
      <c r="D743">
        <v>0</v>
      </c>
      <c r="E743">
        <v>0</v>
      </c>
      <c r="F743">
        <v>2.74613</v>
      </c>
      <c r="G743">
        <v>2.74613</v>
      </c>
      <c r="H743">
        <v>0</v>
      </c>
      <c r="I743">
        <v>0.51454900000000003</v>
      </c>
      <c r="J743">
        <v>5.3222399999999999</v>
      </c>
      <c r="K743" s="2">
        <v>104220000</v>
      </c>
      <c r="L743" s="1">
        <v>0</v>
      </c>
      <c r="M743" s="1">
        <v>0</v>
      </c>
      <c r="N743" s="1">
        <v>0</v>
      </c>
      <c r="O743" s="1">
        <v>0</v>
      </c>
      <c r="P743" s="2">
        <v>4105390</v>
      </c>
      <c r="Q743" s="1">
        <v>282307</v>
      </c>
      <c r="R743" s="1">
        <v>0</v>
      </c>
      <c r="S743">
        <v>99.302199999999999</v>
      </c>
      <c r="T743">
        <v>98.274000000000001</v>
      </c>
      <c r="U743">
        <v>15.4191</v>
      </c>
      <c r="V743">
        <v>0</v>
      </c>
      <c r="W743">
        <v>0</v>
      </c>
      <c r="X743">
        <v>1.5952</v>
      </c>
      <c r="Y743">
        <v>1.5952</v>
      </c>
      <c r="Z743">
        <v>0</v>
      </c>
      <c r="AA743">
        <v>1.23227</v>
      </c>
      <c r="AB743">
        <v>2.9635199999999999</v>
      </c>
      <c r="AC743" s="2">
        <v>313649000</v>
      </c>
      <c r="AD743" s="1">
        <v>0</v>
      </c>
      <c r="AE743" s="1">
        <v>0</v>
      </c>
      <c r="AF743" s="1">
        <v>0</v>
      </c>
      <c r="AG743" s="1">
        <v>0</v>
      </c>
      <c r="AH743" s="2">
        <v>4127150</v>
      </c>
      <c r="AI743" s="1">
        <v>134529</v>
      </c>
      <c r="AJ743" s="1">
        <v>0</v>
      </c>
      <c r="AK743" s="8">
        <f t="shared" si="47"/>
        <v>14</v>
      </c>
      <c r="AL743" s="8">
        <f t="shared" si="46"/>
        <v>15</v>
      </c>
      <c r="AM743">
        <f t="shared" si="44"/>
        <v>0</v>
      </c>
      <c r="AN743">
        <f t="shared" si="45"/>
        <v>0</v>
      </c>
    </row>
    <row r="744" spans="1:40" x14ac:dyDescent="0.35">
      <c r="A744">
        <v>85.138999999999996</v>
      </c>
      <c r="B744">
        <v>85.138999999999996</v>
      </c>
      <c r="C744">
        <v>7.7368399999999999</v>
      </c>
      <c r="D744">
        <v>0</v>
      </c>
      <c r="E744">
        <v>0</v>
      </c>
      <c r="F744">
        <v>2.7465299999999999</v>
      </c>
      <c r="G744">
        <v>2.7465299999999999</v>
      </c>
      <c r="H744">
        <v>0</v>
      </c>
      <c r="I744">
        <v>0.514625</v>
      </c>
      <c r="J744">
        <v>5.3222399999999999</v>
      </c>
      <c r="K744" s="2">
        <v>104502000</v>
      </c>
      <c r="L744" s="1">
        <v>0</v>
      </c>
      <c r="M744" s="1">
        <v>0</v>
      </c>
      <c r="N744" s="1">
        <v>0</v>
      </c>
      <c r="O744" s="1">
        <v>0</v>
      </c>
      <c r="P744" s="2">
        <v>4105990</v>
      </c>
      <c r="Q744" s="1">
        <v>282349</v>
      </c>
      <c r="R744" s="1">
        <v>0</v>
      </c>
      <c r="S744">
        <v>99.302199999999999</v>
      </c>
      <c r="T744">
        <v>98.274000000000001</v>
      </c>
      <c r="U744">
        <v>7.7473299999999998</v>
      </c>
      <c r="V744">
        <v>0</v>
      </c>
      <c r="W744">
        <v>0</v>
      </c>
      <c r="X744">
        <v>1.5954299999999999</v>
      </c>
      <c r="Y744">
        <v>1.5954299999999999</v>
      </c>
      <c r="Z744">
        <v>0</v>
      </c>
      <c r="AA744">
        <v>1.23245</v>
      </c>
      <c r="AB744">
        <v>2.9635199999999999</v>
      </c>
      <c r="AC744" s="2">
        <v>313783000</v>
      </c>
      <c r="AD744" s="1">
        <v>0</v>
      </c>
      <c r="AE744" s="1">
        <v>0</v>
      </c>
      <c r="AF744" s="1">
        <v>0</v>
      </c>
      <c r="AG744" s="1">
        <v>0</v>
      </c>
      <c r="AH744" s="2">
        <v>4127750</v>
      </c>
      <c r="AI744" s="1">
        <v>134549</v>
      </c>
      <c r="AJ744" s="1">
        <v>0</v>
      </c>
      <c r="AK744" s="8">
        <f t="shared" si="47"/>
        <v>15</v>
      </c>
      <c r="AL744" s="8">
        <f t="shared" si="46"/>
        <v>15</v>
      </c>
      <c r="AM744">
        <f t="shared" si="44"/>
        <v>0</v>
      </c>
      <c r="AN744">
        <f t="shared" si="45"/>
        <v>0</v>
      </c>
    </row>
    <row r="745" spans="1:40" x14ac:dyDescent="0.35">
      <c r="A745">
        <v>85.138999999999996</v>
      </c>
      <c r="B745">
        <v>85.138999999999996</v>
      </c>
      <c r="C745">
        <v>6.3487799999999996</v>
      </c>
      <c r="D745">
        <v>0</v>
      </c>
      <c r="E745">
        <v>0</v>
      </c>
      <c r="F745">
        <v>2.8473000000000002</v>
      </c>
      <c r="G745">
        <v>2.8473000000000002</v>
      </c>
      <c r="H745">
        <v>0</v>
      </c>
      <c r="I745">
        <v>0.51470000000000005</v>
      </c>
      <c r="J745">
        <v>5.3222399999999999</v>
      </c>
      <c r="K745" s="2">
        <v>104795000</v>
      </c>
      <c r="L745" s="1">
        <v>0</v>
      </c>
      <c r="M745" s="1">
        <v>0</v>
      </c>
      <c r="N745" s="1">
        <v>0</v>
      </c>
      <c r="O745" s="1">
        <v>0</v>
      </c>
      <c r="P745" s="2">
        <v>4256640</v>
      </c>
      <c r="Q745" s="1">
        <v>292708</v>
      </c>
      <c r="R745" s="1">
        <v>0</v>
      </c>
      <c r="S745">
        <v>99.302199999999999</v>
      </c>
      <c r="T745">
        <v>98.274000000000001</v>
      </c>
      <c r="U745">
        <v>11.0632</v>
      </c>
      <c r="V745">
        <v>0</v>
      </c>
      <c r="W745">
        <v>0</v>
      </c>
      <c r="X745">
        <v>1.65984</v>
      </c>
      <c r="Y745">
        <v>1.65984</v>
      </c>
      <c r="Z745">
        <v>0</v>
      </c>
      <c r="AA745">
        <v>1.2326299999999999</v>
      </c>
      <c r="AB745">
        <v>2.9635199999999999</v>
      </c>
      <c r="AC745" s="2">
        <v>313923000</v>
      </c>
      <c r="AD745" s="1">
        <v>0</v>
      </c>
      <c r="AE745" s="1">
        <v>0</v>
      </c>
      <c r="AF745" s="1">
        <v>0</v>
      </c>
      <c r="AG745" s="1">
        <v>0</v>
      </c>
      <c r="AH745" s="2">
        <v>4294400</v>
      </c>
      <c r="AI745" s="1">
        <v>139981</v>
      </c>
      <c r="AJ745" s="1">
        <v>0</v>
      </c>
      <c r="AK745" s="8">
        <f t="shared" si="47"/>
        <v>16</v>
      </c>
      <c r="AL745" s="8">
        <f t="shared" si="46"/>
        <v>15</v>
      </c>
      <c r="AM745">
        <f t="shared" si="44"/>
        <v>0</v>
      </c>
      <c r="AN745">
        <f t="shared" si="45"/>
        <v>0</v>
      </c>
    </row>
    <row r="746" spans="1:40" x14ac:dyDescent="0.35">
      <c r="A746">
        <v>85.138999999999996</v>
      </c>
      <c r="B746">
        <v>85.138999999999996</v>
      </c>
      <c r="C746">
        <v>4.4821099999999996</v>
      </c>
      <c r="D746">
        <v>0</v>
      </c>
      <c r="E746">
        <v>0</v>
      </c>
      <c r="F746">
        <v>2.8477199999999998</v>
      </c>
      <c r="G746">
        <v>2.8477199999999998</v>
      </c>
      <c r="H746">
        <v>0</v>
      </c>
      <c r="I746">
        <v>0.53358399999999995</v>
      </c>
      <c r="J746">
        <v>5.3222399999999999</v>
      </c>
      <c r="K746" s="2">
        <v>105088000</v>
      </c>
      <c r="L746" s="1">
        <v>0</v>
      </c>
      <c r="M746" s="1">
        <v>0</v>
      </c>
      <c r="N746" s="1">
        <v>0</v>
      </c>
      <c r="O746" s="1">
        <v>0</v>
      </c>
      <c r="P746" s="2">
        <v>4257260</v>
      </c>
      <c r="Q746" s="1">
        <v>292751</v>
      </c>
      <c r="R746" s="1">
        <v>0</v>
      </c>
      <c r="S746">
        <v>99.302199999999999</v>
      </c>
      <c r="T746">
        <v>98.274000000000001</v>
      </c>
      <c r="U746">
        <v>7.3710599999999999</v>
      </c>
      <c r="V746">
        <v>0</v>
      </c>
      <c r="W746">
        <v>0</v>
      </c>
      <c r="X746">
        <v>1.66008</v>
      </c>
      <c r="Y746">
        <v>1.66008</v>
      </c>
      <c r="Z746">
        <v>0</v>
      </c>
      <c r="AA746">
        <v>1.2823899999999999</v>
      </c>
      <c r="AB746">
        <v>2.9635199999999999</v>
      </c>
      <c r="AC746" s="2">
        <v>314063000</v>
      </c>
      <c r="AD746" s="1">
        <v>0</v>
      </c>
      <c r="AE746" s="1">
        <v>0</v>
      </c>
      <c r="AF746" s="1">
        <v>0</v>
      </c>
      <c r="AG746" s="1">
        <v>0</v>
      </c>
      <c r="AH746" s="2">
        <v>4295020</v>
      </c>
      <c r="AI746" s="1">
        <v>140001</v>
      </c>
      <c r="AJ746" s="1">
        <v>0</v>
      </c>
      <c r="AK746" s="8">
        <f t="shared" si="47"/>
        <v>17</v>
      </c>
      <c r="AL746" s="8">
        <f t="shared" si="46"/>
        <v>15</v>
      </c>
      <c r="AM746">
        <f t="shared" si="44"/>
        <v>0</v>
      </c>
      <c r="AN746">
        <f t="shared" si="45"/>
        <v>0</v>
      </c>
    </row>
    <row r="747" spans="1:40" x14ac:dyDescent="0.35">
      <c r="A747">
        <v>85.138999999999996</v>
      </c>
      <c r="B747">
        <v>85.138999999999996</v>
      </c>
      <c r="C747">
        <v>4.0212300000000001</v>
      </c>
      <c r="D747">
        <v>0</v>
      </c>
      <c r="E747">
        <v>0</v>
      </c>
      <c r="F747">
        <v>2.8481299999999998</v>
      </c>
      <c r="G747">
        <v>2.8481299999999998</v>
      </c>
      <c r="H747">
        <v>0</v>
      </c>
      <c r="I747">
        <v>0.53366199999999997</v>
      </c>
      <c r="J747">
        <v>5.3222399999999999</v>
      </c>
      <c r="K747" s="2">
        <v>105381000</v>
      </c>
      <c r="L747" s="1">
        <v>0</v>
      </c>
      <c r="M747" s="1">
        <v>0</v>
      </c>
      <c r="N747" s="1">
        <v>0</v>
      </c>
      <c r="O747" s="1">
        <v>0</v>
      </c>
      <c r="P747" s="2">
        <v>4257890</v>
      </c>
      <c r="Q747" s="1">
        <v>292794</v>
      </c>
      <c r="R747" s="1">
        <v>0</v>
      </c>
      <c r="S747">
        <v>99.302199999999999</v>
      </c>
      <c r="T747">
        <v>98.274000000000001</v>
      </c>
      <c r="U747">
        <v>6.3941400000000002</v>
      </c>
      <c r="V747">
        <v>0</v>
      </c>
      <c r="W747">
        <v>0</v>
      </c>
      <c r="X747">
        <v>1.66032</v>
      </c>
      <c r="Y747">
        <v>1.66032</v>
      </c>
      <c r="Z747">
        <v>0</v>
      </c>
      <c r="AA747">
        <v>1.2825800000000001</v>
      </c>
      <c r="AB747">
        <v>2.9635199999999999</v>
      </c>
      <c r="AC747" s="2">
        <v>314203000</v>
      </c>
      <c r="AD747" s="1">
        <v>0</v>
      </c>
      <c r="AE747" s="1">
        <v>0</v>
      </c>
      <c r="AF747" s="1">
        <v>0</v>
      </c>
      <c r="AG747" s="1">
        <v>0</v>
      </c>
      <c r="AH747" s="2">
        <v>4295650</v>
      </c>
      <c r="AI747" s="1">
        <v>140022</v>
      </c>
      <c r="AJ747" s="1">
        <v>0</v>
      </c>
      <c r="AK747" s="8">
        <f t="shared" si="47"/>
        <v>18</v>
      </c>
      <c r="AL747" s="8">
        <f t="shared" si="46"/>
        <v>15</v>
      </c>
      <c r="AM747">
        <f t="shared" si="44"/>
        <v>0</v>
      </c>
      <c r="AN747">
        <f t="shared" si="45"/>
        <v>0</v>
      </c>
    </row>
    <row r="748" spans="1:40" x14ac:dyDescent="0.35">
      <c r="A748">
        <v>85.138999999999996</v>
      </c>
      <c r="B748">
        <v>85.138999999999996</v>
      </c>
      <c r="C748">
        <v>3.6902400000000002</v>
      </c>
      <c r="D748">
        <v>0</v>
      </c>
      <c r="E748">
        <v>0</v>
      </c>
      <c r="F748">
        <v>2.8485499999999999</v>
      </c>
      <c r="G748">
        <v>2.8485499999999999</v>
      </c>
      <c r="H748">
        <v>0</v>
      </c>
      <c r="I748">
        <v>0.53373999999999999</v>
      </c>
      <c r="J748">
        <v>5.3222399999999999</v>
      </c>
      <c r="K748" s="2">
        <v>105674000</v>
      </c>
      <c r="L748" s="1">
        <v>0</v>
      </c>
      <c r="M748" s="1">
        <v>0</v>
      </c>
      <c r="N748" s="1">
        <v>0</v>
      </c>
      <c r="O748" s="1">
        <v>0</v>
      </c>
      <c r="P748" s="2">
        <v>4258510</v>
      </c>
      <c r="Q748" s="1">
        <v>292836</v>
      </c>
      <c r="R748" s="1">
        <v>0</v>
      </c>
      <c r="S748">
        <v>99.302199999999999</v>
      </c>
      <c r="T748">
        <v>98.274000000000001</v>
      </c>
      <c r="U748">
        <v>7.1523500000000002</v>
      </c>
      <c r="V748">
        <v>0</v>
      </c>
      <c r="W748">
        <v>0</v>
      </c>
      <c r="X748">
        <v>1.6605700000000001</v>
      </c>
      <c r="Y748">
        <v>1.6605700000000001</v>
      </c>
      <c r="Z748">
        <v>0</v>
      </c>
      <c r="AA748">
        <v>1.28277</v>
      </c>
      <c r="AB748">
        <v>2.9635199999999999</v>
      </c>
      <c r="AC748" s="2">
        <v>314343000</v>
      </c>
      <c r="AD748" s="1">
        <v>0</v>
      </c>
      <c r="AE748" s="1">
        <v>0</v>
      </c>
      <c r="AF748" s="1">
        <v>0</v>
      </c>
      <c r="AG748" s="1">
        <v>0</v>
      </c>
      <c r="AH748" s="2">
        <v>4296280</v>
      </c>
      <c r="AI748" s="1">
        <v>140042</v>
      </c>
      <c r="AJ748" s="1">
        <v>0</v>
      </c>
      <c r="AK748" s="8">
        <f t="shared" si="47"/>
        <v>19</v>
      </c>
      <c r="AL748" s="8">
        <f t="shared" si="46"/>
        <v>15</v>
      </c>
      <c r="AM748">
        <f t="shared" si="44"/>
        <v>0</v>
      </c>
      <c r="AN748">
        <f t="shared" si="45"/>
        <v>0</v>
      </c>
    </row>
    <row r="749" spans="1:40" x14ac:dyDescent="0.35">
      <c r="A749">
        <v>85.138999999999996</v>
      </c>
      <c r="B749">
        <v>85.138999999999996</v>
      </c>
      <c r="C749">
        <v>4.2060500000000003</v>
      </c>
      <c r="D749">
        <v>0</v>
      </c>
      <c r="E749">
        <v>0</v>
      </c>
      <c r="F749">
        <v>2.8096999999999999</v>
      </c>
      <c r="G749">
        <v>2.8096999999999999</v>
      </c>
      <c r="H749">
        <v>0</v>
      </c>
      <c r="I749">
        <v>0.53381800000000001</v>
      </c>
      <c r="J749">
        <v>5.3222399999999999</v>
      </c>
      <c r="K749" s="2">
        <v>105962000</v>
      </c>
      <c r="L749" s="1">
        <v>0</v>
      </c>
      <c r="M749" s="1">
        <v>0</v>
      </c>
      <c r="N749" s="1">
        <v>0</v>
      </c>
      <c r="O749" s="1">
        <v>0</v>
      </c>
      <c r="P749" s="2">
        <v>4200430</v>
      </c>
      <c r="Q749" s="1">
        <v>288843</v>
      </c>
      <c r="R749" s="1">
        <v>0</v>
      </c>
      <c r="S749">
        <v>99.302199999999999</v>
      </c>
      <c r="T749">
        <v>98.274000000000001</v>
      </c>
      <c r="U749">
        <v>6.8044700000000002</v>
      </c>
      <c r="V749">
        <v>0</v>
      </c>
      <c r="W749">
        <v>0</v>
      </c>
      <c r="X749">
        <v>1.6358699999999999</v>
      </c>
      <c r="Y749">
        <v>1.6358699999999999</v>
      </c>
      <c r="Z749">
        <v>0</v>
      </c>
      <c r="AA749">
        <v>1.28295</v>
      </c>
      <c r="AB749">
        <v>2.9635199999999999</v>
      </c>
      <c r="AC749" s="2">
        <v>314481000</v>
      </c>
      <c r="AD749" s="1">
        <v>0</v>
      </c>
      <c r="AE749" s="1">
        <v>0</v>
      </c>
      <c r="AF749" s="1">
        <v>0</v>
      </c>
      <c r="AG749" s="1">
        <v>0</v>
      </c>
      <c r="AH749" s="2">
        <v>4232380</v>
      </c>
      <c r="AI749" s="1">
        <v>137959</v>
      </c>
      <c r="AJ749" s="1">
        <v>0</v>
      </c>
      <c r="AK749" s="8">
        <f t="shared" si="47"/>
        <v>20</v>
      </c>
      <c r="AL749" s="8">
        <f t="shared" si="46"/>
        <v>15</v>
      </c>
      <c r="AM749">
        <f t="shared" si="44"/>
        <v>0</v>
      </c>
      <c r="AN749">
        <f t="shared" si="45"/>
        <v>0</v>
      </c>
    </row>
    <row r="750" spans="1:40" x14ac:dyDescent="0.35">
      <c r="A750">
        <v>85.138999999999996</v>
      </c>
      <c r="B750">
        <v>85.138999999999996</v>
      </c>
      <c r="C750">
        <v>3.6603300000000001</v>
      </c>
      <c r="D750">
        <v>0</v>
      </c>
      <c r="E750">
        <v>0</v>
      </c>
      <c r="F750">
        <v>2.8101099999999999</v>
      </c>
      <c r="G750">
        <v>2.8101099999999999</v>
      </c>
      <c r="H750">
        <v>0</v>
      </c>
      <c r="I750">
        <v>0.52653799999999995</v>
      </c>
      <c r="J750">
        <v>5.3222399999999999</v>
      </c>
      <c r="K750" s="2">
        <v>106251000</v>
      </c>
      <c r="L750" s="1">
        <v>0</v>
      </c>
      <c r="M750" s="1">
        <v>0</v>
      </c>
      <c r="N750" s="1">
        <v>0</v>
      </c>
      <c r="O750" s="1">
        <v>0</v>
      </c>
      <c r="P750" s="2">
        <v>4201040</v>
      </c>
      <c r="Q750" s="1">
        <v>288885</v>
      </c>
      <c r="R750" s="1">
        <v>0</v>
      </c>
      <c r="S750">
        <v>99.302199999999999</v>
      </c>
      <c r="T750">
        <v>98.274000000000001</v>
      </c>
      <c r="U750">
        <v>6.7343999999999999</v>
      </c>
      <c r="V750">
        <v>0</v>
      </c>
      <c r="W750">
        <v>0</v>
      </c>
      <c r="X750">
        <v>1.63611</v>
      </c>
      <c r="Y750">
        <v>1.63611</v>
      </c>
      <c r="Z750">
        <v>0</v>
      </c>
      <c r="AA750">
        <v>1.26387</v>
      </c>
      <c r="AB750">
        <v>2.9635199999999999</v>
      </c>
      <c r="AC750" s="2">
        <v>314619000</v>
      </c>
      <c r="AD750" s="1">
        <v>0</v>
      </c>
      <c r="AE750" s="1">
        <v>0</v>
      </c>
      <c r="AF750" s="1">
        <v>0</v>
      </c>
      <c r="AG750" s="1">
        <v>0</v>
      </c>
      <c r="AH750" s="2">
        <v>4233000</v>
      </c>
      <c r="AI750" s="1">
        <v>137980</v>
      </c>
      <c r="AJ750" s="1">
        <v>0</v>
      </c>
      <c r="AK750" s="8">
        <f t="shared" si="47"/>
        <v>21</v>
      </c>
      <c r="AL750" s="8">
        <f t="shared" si="46"/>
        <v>15</v>
      </c>
      <c r="AM750">
        <f t="shared" si="44"/>
        <v>0</v>
      </c>
      <c r="AN750">
        <f t="shared" si="45"/>
        <v>0</v>
      </c>
    </row>
    <row r="751" spans="1:40" x14ac:dyDescent="0.35">
      <c r="A751">
        <v>85.138999999999996</v>
      </c>
      <c r="B751">
        <v>85.138999999999996</v>
      </c>
      <c r="C751">
        <v>3.39215</v>
      </c>
      <c r="D751">
        <v>0</v>
      </c>
      <c r="E751">
        <v>0</v>
      </c>
      <c r="F751">
        <v>2.8105199999999999</v>
      </c>
      <c r="G751">
        <v>2.8105199999999999</v>
      </c>
      <c r="H751">
        <v>0</v>
      </c>
      <c r="I751">
        <v>0.52661500000000006</v>
      </c>
      <c r="J751">
        <v>5.3222399999999999</v>
      </c>
      <c r="K751" s="2">
        <v>106540000</v>
      </c>
      <c r="L751" s="1">
        <v>0</v>
      </c>
      <c r="M751" s="1">
        <v>0</v>
      </c>
      <c r="N751" s="1">
        <v>0</v>
      </c>
      <c r="O751" s="1">
        <v>0</v>
      </c>
      <c r="P751" s="2">
        <v>4201660</v>
      </c>
      <c r="Q751" s="1">
        <v>288927</v>
      </c>
      <c r="R751" s="1">
        <v>0</v>
      </c>
      <c r="S751">
        <v>99.302199999999999</v>
      </c>
      <c r="T751">
        <v>98.274000000000001</v>
      </c>
      <c r="U751">
        <v>5.3579499999999998</v>
      </c>
      <c r="V751">
        <v>0</v>
      </c>
      <c r="W751">
        <v>0</v>
      </c>
      <c r="X751">
        <v>1.63635</v>
      </c>
      <c r="Y751">
        <v>1.63635</v>
      </c>
      <c r="Z751">
        <v>0</v>
      </c>
      <c r="AA751">
        <v>1.26406</v>
      </c>
      <c r="AB751">
        <v>2.9635199999999999</v>
      </c>
      <c r="AC751" s="2">
        <v>314757000</v>
      </c>
      <c r="AD751" s="1">
        <v>0</v>
      </c>
      <c r="AE751" s="1">
        <v>0</v>
      </c>
      <c r="AF751" s="1">
        <v>0</v>
      </c>
      <c r="AG751" s="1">
        <v>0</v>
      </c>
      <c r="AH751" s="2">
        <v>4233620</v>
      </c>
      <c r="AI751" s="1">
        <v>138000</v>
      </c>
      <c r="AJ751" s="1">
        <v>0</v>
      </c>
      <c r="AK751" s="8">
        <f t="shared" si="47"/>
        <v>22</v>
      </c>
      <c r="AL751" s="8">
        <f t="shared" si="46"/>
        <v>15</v>
      </c>
      <c r="AM751">
        <f t="shared" si="44"/>
        <v>0</v>
      </c>
      <c r="AN751">
        <f t="shared" si="45"/>
        <v>0</v>
      </c>
    </row>
    <row r="752" spans="1:40" x14ac:dyDescent="0.35">
      <c r="A752">
        <v>84.934200000000004</v>
      </c>
      <c r="B752">
        <v>85.138999999999996</v>
      </c>
      <c r="C752">
        <v>2.9455200000000001</v>
      </c>
      <c r="D752">
        <v>0</v>
      </c>
      <c r="E752">
        <v>0</v>
      </c>
      <c r="F752">
        <v>2.8109299999999999</v>
      </c>
      <c r="G752">
        <v>2.8109299999999999</v>
      </c>
      <c r="H752">
        <v>0</v>
      </c>
      <c r="I752">
        <v>0.52669200000000005</v>
      </c>
      <c r="J752">
        <v>5.3222399999999999</v>
      </c>
      <c r="K752" s="2">
        <v>106829000</v>
      </c>
      <c r="L752" s="1">
        <v>0</v>
      </c>
      <c r="M752" s="1">
        <v>0</v>
      </c>
      <c r="N752" s="1">
        <v>0</v>
      </c>
      <c r="O752" s="1">
        <v>0</v>
      </c>
      <c r="P752" s="2">
        <v>4202270</v>
      </c>
      <c r="Q752" s="1">
        <v>288969</v>
      </c>
      <c r="R752" s="1">
        <v>0</v>
      </c>
      <c r="S752">
        <v>99.302199999999999</v>
      </c>
      <c r="T752">
        <v>98.274000000000001</v>
      </c>
      <c r="U752">
        <v>4.9493</v>
      </c>
      <c r="V752">
        <v>0</v>
      </c>
      <c r="W752">
        <v>0</v>
      </c>
      <c r="X752">
        <v>1.63659</v>
      </c>
      <c r="Y752">
        <v>1.63659</v>
      </c>
      <c r="Z752">
        <v>0</v>
      </c>
      <c r="AA752">
        <v>1.26424</v>
      </c>
      <c r="AB752">
        <v>2.9635199999999999</v>
      </c>
      <c r="AC752" s="2">
        <v>314895000</v>
      </c>
      <c r="AD752" s="1">
        <v>0</v>
      </c>
      <c r="AE752" s="1">
        <v>0</v>
      </c>
      <c r="AF752" s="1">
        <v>0</v>
      </c>
      <c r="AG752" s="1">
        <v>0</v>
      </c>
      <c r="AH752" s="2">
        <v>4234240</v>
      </c>
      <c r="AI752" s="1">
        <v>138020</v>
      </c>
      <c r="AJ752" s="1">
        <v>0</v>
      </c>
      <c r="AK752" s="8">
        <f t="shared" si="47"/>
        <v>23</v>
      </c>
      <c r="AL752" s="8">
        <f t="shared" si="46"/>
        <v>15</v>
      </c>
      <c r="AM752">
        <f t="shared" si="44"/>
        <v>0</v>
      </c>
      <c r="AN752">
        <f t="shared" si="45"/>
        <v>0</v>
      </c>
    </row>
    <row r="753" spans="1:40" x14ac:dyDescent="0.35">
      <c r="A753">
        <v>84.671199999999999</v>
      </c>
      <c r="B753">
        <v>85.138999999999996</v>
      </c>
      <c r="C753">
        <v>2.9822199999999999</v>
      </c>
      <c r="D753">
        <v>0</v>
      </c>
      <c r="E753">
        <v>0</v>
      </c>
      <c r="F753">
        <v>2.9447100000000002</v>
      </c>
      <c r="G753">
        <v>2.9447100000000002</v>
      </c>
      <c r="H753">
        <v>0</v>
      </c>
      <c r="I753">
        <v>0.52676900000000004</v>
      </c>
      <c r="J753">
        <v>5.3222399999999999</v>
      </c>
      <c r="K753" s="2">
        <v>107132000</v>
      </c>
      <c r="L753" s="1">
        <v>0</v>
      </c>
      <c r="M753" s="1">
        <v>0</v>
      </c>
      <c r="N753" s="1">
        <v>0</v>
      </c>
      <c r="O753" s="1">
        <v>0</v>
      </c>
      <c r="P753" s="2">
        <v>4402260</v>
      </c>
      <c r="Q753" s="1">
        <v>302721</v>
      </c>
      <c r="R753" s="1">
        <v>0</v>
      </c>
      <c r="S753">
        <v>99.302199999999999</v>
      </c>
      <c r="T753">
        <v>98.274000000000001</v>
      </c>
      <c r="U753">
        <v>5.3092699999999997</v>
      </c>
      <c r="V753">
        <v>0</v>
      </c>
      <c r="W753">
        <v>0</v>
      </c>
      <c r="X753">
        <v>1.72532</v>
      </c>
      <c r="Y753">
        <v>1.72532</v>
      </c>
      <c r="Z753">
        <v>0</v>
      </c>
      <c r="AA753">
        <v>1.2644299999999999</v>
      </c>
      <c r="AB753">
        <v>2.9635199999999999</v>
      </c>
      <c r="AC753" s="2">
        <v>315041000</v>
      </c>
      <c r="AD753" s="1">
        <v>0</v>
      </c>
      <c r="AE753" s="1">
        <v>0</v>
      </c>
      <c r="AF753" s="1">
        <v>0</v>
      </c>
      <c r="AG753" s="1">
        <v>0</v>
      </c>
      <c r="AH753" s="2">
        <v>4463820</v>
      </c>
      <c r="AI753" s="1">
        <v>145503</v>
      </c>
      <c r="AJ753" s="1">
        <v>0</v>
      </c>
      <c r="AK753" s="8">
        <f t="shared" si="47"/>
        <v>24</v>
      </c>
      <c r="AL753" s="8">
        <f t="shared" si="46"/>
        <v>15</v>
      </c>
      <c r="AM753">
        <f t="shared" si="44"/>
        <v>0</v>
      </c>
      <c r="AN753">
        <f t="shared" si="45"/>
        <v>0</v>
      </c>
    </row>
    <row r="754" spans="1:40" x14ac:dyDescent="0.35">
      <c r="A754">
        <v>84.3566</v>
      </c>
      <c r="B754">
        <v>85.138999999999996</v>
      </c>
      <c r="C754">
        <v>2.9070299999999998</v>
      </c>
      <c r="D754">
        <v>0</v>
      </c>
      <c r="E754">
        <v>0</v>
      </c>
      <c r="F754">
        <v>2.9451399999999999</v>
      </c>
      <c r="G754">
        <v>2.9451399999999999</v>
      </c>
      <c r="H754">
        <v>0</v>
      </c>
      <c r="I754">
        <v>0.55183800000000005</v>
      </c>
      <c r="J754">
        <v>5.3222399999999999</v>
      </c>
      <c r="K754" s="2">
        <v>107435000</v>
      </c>
      <c r="L754" s="1">
        <v>0</v>
      </c>
      <c r="M754" s="1">
        <v>0</v>
      </c>
      <c r="N754" s="1">
        <v>0</v>
      </c>
      <c r="O754" s="1">
        <v>0</v>
      </c>
      <c r="P754" s="2">
        <v>4402900</v>
      </c>
      <c r="Q754" s="1">
        <v>302766</v>
      </c>
      <c r="R754" s="1">
        <v>0</v>
      </c>
      <c r="S754">
        <v>99.302199999999999</v>
      </c>
      <c r="T754">
        <v>98.274000000000001</v>
      </c>
      <c r="U754">
        <v>4.72593</v>
      </c>
      <c r="V754">
        <v>0</v>
      </c>
      <c r="W754">
        <v>0</v>
      </c>
      <c r="X754">
        <v>1.72557</v>
      </c>
      <c r="Y754">
        <v>1.72557</v>
      </c>
      <c r="Z754">
        <v>0</v>
      </c>
      <c r="AA754">
        <v>1.3329800000000001</v>
      </c>
      <c r="AB754">
        <v>2.9635199999999999</v>
      </c>
      <c r="AC754" s="2">
        <v>315186000</v>
      </c>
      <c r="AD754" s="1">
        <v>0</v>
      </c>
      <c r="AE754" s="1">
        <v>0</v>
      </c>
      <c r="AF754" s="1">
        <v>0</v>
      </c>
      <c r="AG754" s="1">
        <v>0</v>
      </c>
      <c r="AH754" s="2">
        <v>4464470</v>
      </c>
      <c r="AI754" s="1">
        <v>145525</v>
      </c>
      <c r="AJ754" s="1">
        <v>0</v>
      </c>
      <c r="AK754" s="8">
        <f t="shared" si="47"/>
        <v>25</v>
      </c>
      <c r="AL754" s="8">
        <f t="shared" si="46"/>
        <v>15</v>
      </c>
      <c r="AM754">
        <f t="shared" si="44"/>
        <v>0</v>
      </c>
      <c r="AN754">
        <f t="shared" si="45"/>
        <v>0</v>
      </c>
    </row>
    <row r="755" spans="1:40" x14ac:dyDescent="0.35">
      <c r="A755">
        <v>83.796199999999999</v>
      </c>
      <c r="B755">
        <v>85.138999999999996</v>
      </c>
      <c r="C755">
        <v>2.64994</v>
      </c>
      <c r="D755">
        <v>0</v>
      </c>
      <c r="E755">
        <v>0</v>
      </c>
      <c r="F755">
        <v>2.94557</v>
      </c>
      <c r="G755">
        <v>2.94557</v>
      </c>
      <c r="H755">
        <v>0</v>
      </c>
      <c r="I755">
        <v>0.55191800000000002</v>
      </c>
      <c r="J755">
        <v>5.3222399999999999</v>
      </c>
      <c r="K755" s="2">
        <v>107737000</v>
      </c>
      <c r="L755" s="1">
        <v>0</v>
      </c>
      <c r="M755" s="1">
        <v>0</v>
      </c>
      <c r="N755" s="1">
        <v>0</v>
      </c>
      <c r="O755" s="1">
        <v>0</v>
      </c>
      <c r="P755" s="2">
        <v>4403550</v>
      </c>
      <c r="Q755" s="1">
        <v>302810</v>
      </c>
      <c r="R755" s="1">
        <v>0</v>
      </c>
      <c r="S755">
        <v>99.302199999999999</v>
      </c>
      <c r="T755">
        <v>98.274000000000001</v>
      </c>
      <c r="U755">
        <v>4.2713799999999997</v>
      </c>
      <c r="V755">
        <v>0</v>
      </c>
      <c r="W755">
        <v>0</v>
      </c>
      <c r="X755">
        <v>1.72583</v>
      </c>
      <c r="Y755">
        <v>1.72583</v>
      </c>
      <c r="Z755">
        <v>0</v>
      </c>
      <c r="AA755">
        <v>1.33318</v>
      </c>
      <c r="AB755">
        <v>2.9635199999999999</v>
      </c>
      <c r="AC755" s="2">
        <v>315332000</v>
      </c>
      <c r="AD755" s="1">
        <v>0</v>
      </c>
      <c r="AE755" s="1">
        <v>0</v>
      </c>
      <c r="AF755" s="1">
        <v>0</v>
      </c>
      <c r="AG755" s="1">
        <v>0</v>
      </c>
      <c r="AH755" s="2">
        <v>4465120</v>
      </c>
      <c r="AI755" s="1">
        <v>145546</v>
      </c>
      <c r="AJ755" s="1">
        <v>0</v>
      </c>
      <c r="AK755" s="8">
        <f t="shared" si="47"/>
        <v>26</v>
      </c>
      <c r="AL755" s="8">
        <f t="shared" si="46"/>
        <v>15</v>
      </c>
      <c r="AM755">
        <f t="shared" si="44"/>
        <v>0</v>
      </c>
      <c r="AN755">
        <f t="shared" si="45"/>
        <v>0</v>
      </c>
    </row>
    <row r="756" spans="1:40" x14ac:dyDescent="0.35">
      <c r="A756">
        <v>82.941100000000006</v>
      </c>
      <c r="B756">
        <v>85.138999999999996</v>
      </c>
      <c r="C756">
        <v>2.3254100000000002</v>
      </c>
      <c r="D756">
        <v>0</v>
      </c>
      <c r="E756">
        <v>0</v>
      </c>
      <c r="F756">
        <v>2.9460000000000002</v>
      </c>
      <c r="G756">
        <v>2.9460000000000002</v>
      </c>
      <c r="H756">
        <v>0</v>
      </c>
      <c r="I756">
        <v>0.55199900000000002</v>
      </c>
      <c r="J756">
        <v>5.3222399999999999</v>
      </c>
      <c r="K756" s="2">
        <v>108040000</v>
      </c>
      <c r="L756" s="1">
        <v>0</v>
      </c>
      <c r="M756" s="1">
        <v>0</v>
      </c>
      <c r="N756" s="1">
        <v>0</v>
      </c>
      <c r="O756" s="1">
        <v>0</v>
      </c>
      <c r="P756" s="2">
        <v>4404190</v>
      </c>
      <c r="Q756" s="1">
        <v>302854</v>
      </c>
      <c r="R756" s="1">
        <v>0</v>
      </c>
      <c r="S756">
        <v>99.302199999999999</v>
      </c>
      <c r="T756">
        <v>98.274000000000001</v>
      </c>
      <c r="U756">
        <v>3.92001</v>
      </c>
      <c r="V756">
        <v>0</v>
      </c>
      <c r="W756">
        <v>0</v>
      </c>
      <c r="X756">
        <v>1.7260800000000001</v>
      </c>
      <c r="Y756">
        <v>1.7260800000000001</v>
      </c>
      <c r="Z756">
        <v>0</v>
      </c>
      <c r="AA756">
        <v>1.3333699999999999</v>
      </c>
      <c r="AB756">
        <v>2.9635199999999999</v>
      </c>
      <c r="AC756" s="2">
        <v>315478000</v>
      </c>
      <c r="AD756" s="1">
        <v>0</v>
      </c>
      <c r="AE756" s="1">
        <v>0</v>
      </c>
      <c r="AF756" s="1">
        <v>0</v>
      </c>
      <c r="AG756" s="1">
        <v>0</v>
      </c>
      <c r="AH756" s="2">
        <v>4465780</v>
      </c>
      <c r="AI756" s="1">
        <v>145567</v>
      </c>
      <c r="AJ756" s="1">
        <v>0</v>
      </c>
      <c r="AK756" s="8">
        <f t="shared" si="47"/>
        <v>27</v>
      </c>
      <c r="AL756" s="8">
        <f t="shared" si="46"/>
        <v>15</v>
      </c>
      <c r="AM756">
        <f t="shared" si="44"/>
        <v>0</v>
      </c>
      <c r="AN756">
        <f t="shared" si="45"/>
        <v>0</v>
      </c>
    </row>
    <row r="757" spans="1:40" x14ac:dyDescent="0.35">
      <c r="A757">
        <v>82.037300000000002</v>
      </c>
      <c r="B757">
        <v>85.138999999999996</v>
      </c>
      <c r="C757">
        <v>2.2338499999999999</v>
      </c>
      <c r="D757">
        <v>0</v>
      </c>
      <c r="E757">
        <v>0</v>
      </c>
      <c r="F757">
        <v>2.9464299999999999</v>
      </c>
      <c r="G757">
        <v>2.9464299999999999</v>
      </c>
      <c r="H757">
        <v>0</v>
      </c>
      <c r="I757">
        <v>0.55208000000000002</v>
      </c>
      <c r="J757">
        <v>5.3222399999999999</v>
      </c>
      <c r="K757" s="2">
        <v>108343000</v>
      </c>
      <c r="L757" s="1">
        <v>0</v>
      </c>
      <c r="M757" s="1">
        <v>0</v>
      </c>
      <c r="N757" s="1">
        <v>0</v>
      </c>
      <c r="O757" s="1">
        <v>0</v>
      </c>
      <c r="P757" s="2">
        <v>4404830</v>
      </c>
      <c r="Q757" s="1">
        <v>302898</v>
      </c>
      <c r="R757" s="1">
        <v>0</v>
      </c>
      <c r="S757">
        <v>99.302199999999999</v>
      </c>
      <c r="T757">
        <v>98.274000000000001</v>
      </c>
      <c r="U757">
        <v>4.0010500000000002</v>
      </c>
      <c r="V757">
        <v>0</v>
      </c>
      <c r="W757">
        <v>0</v>
      </c>
      <c r="X757">
        <v>1.7263299999999999</v>
      </c>
      <c r="Y757">
        <v>1.7263299999999999</v>
      </c>
      <c r="Z757">
        <v>0</v>
      </c>
      <c r="AA757">
        <v>1.3335699999999999</v>
      </c>
      <c r="AB757">
        <v>2.9635199999999999</v>
      </c>
      <c r="AC757" s="2">
        <v>315623000</v>
      </c>
      <c r="AD757" s="1">
        <v>0</v>
      </c>
      <c r="AE757" s="1">
        <v>0</v>
      </c>
      <c r="AF757" s="1">
        <v>0</v>
      </c>
      <c r="AG757" s="1">
        <v>0</v>
      </c>
      <c r="AH757" s="2">
        <v>4466430</v>
      </c>
      <c r="AI757" s="1">
        <v>145588</v>
      </c>
      <c r="AJ757" s="1">
        <v>0</v>
      </c>
      <c r="AK757" s="8">
        <f t="shared" si="47"/>
        <v>28</v>
      </c>
      <c r="AL757" s="8">
        <f t="shared" si="46"/>
        <v>15</v>
      </c>
      <c r="AM757">
        <f t="shared" si="44"/>
        <v>0</v>
      </c>
      <c r="AN757">
        <f t="shared" si="45"/>
        <v>0</v>
      </c>
    </row>
    <row r="758" spans="1:40" x14ac:dyDescent="0.35">
      <c r="A758">
        <v>81.4405</v>
      </c>
      <c r="B758">
        <v>85.138999999999996</v>
      </c>
      <c r="C758">
        <v>2.5188199999999998</v>
      </c>
      <c r="D758">
        <v>0</v>
      </c>
      <c r="E758">
        <v>0</v>
      </c>
      <c r="F758">
        <v>2.9204699999999999</v>
      </c>
      <c r="G758">
        <v>2.9204699999999999</v>
      </c>
      <c r="H758">
        <v>0</v>
      </c>
      <c r="I758">
        <v>0.55216100000000001</v>
      </c>
      <c r="J758">
        <v>5.3222399999999999</v>
      </c>
      <c r="K758" s="2">
        <v>108643000</v>
      </c>
      <c r="L758" s="1">
        <v>0</v>
      </c>
      <c r="M758" s="1">
        <v>0</v>
      </c>
      <c r="N758" s="1">
        <v>0</v>
      </c>
      <c r="O758" s="1">
        <v>0</v>
      </c>
      <c r="P758" s="2">
        <v>4366020</v>
      </c>
      <c r="Q758" s="1">
        <v>300230</v>
      </c>
      <c r="R758" s="1">
        <v>0</v>
      </c>
      <c r="S758">
        <v>99.302199999999999</v>
      </c>
      <c r="T758">
        <v>98.274000000000001</v>
      </c>
      <c r="U758">
        <v>3.6760299999999999</v>
      </c>
      <c r="V758">
        <v>0</v>
      </c>
      <c r="W758">
        <v>0</v>
      </c>
      <c r="X758">
        <v>1.7752600000000001</v>
      </c>
      <c r="Y758">
        <v>1.7752600000000001</v>
      </c>
      <c r="Z758">
        <v>0</v>
      </c>
      <c r="AA758">
        <v>1.3337600000000001</v>
      </c>
      <c r="AB758">
        <v>2.9635199999999999</v>
      </c>
      <c r="AC758" s="2">
        <v>315773000</v>
      </c>
      <c r="AD758" s="1">
        <v>0</v>
      </c>
      <c r="AE758" s="1">
        <v>0</v>
      </c>
      <c r="AF758" s="1">
        <v>0</v>
      </c>
      <c r="AG758" s="1">
        <v>0</v>
      </c>
      <c r="AH758" s="2">
        <v>4593010</v>
      </c>
      <c r="AI758" s="1">
        <v>149715</v>
      </c>
      <c r="AJ758" s="1">
        <v>0</v>
      </c>
      <c r="AK758" s="8">
        <f t="shared" si="47"/>
        <v>29</v>
      </c>
      <c r="AL758" s="8">
        <f t="shared" si="46"/>
        <v>15</v>
      </c>
      <c r="AM758">
        <f t="shared" si="44"/>
        <v>0</v>
      </c>
      <c r="AN758">
        <f t="shared" si="45"/>
        <v>0</v>
      </c>
    </row>
    <row r="759" spans="1:40" x14ac:dyDescent="0.35">
      <c r="A759">
        <v>80.7423</v>
      </c>
      <c r="B759">
        <v>85.138999999999996</v>
      </c>
      <c r="C759">
        <v>2.3808199999999999</v>
      </c>
      <c r="D759">
        <v>0</v>
      </c>
      <c r="E759">
        <v>0</v>
      </c>
      <c r="F759">
        <v>2.92089</v>
      </c>
      <c r="G759">
        <v>2.92089</v>
      </c>
      <c r="H759">
        <v>0</v>
      </c>
      <c r="I759">
        <v>0.54729499999999998</v>
      </c>
      <c r="J759">
        <v>5.3222399999999999</v>
      </c>
      <c r="K759" s="2">
        <v>108944000</v>
      </c>
      <c r="L759" s="1">
        <v>0</v>
      </c>
      <c r="M759" s="1">
        <v>0</v>
      </c>
      <c r="N759" s="1">
        <v>0</v>
      </c>
      <c r="O759" s="1">
        <v>0</v>
      </c>
      <c r="P759" s="2">
        <v>4366660</v>
      </c>
      <c r="Q759" s="1">
        <v>300273</v>
      </c>
      <c r="R759" s="1">
        <v>0</v>
      </c>
      <c r="S759">
        <v>99.302199999999999</v>
      </c>
      <c r="T759">
        <v>98.274000000000001</v>
      </c>
      <c r="U759">
        <v>3.54942</v>
      </c>
      <c r="V759">
        <v>0</v>
      </c>
      <c r="W759">
        <v>0</v>
      </c>
      <c r="X759">
        <v>1.77552</v>
      </c>
      <c r="Y759">
        <v>1.77552</v>
      </c>
      <c r="Z759">
        <v>0</v>
      </c>
      <c r="AA759">
        <v>1.3715599999999999</v>
      </c>
      <c r="AB759">
        <v>2.9635199999999999</v>
      </c>
      <c r="AC759" s="2">
        <v>315923000</v>
      </c>
      <c r="AD759" s="1">
        <v>0</v>
      </c>
      <c r="AE759" s="1">
        <v>0</v>
      </c>
      <c r="AF759" s="1">
        <v>0</v>
      </c>
      <c r="AG759" s="1">
        <v>0</v>
      </c>
      <c r="AH759" s="2">
        <v>4593690</v>
      </c>
      <c r="AI759" s="1">
        <v>149736</v>
      </c>
      <c r="AJ759" s="1">
        <v>0</v>
      </c>
      <c r="AK759" s="8">
        <f t="shared" si="47"/>
        <v>30</v>
      </c>
      <c r="AL759" s="8">
        <f t="shared" si="46"/>
        <v>15</v>
      </c>
      <c r="AM759">
        <f t="shared" si="44"/>
        <v>0</v>
      </c>
      <c r="AN759">
        <f t="shared" si="45"/>
        <v>0</v>
      </c>
    </row>
    <row r="760" spans="1:40" x14ac:dyDescent="0.35">
      <c r="A760">
        <v>79.940799999999996</v>
      </c>
      <c r="B760">
        <v>85.138999999999996</v>
      </c>
      <c r="C760">
        <v>2.2580399999999998</v>
      </c>
      <c r="D760">
        <v>0</v>
      </c>
      <c r="E760">
        <v>0</v>
      </c>
      <c r="F760">
        <v>2.9213200000000001</v>
      </c>
      <c r="G760">
        <v>2.9213200000000001</v>
      </c>
      <c r="H760">
        <v>0</v>
      </c>
      <c r="I760">
        <v>0.54737499999999994</v>
      </c>
      <c r="J760">
        <v>5.3222399999999999</v>
      </c>
      <c r="K760" s="2">
        <v>109244000</v>
      </c>
      <c r="L760" s="1">
        <v>0</v>
      </c>
      <c r="M760" s="1">
        <v>0</v>
      </c>
      <c r="N760" s="1">
        <v>0</v>
      </c>
      <c r="O760" s="1">
        <v>0</v>
      </c>
      <c r="P760" s="2">
        <v>4367300</v>
      </c>
      <c r="Q760" s="1">
        <v>300317</v>
      </c>
      <c r="R760" s="1">
        <v>0</v>
      </c>
      <c r="S760">
        <v>99.302199999999999</v>
      </c>
      <c r="T760">
        <v>98.274000000000001</v>
      </c>
      <c r="U760">
        <v>3.37845</v>
      </c>
      <c r="V760">
        <v>0</v>
      </c>
      <c r="W760">
        <v>0</v>
      </c>
      <c r="X760">
        <v>1.7757799999999999</v>
      </c>
      <c r="Y760">
        <v>1.7757799999999999</v>
      </c>
      <c r="Z760">
        <v>0</v>
      </c>
      <c r="AA760">
        <v>1.3717600000000001</v>
      </c>
      <c r="AB760">
        <v>2.9635199999999999</v>
      </c>
      <c r="AC760" s="2">
        <v>316072000</v>
      </c>
      <c r="AD760" s="1">
        <v>0</v>
      </c>
      <c r="AE760" s="1">
        <v>0</v>
      </c>
      <c r="AF760" s="1">
        <v>0</v>
      </c>
      <c r="AG760" s="1">
        <v>0</v>
      </c>
      <c r="AH760" s="2">
        <v>4594360</v>
      </c>
      <c r="AI760" s="1">
        <v>149758</v>
      </c>
      <c r="AJ760" s="1">
        <v>0</v>
      </c>
      <c r="AK760" s="8">
        <f t="shared" si="47"/>
        <v>31</v>
      </c>
      <c r="AL760" s="8">
        <f t="shared" si="46"/>
        <v>15</v>
      </c>
      <c r="AM760">
        <f t="shared" si="44"/>
        <v>0</v>
      </c>
      <c r="AN760">
        <f t="shared" si="45"/>
        <v>0</v>
      </c>
    </row>
    <row r="761" spans="1:40" x14ac:dyDescent="0.35">
      <c r="A761">
        <v>78.981800000000007</v>
      </c>
      <c r="B761">
        <v>85.138999999999996</v>
      </c>
      <c r="C761">
        <v>2.0876999999999999</v>
      </c>
      <c r="D761">
        <v>0</v>
      </c>
      <c r="E761">
        <v>0</v>
      </c>
      <c r="F761">
        <v>2.9217499999999998</v>
      </c>
      <c r="G761">
        <v>2.9217499999999998</v>
      </c>
      <c r="H761">
        <v>0</v>
      </c>
      <c r="I761">
        <v>0.54745500000000002</v>
      </c>
      <c r="J761">
        <v>5.3222399999999999</v>
      </c>
      <c r="K761" s="2">
        <v>109544000</v>
      </c>
      <c r="L761" s="1">
        <v>0</v>
      </c>
      <c r="M761" s="1">
        <v>0</v>
      </c>
      <c r="N761" s="1">
        <v>0</v>
      </c>
      <c r="O761" s="1">
        <v>0</v>
      </c>
      <c r="P761" s="2">
        <v>4367940</v>
      </c>
      <c r="Q761" s="1">
        <v>300361</v>
      </c>
      <c r="R761" s="1">
        <v>0</v>
      </c>
      <c r="S761">
        <v>99.302199999999999</v>
      </c>
      <c r="T761">
        <v>98.274000000000001</v>
      </c>
      <c r="U761">
        <v>3.14629</v>
      </c>
      <c r="V761">
        <v>0</v>
      </c>
      <c r="W761">
        <v>0</v>
      </c>
      <c r="X761">
        <v>1.7760400000000001</v>
      </c>
      <c r="Y761">
        <v>1.7760400000000001</v>
      </c>
      <c r="Z761">
        <v>0</v>
      </c>
      <c r="AA761">
        <v>1.3719699999999999</v>
      </c>
      <c r="AB761">
        <v>2.9635199999999999</v>
      </c>
      <c r="AC761" s="2">
        <v>316222000</v>
      </c>
      <c r="AD761" s="1">
        <v>0</v>
      </c>
      <c r="AE761" s="1">
        <v>0</v>
      </c>
      <c r="AF761" s="1">
        <v>0</v>
      </c>
      <c r="AG761" s="1">
        <v>0</v>
      </c>
      <c r="AH761" s="2">
        <v>4595030</v>
      </c>
      <c r="AI761" s="1">
        <v>149780</v>
      </c>
      <c r="AJ761" s="1">
        <v>0</v>
      </c>
      <c r="AK761" s="8">
        <f t="shared" si="47"/>
        <v>32</v>
      </c>
      <c r="AL761" s="8">
        <f t="shared" si="46"/>
        <v>15</v>
      </c>
      <c r="AM761">
        <f t="shared" si="44"/>
        <v>0</v>
      </c>
      <c r="AN761">
        <f t="shared" si="45"/>
        <v>0</v>
      </c>
    </row>
    <row r="762" spans="1:40" x14ac:dyDescent="0.35">
      <c r="A762">
        <v>78.106999999999999</v>
      </c>
      <c r="B762">
        <v>85.138999999999996</v>
      </c>
      <c r="C762">
        <v>2.2184400000000002</v>
      </c>
      <c r="D762">
        <v>0</v>
      </c>
      <c r="E762">
        <v>0</v>
      </c>
      <c r="F762">
        <v>2.99037</v>
      </c>
      <c r="G762">
        <v>2.99037</v>
      </c>
      <c r="H762">
        <v>0</v>
      </c>
      <c r="I762">
        <v>0.54753499999999999</v>
      </c>
      <c r="J762">
        <v>5.3222399999999999</v>
      </c>
      <c r="K762" s="2">
        <v>109852000</v>
      </c>
      <c r="L762" s="1">
        <v>0</v>
      </c>
      <c r="M762" s="1">
        <v>0</v>
      </c>
      <c r="N762" s="1">
        <v>0</v>
      </c>
      <c r="O762" s="1">
        <v>0</v>
      </c>
      <c r="P762" s="2">
        <v>4470530</v>
      </c>
      <c r="Q762" s="1">
        <v>307416</v>
      </c>
      <c r="R762" s="1">
        <v>0</v>
      </c>
      <c r="S762">
        <v>99.302199999999999</v>
      </c>
      <c r="T762">
        <v>98.274000000000001</v>
      </c>
      <c r="U762">
        <v>3.3626999999999998</v>
      </c>
      <c r="V762">
        <v>0</v>
      </c>
      <c r="W762">
        <v>0</v>
      </c>
      <c r="X762">
        <v>1.8197000000000001</v>
      </c>
      <c r="Y762">
        <v>1.8197000000000001</v>
      </c>
      <c r="Z762">
        <v>0</v>
      </c>
      <c r="AA762">
        <v>1.3721699999999999</v>
      </c>
      <c r="AB762">
        <v>2.9635199999999999</v>
      </c>
      <c r="AC762" s="2">
        <v>316376000</v>
      </c>
      <c r="AD762" s="1">
        <v>0</v>
      </c>
      <c r="AE762" s="1">
        <v>0</v>
      </c>
      <c r="AF762" s="1">
        <v>0</v>
      </c>
      <c r="AG762" s="1">
        <v>0</v>
      </c>
      <c r="AH762" s="2">
        <v>4708000</v>
      </c>
      <c r="AI762" s="1">
        <v>153463</v>
      </c>
      <c r="AJ762" s="1">
        <v>0</v>
      </c>
      <c r="AK762" s="8">
        <f t="shared" si="47"/>
        <v>33</v>
      </c>
      <c r="AL762" s="8">
        <f t="shared" si="46"/>
        <v>15</v>
      </c>
      <c r="AM762">
        <f t="shared" si="44"/>
        <v>0</v>
      </c>
      <c r="AN762">
        <f t="shared" si="45"/>
        <v>0</v>
      </c>
    </row>
    <row r="763" spans="1:40" x14ac:dyDescent="0.35">
      <c r="A763">
        <v>77.197299999999998</v>
      </c>
      <c r="B763">
        <v>85.138999999999996</v>
      </c>
      <c r="C763">
        <v>2.1712799999999999</v>
      </c>
      <c r="D763">
        <v>0</v>
      </c>
      <c r="E763">
        <v>0</v>
      </c>
      <c r="F763">
        <v>2.9908100000000002</v>
      </c>
      <c r="G763">
        <v>2.9908100000000002</v>
      </c>
      <c r="H763">
        <v>0</v>
      </c>
      <c r="I763">
        <v>0.56039600000000001</v>
      </c>
      <c r="J763">
        <v>5.3222399999999999</v>
      </c>
      <c r="K763" s="2">
        <v>110159000</v>
      </c>
      <c r="L763" s="1">
        <v>0</v>
      </c>
      <c r="M763" s="1">
        <v>0</v>
      </c>
      <c r="N763" s="1">
        <v>0</v>
      </c>
      <c r="O763" s="1">
        <v>0</v>
      </c>
      <c r="P763" s="2">
        <v>4471180</v>
      </c>
      <c r="Q763" s="1">
        <v>307461</v>
      </c>
      <c r="R763" s="1">
        <v>0</v>
      </c>
      <c r="S763">
        <v>99.302199999999999</v>
      </c>
      <c r="T763">
        <v>98.274000000000001</v>
      </c>
      <c r="U763">
        <v>3.4796399999999998</v>
      </c>
      <c r="V763">
        <v>0</v>
      </c>
      <c r="W763">
        <v>0</v>
      </c>
      <c r="X763">
        <v>1.8199700000000001</v>
      </c>
      <c r="Y763">
        <v>1.8199700000000001</v>
      </c>
      <c r="Z763">
        <v>0</v>
      </c>
      <c r="AA763">
        <v>1.4058999999999999</v>
      </c>
      <c r="AB763">
        <v>2.9635199999999999</v>
      </c>
      <c r="AC763" s="2">
        <v>316529000</v>
      </c>
      <c r="AD763" s="1">
        <v>0</v>
      </c>
      <c r="AE763" s="1">
        <v>0</v>
      </c>
      <c r="AF763" s="1">
        <v>0</v>
      </c>
      <c r="AG763" s="1">
        <v>0</v>
      </c>
      <c r="AH763" s="2">
        <v>4708690</v>
      </c>
      <c r="AI763" s="1">
        <v>153485</v>
      </c>
      <c r="AJ763" s="1">
        <v>0</v>
      </c>
      <c r="AK763" s="8">
        <f t="shared" si="47"/>
        <v>34</v>
      </c>
      <c r="AL763" s="8">
        <f t="shared" si="46"/>
        <v>15</v>
      </c>
      <c r="AM763">
        <f t="shared" si="44"/>
        <v>0</v>
      </c>
      <c r="AN763">
        <f t="shared" si="45"/>
        <v>0</v>
      </c>
    </row>
    <row r="764" spans="1:40" x14ac:dyDescent="0.35">
      <c r="A764">
        <v>76.058099999999996</v>
      </c>
      <c r="B764">
        <v>85.138999999999996</v>
      </c>
      <c r="C764">
        <v>1.9281299999999999</v>
      </c>
      <c r="D764">
        <v>0</v>
      </c>
      <c r="E764">
        <v>0</v>
      </c>
      <c r="F764">
        <v>2.99125</v>
      </c>
      <c r="G764">
        <v>2.99125</v>
      </c>
      <c r="H764">
        <v>0</v>
      </c>
      <c r="I764">
        <v>0.56047800000000003</v>
      </c>
      <c r="J764">
        <v>5.3222399999999999</v>
      </c>
      <c r="K764" s="2">
        <v>110467000</v>
      </c>
      <c r="L764" s="1">
        <v>0</v>
      </c>
      <c r="M764" s="1">
        <v>0</v>
      </c>
      <c r="N764" s="1">
        <v>0</v>
      </c>
      <c r="O764" s="1">
        <v>0</v>
      </c>
      <c r="P764" s="2">
        <v>4471840</v>
      </c>
      <c r="Q764" s="1">
        <v>307506</v>
      </c>
      <c r="R764" s="1">
        <v>0</v>
      </c>
      <c r="S764">
        <v>99.302199999999999</v>
      </c>
      <c r="T764">
        <v>98.274000000000001</v>
      </c>
      <c r="U764">
        <v>3.1825999999999999</v>
      </c>
      <c r="V764">
        <v>0</v>
      </c>
      <c r="W764">
        <v>0</v>
      </c>
      <c r="X764">
        <v>1.82023</v>
      </c>
      <c r="Y764">
        <v>1.82023</v>
      </c>
      <c r="Z764">
        <v>0</v>
      </c>
      <c r="AA764">
        <v>1.40611</v>
      </c>
      <c r="AB764">
        <v>2.9635199999999999</v>
      </c>
      <c r="AC764" s="2">
        <v>316683000</v>
      </c>
      <c r="AD764" s="1">
        <v>0</v>
      </c>
      <c r="AE764" s="1">
        <v>0</v>
      </c>
      <c r="AF764" s="1">
        <v>0</v>
      </c>
      <c r="AG764" s="1">
        <v>0</v>
      </c>
      <c r="AH764" s="2">
        <v>4709380</v>
      </c>
      <c r="AI764" s="1">
        <v>153507</v>
      </c>
      <c r="AJ764" s="1">
        <v>0</v>
      </c>
      <c r="AK764" s="8">
        <f t="shared" si="47"/>
        <v>35</v>
      </c>
      <c r="AL764" s="8">
        <f t="shared" si="46"/>
        <v>15</v>
      </c>
      <c r="AM764">
        <f t="shared" si="44"/>
        <v>0</v>
      </c>
      <c r="AN764">
        <f t="shared" si="45"/>
        <v>0</v>
      </c>
    </row>
    <row r="765" spans="1:40" x14ac:dyDescent="0.35">
      <c r="A765">
        <v>74.762600000000006</v>
      </c>
      <c r="B765">
        <v>85.138999999999996</v>
      </c>
      <c r="C765">
        <v>1.7481199999999999</v>
      </c>
      <c r="D765">
        <v>0</v>
      </c>
      <c r="E765">
        <v>0</v>
      </c>
      <c r="F765">
        <v>2.9916800000000001</v>
      </c>
      <c r="G765">
        <v>2.9916800000000001</v>
      </c>
      <c r="H765">
        <v>0</v>
      </c>
      <c r="I765">
        <v>0.56055900000000003</v>
      </c>
      <c r="J765">
        <v>5.3222399999999999</v>
      </c>
      <c r="K765" s="2">
        <v>110774000</v>
      </c>
      <c r="L765" s="1">
        <v>0</v>
      </c>
      <c r="M765" s="1">
        <v>0</v>
      </c>
      <c r="N765" s="1">
        <v>0</v>
      </c>
      <c r="O765" s="1">
        <v>0</v>
      </c>
      <c r="P765" s="2">
        <v>4472490</v>
      </c>
      <c r="Q765" s="1">
        <v>307551</v>
      </c>
      <c r="R765" s="1">
        <v>0</v>
      </c>
      <c r="S765">
        <v>99.302199999999999</v>
      </c>
      <c r="T765">
        <v>98.274000000000001</v>
      </c>
      <c r="U765">
        <v>3.1177899999999998</v>
      </c>
      <c r="V765">
        <v>0</v>
      </c>
      <c r="W765">
        <v>0</v>
      </c>
      <c r="X765">
        <v>1.8205</v>
      </c>
      <c r="Y765">
        <v>1.8205</v>
      </c>
      <c r="Z765">
        <v>0</v>
      </c>
      <c r="AA765">
        <v>1.4063099999999999</v>
      </c>
      <c r="AB765">
        <v>2.9635199999999999</v>
      </c>
      <c r="AC765" s="2">
        <v>316836000</v>
      </c>
      <c r="AD765" s="1">
        <v>0</v>
      </c>
      <c r="AE765" s="1">
        <v>0</v>
      </c>
      <c r="AF765" s="1">
        <v>0</v>
      </c>
      <c r="AG765" s="1">
        <v>0</v>
      </c>
      <c r="AH765" s="2">
        <v>4710060</v>
      </c>
      <c r="AI765" s="1">
        <v>153530</v>
      </c>
      <c r="AJ765" s="1">
        <v>0</v>
      </c>
      <c r="AK765" s="8">
        <f t="shared" si="47"/>
        <v>36</v>
      </c>
      <c r="AL765" s="8">
        <f t="shared" si="46"/>
        <v>15</v>
      </c>
      <c r="AM765">
        <f t="shared" si="44"/>
        <v>0</v>
      </c>
      <c r="AN765">
        <f t="shared" si="45"/>
        <v>0</v>
      </c>
    </row>
    <row r="766" spans="1:40" x14ac:dyDescent="0.35">
      <c r="A766">
        <v>73.017300000000006</v>
      </c>
      <c r="B766">
        <v>85.138999999999996</v>
      </c>
      <c r="C766">
        <v>1.4588399999999999</v>
      </c>
      <c r="D766">
        <v>0</v>
      </c>
      <c r="E766">
        <v>0</v>
      </c>
      <c r="F766">
        <v>3.1919499999999998</v>
      </c>
      <c r="G766">
        <v>3.1919499999999998</v>
      </c>
      <c r="H766">
        <v>0</v>
      </c>
      <c r="I766">
        <v>0.56064099999999994</v>
      </c>
      <c r="J766">
        <v>5.3222399999999999</v>
      </c>
      <c r="K766" s="2">
        <v>111102000</v>
      </c>
      <c r="L766" s="1">
        <v>0</v>
      </c>
      <c r="M766" s="1">
        <v>0</v>
      </c>
      <c r="N766" s="1">
        <v>0</v>
      </c>
      <c r="O766" s="1">
        <v>0</v>
      </c>
      <c r="P766" s="2">
        <v>4771890</v>
      </c>
      <c r="Q766" s="1">
        <v>328139</v>
      </c>
      <c r="R766" s="1">
        <v>0</v>
      </c>
      <c r="S766">
        <v>99.302199999999999</v>
      </c>
      <c r="T766">
        <v>98.274000000000001</v>
      </c>
      <c r="U766">
        <v>3.0477099999999999</v>
      </c>
      <c r="V766">
        <v>0</v>
      </c>
      <c r="W766">
        <v>0</v>
      </c>
      <c r="X766">
        <v>1.97753</v>
      </c>
      <c r="Y766">
        <v>1.97753</v>
      </c>
      <c r="Z766">
        <v>0</v>
      </c>
      <c r="AA766">
        <v>1.40652</v>
      </c>
      <c r="AB766">
        <v>2.9635199999999999</v>
      </c>
      <c r="AC766" s="2">
        <v>317003000</v>
      </c>
      <c r="AD766" s="1">
        <v>0</v>
      </c>
      <c r="AE766" s="1">
        <v>0</v>
      </c>
      <c r="AF766" s="1">
        <v>0</v>
      </c>
      <c r="AG766" s="1">
        <v>0</v>
      </c>
      <c r="AH766" s="2">
        <v>5116330</v>
      </c>
      <c r="AI766" s="1">
        <v>166773</v>
      </c>
      <c r="AJ766" s="1">
        <v>0</v>
      </c>
      <c r="AK766" s="8">
        <f t="shared" si="47"/>
        <v>37</v>
      </c>
      <c r="AL766" s="8">
        <f t="shared" si="46"/>
        <v>15</v>
      </c>
      <c r="AM766">
        <f t="shared" si="44"/>
        <v>0</v>
      </c>
      <c r="AN766">
        <f t="shared" si="45"/>
        <v>0</v>
      </c>
    </row>
    <row r="767" spans="1:40" x14ac:dyDescent="0.35">
      <c r="A767">
        <v>71.4011</v>
      </c>
      <c r="B767">
        <v>85.138999999999996</v>
      </c>
      <c r="C767">
        <v>1.3611500000000001</v>
      </c>
      <c r="D767">
        <v>0.01</v>
      </c>
      <c r="E767">
        <v>0</v>
      </c>
      <c r="F767">
        <v>2.8900199999999998</v>
      </c>
      <c r="G767">
        <v>3.1924199999999998</v>
      </c>
      <c r="H767">
        <v>0</v>
      </c>
      <c r="I767">
        <v>0.59817200000000004</v>
      </c>
      <c r="J767">
        <v>5.3222399999999999</v>
      </c>
      <c r="K767" s="2">
        <v>111022000</v>
      </c>
      <c r="L767" s="1">
        <v>0</v>
      </c>
      <c r="M767" s="1">
        <v>0</v>
      </c>
      <c r="N767" s="1">
        <v>0</v>
      </c>
      <c r="O767" s="1">
        <v>0</v>
      </c>
      <c r="P767" s="2">
        <v>4320500</v>
      </c>
      <c r="Q767" s="1">
        <v>-80351.7</v>
      </c>
      <c r="R767" s="1">
        <v>408539</v>
      </c>
      <c r="S767">
        <v>99.270200000000003</v>
      </c>
      <c r="T767">
        <v>98.274000000000001</v>
      </c>
      <c r="U767">
        <v>2.96515</v>
      </c>
      <c r="V767">
        <v>0</v>
      </c>
      <c r="W767">
        <v>0</v>
      </c>
      <c r="X767">
        <v>2.2802099999999998</v>
      </c>
      <c r="Y767">
        <v>1.9778100000000001</v>
      </c>
      <c r="Z767">
        <v>0</v>
      </c>
      <c r="AA767">
        <v>1.5278400000000001</v>
      </c>
      <c r="AB767">
        <v>2.9635199999999999</v>
      </c>
      <c r="AC767" s="2">
        <v>317952000</v>
      </c>
      <c r="AD767" s="1">
        <v>0</v>
      </c>
      <c r="AE767" s="1">
        <v>0</v>
      </c>
      <c r="AF767" s="1">
        <v>0</v>
      </c>
      <c r="AG767" s="1">
        <v>0</v>
      </c>
      <c r="AH767" s="2">
        <v>5899460</v>
      </c>
      <c r="AI767" s="1">
        <v>949178</v>
      </c>
      <c r="AJ767" s="1">
        <v>0</v>
      </c>
      <c r="AK767" s="8">
        <f t="shared" si="47"/>
        <v>38</v>
      </c>
      <c r="AL767" s="8">
        <f t="shared" si="46"/>
        <v>15</v>
      </c>
      <c r="AM767">
        <f t="shared" si="44"/>
        <v>0</v>
      </c>
      <c r="AN767">
        <f t="shared" si="45"/>
        <v>0</v>
      </c>
    </row>
    <row r="768" spans="1:40" x14ac:dyDescent="0.35">
      <c r="A768">
        <v>69.758200000000002</v>
      </c>
      <c r="B768">
        <v>85.138999999999996</v>
      </c>
      <c r="C768">
        <v>1.3203800000000001</v>
      </c>
      <c r="D768">
        <v>0.01</v>
      </c>
      <c r="E768">
        <v>0</v>
      </c>
      <c r="F768">
        <v>2.8904899999999998</v>
      </c>
      <c r="G768">
        <v>3.1928899999999998</v>
      </c>
      <c r="H768">
        <v>0</v>
      </c>
      <c r="I768">
        <v>0.54158899999999999</v>
      </c>
      <c r="J768">
        <v>5.3222399999999999</v>
      </c>
      <c r="K768" s="2">
        <v>110942000</v>
      </c>
      <c r="L768" s="1">
        <v>0</v>
      </c>
      <c r="M768" s="1">
        <v>0</v>
      </c>
      <c r="N768" s="1">
        <v>0</v>
      </c>
      <c r="O768" s="1">
        <v>0</v>
      </c>
      <c r="P768" s="2">
        <v>4321200</v>
      </c>
      <c r="Q768" s="1">
        <v>-80303.7</v>
      </c>
      <c r="R768" s="1">
        <v>408539</v>
      </c>
      <c r="S768">
        <v>99.206100000000006</v>
      </c>
      <c r="T768">
        <v>98.274000000000001</v>
      </c>
      <c r="U768">
        <v>2.8890099999999999</v>
      </c>
      <c r="V768">
        <v>0</v>
      </c>
      <c r="W768">
        <v>0</v>
      </c>
      <c r="X768">
        <v>2.2805</v>
      </c>
      <c r="Y768">
        <v>1.9781</v>
      </c>
      <c r="Z768">
        <v>0</v>
      </c>
      <c r="AA768">
        <v>1.76169</v>
      </c>
      <c r="AB768">
        <v>2.9635199999999999</v>
      </c>
      <c r="AC768" s="2">
        <v>318901000</v>
      </c>
      <c r="AD768" s="1">
        <v>0</v>
      </c>
      <c r="AE768" s="1">
        <v>0</v>
      </c>
      <c r="AF768" s="1">
        <v>0</v>
      </c>
      <c r="AG768" s="1">
        <v>0</v>
      </c>
      <c r="AH768" s="2">
        <v>5900210</v>
      </c>
      <c r="AI768" s="1">
        <v>949202</v>
      </c>
      <c r="AJ768" s="1">
        <v>0</v>
      </c>
      <c r="AK768" s="8">
        <f t="shared" si="47"/>
        <v>39</v>
      </c>
      <c r="AL768" s="8">
        <f t="shared" si="46"/>
        <v>15</v>
      </c>
      <c r="AM768">
        <f t="shared" si="44"/>
        <v>0</v>
      </c>
      <c r="AN768">
        <f t="shared" si="45"/>
        <v>0</v>
      </c>
    </row>
    <row r="769" spans="1:40" x14ac:dyDescent="0.35">
      <c r="A769">
        <v>68.4221</v>
      </c>
      <c r="B769">
        <v>85.138999999999996</v>
      </c>
      <c r="C769">
        <v>1.6111500000000001</v>
      </c>
      <c r="D769">
        <v>0.01</v>
      </c>
      <c r="E769">
        <v>0</v>
      </c>
      <c r="F769">
        <v>2.8909500000000001</v>
      </c>
      <c r="G769">
        <v>3.1933500000000001</v>
      </c>
      <c r="H769">
        <v>0</v>
      </c>
      <c r="I769">
        <v>0.54167699999999996</v>
      </c>
      <c r="J769">
        <v>5.3222399999999999</v>
      </c>
      <c r="K769" s="2">
        <v>110862000</v>
      </c>
      <c r="L769" s="1">
        <v>0</v>
      </c>
      <c r="M769" s="1">
        <v>0</v>
      </c>
      <c r="N769" s="1">
        <v>0</v>
      </c>
      <c r="O769" s="1">
        <v>0</v>
      </c>
      <c r="P769" s="2">
        <v>4321900</v>
      </c>
      <c r="Q769" s="1">
        <v>-80255.7</v>
      </c>
      <c r="R769" s="1">
        <v>408539</v>
      </c>
      <c r="S769">
        <v>99.202600000000004</v>
      </c>
      <c r="T769">
        <v>98.274000000000001</v>
      </c>
      <c r="U769">
        <v>3.2965300000000002</v>
      </c>
      <c r="V769">
        <v>0</v>
      </c>
      <c r="W769">
        <v>0</v>
      </c>
      <c r="X769">
        <v>2.2807900000000001</v>
      </c>
      <c r="Y769">
        <v>1.9783900000000001</v>
      </c>
      <c r="Z769">
        <v>0</v>
      </c>
      <c r="AA769">
        <v>1.7619199999999999</v>
      </c>
      <c r="AB769">
        <v>2.9635199999999999</v>
      </c>
      <c r="AC769" s="2">
        <v>319850000</v>
      </c>
      <c r="AD769" s="1">
        <v>0</v>
      </c>
      <c r="AE769" s="1">
        <v>0</v>
      </c>
      <c r="AF769" s="1">
        <v>0</v>
      </c>
      <c r="AG769" s="1">
        <v>0</v>
      </c>
      <c r="AH769" s="2">
        <v>5900950</v>
      </c>
      <c r="AI769" s="1">
        <v>949227</v>
      </c>
      <c r="AJ769" s="1">
        <v>0</v>
      </c>
      <c r="AK769" s="8">
        <f t="shared" si="47"/>
        <v>40</v>
      </c>
      <c r="AL769" s="8">
        <f t="shared" si="46"/>
        <v>15</v>
      </c>
      <c r="AM769">
        <f t="shared" si="44"/>
        <v>0</v>
      </c>
      <c r="AN769">
        <f t="shared" si="45"/>
        <v>0</v>
      </c>
    </row>
    <row r="770" spans="1:40" x14ac:dyDescent="0.35">
      <c r="A770">
        <v>66.7273</v>
      </c>
      <c r="B770">
        <v>85.138999999999996</v>
      </c>
      <c r="C770">
        <v>1.2378499999999999</v>
      </c>
      <c r="D770">
        <v>0.02</v>
      </c>
      <c r="E770">
        <v>0</v>
      </c>
      <c r="F770">
        <v>2.8914200000000001</v>
      </c>
      <c r="G770">
        <v>3.1938200000000001</v>
      </c>
      <c r="H770">
        <v>0</v>
      </c>
      <c r="I770">
        <v>0.54176400000000002</v>
      </c>
      <c r="J770">
        <v>5.3222399999999999</v>
      </c>
      <c r="K770" s="2">
        <v>110781000</v>
      </c>
      <c r="L770" s="1">
        <v>0</v>
      </c>
      <c r="M770" s="1">
        <v>0</v>
      </c>
      <c r="N770" s="1">
        <v>0</v>
      </c>
      <c r="O770" s="1">
        <v>0</v>
      </c>
      <c r="P770" s="2">
        <v>4322600</v>
      </c>
      <c r="Q770" s="1">
        <v>-80207.7</v>
      </c>
      <c r="R770" s="1">
        <v>408539</v>
      </c>
      <c r="S770">
        <v>99.100700000000003</v>
      </c>
      <c r="T770">
        <v>98.274000000000001</v>
      </c>
      <c r="U770">
        <v>2.84579</v>
      </c>
      <c r="V770">
        <v>0</v>
      </c>
      <c r="W770">
        <v>0</v>
      </c>
      <c r="X770">
        <v>2.2810800000000002</v>
      </c>
      <c r="Y770">
        <v>1.97868</v>
      </c>
      <c r="Z770">
        <v>0</v>
      </c>
      <c r="AA770">
        <v>1.76214</v>
      </c>
      <c r="AB770">
        <v>2.9635199999999999</v>
      </c>
      <c r="AC770" s="2">
        <v>320800000</v>
      </c>
      <c r="AD770" s="1">
        <v>0</v>
      </c>
      <c r="AE770" s="1">
        <v>0</v>
      </c>
      <c r="AF770" s="1">
        <v>0</v>
      </c>
      <c r="AG770" s="1">
        <v>0</v>
      </c>
      <c r="AH770" s="2">
        <v>5901700</v>
      </c>
      <c r="AI770" s="1">
        <v>949251</v>
      </c>
      <c r="AJ770" s="1">
        <v>0</v>
      </c>
      <c r="AK770" s="8">
        <f t="shared" si="47"/>
        <v>41</v>
      </c>
      <c r="AL770" s="8">
        <f t="shared" si="46"/>
        <v>15</v>
      </c>
      <c r="AM770">
        <f t="shared" si="44"/>
        <v>0</v>
      </c>
      <c r="AN770">
        <f t="shared" si="45"/>
        <v>0</v>
      </c>
    </row>
    <row r="771" spans="1:40" x14ac:dyDescent="0.35">
      <c r="A771">
        <v>64.941000000000003</v>
      </c>
      <c r="B771">
        <v>85.138999999999996</v>
      </c>
      <c r="C771">
        <v>1.0964499999999999</v>
      </c>
      <c r="D771">
        <v>0.02</v>
      </c>
      <c r="E771">
        <v>0</v>
      </c>
      <c r="F771">
        <v>2.7944200000000001</v>
      </c>
      <c r="G771">
        <v>3.0968200000000001</v>
      </c>
      <c r="H771">
        <v>0</v>
      </c>
      <c r="I771">
        <v>0.541852</v>
      </c>
      <c r="J771">
        <v>5.3222399999999999</v>
      </c>
      <c r="K771" s="2">
        <v>110691000</v>
      </c>
      <c r="L771" s="1">
        <v>0</v>
      </c>
      <c r="M771" s="1">
        <v>0</v>
      </c>
      <c r="N771" s="1">
        <v>0</v>
      </c>
      <c r="O771" s="1">
        <v>0</v>
      </c>
      <c r="P771" s="2">
        <v>4177590</v>
      </c>
      <c r="Q771" s="1">
        <v>-90179</v>
      </c>
      <c r="R771" s="1">
        <v>408539</v>
      </c>
      <c r="S771">
        <v>99.216499999999996</v>
      </c>
      <c r="T771">
        <v>98.274000000000001</v>
      </c>
      <c r="U771">
        <v>2.9765600000000001</v>
      </c>
      <c r="V771">
        <v>0</v>
      </c>
      <c r="W771">
        <v>0</v>
      </c>
      <c r="X771">
        <v>2.18615</v>
      </c>
      <c r="Y771">
        <v>1.88375</v>
      </c>
      <c r="Z771">
        <v>0</v>
      </c>
      <c r="AA771">
        <v>1.7623599999999999</v>
      </c>
      <c r="AB771">
        <v>2.9635199999999999</v>
      </c>
      <c r="AC771" s="2">
        <v>321741000</v>
      </c>
      <c r="AD771" s="1">
        <v>0</v>
      </c>
      <c r="AE771" s="1">
        <v>0</v>
      </c>
      <c r="AF771" s="1">
        <v>0</v>
      </c>
      <c r="AG771" s="1">
        <v>0</v>
      </c>
      <c r="AH771" s="2">
        <v>5656100</v>
      </c>
      <c r="AI771" s="1">
        <v>941245</v>
      </c>
      <c r="AJ771" s="1">
        <v>0</v>
      </c>
      <c r="AK771" s="8">
        <f t="shared" si="47"/>
        <v>42</v>
      </c>
      <c r="AL771" s="8">
        <f t="shared" si="46"/>
        <v>15</v>
      </c>
      <c r="AM771">
        <f t="shared" ref="AM771:AM834" si="48">IF(AK771=52,AC771,0)</f>
        <v>0</v>
      </c>
      <c r="AN771">
        <f t="shared" ref="AN771:AN834" si="49">IF(AK771=52,K771,0)</f>
        <v>0</v>
      </c>
    </row>
    <row r="772" spans="1:40" x14ac:dyDescent="0.35">
      <c r="A772">
        <v>63.140500000000003</v>
      </c>
      <c r="B772">
        <v>85.138999999999996</v>
      </c>
      <c r="C772">
        <v>1.0613900000000001</v>
      </c>
      <c r="D772">
        <v>0.02</v>
      </c>
      <c r="E772">
        <v>0</v>
      </c>
      <c r="F772">
        <v>2.79488</v>
      </c>
      <c r="G772">
        <v>3.09728</v>
      </c>
      <c r="H772">
        <v>0</v>
      </c>
      <c r="I772">
        <v>0.523675</v>
      </c>
      <c r="J772">
        <v>5.3222399999999999</v>
      </c>
      <c r="K772" s="2">
        <v>110601000</v>
      </c>
      <c r="L772" s="1">
        <v>0</v>
      </c>
      <c r="M772" s="1">
        <v>0</v>
      </c>
      <c r="N772" s="1">
        <v>0</v>
      </c>
      <c r="O772" s="1">
        <v>0</v>
      </c>
      <c r="P772" s="2">
        <v>4178270</v>
      </c>
      <c r="Q772" s="1">
        <v>-90132.4</v>
      </c>
      <c r="R772" s="1">
        <v>408539</v>
      </c>
      <c r="S772">
        <v>99.302199999999999</v>
      </c>
      <c r="T772">
        <v>98.274000000000001</v>
      </c>
      <c r="U772">
        <v>2.9361299999999999</v>
      </c>
      <c r="V772">
        <v>0</v>
      </c>
      <c r="W772">
        <v>0</v>
      </c>
      <c r="X772">
        <v>2.1864300000000001</v>
      </c>
      <c r="Y772">
        <v>1.8840300000000001</v>
      </c>
      <c r="Z772">
        <v>0</v>
      </c>
      <c r="AA772">
        <v>1.68902</v>
      </c>
      <c r="AB772">
        <v>2.9635199999999999</v>
      </c>
      <c r="AC772" s="2">
        <v>322682000</v>
      </c>
      <c r="AD772" s="1">
        <v>0</v>
      </c>
      <c r="AE772" s="1">
        <v>0</v>
      </c>
      <c r="AF772" s="1">
        <v>0</v>
      </c>
      <c r="AG772" s="1">
        <v>0</v>
      </c>
      <c r="AH772" s="2">
        <v>5656820</v>
      </c>
      <c r="AI772" s="1">
        <v>941269</v>
      </c>
      <c r="AJ772" s="1">
        <v>0</v>
      </c>
      <c r="AK772" s="8">
        <f t="shared" si="47"/>
        <v>43</v>
      </c>
      <c r="AL772" s="8">
        <f t="shared" ref="AL772:AL835" si="50">IF(AK771=52,AL771+1,AL771)</f>
        <v>15</v>
      </c>
      <c r="AM772">
        <f t="shared" si="48"/>
        <v>0</v>
      </c>
      <c r="AN772">
        <f t="shared" si="49"/>
        <v>0</v>
      </c>
    </row>
    <row r="773" spans="1:40" x14ac:dyDescent="0.35">
      <c r="A773">
        <v>61.319299999999998</v>
      </c>
      <c r="B773">
        <v>85.138999999999996</v>
      </c>
      <c r="C773">
        <v>1.01851</v>
      </c>
      <c r="D773">
        <v>0.02</v>
      </c>
      <c r="E773">
        <v>0</v>
      </c>
      <c r="F773">
        <v>2.7953299999999999</v>
      </c>
      <c r="G773">
        <v>3.0977299999999999</v>
      </c>
      <c r="H773">
        <v>0</v>
      </c>
      <c r="I773">
        <v>0.52376</v>
      </c>
      <c r="J773">
        <v>5.3222399999999999</v>
      </c>
      <c r="K773" s="2">
        <v>110511000</v>
      </c>
      <c r="L773" s="1">
        <v>0</v>
      </c>
      <c r="M773" s="1">
        <v>0</v>
      </c>
      <c r="N773" s="1">
        <v>0</v>
      </c>
      <c r="O773" s="1">
        <v>0</v>
      </c>
      <c r="P773" s="2">
        <v>4178950</v>
      </c>
      <c r="Q773" s="1">
        <v>-90085.8</v>
      </c>
      <c r="R773" s="1">
        <v>408539</v>
      </c>
      <c r="S773">
        <v>99.302199999999999</v>
      </c>
      <c r="T773">
        <v>98.274000000000001</v>
      </c>
      <c r="U773">
        <v>3.0865499999999999</v>
      </c>
      <c r="V773">
        <v>0</v>
      </c>
      <c r="W773">
        <v>0</v>
      </c>
      <c r="X773">
        <v>2.1867100000000002</v>
      </c>
      <c r="Y773">
        <v>1.8843099999999999</v>
      </c>
      <c r="Z773">
        <v>0</v>
      </c>
      <c r="AA773">
        <v>1.6892400000000001</v>
      </c>
      <c r="AB773">
        <v>2.9635199999999999</v>
      </c>
      <c r="AC773" s="2">
        <v>323624000</v>
      </c>
      <c r="AD773" s="1">
        <v>0</v>
      </c>
      <c r="AE773" s="1">
        <v>0</v>
      </c>
      <c r="AF773" s="1">
        <v>0</v>
      </c>
      <c r="AG773" s="1">
        <v>0</v>
      </c>
      <c r="AH773" s="2">
        <v>5657530</v>
      </c>
      <c r="AI773" s="1">
        <v>941292</v>
      </c>
      <c r="AJ773" s="1">
        <v>0</v>
      </c>
      <c r="AK773" s="8">
        <f t="shared" si="47"/>
        <v>44</v>
      </c>
      <c r="AL773" s="8">
        <f t="shared" si="50"/>
        <v>15</v>
      </c>
      <c r="AM773">
        <f t="shared" si="48"/>
        <v>0</v>
      </c>
      <c r="AN773">
        <f t="shared" si="49"/>
        <v>0</v>
      </c>
    </row>
    <row r="774" spans="1:40" x14ac:dyDescent="0.35">
      <c r="A774">
        <v>60.044899999999998</v>
      </c>
      <c r="B774">
        <v>85.138999999999996</v>
      </c>
      <c r="C774">
        <v>1.6583399999999999</v>
      </c>
      <c r="D774">
        <v>0.02</v>
      </c>
      <c r="E774">
        <v>0</v>
      </c>
      <c r="F774">
        <v>2.7957800000000002</v>
      </c>
      <c r="G774">
        <v>3.0981800000000002</v>
      </c>
      <c r="H774">
        <v>0</v>
      </c>
      <c r="I774">
        <v>0.52384500000000001</v>
      </c>
      <c r="J774">
        <v>5.3222399999999999</v>
      </c>
      <c r="K774" s="2">
        <v>110421000</v>
      </c>
      <c r="L774" s="1">
        <v>0</v>
      </c>
      <c r="M774" s="1">
        <v>0</v>
      </c>
      <c r="N774" s="1">
        <v>0</v>
      </c>
      <c r="O774" s="1">
        <v>0</v>
      </c>
      <c r="P774" s="2">
        <v>4179630</v>
      </c>
      <c r="Q774" s="1">
        <v>-90039.3</v>
      </c>
      <c r="R774" s="1">
        <v>408539</v>
      </c>
      <c r="S774">
        <v>99.302199999999999</v>
      </c>
      <c r="T774">
        <v>98.274000000000001</v>
      </c>
      <c r="U774">
        <v>3.9865599999999999</v>
      </c>
      <c r="V774">
        <v>0</v>
      </c>
      <c r="W774">
        <v>0</v>
      </c>
      <c r="X774">
        <v>2.1869800000000001</v>
      </c>
      <c r="Y774">
        <v>1.8845799999999999</v>
      </c>
      <c r="Z774">
        <v>0</v>
      </c>
      <c r="AA774">
        <v>1.6894499999999999</v>
      </c>
      <c r="AB774">
        <v>2.9635199999999999</v>
      </c>
      <c r="AC774" s="2">
        <v>324565000</v>
      </c>
      <c r="AD774" s="1">
        <v>0</v>
      </c>
      <c r="AE774" s="1">
        <v>0</v>
      </c>
      <c r="AF774" s="1">
        <v>0</v>
      </c>
      <c r="AG774" s="1">
        <v>0</v>
      </c>
      <c r="AH774" s="2">
        <v>5658240</v>
      </c>
      <c r="AI774" s="1">
        <v>941315</v>
      </c>
      <c r="AJ774" s="1">
        <v>0</v>
      </c>
      <c r="AK774" s="8">
        <f t="shared" si="47"/>
        <v>45</v>
      </c>
      <c r="AL774" s="8">
        <f t="shared" si="50"/>
        <v>15</v>
      </c>
      <c r="AM774">
        <f t="shared" si="48"/>
        <v>0</v>
      </c>
      <c r="AN774">
        <f t="shared" si="49"/>
        <v>0</v>
      </c>
    </row>
    <row r="775" spans="1:40" x14ac:dyDescent="0.35">
      <c r="A775">
        <v>58.518900000000002</v>
      </c>
      <c r="B775">
        <v>85.138999999999996</v>
      </c>
      <c r="C775">
        <v>1.32646</v>
      </c>
      <c r="D775">
        <v>0.02</v>
      </c>
      <c r="E775">
        <v>0</v>
      </c>
      <c r="F775">
        <v>2.7161900000000001</v>
      </c>
      <c r="G775">
        <v>3.0185900000000001</v>
      </c>
      <c r="H775">
        <v>0</v>
      </c>
      <c r="I775">
        <v>0.52393000000000001</v>
      </c>
      <c r="J775">
        <v>5.3222399999999999</v>
      </c>
      <c r="K775" s="2">
        <v>110323000</v>
      </c>
      <c r="L775" s="1">
        <v>0</v>
      </c>
      <c r="M775" s="1">
        <v>0</v>
      </c>
      <c r="N775" s="1">
        <v>0</v>
      </c>
      <c r="O775" s="1">
        <v>0</v>
      </c>
      <c r="P775" s="2">
        <v>4060640</v>
      </c>
      <c r="Q775" s="1">
        <v>-98221.5</v>
      </c>
      <c r="R775" s="1">
        <v>408539</v>
      </c>
      <c r="S775">
        <v>99.2273</v>
      </c>
      <c r="T775">
        <v>98.274000000000001</v>
      </c>
      <c r="U775">
        <v>2.7338800000000001</v>
      </c>
      <c r="V775">
        <v>0</v>
      </c>
      <c r="W775">
        <v>0</v>
      </c>
      <c r="X775">
        <v>2.10053</v>
      </c>
      <c r="Y775">
        <v>1.79813</v>
      </c>
      <c r="Z775">
        <v>0</v>
      </c>
      <c r="AA775">
        <v>1.6896599999999999</v>
      </c>
      <c r="AB775">
        <v>2.9635199999999999</v>
      </c>
      <c r="AC775" s="2">
        <v>325499000</v>
      </c>
      <c r="AD775" s="1">
        <v>0</v>
      </c>
      <c r="AE775" s="1">
        <v>0</v>
      </c>
      <c r="AF775" s="1">
        <v>0</v>
      </c>
      <c r="AG775" s="1">
        <v>0</v>
      </c>
      <c r="AH775" s="2">
        <v>5434580</v>
      </c>
      <c r="AI775" s="1">
        <v>934025</v>
      </c>
      <c r="AJ775" s="1">
        <v>0</v>
      </c>
      <c r="AK775" s="8">
        <f t="shared" si="47"/>
        <v>46</v>
      </c>
      <c r="AL775" s="8">
        <f t="shared" si="50"/>
        <v>15</v>
      </c>
      <c r="AM775">
        <f t="shared" si="48"/>
        <v>0</v>
      </c>
      <c r="AN775">
        <f t="shared" si="49"/>
        <v>0</v>
      </c>
    </row>
    <row r="776" spans="1:40" x14ac:dyDescent="0.35">
      <c r="A776">
        <v>56.923000000000002</v>
      </c>
      <c r="B776">
        <v>85.138999999999996</v>
      </c>
      <c r="C776">
        <v>1.21146</v>
      </c>
      <c r="D776">
        <v>0.02</v>
      </c>
      <c r="E776">
        <v>0</v>
      </c>
      <c r="F776">
        <v>2.7166299999999999</v>
      </c>
      <c r="G776">
        <v>3.0190299999999999</v>
      </c>
      <c r="H776">
        <v>0</v>
      </c>
      <c r="I776">
        <v>0.50901399999999997</v>
      </c>
      <c r="J776">
        <v>5.3222399999999999</v>
      </c>
      <c r="K776" s="2">
        <v>110225000</v>
      </c>
      <c r="L776" s="1">
        <v>0</v>
      </c>
      <c r="M776" s="1">
        <v>0</v>
      </c>
      <c r="N776" s="1">
        <v>0</v>
      </c>
      <c r="O776" s="1">
        <v>0</v>
      </c>
      <c r="P776" s="2">
        <v>4061300</v>
      </c>
      <c r="Q776" s="1">
        <v>-98176.1</v>
      </c>
      <c r="R776" s="1">
        <v>408539</v>
      </c>
      <c r="S776">
        <v>99.032799999999995</v>
      </c>
      <c r="T776">
        <v>98.274000000000001</v>
      </c>
      <c r="U776">
        <v>2.63239</v>
      </c>
      <c r="V776">
        <v>0</v>
      </c>
      <c r="W776">
        <v>0</v>
      </c>
      <c r="X776">
        <v>2.1008</v>
      </c>
      <c r="Y776">
        <v>1.7984</v>
      </c>
      <c r="Z776">
        <v>0</v>
      </c>
      <c r="AA776">
        <v>1.62287</v>
      </c>
      <c r="AB776">
        <v>2.9635199999999999</v>
      </c>
      <c r="AC776" s="2">
        <v>326433000</v>
      </c>
      <c r="AD776" s="1">
        <v>0</v>
      </c>
      <c r="AE776" s="1">
        <v>0</v>
      </c>
      <c r="AF776" s="1">
        <v>0</v>
      </c>
      <c r="AG776" s="1">
        <v>0</v>
      </c>
      <c r="AH776" s="2">
        <v>5435260</v>
      </c>
      <c r="AI776" s="1">
        <v>934047</v>
      </c>
      <c r="AJ776" s="1">
        <v>0</v>
      </c>
      <c r="AK776" s="8">
        <f t="shared" ref="AK776:AK839" si="51">IF(AK775=52, 1, AK775+1)</f>
        <v>47</v>
      </c>
      <c r="AL776" s="8">
        <f t="shared" si="50"/>
        <v>15</v>
      </c>
      <c r="AM776">
        <f t="shared" si="48"/>
        <v>0</v>
      </c>
      <c r="AN776">
        <f t="shared" si="49"/>
        <v>0</v>
      </c>
    </row>
    <row r="777" spans="1:40" x14ac:dyDescent="0.35">
      <c r="A777">
        <v>55.762099999999997</v>
      </c>
      <c r="B777">
        <v>85.138999999999996</v>
      </c>
      <c r="C777">
        <v>1.7035899999999999</v>
      </c>
      <c r="D777">
        <v>0.02</v>
      </c>
      <c r="E777">
        <v>0</v>
      </c>
      <c r="F777">
        <v>2.7170700000000001</v>
      </c>
      <c r="G777">
        <v>3.0194700000000001</v>
      </c>
      <c r="H777">
        <v>0</v>
      </c>
      <c r="I777">
        <v>0.50909700000000002</v>
      </c>
      <c r="J777">
        <v>5.3222399999999999</v>
      </c>
      <c r="K777" s="2">
        <v>110126000</v>
      </c>
      <c r="L777" s="1">
        <v>0</v>
      </c>
      <c r="M777" s="1">
        <v>0</v>
      </c>
      <c r="N777" s="1">
        <v>0</v>
      </c>
      <c r="O777" s="1">
        <v>0</v>
      </c>
      <c r="P777" s="2">
        <v>4061960</v>
      </c>
      <c r="Q777" s="1">
        <v>-98130.8</v>
      </c>
      <c r="R777" s="1">
        <v>408539</v>
      </c>
      <c r="S777">
        <v>99.079700000000003</v>
      </c>
      <c r="T777">
        <v>98.274000000000001</v>
      </c>
      <c r="U777">
        <v>3.2487499999999998</v>
      </c>
      <c r="V777">
        <v>0</v>
      </c>
      <c r="W777">
        <v>0</v>
      </c>
      <c r="X777">
        <v>2.1010599999999999</v>
      </c>
      <c r="Y777">
        <v>1.7986599999999999</v>
      </c>
      <c r="Z777">
        <v>0</v>
      </c>
      <c r="AA777">
        <v>1.6230800000000001</v>
      </c>
      <c r="AB777">
        <v>2.9635199999999999</v>
      </c>
      <c r="AC777" s="2">
        <v>327367000</v>
      </c>
      <c r="AD777" s="1">
        <v>0</v>
      </c>
      <c r="AE777" s="1">
        <v>0</v>
      </c>
      <c r="AF777" s="1">
        <v>0</v>
      </c>
      <c r="AG777" s="1">
        <v>0</v>
      </c>
      <c r="AH777" s="2">
        <v>5435940</v>
      </c>
      <c r="AI777" s="1">
        <v>934069</v>
      </c>
      <c r="AJ777" s="1">
        <v>0</v>
      </c>
      <c r="AK777" s="8">
        <f t="shared" si="51"/>
        <v>48</v>
      </c>
      <c r="AL777" s="8">
        <f t="shared" si="50"/>
        <v>15</v>
      </c>
      <c r="AM777">
        <f t="shared" si="48"/>
        <v>0</v>
      </c>
      <c r="AN777">
        <f t="shared" si="49"/>
        <v>0</v>
      </c>
    </row>
    <row r="778" spans="1:40" x14ac:dyDescent="0.35">
      <c r="A778">
        <v>56.482399999999998</v>
      </c>
      <c r="B778">
        <v>85.138999999999996</v>
      </c>
      <c r="C778">
        <v>3.6335099999999998</v>
      </c>
      <c r="D778">
        <v>0.02</v>
      </c>
      <c r="E778">
        <v>0</v>
      </c>
      <c r="F778">
        <v>2.7175199999999999</v>
      </c>
      <c r="G778">
        <v>3.0199199999999999</v>
      </c>
      <c r="H778">
        <v>0</v>
      </c>
      <c r="I778">
        <v>0.50917999999999997</v>
      </c>
      <c r="J778">
        <v>5.3222399999999999</v>
      </c>
      <c r="K778" s="2">
        <v>110028000</v>
      </c>
      <c r="L778" s="1">
        <v>0</v>
      </c>
      <c r="M778" s="1">
        <v>0</v>
      </c>
      <c r="N778" s="1">
        <v>0</v>
      </c>
      <c r="O778" s="1">
        <v>0</v>
      </c>
      <c r="P778" s="2">
        <v>4062620</v>
      </c>
      <c r="Q778" s="1">
        <v>-98085.4</v>
      </c>
      <c r="R778" s="1">
        <v>408539</v>
      </c>
      <c r="S778">
        <v>99.302199999999999</v>
      </c>
      <c r="T778">
        <v>98.274000000000001</v>
      </c>
      <c r="U778">
        <v>5.4681800000000003</v>
      </c>
      <c r="V778">
        <v>0</v>
      </c>
      <c r="W778">
        <v>0</v>
      </c>
      <c r="X778">
        <v>2.1013199999999999</v>
      </c>
      <c r="Y778">
        <v>1.7989200000000001</v>
      </c>
      <c r="Z778">
        <v>0</v>
      </c>
      <c r="AA778">
        <v>1.6232800000000001</v>
      </c>
      <c r="AB778">
        <v>2.9635199999999999</v>
      </c>
      <c r="AC778" s="2">
        <v>328301000</v>
      </c>
      <c r="AD778" s="1">
        <v>0</v>
      </c>
      <c r="AE778" s="1">
        <v>0</v>
      </c>
      <c r="AF778" s="1">
        <v>0</v>
      </c>
      <c r="AG778" s="1">
        <v>0</v>
      </c>
      <c r="AH778" s="2">
        <v>5436620</v>
      </c>
      <c r="AI778" s="1">
        <v>934091</v>
      </c>
      <c r="AJ778" s="1">
        <v>0</v>
      </c>
      <c r="AK778" s="8">
        <f t="shared" si="51"/>
        <v>49</v>
      </c>
      <c r="AL778" s="8">
        <f t="shared" si="50"/>
        <v>15</v>
      </c>
      <c r="AM778">
        <f t="shared" si="48"/>
        <v>0</v>
      </c>
      <c r="AN778">
        <f t="shared" si="49"/>
        <v>0</v>
      </c>
    </row>
    <row r="779" spans="1:40" x14ac:dyDescent="0.35">
      <c r="A779">
        <v>56.840400000000002</v>
      </c>
      <c r="B779">
        <v>85.138999999999996</v>
      </c>
      <c r="C779">
        <v>3.1015700000000002</v>
      </c>
      <c r="D779">
        <v>0.02</v>
      </c>
      <c r="E779">
        <v>0</v>
      </c>
      <c r="F779">
        <v>2.4904899999999999</v>
      </c>
      <c r="G779">
        <v>2.7928899999999999</v>
      </c>
      <c r="H779">
        <v>0</v>
      </c>
      <c r="I779">
        <v>0.50926199999999999</v>
      </c>
      <c r="J779">
        <v>5.3222399999999999</v>
      </c>
      <c r="K779" s="2">
        <v>109907000</v>
      </c>
      <c r="L779" s="1">
        <v>0</v>
      </c>
      <c r="M779" s="1">
        <v>0</v>
      </c>
      <c r="N779" s="1">
        <v>0</v>
      </c>
      <c r="O779" s="1">
        <v>0</v>
      </c>
      <c r="P779" s="2">
        <v>3723220</v>
      </c>
      <c r="Q779" s="1">
        <v>-121424</v>
      </c>
      <c r="R779" s="1">
        <v>408539</v>
      </c>
      <c r="S779">
        <v>99.302199999999999</v>
      </c>
      <c r="T779">
        <v>98.274000000000001</v>
      </c>
      <c r="U779">
        <v>4.3120599999999998</v>
      </c>
      <c r="V779">
        <v>0</v>
      </c>
      <c r="W779">
        <v>0</v>
      </c>
      <c r="X779">
        <v>1.92086</v>
      </c>
      <c r="Y779">
        <v>1.61846</v>
      </c>
      <c r="Z779">
        <v>0</v>
      </c>
      <c r="AA779">
        <v>1.62348</v>
      </c>
      <c r="AB779">
        <v>2.9635199999999999</v>
      </c>
      <c r="AC779" s="2">
        <v>329220000</v>
      </c>
      <c r="AD779" s="1">
        <v>0</v>
      </c>
      <c r="AE779" s="1">
        <v>0</v>
      </c>
      <c r="AF779" s="1">
        <v>0</v>
      </c>
      <c r="AG779" s="1">
        <v>0</v>
      </c>
      <c r="AH779" s="2">
        <v>4969730</v>
      </c>
      <c r="AI779" s="1">
        <v>918872</v>
      </c>
      <c r="AJ779" s="1">
        <v>0</v>
      </c>
      <c r="AK779" s="8">
        <f t="shared" si="51"/>
        <v>50</v>
      </c>
      <c r="AL779" s="8">
        <f t="shared" si="50"/>
        <v>15</v>
      </c>
      <c r="AM779">
        <f t="shared" si="48"/>
        <v>0</v>
      </c>
      <c r="AN779">
        <f t="shared" si="49"/>
        <v>0</v>
      </c>
    </row>
    <row r="780" spans="1:40" x14ac:dyDescent="0.35">
      <c r="A780">
        <v>57.356699999999996</v>
      </c>
      <c r="B780">
        <v>85.138999999999996</v>
      </c>
      <c r="C780">
        <v>3.24512</v>
      </c>
      <c r="D780">
        <v>0.02</v>
      </c>
      <c r="E780">
        <v>0</v>
      </c>
      <c r="F780">
        <v>2.4908999999999999</v>
      </c>
      <c r="G780">
        <v>2.7932999999999999</v>
      </c>
      <c r="H780">
        <v>0</v>
      </c>
      <c r="I780">
        <v>0.46671800000000002</v>
      </c>
      <c r="J780">
        <v>5.3222399999999999</v>
      </c>
      <c r="K780" s="2">
        <v>109786000</v>
      </c>
      <c r="L780" s="1">
        <v>0</v>
      </c>
      <c r="M780" s="1">
        <v>0</v>
      </c>
      <c r="N780" s="1">
        <v>0</v>
      </c>
      <c r="O780" s="1">
        <v>0</v>
      </c>
      <c r="P780" s="2">
        <v>3723830</v>
      </c>
      <c r="Q780" s="1">
        <v>-121382</v>
      </c>
      <c r="R780" s="1">
        <v>408539</v>
      </c>
      <c r="S780">
        <v>99.302199999999999</v>
      </c>
      <c r="T780">
        <v>98.274000000000001</v>
      </c>
      <c r="U780">
        <v>3.9621300000000002</v>
      </c>
      <c r="V780">
        <v>0</v>
      </c>
      <c r="W780">
        <v>0</v>
      </c>
      <c r="X780">
        <v>1.9211</v>
      </c>
      <c r="Y780">
        <v>1.6187</v>
      </c>
      <c r="Z780">
        <v>0</v>
      </c>
      <c r="AA780">
        <v>1.4840599999999999</v>
      </c>
      <c r="AB780">
        <v>2.9635199999999999</v>
      </c>
      <c r="AC780" s="2">
        <v>330139000</v>
      </c>
      <c r="AD780" s="1">
        <v>0</v>
      </c>
      <c r="AE780" s="1">
        <v>0</v>
      </c>
      <c r="AF780" s="1">
        <v>0</v>
      </c>
      <c r="AG780" s="1">
        <v>0</v>
      </c>
      <c r="AH780" s="2">
        <v>4970350</v>
      </c>
      <c r="AI780" s="1">
        <v>918892</v>
      </c>
      <c r="AJ780" s="1">
        <v>0</v>
      </c>
      <c r="AK780" s="8">
        <f t="shared" si="51"/>
        <v>51</v>
      </c>
      <c r="AL780" s="8">
        <f t="shared" si="50"/>
        <v>15</v>
      </c>
      <c r="AM780">
        <f t="shared" si="48"/>
        <v>0</v>
      </c>
      <c r="AN780">
        <f t="shared" si="49"/>
        <v>0</v>
      </c>
    </row>
    <row r="781" spans="1:40" x14ac:dyDescent="0.35">
      <c r="A781">
        <v>57.713000000000001</v>
      </c>
      <c r="B781">
        <v>85.138999999999996</v>
      </c>
      <c r="C781">
        <v>3.0677599999999998</v>
      </c>
      <c r="D781">
        <v>0.02</v>
      </c>
      <c r="E781">
        <v>0</v>
      </c>
      <c r="F781">
        <v>2.4913099999999999</v>
      </c>
      <c r="G781">
        <v>2.7937099999999999</v>
      </c>
      <c r="H781">
        <v>0</v>
      </c>
      <c r="I781">
        <v>0.46679399999999999</v>
      </c>
      <c r="J781">
        <v>5.3222399999999999</v>
      </c>
      <c r="K781" s="2">
        <v>109664000</v>
      </c>
      <c r="L781" s="1">
        <v>0</v>
      </c>
      <c r="M781" s="1">
        <v>0</v>
      </c>
      <c r="N781" s="1">
        <v>0</v>
      </c>
      <c r="O781" s="1">
        <v>0</v>
      </c>
      <c r="P781" s="2">
        <v>3724440</v>
      </c>
      <c r="Q781" s="1">
        <v>-121340</v>
      </c>
      <c r="R781" s="1">
        <v>408539</v>
      </c>
      <c r="S781">
        <v>99.302199999999999</v>
      </c>
      <c r="T781">
        <v>98.274000000000001</v>
      </c>
      <c r="U781">
        <v>4.7339000000000002</v>
      </c>
      <c r="V781">
        <v>0</v>
      </c>
      <c r="W781">
        <v>0</v>
      </c>
      <c r="X781">
        <v>1.92134</v>
      </c>
      <c r="Y781">
        <v>1.61894</v>
      </c>
      <c r="Z781">
        <v>0</v>
      </c>
      <c r="AA781">
        <v>1.48424</v>
      </c>
      <c r="AB781">
        <v>2.9635199999999999</v>
      </c>
      <c r="AC781" s="2">
        <v>331058000</v>
      </c>
      <c r="AD781" s="1">
        <v>0</v>
      </c>
      <c r="AE781" s="1">
        <v>0</v>
      </c>
      <c r="AF781" s="1">
        <v>0</v>
      </c>
      <c r="AG781" s="1">
        <v>0</v>
      </c>
      <c r="AH781" s="2">
        <v>4970960</v>
      </c>
      <c r="AI781" s="1">
        <v>918912</v>
      </c>
      <c r="AJ781" s="1">
        <v>0</v>
      </c>
      <c r="AK781" s="8">
        <f t="shared" si="51"/>
        <v>52</v>
      </c>
      <c r="AL781" s="8">
        <f t="shared" si="50"/>
        <v>15</v>
      </c>
      <c r="AM781">
        <f t="shared" si="48"/>
        <v>331058000</v>
      </c>
      <c r="AN781">
        <f t="shared" si="49"/>
        <v>109664000</v>
      </c>
    </row>
    <row r="782" spans="1:40" x14ac:dyDescent="0.35">
      <c r="A782">
        <v>60.396799999999999</v>
      </c>
      <c r="B782">
        <v>85.138999999999996</v>
      </c>
      <c r="C782">
        <v>5.74444</v>
      </c>
      <c r="D782">
        <v>0.03</v>
      </c>
      <c r="E782">
        <v>0</v>
      </c>
      <c r="F782">
        <v>2.4917099999999999</v>
      </c>
      <c r="G782">
        <v>2.7941099999999999</v>
      </c>
      <c r="H782">
        <v>0</v>
      </c>
      <c r="I782">
        <v>0.46687099999999998</v>
      </c>
      <c r="J782">
        <v>5.3222399999999999</v>
      </c>
      <c r="K782" s="2">
        <v>109543000</v>
      </c>
      <c r="L782" s="1">
        <v>0</v>
      </c>
      <c r="M782" s="1">
        <v>0</v>
      </c>
      <c r="N782" s="1">
        <v>0</v>
      </c>
      <c r="O782" s="1">
        <v>0</v>
      </c>
      <c r="P782" s="2">
        <v>3725050</v>
      </c>
      <c r="Q782" s="1">
        <v>-121298</v>
      </c>
      <c r="R782" s="1">
        <v>408539</v>
      </c>
      <c r="S782">
        <v>99.302199999999999</v>
      </c>
      <c r="T782">
        <v>98.274000000000001</v>
      </c>
      <c r="U782">
        <v>7.6317599999999999</v>
      </c>
      <c r="V782">
        <v>0</v>
      </c>
      <c r="W782">
        <v>0</v>
      </c>
      <c r="X782">
        <v>1.92157</v>
      </c>
      <c r="Y782">
        <v>1.61917</v>
      </c>
      <c r="Z782">
        <v>0</v>
      </c>
      <c r="AA782">
        <v>1.4844299999999999</v>
      </c>
      <c r="AB782">
        <v>2.9635199999999999</v>
      </c>
      <c r="AC782" s="2">
        <v>331977000</v>
      </c>
      <c r="AD782" s="1">
        <v>0</v>
      </c>
      <c r="AE782" s="1">
        <v>0</v>
      </c>
      <c r="AF782" s="1">
        <v>0</v>
      </c>
      <c r="AG782" s="1">
        <v>0</v>
      </c>
      <c r="AH782" s="2">
        <v>4971570</v>
      </c>
      <c r="AI782" s="1">
        <v>918932</v>
      </c>
      <c r="AJ782" s="1">
        <v>0</v>
      </c>
      <c r="AK782" s="8">
        <f t="shared" si="51"/>
        <v>1</v>
      </c>
      <c r="AL782" s="8">
        <f t="shared" si="50"/>
        <v>16</v>
      </c>
      <c r="AM782">
        <f t="shared" si="48"/>
        <v>0</v>
      </c>
      <c r="AN782">
        <f t="shared" si="49"/>
        <v>0</v>
      </c>
    </row>
    <row r="783" spans="1:40" x14ac:dyDescent="0.35">
      <c r="A783">
        <v>62.346400000000003</v>
      </c>
      <c r="B783">
        <v>85.138999999999996</v>
      </c>
      <c r="C783">
        <v>4.8056099999999997</v>
      </c>
      <c r="D783">
        <v>0.02</v>
      </c>
      <c r="E783">
        <v>0</v>
      </c>
      <c r="F783">
        <v>2.4921199999999999</v>
      </c>
      <c r="G783">
        <v>2.7945199999999999</v>
      </c>
      <c r="H783">
        <v>0</v>
      </c>
      <c r="I783">
        <v>0.466947</v>
      </c>
      <c r="J783">
        <v>5.3222399999999999</v>
      </c>
      <c r="K783" s="2">
        <v>109422000</v>
      </c>
      <c r="L783" s="1">
        <v>0</v>
      </c>
      <c r="M783" s="1">
        <v>0</v>
      </c>
      <c r="N783" s="1">
        <v>0</v>
      </c>
      <c r="O783" s="1">
        <v>0</v>
      </c>
      <c r="P783" s="2">
        <v>3725660</v>
      </c>
      <c r="Q783" s="1">
        <v>-121256</v>
      </c>
      <c r="R783" s="1">
        <v>408539</v>
      </c>
      <c r="S783">
        <v>99.302199999999999</v>
      </c>
      <c r="T783">
        <v>98.274000000000001</v>
      </c>
      <c r="U783">
        <v>6.2512800000000004</v>
      </c>
      <c r="V783">
        <v>0</v>
      </c>
      <c r="W783">
        <v>0</v>
      </c>
      <c r="X783">
        <v>1.92181</v>
      </c>
      <c r="Y783">
        <v>1.61941</v>
      </c>
      <c r="Z783">
        <v>0</v>
      </c>
      <c r="AA783">
        <v>1.48461</v>
      </c>
      <c r="AB783">
        <v>2.9635199999999999</v>
      </c>
      <c r="AC783" s="2">
        <v>332896000</v>
      </c>
      <c r="AD783" s="1">
        <v>0</v>
      </c>
      <c r="AE783" s="1">
        <v>0</v>
      </c>
      <c r="AF783" s="1">
        <v>0</v>
      </c>
      <c r="AG783" s="1">
        <v>0</v>
      </c>
      <c r="AH783" s="2">
        <v>4972180</v>
      </c>
      <c r="AI783" s="1">
        <v>918952</v>
      </c>
      <c r="AJ783" s="1">
        <v>0</v>
      </c>
      <c r="AK783" s="8">
        <f t="shared" si="51"/>
        <v>2</v>
      </c>
      <c r="AL783" s="8">
        <f t="shared" si="50"/>
        <v>16</v>
      </c>
      <c r="AM783">
        <f t="shared" si="48"/>
        <v>0</v>
      </c>
      <c r="AN783">
        <f t="shared" si="49"/>
        <v>0</v>
      </c>
    </row>
    <row r="784" spans="1:40" x14ac:dyDescent="0.35">
      <c r="A784">
        <v>64.481700000000004</v>
      </c>
      <c r="B784">
        <v>85.138999999999996</v>
      </c>
      <c r="C784">
        <v>5.2626099999999996</v>
      </c>
      <c r="D784">
        <v>0.02</v>
      </c>
      <c r="E784">
        <v>0</v>
      </c>
      <c r="F784">
        <v>2.5800800000000002</v>
      </c>
      <c r="G784">
        <v>2.8824800000000002</v>
      </c>
      <c r="H784">
        <v>0</v>
      </c>
      <c r="I784">
        <v>0.46702399999999999</v>
      </c>
      <c r="J784">
        <v>5.3222399999999999</v>
      </c>
      <c r="K784" s="2">
        <v>109309000</v>
      </c>
      <c r="L784" s="1">
        <v>0</v>
      </c>
      <c r="M784" s="1">
        <v>0</v>
      </c>
      <c r="N784" s="1">
        <v>0</v>
      </c>
      <c r="O784" s="2">
        <v>29016000</v>
      </c>
      <c r="P784" s="2">
        <v>3857160</v>
      </c>
      <c r="Q784" s="1">
        <v>-112214</v>
      </c>
      <c r="R784" s="1">
        <v>408539</v>
      </c>
      <c r="S784">
        <v>99.302199999999999</v>
      </c>
      <c r="T784">
        <v>98.274000000000001</v>
      </c>
      <c r="U784">
        <v>7.1131900000000003</v>
      </c>
      <c r="V784">
        <v>0</v>
      </c>
      <c r="W784">
        <v>0</v>
      </c>
      <c r="X784">
        <v>1.97441</v>
      </c>
      <c r="Y784">
        <v>1.67201</v>
      </c>
      <c r="Z784">
        <v>0</v>
      </c>
      <c r="AA784">
        <v>1.4847900000000001</v>
      </c>
      <c r="AB784">
        <v>2.9635199999999999</v>
      </c>
      <c r="AC784" s="2">
        <v>333819000</v>
      </c>
      <c r="AD784" s="1">
        <v>0</v>
      </c>
      <c r="AE784" s="1">
        <v>0</v>
      </c>
      <c r="AF784" s="1">
        <v>0</v>
      </c>
      <c r="AG784" s="2">
        <v>7883220</v>
      </c>
      <c r="AH784" s="2">
        <v>5108280</v>
      </c>
      <c r="AI784" s="1">
        <v>923388</v>
      </c>
      <c r="AJ784" s="1">
        <v>0</v>
      </c>
      <c r="AK784" s="8">
        <f t="shared" si="51"/>
        <v>3</v>
      </c>
      <c r="AL784" s="8">
        <f t="shared" si="50"/>
        <v>16</v>
      </c>
      <c r="AM784">
        <f t="shared" si="48"/>
        <v>0</v>
      </c>
      <c r="AN784">
        <f t="shared" si="49"/>
        <v>0</v>
      </c>
    </row>
    <row r="785" spans="1:40" x14ac:dyDescent="0.35">
      <c r="A785">
        <v>65.836200000000005</v>
      </c>
      <c r="B785">
        <v>85.138999999999996</v>
      </c>
      <c r="C785">
        <v>4.2933899999999996</v>
      </c>
      <c r="D785">
        <v>0.01</v>
      </c>
      <c r="E785">
        <v>0</v>
      </c>
      <c r="F785">
        <v>2.5804800000000001</v>
      </c>
      <c r="G785">
        <v>2.8828800000000001</v>
      </c>
      <c r="H785">
        <v>0</v>
      </c>
      <c r="I785">
        <v>0.48350700000000002</v>
      </c>
      <c r="J785">
        <v>5.3222399999999999</v>
      </c>
      <c r="K785" s="2">
        <v>109197000</v>
      </c>
      <c r="L785" s="1">
        <v>0</v>
      </c>
      <c r="M785" s="1">
        <v>0</v>
      </c>
      <c r="N785" s="1">
        <v>0</v>
      </c>
      <c r="O785" s="1">
        <v>0</v>
      </c>
      <c r="P785" s="2">
        <v>3857760</v>
      </c>
      <c r="Q785" s="1">
        <v>-112173</v>
      </c>
      <c r="R785" s="1">
        <v>408539</v>
      </c>
      <c r="S785">
        <v>99.302199999999999</v>
      </c>
      <c r="T785">
        <v>98.274000000000001</v>
      </c>
      <c r="U785">
        <v>6.90482</v>
      </c>
      <c r="V785">
        <v>0</v>
      </c>
      <c r="W785">
        <v>0</v>
      </c>
      <c r="X785">
        <v>1.97465</v>
      </c>
      <c r="Y785">
        <v>1.67225</v>
      </c>
      <c r="Z785">
        <v>0</v>
      </c>
      <c r="AA785">
        <v>1.5254300000000001</v>
      </c>
      <c r="AB785">
        <v>2.9635199999999999</v>
      </c>
      <c r="AC785" s="2">
        <v>334742000</v>
      </c>
      <c r="AD785" s="1">
        <v>0</v>
      </c>
      <c r="AE785" s="1">
        <v>0</v>
      </c>
      <c r="AF785" s="1">
        <v>0</v>
      </c>
      <c r="AG785" s="1">
        <v>0</v>
      </c>
      <c r="AH785" s="2">
        <v>5108880</v>
      </c>
      <c r="AI785" s="1">
        <v>923408</v>
      </c>
      <c r="AJ785" s="1">
        <v>0</v>
      </c>
      <c r="AK785" s="8">
        <f t="shared" si="51"/>
        <v>4</v>
      </c>
      <c r="AL785" s="8">
        <f t="shared" si="50"/>
        <v>16</v>
      </c>
      <c r="AM785">
        <f t="shared" si="48"/>
        <v>0</v>
      </c>
      <c r="AN785">
        <f t="shared" si="49"/>
        <v>0</v>
      </c>
    </row>
    <row r="786" spans="1:40" x14ac:dyDescent="0.35">
      <c r="A786">
        <v>67.827399999999997</v>
      </c>
      <c r="B786">
        <v>85.138999999999996</v>
      </c>
      <c r="C786">
        <v>4.9920999999999998</v>
      </c>
      <c r="D786">
        <v>0.02</v>
      </c>
      <c r="E786">
        <v>0</v>
      </c>
      <c r="F786">
        <v>2.5808800000000001</v>
      </c>
      <c r="G786">
        <v>2.8832800000000001</v>
      </c>
      <c r="H786">
        <v>0</v>
      </c>
      <c r="I786">
        <v>0.48358299999999999</v>
      </c>
      <c r="J786">
        <v>5.3222399999999999</v>
      </c>
      <c r="K786" s="2">
        <v>109085000</v>
      </c>
      <c r="L786" s="1">
        <v>0</v>
      </c>
      <c r="M786" s="1">
        <v>0</v>
      </c>
      <c r="N786" s="1">
        <v>0</v>
      </c>
      <c r="O786" s="1">
        <v>0</v>
      </c>
      <c r="P786" s="2">
        <v>3858360</v>
      </c>
      <c r="Q786" s="1">
        <v>-112131</v>
      </c>
      <c r="R786" s="1">
        <v>408539</v>
      </c>
      <c r="S786">
        <v>99.302199999999999</v>
      </c>
      <c r="T786">
        <v>98.274000000000001</v>
      </c>
      <c r="U786">
        <v>8.4939400000000003</v>
      </c>
      <c r="V786">
        <v>0</v>
      </c>
      <c r="W786">
        <v>0</v>
      </c>
      <c r="X786">
        <v>1.97488</v>
      </c>
      <c r="Y786">
        <v>1.67248</v>
      </c>
      <c r="Z786">
        <v>0</v>
      </c>
      <c r="AA786">
        <v>1.5256099999999999</v>
      </c>
      <c r="AB786">
        <v>2.9635199999999999</v>
      </c>
      <c r="AC786" s="2">
        <v>335666000</v>
      </c>
      <c r="AD786" s="1">
        <v>0</v>
      </c>
      <c r="AE786" s="1">
        <v>0</v>
      </c>
      <c r="AF786" s="1">
        <v>0</v>
      </c>
      <c r="AG786" s="1">
        <v>0</v>
      </c>
      <c r="AH786" s="2">
        <v>5109480</v>
      </c>
      <c r="AI786" s="1">
        <v>923428</v>
      </c>
      <c r="AJ786" s="1">
        <v>0</v>
      </c>
      <c r="AK786" s="8">
        <f t="shared" si="51"/>
        <v>5</v>
      </c>
      <c r="AL786" s="8">
        <f t="shared" si="50"/>
        <v>16</v>
      </c>
      <c r="AM786">
        <f t="shared" si="48"/>
        <v>0</v>
      </c>
      <c r="AN786">
        <f t="shared" si="49"/>
        <v>0</v>
      </c>
    </row>
    <row r="787" spans="1:40" x14ac:dyDescent="0.35">
      <c r="A787">
        <v>71.696100000000001</v>
      </c>
      <c r="B787">
        <v>85.138999999999996</v>
      </c>
      <c r="C787">
        <v>6.9775600000000004</v>
      </c>
      <c r="D787">
        <v>0.02</v>
      </c>
      <c r="E787">
        <v>0</v>
      </c>
      <c r="F787">
        <v>2.5812900000000001</v>
      </c>
      <c r="G787">
        <v>2.8836900000000001</v>
      </c>
      <c r="H787">
        <v>0</v>
      </c>
      <c r="I787">
        <v>0.48365799999999998</v>
      </c>
      <c r="J787">
        <v>5.3222399999999999</v>
      </c>
      <c r="K787" s="2">
        <v>108973000</v>
      </c>
      <c r="L787" s="1">
        <v>0</v>
      </c>
      <c r="M787" s="1">
        <v>0</v>
      </c>
      <c r="N787" s="1">
        <v>0</v>
      </c>
      <c r="O787" s="1">
        <v>0</v>
      </c>
      <c r="P787" s="2">
        <v>3858960</v>
      </c>
      <c r="Q787" s="1">
        <v>-112090</v>
      </c>
      <c r="R787" s="1">
        <v>408539</v>
      </c>
      <c r="S787">
        <v>99.302199999999999</v>
      </c>
      <c r="T787">
        <v>98.274000000000001</v>
      </c>
      <c r="U787">
        <v>9.7107500000000009</v>
      </c>
      <c r="V787">
        <v>0</v>
      </c>
      <c r="W787">
        <v>0</v>
      </c>
      <c r="X787">
        <v>1.9751099999999999</v>
      </c>
      <c r="Y787">
        <v>1.6727099999999999</v>
      </c>
      <c r="Z787">
        <v>0</v>
      </c>
      <c r="AA787">
        <v>1.52579</v>
      </c>
      <c r="AB787">
        <v>2.9635199999999999</v>
      </c>
      <c r="AC787" s="2">
        <v>336589000</v>
      </c>
      <c r="AD787" s="1">
        <v>0</v>
      </c>
      <c r="AE787" s="1">
        <v>0</v>
      </c>
      <c r="AF787" s="1">
        <v>0</v>
      </c>
      <c r="AG787" s="1">
        <v>0</v>
      </c>
      <c r="AH787" s="2">
        <v>5110080</v>
      </c>
      <c r="AI787" s="1">
        <v>923447</v>
      </c>
      <c r="AJ787" s="1">
        <v>0</v>
      </c>
      <c r="AK787" s="8">
        <f t="shared" si="51"/>
        <v>6</v>
      </c>
      <c r="AL787" s="8">
        <f t="shared" si="50"/>
        <v>16</v>
      </c>
      <c r="AM787">
        <f t="shared" si="48"/>
        <v>0</v>
      </c>
      <c r="AN787">
        <f t="shared" si="49"/>
        <v>0</v>
      </c>
    </row>
    <row r="788" spans="1:40" x14ac:dyDescent="0.35">
      <c r="A788">
        <v>74.327500000000001</v>
      </c>
      <c r="B788">
        <v>85.138999999999996</v>
      </c>
      <c r="C788">
        <v>6.3873300000000004</v>
      </c>
      <c r="D788">
        <v>0</v>
      </c>
      <c r="E788">
        <v>0</v>
      </c>
      <c r="F788">
        <v>3.1654</v>
      </c>
      <c r="G788">
        <v>3.1654</v>
      </c>
      <c r="H788">
        <v>0</v>
      </c>
      <c r="I788">
        <v>0.48373300000000002</v>
      </c>
      <c r="J788">
        <v>5.3222399999999999</v>
      </c>
      <c r="K788" s="2">
        <v>109298000</v>
      </c>
      <c r="L788" s="1">
        <v>0</v>
      </c>
      <c r="M788" s="1">
        <v>0</v>
      </c>
      <c r="N788" s="1">
        <v>0</v>
      </c>
      <c r="O788" s="1">
        <v>0</v>
      </c>
      <c r="P788" s="2">
        <v>4732190</v>
      </c>
      <c r="Q788" s="1">
        <v>325409</v>
      </c>
      <c r="R788" s="1">
        <v>0</v>
      </c>
      <c r="S788">
        <v>99.302199999999999</v>
      </c>
      <c r="T788">
        <v>98.274000000000001</v>
      </c>
      <c r="U788">
        <v>8.6009399999999996</v>
      </c>
      <c r="V788">
        <v>0</v>
      </c>
      <c r="W788">
        <v>0</v>
      </c>
      <c r="X788">
        <v>1.86965</v>
      </c>
      <c r="Y788">
        <v>1.86965</v>
      </c>
      <c r="Z788">
        <v>0</v>
      </c>
      <c r="AA788">
        <v>1.52597</v>
      </c>
      <c r="AB788">
        <v>2.9635199999999999</v>
      </c>
      <c r="AC788" s="2">
        <v>336747000</v>
      </c>
      <c r="AD788" s="1">
        <v>0</v>
      </c>
      <c r="AE788" s="1">
        <v>0</v>
      </c>
      <c r="AF788" s="1">
        <v>0</v>
      </c>
      <c r="AG788" s="1">
        <v>0</v>
      </c>
      <c r="AH788" s="2">
        <v>4837220</v>
      </c>
      <c r="AI788" s="1">
        <v>157675</v>
      </c>
      <c r="AJ788" s="1">
        <v>0</v>
      </c>
      <c r="AK788" s="8">
        <f t="shared" si="51"/>
        <v>7</v>
      </c>
      <c r="AL788" s="8">
        <f t="shared" si="50"/>
        <v>16</v>
      </c>
      <c r="AM788">
        <f t="shared" si="48"/>
        <v>0</v>
      </c>
      <c r="AN788">
        <f t="shared" si="49"/>
        <v>0</v>
      </c>
    </row>
    <row r="789" spans="1:40" x14ac:dyDescent="0.35">
      <c r="A789">
        <v>76.647800000000004</v>
      </c>
      <c r="B789">
        <v>85.138999999999996</v>
      </c>
      <c r="C789">
        <v>5.9596600000000004</v>
      </c>
      <c r="D789">
        <v>0</v>
      </c>
      <c r="E789">
        <v>0</v>
      </c>
      <c r="F789">
        <v>3.1658400000000002</v>
      </c>
      <c r="G789">
        <v>3.1658400000000002</v>
      </c>
      <c r="H789">
        <v>0</v>
      </c>
      <c r="I789">
        <v>0.59319500000000003</v>
      </c>
      <c r="J789">
        <v>5.3222399999999999</v>
      </c>
      <c r="K789" s="2">
        <v>109624000</v>
      </c>
      <c r="L789" s="1">
        <v>0</v>
      </c>
      <c r="M789" s="1">
        <v>0</v>
      </c>
      <c r="N789" s="1">
        <v>0</v>
      </c>
      <c r="O789" s="1">
        <v>0</v>
      </c>
      <c r="P789" s="2">
        <v>4732850</v>
      </c>
      <c r="Q789" s="1">
        <v>325454</v>
      </c>
      <c r="R789" s="1">
        <v>0</v>
      </c>
      <c r="S789">
        <v>99.302199999999999</v>
      </c>
      <c r="T789">
        <v>98.274000000000001</v>
      </c>
      <c r="U789">
        <v>7.5710899999999999</v>
      </c>
      <c r="V789">
        <v>0</v>
      </c>
      <c r="W789">
        <v>0</v>
      </c>
      <c r="X789">
        <v>1.86991</v>
      </c>
      <c r="Y789">
        <v>1.86991</v>
      </c>
      <c r="Z789">
        <v>0</v>
      </c>
      <c r="AA789">
        <v>1.4444900000000001</v>
      </c>
      <c r="AB789">
        <v>2.9635199999999999</v>
      </c>
      <c r="AC789" s="2">
        <v>336905000</v>
      </c>
      <c r="AD789" s="1">
        <v>0</v>
      </c>
      <c r="AE789" s="1">
        <v>0</v>
      </c>
      <c r="AF789" s="1">
        <v>0</v>
      </c>
      <c r="AG789" s="1">
        <v>0</v>
      </c>
      <c r="AH789" s="2">
        <v>4837900</v>
      </c>
      <c r="AI789" s="1">
        <v>157697</v>
      </c>
      <c r="AJ789" s="1">
        <v>0</v>
      </c>
      <c r="AK789" s="8">
        <f t="shared" si="51"/>
        <v>8</v>
      </c>
      <c r="AL789" s="8">
        <f t="shared" si="50"/>
        <v>16</v>
      </c>
      <c r="AM789">
        <f t="shared" si="48"/>
        <v>0</v>
      </c>
      <c r="AN789">
        <f t="shared" si="49"/>
        <v>0</v>
      </c>
    </row>
    <row r="790" spans="1:40" x14ac:dyDescent="0.35">
      <c r="A790">
        <v>79.240099999999998</v>
      </c>
      <c r="B790">
        <v>85.138999999999996</v>
      </c>
      <c r="C790">
        <v>6.27644</v>
      </c>
      <c r="D790">
        <v>0</v>
      </c>
      <c r="E790">
        <v>0</v>
      </c>
      <c r="F790">
        <v>3.16628</v>
      </c>
      <c r="G790">
        <v>3.16628</v>
      </c>
      <c r="H790">
        <v>0</v>
      </c>
      <c r="I790">
        <v>0.59327799999999997</v>
      </c>
      <c r="J790">
        <v>5.3222399999999999</v>
      </c>
      <c r="K790" s="2">
        <v>109949000</v>
      </c>
      <c r="L790" s="1">
        <v>0</v>
      </c>
      <c r="M790" s="1">
        <v>0</v>
      </c>
      <c r="N790" s="1">
        <v>0</v>
      </c>
      <c r="O790" s="1">
        <v>0</v>
      </c>
      <c r="P790" s="2">
        <v>4733500</v>
      </c>
      <c r="Q790" s="1">
        <v>325500</v>
      </c>
      <c r="R790" s="1">
        <v>0</v>
      </c>
      <c r="S790">
        <v>99.302199999999999</v>
      </c>
      <c r="T790">
        <v>98.274000000000001</v>
      </c>
      <c r="U790">
        <v>7.8546199999999997</v>
      </c>
      <c r="V790">
        <v>0</v>
      </c>
      <c r="W790">
        <v>0</v>
      </c>
      <c r="X790">
        <v>1.8701700000000001</v>
      </c>
      <c r="Y790">
        <v>1.8701700000000001</v>
      </c>
      <c r="Z790">
        <v>0</v>
      </c>
      <c r="AA790">
        <v>1.44469</v>
      </c>
      <c r="AB790">
        <v>2.9635199999999999</v>
      </c>
      <c r="AC790" s="2">
        <v>337062000</v>
      </c>
      <c r="AD790" s="1">
        <v>0</v>
      </c>
      <c r="AE790" s="1">
        <v>0</v>
      </c>
      <c r="AF790" s="1">
        <v>0</v>
      </c>
      <c r="AG790" s="1">
        <v>0</v>
      </c>
      <c r="AH790" s="2">
        <v>4838570</v>
      </c>
      <c r="AI790" s="1">
        <v>157719</v>
      </c>
      <c r="AJ790" s="1">
        <v>0</v>
      </c>
      <c r="AK790" s="8">
        <f t="shared" si="51"/>
        <v>9</v>
      </c>
      <c r="AL790" s="8">
        <f t="shared" si="50"/>
        <v>16</v>
      </c>
      <c r="AM790">
        <f t="shared" si="48"/>
        <v>0</v>
      </c>
      <c r="AN790">
        <f t="shared" si="49"/>
        <v>0</v>
      </c>
    </row>
    <row r="791" spans="1:40" x14ac:dyDescent="0.35">
      <c r="A791">
        <v>81.9983</v>
      </c>
      <c r="B791">
        <v>85.138999999999996</v>
      </c>
      <c r="C791">
        <v>6.4800399999999998</v>
      </c>
      <c r="D791">
        <v>0</v>
      </c>
      <c r="E791">
        <v>0</v>
      </c>
      <c r="F791">
        <v>3.1667200000000002</v>
      </c>
      <c r="G791">
        <v>3.1667200000000002</v>
      </c>
      <c r="H791">
        <v>0</v>
      </c>
      <c r="I791">
        <v>0.59336</v>
      </c>
      <c r="J791">
        <v>5.3222399999999999</v>
      </c>
      <c r="K791" s="2">
        <v>110275000</v>
      </c>
      <c r="L791" s="1">
        <v>0</v>
      </c>
      <c r="M791" s="1">
        <v>0</v>
      </c>
      <c r="N791" s="1">
        <v>0</v>
      </c>
      <c r="O791" s="1">
        <v>0</v>
      </c>
      <c r="P791" s="2">
        <v>4734160</v>
      </c>
      <c r="Q791" s="1">
        <v>325545</v>
      </c>
      <c r="R791" s="1">
        <v>0</v>
      </c>
      <c r="S791">
        <v>99.302199999999999</v>
      </c>
      <c r="T791">
        <v>98.274000000000001</v>
      </c>
      <c r="U791">
        <v>7.6587199999999998</v>
      </c>
      <c r="V791">
        <v>0</v>
      </c>
      <c r="W791">
        <v>0</v>
      </c>
      <c r="X791">
        <v>1.87043</v>
      </c>
      <c r="Y791">
        <v>1.87043</v>
      </c>
      <c r="Z791">
        <v>0</v>
      </c>
      <c r="AA791">
        <v>1.44489</v>
      </c>
      <c r="AB791">
        <v>2.9635199999999999</v>
      </c>
      <c r="AC791" s="2">
        <v>337220000</v>
      </c>
      <c r="AD791" s="1">
        <v>0</v>
      </c>
      <c r="AE791" s="1">
        <v>0</v>
      </c>
      <c r="AF791" s="1">
        <v>0</v>
      </c>
      <c r="AG791" s="1">
        <v>0</v>
      </c>
      <c r="AH791" s="2">
        <v>4839250</v>
      </c>
      <c r="AI791" s="1">
        <v>157741</v>
      </c>
      <c r="AJ791" s="1">
        <v>0</v>
      </c>
      <c r="AK791" s="8">
        <f t="shared" si="51"/>
        <v>10</v>
      </c>
      <c r="AL791" s="8">
        <f t="shared" si="50"/>
        <v>16</v>
      </c>
      <c r="AM791">
        <f t="shared" si="48"/>
        <v>0</v>
      </c>
      <c r="AN791">
        <f t="shared" si="49"/>
        <v>0</v>
      </c>
    </row>
    <row r="792" spans="1:40" x14ac:dyDescent="0.35">
      <c r="A792">
        <v>85.138999999999996</v>
      </c>
      <c r="B792">
        <v>85.138999999999996</v>
      </c>
      <c r="C792">
        <v>8.0181699999999996</v>
      </c>
      <c r="D792">
        <v>0</v>
      </c>
      <c r="E792">
        <v>0</v>
      </c>
      <c r="F792">
        <v>2.7656999999999998</v>
      </c>
      <c r="G792">
        <v>2.7656999999999998</v>
      </c>
      <c r="H792">
        <v>0</v>
      </c>
      <c r="I792">
        <v>0.59344300000000005</v>
      </c>
      <c r="J792">
        <v>5.3222399999999999</v>
      </c>
      <c r="K792" s="2">
        <v>110559000</v>
      </c>
      <c r="L792" s="1">
        <v>0</v>
      </c>
      <c r="M792" s="1">
        <v>0</v>
      </c>
      <c r="N792" s="1">
        <v>0</v>
      </c>
      <c r="O792" s="1">
        <v>0</v>
      </c>
      <c r="P792" s="2">
        <v>4134650</v>
      </c>
      <c r="Q792" s="1">
        <v>284320</v>
      </c>
      <c r="R792" s="1">
        <v>0</v>
      </c>
      <c r="S792">
        <v>99.302199999999999</v>
      </c>
      <c r="T792">
        <v>98.274000000000001</v>
      </c>
      <c r="U792">
        <v>8.14527</v>
      </c>
      <c r="V792">
        <v>0</v>
      </c>
      <c r="W792">
        <v>0</v>
      </c>
      <c r="X792">
        <v>1.60656</v>
      </c>
      <c r="Y792">
        <v>1.60656</v>
      </c>
      <c r="Z792">
        <v>0</v>
      </c>
      <c r="AA792">
        <v>1.44509</v>
      </c>
      <c r="AB792">
        <v>2.9635199999999999</v>
      </c>
      <c r="AC792" s="2">
        <v>337356000</v>
      </c>
      <c r="AD792" s="1">
        <v>0</v>
      </c>
      <c r="AE792" s="1">
        <v>0</v>
      </c>
      <c r="AF792" s="1">
        <v>0</v>
      </c>
      <c r="AG792" s="1">
        <v>0</v>
      </c>
      <c r="AH792" s="2">
        <v>4156570</v>
      </c>
      <c r="AI792" s="1">
        <v>135488</v>
      </c>
      <c r="AJ792" s="1">
        <v>0</v>
      </c>
      <c r="AK792" s="8">
        <f t="shared" si="51"/>
        <v>11</v>
      </c>
      <c r="AL792" s="8">
        <f t="shared" si="50"/>
        <v>16</v>
      </c>
      <c r="AM792">
        <f t="shared" si="48"/>
        <v>0</v>
      </c>
      <c r="AN792">
        <f t="shared" si="49"/>
        <v>0</v>
      </c>
    </row>
    <row r="793" spans="1:40" x14ac:dyDescent="0.35">
      <c r="A793">
        <v>85.138999999999996</v>
      </c>
      <c r="B793">
        <v>85.138999999999996</v>
      </c>
      <c r="C793">
        <v>4.2477</v>
      </c>
      <c r="D793">
        <v>0</v>
      </c>
      <c r="E793">
        <v>0</v>
      </c>
      <c r="F793">
        <v>2.7660900000000002</v>
      </c>
      <c r="G793">
        <v>2.7660900000000002</v>
      </c>
      <c r="H793">
        <v>0</v>
      </c>
      <c r="I793">
        <v>0.518293</v>
      </c>
      <c r="J793">
        <v>5.3222399999999999</v>
      </c>
      <c r="K793" s="2">
        <v>110844000</v>
      </c>
      <c r="L793" s="1">
        <v>0</v>
      </c>
      <c r="M793" s="1">
        <v>0</v>
      </c>
      <c r="N793" s="1">
        <v>0</v>
      </c>
      <c r="O793" s="1">
        <v>0</v>
      </c>
      <c r="P793" s="2">
        <v>4135230</v>
      </c>
      <c r="Q793" s="1">
        <v>284359</v>
      </c>
      <c r="R793" s="1">
        <v>0</v>
      </c>
      <c r="S793">
        <v>99.302199999999999</v>
      </c>
      <c r="T793">
        <v>98.274000000000001</v>
      </c>
      <c r="U793">
        <v>5.2426199999999996</v>
      </c>
      <c r="V793">
        <v>0</v>
      </c>
      <c r="W793">
        <v>0</v>
      </c>
      <c r="X793">
        <v>1.6067899999999999</v>
      </c>
      <c r="Y793">
        <v>1.6067899999999999</v>
      </c>
      <c r="Z793">
        <v>0</v>
      </c>
      <c r="AA793">
        <v>1.2412300000000001</v>
      </c>
      <c r="AB793">
        <v>2.9635199999999999</v>
      </c>
      <c r="AC793" s="2">
        <v>337491000</v>
      </c>
      <c r="AD793" s="1">
        <v>0</v>
      </c>
      <c r="AE793" s="1">
        <v>0</v>
      </c>
      <c r="AF793" s="1">
        <v>0</v>
      </c>
      <c r="AG793" s="1">
        <v>0</v>
      </c>
      <c r="AH793" s="2">
        <v>4157150</v>
      </c>
      <c r="AI793" s="1">
        <v>135507</v>
      </c>
      <c r="AJ793" s="1">
        <v>0</v>
      </c>
      <c r="AK793" s="8">
        <f t="shared" si="51"/>
        <v>12</v>
      </c>
      <c r="AL793" s="8">
        <f t="shared" si="50"/>
        <v>16</v>
      </c>
      <c r="AM793">
        <f t="shared" si="48"/>
        <v>0</v>
      </c>
      <c r="AN793">
        <f t="shared" si="49"/>
        <v>0</v>
      </c>
    </row>
    <row r="794" spans="1:40" x14ac:dyDescent="0.35">
      <c r="A794">
        <v>85.138999999999996</v>
      </c>
      <c r="B794">
        <v>85.138999999999996</v>
      </c>
      <c r="C794">
        <v>4.4579899999999997</v>
      </c>
      <c r="D794">
        <v>0</v>
      </c>
      <c r="E794">
        <v>0</v>
      </c>
      <c r="F794">
        <v>2.76647</v>
      </c>
      <c r="G794">
        <v>2.76647</v>
      </c>
      <c r="H794">
        <v>0</v>
      </c>
      <c r="I794">
        <v>0.51836499999999996</v>
      </c>
      <c r="J794">
        <v>5.3222399999999999</v>
      </c>
      <c r="K794" s="2">
        <v>111128000</v>
      </c>
      <c r="L794" s="1">
        <v>0</v>
      </c>
      <c r="M794" s="1">
        <v>0</v>
      </c>
      <c r="N794" s="1">
        <v>0</v>
      </c>
      <c r="O794" s="1">
        <v>0</v>
      </c>
      <c r="P794" s="2">
        <v>4135810</v>
      </c>
      <c r="Q794" s="1">
        <v>284399</v>
      </c>
      <c r="R794" s="1">
        <v>0</v>
      </c>
      <c r="S794">
        <v>99.302199999999999</v>
      </c>
      <c r="T794">
        <v>98.274000000000001</v>
      </c>
      <c r="U794">
        <v>5.5631700000000004</v>
      </c>
      <c r="V794">
        <v>0</v>
      </c>
      <c r="W794">
        <v>0</v>
      </c>
      <c r="X794">
        <v>1.60701</v>
      </c>
      <c r="Y794">
        <v>1.60701</v>
      </c>
      <c r="Z794">
        <v>0</v>
      </c>
      <c r="AA794">
        <v>1.2414000000000001</v>
      </c>
      <c r="AB794">
        <v>2.9635199999999999</v>
      </c>
      <c r="AC794" s="2">
        <v>337627000</v>
      </c>
      <c r="AD794" s="1">
        <v>0</v>
      </c>
      <c r="AE794" s="1">
        <v>0</v>
      </c>
      <c r="AF794" s="1">
        <v>0</v>
      </c>
      <c r="AG794" s="1">
        <v>0</v>
      </c>
      <c r="AH794" s="2">
        <v>4157720</v>
      </c>
      <c r="AI794" s="1">
        <v>135526</v>
      </c>
      <c r="AJ794" s="1">
        <v>0</v>
      </c>
      <c r="AK794" s="8">
        <f t="shared" si="51"/>
        <v>13</v>
      </c>
      <c r="AL794" s="8">
        <f t="shared" si="50"/>
        <v>16</v>
      </c>
      <c r="AM794">
        <f t="shared" si="48"/>
        <v>0</v>
      </c>
      <c r="AN794">
        <f t="shared" si="49"/>
        <v>0</v>
      </c>
    </row>
    <row r="795" spans="1:40" x14ac:dyDescent="0.35">
      <c r="A795">
        <v>85.138999999999996</v>
      </c>
      <c r="B795">
        <v>85.138999999999996</v>
      </c>
      <c r="C795">
        <v>3.4272100000000001</v>
      </c>
      <c r="D795">
        <v>0</v>
      </c>
      <c r="E795">
        <v>0</v>
      </c>
      <c r="F795">
        <v>2.7668599999999999</v>
      </c>
      <c r="G795">
        <v>2.7668599999999999</v>
      </c>
      <c r="H795">
        <v>0</v>
      </c>
      <c r="I795">
        <v>0.51843700000000004</v>
      </c>
      <c r="J795">
        <v>5.3222399999999999</v>
      </c>
      <c r="K795" s="2">
        <v>111412000</v>
      </c>
      <c r="L795" s="1">
        <v>0</v>
      </c>
      <c r="M795" s="1">
        <v>0</v>
      </c>
      <c r="N795" s="1">
        <v>0</v>
      </c>
      <c r="O795" s="1">
        <v>0</v>
      </c>
      <c r="P795" s="2">
        <v>4136380</v>
      </c>
      <c r="Q795" s="1">
        <v>284438</v>
      </c>
      <c r="R795" s="1">
        <v>0</v>
      </c>
      <c r="S795">
        <v>99.302199999999999</v>
      </c>
      <c r="T795">
        <v>98.274000000000001</v>
      </c>
      <c r="U795">
        <v>4.3821700000000003</v>
      </c>
      <c r="V795">
        <v>0</v>
      </c>
      <c r="W795">
        <v>0</v>
      </c>
      <c r="X795">
        <v>1.60724</v>
      </c>
      <c r="Y795">
        <v>1.60724</v>
      </c>
      <c r="Z795">
        <v>0</v>
      </c>
      <c r="AA795">
        <v>1.2415799999999999</v>
      </c>
      <c r="AB795">
        <v>2.9635199999999999</v>
      </c>
      <c r="AC795" s="2">
        <v>337762000</v>
      </c>
      <c r="AD795" s="1">
        <v>0</v>
      </c>
      <c r="AE795" s="1">
        <v>0</v>
      </c>
      <c r="AF795" s="1">
        <v>0</v>
      </c>
      <c r="AG795" s="1">
        <v>0</v>
      </c>
      <c r="AH795" s="2">
        <v>4158300</v>
      </c>
      <c r="AI795" s="1">
        <v>135545</v>
      </c>
      <c r="AJ795" s="1">
        <v>0</v>
      </c>
      <c r="AK795" s="8">
        <f t="shared" si="51"/>
        <v>14</v>
      </c>
      <c r="AL795" s="8">
        <f t="shared" si="50"/>
        <v>16</v>
      </c>
      <c r="AM795">
        <f t="shared" si="48"/>
        <v>0</v>
      </c>
      <c r="AN795">
        <f t="shared" si="49"/>
        <v>0</v>
      </c>
    </row>
    <row r="796" spans="1:40" x14ac:dyDescent="0.35">
      <c r="A796">
        <v>85.138999999999996</v>
      </c>
      <c r="B796">
        <v>85.138999999999996</v>
      </c>
      <c r="C796">
        <v>4.1509200000000002</v>
      </c>
      <c r="D796">
        <v>0</v>
      </c>
      <c r="E796">
        <v>0</v>
      </c>
      <c r="F796">
        <v>2.7672400000000001</v>
      </c>
      <c r="G796">
        <v>2.7672400000000001</v>
      </c>
      <c r="H796">
        <v>0</v>
      </c>
      <c r="I796">
        <v>0.518509</v>
      </c>
      <c r="J796">
        <v>5.3222399999999999</v>
      </c>
      <c r="K796" s="2">
        <v>111697000</v>
      </c>
      <c r="L796" s="1">
        <v>0</v>
      </c>
      <c r="M796" s="1">
        <v>0</v>
      </c>
      <c r="N796" s="1">
        <v>0</v>
      </c>
      <c r="O796" s="1">
        <v>0</v>
      </c>
      <c r="P796" s="2">
        <v>4136960</v>
      </c>
      <c r="Q796" s="1">
        <v>284478</v>
      </c>
      <c r="R796" s="1">
        <v>0</v>
      </c>
      <c r="S796">
        <v>99.302199999999999</v>
      </c>
      <c r="T796">
        <v>98.274000000000001</v>
      </c>
      <c r="U796">
        <v>4.7575000000000003</v>
      </c>
      <c r="V796">
        <v>0</v>
      </c>
      <c r="W796">
        <v>0</v>
      </c>
      <c r="X796">
        <v>1.6074600000000001</v>
      </c>
      <c r="Y796">
        <v>1.6074600000000001</v>
      </c>
      <c r="Z796">
        <v>0</v>
      </c>
      <c r="AA796">
        <v>1.2417499999999999</v>
      </c>
      <c r="AB796">
        <v>2.9635199999999999</v>
      </c>
      <c r="AC796" s="2">
        <v>337898000</v>
      </c>
      <c r="AD796" s="1">
        <v>0</v>
      </c>
      <c r="AE796" s="1">
        <v>0</v>
      </c>
      <c r="AF796" s="1">
        <v>0</v>
      </c>
      <c r="AG796" s="1">
        <v>0</v>
      </c>
      <c r="AH796" s="2">
        <v>4158880</v>
      </c>
      <c r="AI796" s="1">
        <v>135564</v>
      </c>
      <c r="AJ796" s="1">
        <v>0</v>
      </c>
      <c r="AK796" s="8">
        <f t="shared" si="51"/>
        <v>15</v>
      </c>
      <c r="AL796" s="8">
        <f t="shared" si="50"/>
        <v>16</v>
      </c>
      <c r="AM796">
        <f t="shared" si="48"/>
        <v>0</v>
      </c>
      <c r="AN796">
        <f t="shared" si="49"/>
        <v>0</v>
      </c>
    </row>
    <row r="797" spans="1:40" x14ac:dyDescent="0.35">
      <c r="A797">
        <v>85.138999999999996</v>
      </c>
      <c r="B797">
        <v>85.138999999999996</v>
      </c>
      <c r="C797">
        <v>4.8819699999999999</v>
      </c>
      <c r="D797">
        <v>0</v>
      </c>
      <c r="E797">
        <v>0</v>
      </c>
      <c r="F797">
        <v>2.8687499999999999</v>
      </c>
      <c r="G797">
        <v>2.8687499999999999</v>
      </c>
      <c r="H797">
        <v>0</v>
      </c>
      <c r="I797">
        <v>0.51858099999999996</v>
      </c>
      <c r="J797">
        <v>5.3222399999999999</v>
      </c>
      <c r="K797" s="2">
        <v>111992000</v>
      </c>
      <c r="L797" s="1">
        <v>0</v>
      </c>
      <c r="M797" s="1">
        <v>0</v>
      </c>
      <c r="N797" s="1">
        <v>0</v>
      </c>
      <c r="O797" s="1">
        <v>0</v>
      </c>
      <c r="P797" s="2">
        <v>4288710</v>
      </c>
      <c r="Q797" s="1">
        <v>294913</v>
      </c>
      <c r="R797" s="1">
        <v>0</v>
      </c>
      <c r="S797">
        <v>99.302199999999999</v>
      </c>
      <c r="T797">
        <v>98.274000000000001</v>
      </c>
      <c r="U797">
        <v>5.1885199999999996</v>
      </c>
      <c r="V797">
        <v>0</v>
      </c>
      <c r="W797">
        <v>0</v>
      </c>
      <c r="X797">
        <v>1.6723399999999999</v>
      </c>
      <c r="Y797">
        <v>1.6723399999999999</v>
      </c>
      <c r="Z797">
        <v>0</v>
      </c>
      <c r="AA797">
        <v>1.2419199999999999</v>
      </c>
      <c r="AB797">
        <v>2.9635199999999999</v>
      </c>
      <c r="AC797" s="2">
        <v>338039000</v>
      </c>
      <c r="AD797" s="1">
        <v>0</v>
      </c>
      <c r="AE797" s="1">
        <v>0</v>
      </c>
      <c r="AF797" s="1">
        <v>0</v>
      </c>
      <c r="AG797" s="1">
        <v>0</v>
      </c>
      <c r="AH797" s="2">
        <v>4326750</v>
      </c>
      <c r="AI797" s="1">
        <v>141035</v>
      </c>
      <c r="AJ797" s="1">
        <v>0</v>
      </c>
      <c r="AK797" s="8">
        <f t="shared" si="51"/>
        <v>16</v>
      </c>
      <c r="AL797" s="8">
        <f t="shared" si="50"/>
        <v>16</v>
      </c>
      <c r="AM797">
        <f t="shared" si="48"/>
        <v>0</v>
      </c>
      <c r="AN797">
        <f t="shared" si="49"/>
        <v>0</v>
      </c>
    </row>
    <row r="798" spans="1:40" x14ac:dyDescent="0.35">
      <c r="A798">
        <v>85.138999999999996</v>
      </c>
      <c r="B798">
        <v>85.138999999999996</v>
      </c>
      <c r="C798">
        <v>4.6847799999999999</v>
      </c>
      <c r="D798">
        <v>0</v>
      </c>
      <c r="E798">
        <v>0</v>
      </c>
      <c r="F798">
        <v>2.8691499999999999</v>
      </c>
      <c r="G798">
        <v>2.8691499999999999</v>
      </c>
      <c r="H798">
        <v>0</v>
      </c>
      <c r="I798">
        <v>0.53760399999999997</v>
      </c>
      <c r="J798">
        <v>5.3222399999999999</v>
      </c>
      <c r="K798" s="2">
        <v>112287000</v>
      </c>
      <c r="L798" s="1">
        <v>0</v>
      </c>
      <c r="M798" s="1">
        <v>0</v>
      </c>
      <c r="N798" s="1">
        <v>0</v>
      </c>
      <c r="O798" s="1">
        <v>0</v>
      </c>
      <c r="P798" s="2">
        <v>4289310</v>
      </c>
      <c r="Q798" s="1">
        <v>294954</v>
      </c>
      <c r="R798" s="1">
        <v>0</v>
      </c>
      <c r="S798">
        <v>99.302199999999999</v>
      </c>
      <c r="T798">
        <v>98.274000000000001</v>
      </c>
      <c r="U798">
        <v>4.8953899999999999</v>
      </c>
      <c r="V798">
        <v>0</v>
      </c>
      <c r="W798">
        <v>0</v>
      </c>
      <c r="X798">
        <v>1.67258</v>
      </c>
      <c r="Y798">
        <v>1.67258</v>
      </c>
      <c r="Z798">
        <v>0</v>
      </c>
      <c r="AA798">
        <v>1.2920499999999999</v>
      </c>
      <c r="AB798">
        <v>2.9635199999999999</v>
      </c>
      <c r="AC798" s="2">
        <v>338180000</v>
      </c>
      <c r="AD798" s="1">
        <v>0</v>
      </c>
      <c r="AE798" s="1">
        <v>0</v>
      </c>
      <c r="AF798" s="1">
        <v>0</v>
      </c>
      <c r="AG798" s="1">
        <v>0</v>
      </c>
      <c r="AH798" s="2">
        <v>4327360</v>
      </c>
      <c r="AI798" s="1">
        <v>141055</v>
      </c>
      <c r="AJ798" s="1">
        <v>0</v>
      </c>
      <c r="AK798" s="8">
        <f t="shared" si="51"/>
        <v>17</v>
      </c>
      <c r="AL798" s="8">
        <f t="shared" si="50"/>
        <v>16</v>
      </c>
      <c r="AM798">
        <f t="shared" si="48"/>
        <v>0</v>
      </c>
      <c r="AN798">
        <f t="shared" si="49"/>
        <v>0</v>
      </c>
    </row>
    <row r="799" spans="1:40" x14ac:dyDescent="0.35">
      <c r="A799">
        <v>85.138999999999996</v>
      </c>
      <c r="B799">
        <v>85.138999999999996</v>
      </c>
      <c r="C799">
        <v>4.0473999999999997</v>
      </c>
      <c r="D799">
        <v>0</v>
      </c>
      <c r="E799">
        <v>0</v>
      </c>
      <c r="F799">
        <v>2.8695499999999998</v>
      </c>
      <c r="G799">
        <v>2.8695499999999998</v>
      </c>
      <c r="H799">
        <v>0</v>
      </c>
      <c r="I799">
        <v>0.53767900000000002</v>
      </c>
      <c r="J799">
        <v>5.3222399999999999</v>
      </c>
      <c r="K799" s="2">
        <v>112582000</v>
      </c>
      <c r="L799" s="1">
        <v>0</v>
      </c>
      <c r="M799" s="1">
        <v>0</v>
      </c>
      <c r="N799" s="1">
        <v>0</v>
      </c>
      <c r="O799" s="1">
        <v>0</v>
      </c>
      <c r="P799" s="2">
        <v>4289910</v>
      </c>
      <c r="Q799" s="1">
        <v>294996</v>
      </c>
      <c r="R799" s="1">
        <v>0</v>
      </c>
      <c r="S799">
        <v>99.302199999999999</v>
      </c>
      <c r="T799">
        <v>98.274000000000001</v>
      </c>
      <c r="U799">
        <v>5.2453700000000003</v>
      </c>
      <c r="V799">
        <v>0</v>
      </c>
      <c r="W799">
        <v>0</v>
      </c>
      <c r="X799">
        <v>1.6728099999999999</v>
      </c>
      <c r="Y799">
        <v>1.6728099999999999</v>
      </c>
      <c r="Z799">
        <v>0</v>
      </c>
      <c r="AA799">
        <v>1.29223</v>
      </c>
      <c r="AB799">
        <v>2.9635199999999999</v>
      </c>
      <c r="AC799" s="2">
        <v>338321000</v>
      </c>
      <c r="AD799" s="1">
        <v>0</v>
      </c>
      <c r="AE799" s="1">
        <v>0</v>
      </c>
      <c r="AF799" s="1">
        <v>0</v>
      </c>
      <c r="AG799" s="1">
        <v>0</v>
      </c>
      <c r="AH799" s="2">
        <v>4327960</v>
      </c>
      <c r="AI799" s="1">
        <v>141075</v>
      </c>
      <c r="AJ799" s="1">
        <v>0</v>
      </c>
      <c r="AK799" s="8">
        <f t="shared" si="51"/>
        <v>18</v>
      </c>
      <c r="AL799" s="8">
        <f t="shared" si="50"/>
        <v>16</v>
      </c>
      <c r="AM799">
        <f t="shared" si="48"/>
        <v>0</v>
      </c>
      <c r="AN799">
        <f t="shared" si="49"/>
        <v>0</v>
      </c>
    </row>
    <row r="800" spans="1:40" x14ac:dyDescent="0.35">
      <c r="A800">
        <v>85.138999999999996</v>
      </c>
      <c r="B800">
        <v>85.138999999999996</v>
      </c>
      <c r="C800">
        <v>5.5196399999999999</v>
      </c>
      <c r="D800">
        <v>0</v>
      </c>
      <c r="E800">
        <v>0</v>
      </c>
      <c r="F800">
        <v>2.8699499999999998</v>
      </c>
      <c r="G800">
        <v>2.8699499999999998</v>
      </c>
      <c r="H800">
        <v>0</v>
      </c>
      <c r="I800">
        <v>0.53775399999999995</v>
      </c>
      <c r="J800">
        <v>5.3222399999999999</v>
      </c>
      <c r="K800" s="2">
        <v>112877000</v>
      </c>
      <c r="L800" s="1">
        <v>0</v>
      </c>
      <c r="M800" s="1">
        <v>0</v>
      </c>
      <c r="N800" s="1">
        <v>0</v>
      </c>
      <c r="O800" s="1">
        <v>0</v>
      </c>
      <c r="P800" s="2">
        <v>4290510</v>
      </c>
      <c r="Q800" s="1">
        <v>295037</v>
      </c>
      <c r="R800" s="1">
        <v>0</v>
      </c>
      <c r="S800">
        <v>99.302199999999999</v>
      </c>
      <c r="T800">
        <v>98.274000000000001</v>
      </c>
      <c r="U800">
        <v>6.5751600000000003</v>
      </c>
      <c r="V800">
        <v>0</v>
      </c>
      <c r="W800">
        <v>0</v>
      </c>
      <c r="X800">
        <v>1.6730400000000001</v>
      </c>
      <c r="Y800">
        <v>1.6730400000000001</v>
      </c>
      <c r="Z800">
        <v>0</v>
      </c>
      <c r="AA800">
        <v>1.2924100000000001</v>
      </c>
      <c r="AB800">
        <v>2.9635199999999999</v>
      </c>
      <c r="AC800" s="2">
        <v>338462000</v>
      </c>
      <c r="AD800" s="1">
        <v>0</v>
      </c>
      <c r="AE800" s="1">
        <v>0</v>
      </c>
      <c r="AF800" s="1">
        <v>0</v>
      </c>
      <c r="AG800" s="1">
        <v>0</v>
      </c>
      <c r="AH800" s="2">
        <v>4328560</v>
      </c>
      <c r="AI800" s="1">
        <v>141094</v>
      </c>
      <c r="AJ800" s="1">
        <v>0</v>
      </c>
      <c r="AK800" s="8">
        <f t="shared" si="51"/>
        <v>19</v>
      </c>
      <c r="AL800" s="8">
        <f t="shared" si="50"/>
        <v>16</v>
      </c>
      <c r="AM800">
        <f t="shared" si="48"/>
        <v>0</v>
      </c>
      <c r="AN800">
        <f t="shared" si="49"/>
        <v>0</v>
      </c>
    </row>
    <row r="801" spans="1:40" x14ac:dyDescent="0.35">
      <c r="A801">
        <v>85.033600000000007</v>
      </c>
      <c r="B801">
        <v>85.138999999999996</v>
      </c>
      <c r="C801">
        <v>3.0848200000000001</v>
      </c>
      <c r="D801">
        <v>0</v>
      </c>
      <c r="E801">
        <v>0</v>
      </c>
      <c r="F801">
        <v>2.8307899999999999</v>
      </c>
      <c r="G801">
        <v>2.8307899999999999</v>
      </c>
      <c r="H801">
        <v>0</v>
      </c>
      <c r="I801">
        <v>0.537829</v>
      </c>
      <c r="J801">
        <v>5.3222399999999999</v>
      </c>
      <c r="K801" s="2">
        <v>113168000</v>
      </c>
      <c r="L801" s="1">
        <v>0</v>
      </c>
      <c r="M801" s="1">
        <v>0</v>
      </c>
      <c r="N801" s="1">
        <v>0</v>
      </c>
      <c r="O801" s="1">
        <v>0</v>
      </c>
      <c r="P801" s="2">
        <v>4231960</v>
      </c>
      <c r="Q801" s="1">
        <v>291011</v>
      </c>
      <c r="R801" s="1">
        <v>0</v>
      </c>
      <c r="S801">
        <v>99.302199999999999</v>
      </c>
      <c r="T801">
        <v>98.274000000000001</v>
      </c>
      <c r="U801">
        <v>3.7467999999999999</v>
      </c>
      <c r="V801">
        <v>0</v>
      </c>
      <c r="W801">
        <v>0</v>
      </c>
      <c r="X801">
        <v>1.64815</v>
      </c>
      <c r="Y801">
        <v>1.64815</v>
      </c>
      <c r="Z801">
        <v>0</v>
      </c>
      <c r="AA801">
        <v>1.2925899999999999</v>
      </c>
      <c r="AB801">
        <v>2.9635199999999999</v>
      </c>
      <c r="AC801" s="2">
        <v>338601000</v>
      </c>
      <c r="AD801" s="1">
        <v>0</v>
      </c>
      <c r="AE801" s="1">
        <v>0</v>
      </c>
      <c r="AF801" s="1">
        <v>0</v>
      </c>
      <c r="AG801" s="1">
        <v>0</v>
      </c>
      <c r="AH801" s="2">
        <v>4264150</v>
      </c>
      <c r="AI801" s="1">
        <v>138995</v>
      </c>
      <c r="AJ801" s="1">
        <v>0</v>
      </c>
      <c r="AK801" s="8">
        <f t="shared" si="51"/>
        <v>20</v>
      </c>
      <c r="AL801" s="8">
        <f t="shared" si="50"/>
        <v>16</v>
      </c>
      <c r="AM801">
        <f t="shared" si="48"/>
        <v>0</v>
      </c>
      <c r="AN801">
        <f t="shared" si="49"/>
        <v>0</v>
      </c>
    </row>
    <row r="802" spans="1:40" x14ac:dyDescent="0.35">
      <c r="A802">
        <v>84.296800000000005</v>
      </c>
      <c r="B802">
        <v>85.138999999999996</v>
      </c>
      <c r="C802">
        <v>2.43133</v>
      </c>
      <c r="D802">
        <v>0</v>
      </c>
      <c r="E802">
        <v>0</v>
      </c>
      <c r="F802">
        <v>2.8311899999999999</v>
      </c>
      <c r="G802">
        <v>2.8311899999999999</v>
      </c>
      <c r="H802">
        <v>0</v>
      </c>
      <c r="I802">
        <v>0.53049000000000002</v>
      </c>
      <c r="J802">
        <v>5.3222399999999999</v>
      </c>
      <c r="K802" s="2">
        <v>113459000</v>
      </c>
      <c r="L802" s="1">
        <v>0</v>
      </c>
      <c r="M802" s="1">
        <v>0</v>
      </c>
      <c r="N802" s="1">
        <v>0</v>
      </c>
      <c r="O802" s="1">
        <v>0</v>
      </c>
      <c r="P802" s="2">
        <v>4232550</v>
      </c>
      <c r="Q802" s="1">
        <v>291051</v>
      </c>
      <c r="R802" s="1">
        <v>0</v>
      </c>
      <c r="S802">
        <v>99.302199999999999</v>
      </c>
      <c r="T802">
        <v>98.274000000000001</v>
      </c>
      <c r="U802">
        <v>3.40381</v>
      </c>
      <c r="V802">
        <v>0</v>
      </c>
      <c r="W802">
        <v>0</v>
      </c>
      <c r="X802">
        <v>1.64838</v>
      </c>
      <c r="Y802">
        <v>1.64838</v>
      </c>
      <c r="Z802">
        <v>0</v>
      </c>
      <c r="AA802">
        <v>1.27336</v>
      </c>
      <c r="AB802">
        <v>2.9635199999999999</v>
      </c>
      <c r="AC802" s="2">
        <v>338740000</v>
      </c>
      <c r="AD802" s="1">
        <v>0</v>
      </c>
      <c r="AE802" s="1">
        <v>0</v>
      </c>
      <c r="AF802" s="1">
        <v>0</v>
      </c>
      <c r="AG802" s="1">
        <v>0</v>
      </c>
      <c r="AH802" s="2">
        <v>4264750</v>
      </c>
      <c r="AI802" s="1">
        <v>139014</v>
      </c>
      <c r="AJ802" s="1">
        <v>0</v>
      </c>
      <c r="AK802" s="8">
        <f t="shared" si="51"/>
        <v>21</v>
      </c>
      <c r="AL802" s="8">
        <f t="shared" si="50"/>
        <v>16</v>
      </c>
      <c r="AM802">
        <f t="shared" si="48"/>
        <v>0</v>
      </c>
      <c r="AN802">
        <f t="shared" si="49"/>
        <v>0</v>
      </c>
    </row>
    <row r="803" spans="1:40" x14ac:dyDescent="0.35">
      <c r="A803">
        <v>83.421999999999997</v>
      </c>
      <c r="B803">
        <v>85.138999999999996</v>
      </c>
      <c r="C803">
        <v>2.2801300000000002</v>
      </c>
      <c r="D803">
        <v>0</v>
      </c>
      <c r="E803">
        <v>0</v>
      </c>
      <c r="F803">
        <v>2.8315800000000002</v>
      </c>
      <c r="G803">
        <v>2.8315800000000002</v>
      </c>
      <c r="H803">
        <v>0</v>
      </c>
      <c r="I803">
        <v>0.53056400000000004</v>
      </c>
      <c r="J803">
        <v>5.3222399999999999</v>
      </c>
      <c r="K803" s="2">
        <v>113750000</v>
      </c>
      <c r="L803" s="1">
        <v>0</v>
      </c>
      <c r="M803" s="1">
        <v>0</v>
      </c>
      <c r="N803" s="1">
        <v>0</v>
      </c>
      <c r="O803" s="1">
        <v>0</v>
      </c>
      <c r="P803" s="2">
        <v>4233140</v>
      </c>
      <c r="Q803" s="1">
        <v>291092</v>
      </c>
      <c r="R803" s="1">
        <v>0</v>
      </c>
      <c r="S803">
        <v>99.302199999999999</v>
      </c>
      <c r="T803">
        <v>98.274000000000001</v>
      </c>
      <c r="U803">
        <v>3.3247900000000001</v>
      </c>
      <c r="V803">
        <v>0</v>
      </c>
      <c r="W803">
        <v>0</v>
      </c>
      <c r="X803">
        <v>1.6486099999999999</v>
      </c>
      <c r="Y803">
        <v>1.6486099999999999</v>
      </c>
      <c r="Z803">
        <v>0</v>
      </c>
      <c r="AA803">
        <v>1.2735399999999999</v>
      </c>
      <c r="AB803">
        <v>2.9635199999999999</v>
      </c>
      <c r="AC803" s="2">
        <v>338879000</v>
      </c>
      <c r="AD803" s="1">
        <v>0</v>
      </c>
      <c r="AE803" s="1">
        <v>0</v>
      </c>
      <c r="AF803" s="1">
        <v>0</v>
      </c>
      <c r="AG803" s="1">
        <v>0</v>
      </c>
      <c r="AH803" s="2">
        <v>4265340</v>
      </c>
      <c r="AI803" s="1">
        <v>139034</v>
      </c>
      <c r="AJ803" s="1">
        <v>0</v>
      </c>
      <c r="AK803" s="8">
        <f t="shared" si="51"/>
        <v>22</v>
      </c>
      <c r="AL803" s="8">
        <f t="shared" si="50"/>
        <v>16</v>
      </c>
      <c r="AM803">
        <f t="shared" si="48"/>
        <v>0</v>
      </c>
      <c r="AN803">
        <f t="shared" si="49"/>
        <v>0</v>
      </c>
    </row>
    <row r="804" spans="1:40" x14ac:dyDescent="0.35">
      <c r="A804">
        <v>83.788899999999998</v>
      </c>
      <c r="B804">
        <v>85.138999999999996</v>
      </c>
      <c r="C804">
        <v>3.5559500000000002</v>
      </c>
      <c r="D804">
        <v>0</v>
      </c>
      <c r="E804">
        <v>0</v>
      </c>
      <c r="F804">
        <v>2.8319700000000001</v>
      </c>
      <c r="G804">
        <v>2.8319700000000001</v>
      </c>
      <c r="H804">
        <v>0</v>
      </c>
      <c r="I804">
        <v>0.53063800000000005</v>
      </c>
      <c r="J804">
        <v>5.3222399999999999</v>
      </c>
      <c r="K804" s="2">
        <v>114041000</v>
      </c>
      <c r="L804" s="1">
        <v>0</v>
      </c>
      <c r="M804" s="1">
        <v>0</v>
      </c>
      <c r="N804" s="1">
        <v>0</v>
      </c>
      <c r="O804" s="1">
        <v>0</v>
      </c>
      <c r="P804" s="2">
        <v>4233730</v>
      </c>
      <c r="Q804" s="1">
        <v>291132</v>
      </c>
      <c r="R804" s="1">
        <v>0</v>
      </c>
      <c r="S804">
        <v>99.302199999999999</v>
      </c>
      <c r="T804">
        <v>98.274000000000001</v>
      </c>
      <c r="U804">
        <v>4.0267400000000002</v>
      </c>
      <c r="V804">
        <v>0</v>
      </c>
      <c r="W804">
        <v>0</v>
      </c>
      <c r="X804">
        <v>1.6488400000000001</v>
      </c>
      <c r="Y804">
        <v>1.6488400000000001</v>
      </c>
      <c r="Z804">
        <v>0</v>
      </c>
      <c r="AA804">
        <v>1.2737099999999999</v>
      </c>
      <c r="AB804">
        <v>2.9635199999999999</v>
      </c>
      <c r="AC804" s="2">
        <v>339018000</v>
      </c>
      <c r="AD804" s="1">
        <v>0</v>
      </c>
      <c r="AE804" s="1">
        <v>0</v>
      </c>
      <c r="AF804" s="1">
        <v>0</v>
      </c>
      <c r="AG804" s="1">
        <v>0</v>
      </c>
      <c r="AH804" s="2">
        <v>4265940</v>
      </c>
      <c r="AI804" s="1">
        <v>139053</v>
      </c>
      <c r="AJ804" s="1">
        <v>0</v>
      </c>
      <c r="AK804" s="8">
        <f t="shared" si="51"/>
        <v>23</v>
      </c>
      <c r="AL804" s="8">
        <f t="shared" si="50"/>
        <v>16</v>
      </c>
      <c r="AM804">
        <f t="shared" si="48"/>
        <v>0</v>
      </c>
      <c r="AN804">
        <f t="shared" si="49"/>
        <v>0</v>
      </c>
    </row>
    <row r="805" spans="1:40" x14ac:dyDescent="0.35">
      <c r="A805">
        <v>82.800299999999993</v>
      </c>
      <c r="B805">
        <v>85.138999999999996</v>
      </c>
      <c r="C805">
        <v>2.2082899999999999</v>
      </c>
      <c r="D805">
        <v>0</v>
      </c>
      <c r="E805">
        <v>0</v>
      </c>
      <c r="F805">
        <v>2.9667300000000001</v>
      </c>
      <c r="G805">
        <v>2.9667300000000001</v>
      </c>
      <c r="H805">
        <v>0</v>
      </c>
      <c r="I805">
        <v>0.53071199999999996</v>
      </c>
      <c r="J805">
        <v>5.3222399999999999</v>
      </c>
      <c r="K805" s="2">
        <v>114346000</v>
      </c>
      <c r="L805" s="1">
        <v>0</v>
      </c>
      <c r="M805" s="1">
        <v>0</v>
      </c>
      <c r="N805" s="1">
        <v>0</v>
      </c>
      <c r="O805" s="1">
        <v>0</v>
      </c>
      <c r="P805" s="2">
        <v>4435180</v>
      </c>
      <c r="Q805" s="1">
        <v>304985</v>
      </c>
      <c r="R805" s="1">
        <v>0</v>
      </c>
      <c r="S805">
        <v>99.194199999999995</v>
      </c>
      <c r="T805">
        <v>98.274000000000001</v>
      </c>
      <c r="U805">
        <v>3.1773799999999999</v>
      </c>
      <c r="V805">
        <v>0</v>
      </c>
      <c r="W805">
        <v>0</v>
      </c>
      <c r="X805">
        <v>1.7382200000000001</v>
      </c>
      <c r="Y805">
        <v>1.7382200000000001</v>
      </c>
      <c r="Z805">
        <v>0</v>
      </c>
      <c r="AA805">
        <v>1.27389</v>
      </c>
      <c r="AB805">
        <v>2.9635199999999999</v>
      </c>
      <c r="AC805" s="2">
        <v>339165000</v>
      </c>
      <c r="AD805" s="1">
        <v>0</v>
      </c>
      <c r="AE805" s="1">
        <v>0</v>
      </c>
      <c r="AF805" s="1">
        <v>0</v>
      </c>
      <c r="AG805" s="1">
        <v>0</v>
      </c>
      <c r="AH805" s="2">
        <v>4497200</v>
      </c>
      <c r="AI805" s="1">
        <v>146591</v>
      </c>
      <c r="AJ805" s="1">
        <v>0</v>
      </c>
      <c r="AK805" s="8">
        <f t="shared" si="51"/>
        <v>24</v>
      </c>
      <c r="AL805" s="8">
        <f t="shared" si="50"/>
        <v>16</v>
      </c>
      <c r="AM805">
        <f t="shared" si="48"/>
        <v>0</v>
      </c>
      <c r="AN805">
        <f t="shared" si="49"/>
        <v>0</v>
      </c>
    </row>
    <row r="806" spans="1:40" x14ac:dyDescent="0.35">
      <c r="A806">
        <v>81.631500000000003</v>
      </c>
      <c r="B806">
        <v>85.138999999999996</v>
      </c>
      <c r="C806">
        <v>1.9694799999999999</v>
      </c>
      <c r="D806">
        <v>0</v>
      </c>
      <c r="E806">
        <v>0</v>
      </c>
      <c r="F806">
        <v>2.9671400000000001</v>
      </c>
      <c r="G806">
        <v>2.9671400000000001</v>
      </c>
      <c r="H806">
        <v>0</v>
      </c>
      <c r="I806">
        <v>0.55596500000000004</v>
      </c>
      <c r="J806">
        <v>5.3222399999999999</v>
      </c>
      <c r="K806" s="2">
        <v>114651000</v>
      </c>
      <c r="L806" s="1">
        <v>0</v>
      </c>
      <c r="M806" s="1">
        <v>0</v>
      </c>
      <c r="N806" s="1">
        <v>0</v>
      </c>
      <c r="O806" s="1">
        <v>0</v>
      </c>
      <c r="P806" s="2">
        <v>4435800</v>
      </c>
      <c r="Q806" s="1">
        <v>305028</v>
      </c>
      <c r="R806" s="1">
        <v>0</v>
      </c>
      <c r="S806">
        <v>99.168999999999997</v>
      </c>
      <c r="T806">
        <v>98.274000000000001</v>
      </c>
      <c r="U806">
        <v>2.6901799999999998</v>
      </c>
      <c r="V806">
        <v>0</v>
      </c>
      <c r="W806">
        <v>0</v>
      </c>
      <c r="X806">
        <v>1.73847</v>
      </c>
      <c r="Y806">
        <v>1.73847</v>
      </c>
      <c r="Z806">
        <v>0</v>
      </c>
      <c r="AA806">
        <v>1.3429500000000001</v>
      </c>
      <c r="AB806">
        <v>2.9635199999999999</v>
      </c>
      <c r="AC806" s="2">
        <v>339311000</v>
      </c>
      <c r="AD806" s="1">
        <v>0</v>
      </c>
      <c r="AE806" s="1">
        <v>0</v>
      </c>
      <c r="AF806" s="1">
        <v>0</v>
      </c>
      <c r="AG806" s="1">
        <v>0</v>
      </c>
      <c r="AH806" s="2">
        <v>4497830</v>
      </c>
      <c r="AI806" s="1">
        <v>146612</v>
      </c>
      <c r="AJ806" s="1">
        <v>0</v>
      </c>
      <c r="AK806" s="8">
        <f t="shared" si="51"/>
        <v>25</v>
      </c>
      <c r="AL806" s="8">
        <f t="shared" si="50"/>
        <v>16</v>
      </c>
      <c r="AM806">
        <f t="shared" si="48"/>
        <v>0</v>
      </c>
      <c r="AN806">
        <f t="shared" si="49"/>
        <v>0</v>
      </c>
    </row>
    <row r="807" spans="1:40" x14ac:dyDescent="0.35">
      <c r="A807">
        <v>80.420199999999994</v>
      </c>
      <c r="B807">
        <v>85.138999999999996</v>
      </c>
      <c r="C807">
        <v>1.91103</v>
      </c>
      <c r="D807">
        <v>0</v>
      </c>
      <c r="E807">
        <v>0</v>
      </c>
      <c r="F807">
        <v>2.9675500000000001</v>
      </c>
      <c r="G807">
        <v>2.9675500000000001</v>
      </c>
      <c r="H807">
        <v>0</v>
      </c>
      <c r="I807">
        <v>0.55604200000000004</v>
      </c>
      <c r="J807">
        <v>5.3222399999999999</v>
      </c>
      <c r="K807" s="2">
        <v>114956000</v>
      </c>
      <c r="L807" s="1">
        <v>0</v>
      </c>
      <c r="M807" s="1">
        <v>0</v>
      </c>
      <c r="N807" s="1">
        <v>0</v>
      </c>
      <c r="O807" s="1">
        <v>0</v>
      </c>
      <c r="P807" s="2">
        <v>4436420</v>
      </c>
      <c r="Q807" s="1">
        <v>305070</v>
      </c>
      <c r="R807" s="1">
        <v>0</v>
      </c>
      <c r="S807">
        <v>99.087999999999994</v>
      </c>
      <c r="T807">
        <v>98.274000000000001</v>
      </c>
      <c r="U807">
        <v>2.4605100000000002</v>
      </c>
      <c r="V807">
        <v>0</v>
      </c>
      <c r="W807">
        <v>0</v>
      </c>
      <c r="X807">
        <v>1.73871</v>
      </c>
      <c r="Y807">
        <v>1.73871</v>
      </c>
      <c r="Z807">
        <v>0</v>
      </c>
      <c r="AA807">
        <v>1.34314</v>
      </c>
      <c r="AB807">
        <v>2.9635199999999999</v>
      </c>
      <c r="AC807" s="2">
        <v>339458000</v>
      </c>
      <c r="AD807" s="1">
        <v>0</v>
      </c>
      <c r="AE807" s="1">
        <v>0</v>
      </c>
      <c r="AF807" s="1">
        <v>0</v>
      </c>
      <c r="AG807" s="1">
        <v>0</v>
      </c>
      <c r="AH807" s="2">
        <v>4498460</v>
      </c>
      <c r="AI807" s="1">
        <v>146632</v>
      </c>
      <c r="AJ807" s="1">
        <v>0</v>
      </c>
      <c r="AK807" s="8">
        <f t="shared" si="51"/>
        <v>26</v>
      </c>
      <c r="AL807" s="8">
        <f t="shared" si="50"/>
        <v>16</v>
      </c>
      <c r="AM807">
        <f t="shared" si="48"/>
        <v>0</v>
      </c>
      <c r="AN807">
        <f t="shared" si="49"/>
        <v>0</v>
      </c>
    </row>
    <row r="808" spans="1:40" x14ac:dyDescent="0.35">
      <c r="A808">
        <v>79.008799999999994</v>
      </c>
      <c r="B808">
        <v>85.138999999999996</v>
      </c>
      <c r="C808">
        <v>1.6771100000000001</v>
      </c>
      <c r="D808">
        <v>0</v>
      </c>
      <c r="E808">
        <v>0</v>
      </c>
      <c r="F808">
        <v>2.9679700000000002</v>
      </c>
      <c r="G808">
        <v>2.9679700000000002</v>
      </c>
      <c r="H808">
        <v>0</v>
      </c>
      <c r="I808">
        <v>0.55611999999999995</v>
      </c>
      <c r="J808">
        <v>5.3222399999999999</v>
      </c>
      <c r="K808" s="2">
        <v>115261000</v>
      </c>
      <c r="L808" s="1">
        <v>0</v>
      </c>
      <c r="M808" s="1">
        <v>0</v>
      </c>
      <c r="N808" s="1">
        <v>0</v>
      </c>
      <c r="O808" s="1">
        <v>0</v>
      </c>
      <c r="P808" s="2">
        <v>4437040</v>
      </c>
      <c r="Q808" s="1">
        <v>305113</v>
      </c>
      <c r="R808" s="1">
        <v>0</v>
      </c>
      <c r="S808">
        <v>99.034199999999998</v>
      </c>
      <c r="T808">
        <v>98.274000000000001</v>
      </c>
      <c r="U808">
        <v>2.3068300000000002</v>
      </c>
      <c r="V808">
        <v>0</v>
      </c>
      <c r="W808">
        <v>0</v>
      </c>
      <c r="X808">
        <v>1.73895</v>
      </c>
      <c r="Y808">
        <v>1.73895</v>
      </c>
      <c r="Z808">
        <v>0</v>
      </c>
      <c r="AA808">
        <v>1.3433299999999999</v>
      </c>
      <c r="AB808">
        <v>2.9635199999999999</v>
      </c>
      <c r="AC808" s="2">
        <v>339605000</v>
      </c>
      <c r="AD808" s="1">
        <v>0</v>
      </c>
      <c r="AE808" s="1">
        <v>0</v>
      </c>
      <c r="AF808" s="1">
        <v>0</v>
      </c>
      <c r="AG808" s="1">
        <v>0</v>
      </c>
      <c r="AH808" s="2">
        <v>4499080</v>
      </c>
      <c r="AI808" s="1">
        <v>146653</v>
      </c>
      <c r="AJ808" s="1">
        <v>0</v>
      </c>
      <c r="AK808" s="8">
        <f t="shared" si="51"/>
        <v>27</v>
      </c>
      <c r="AL808" s="8">
        <f t="shared" si="50"/>
        <v>16</v>
      </c>
      <c r="AM808">
        <f t="shared" si="48"/>
        <v>0</v>
      </c>
      <c r="AN808">
        <f t="shared" si="49"/>
        <v>0</v>
      </c>
    </row>
    <row r="809" spans="1:40" x14ac:dyDescent="0.35">
      <c r="A809">
        <v>77.556299999999993</v>
      </c>
      <c r="B809">
        <v>85.138999999999996</v>
      </c>
      <c r="C809">
        <v>1.5835399999999999</v>
      </c>
      <c r="D809">
        <v>0</v>
      </c>
      <c r="E809">
        <v>0</v>
      </c>
      <c r="F809">
        <v>2.9683799999999998</v>
      </c>
      <c r="G809">
        <v>2.9683799999999998</v>
      </c>
      <c r="H809">
        <v>0</v>
      </c>
      <c r="I809">
        <v>0.55619700000000005</v>
      </c>
      <c r="J809">
        <v>5.3222399999999999</v>
      </c>
      <c r="K809" s="2">
        <v>115566000</v>
      </c>
      <c r="L809" s="1">
        <v>0</v>
      </c>
      <c r="M809" s="1">
        <v>0</v>
      </c>
      <c r="N809" s="1">
        <v>0</v>
      </c>
      <c r="O809" s="1">
        <v>0</v>
      </c>
      <c r="P809" s="2">
        <v>4437660</v>
      </c>
      <c r="Q809" s="1">
        <v>305155</v>
      </c>
      <c r="R809" s="1">
        <v>0</v>
      </c>
      <c r="S809">
        <v>98.956900000000005</v>
      </c>
      <c r="T809">
        <v>98.274000000000001</v>
      </c>
      <c r="U809">
        <v>2.2072600000000002</v>
      </c>
      <c r="V809">
        <v>0</v>
      </c>
      <c r="W809">
        <v>0</v>
      </c>
      <c r="X809">
        <v>1.73919</v>
      </c>
      <c r="Y809">
        <v>1.73919</v>
      </c>
      <c r="Z809">
        <v>0</v>
      </c>
      <c r="AA809">
        <v>1.34351</v>
      </c>
      <c r="AB809">
        <v>2.9635199999999999</v>
      </c>
      <c r="AC809" s="2">
        <v>339751000</v>
      </c>
      <c r="AD809" s="1">
        <v>0</v>
      </c>
      <c r="AE809" s="1">
        <v>0</v>
      </c>
      <c r="AF809" s="1">
        <v>0</v>
      </c>
      <c r="AG809" s="1">
        <v>0</v>
      </c>
      <c r="AH809" s="2">
        <v>4499710</v>
      </c>
      <c r="AI809" s="1">
        <v>146673</v>
      </c>
      <c r="AJ809" s="1">
        <v>0</v>
      </c>
      <c r="AK809" s="8">
        <f t="shared" si="51"/>
        <v>28</v>
      </c>
      <c r="AL809" s="8">
        <f t="shared" si="50"/>
        <v>16</v>
      </c>
      <c r="AM809">
        <f t="shared" si="48"/>
        <v>0</v>
      </c>
      <c r="AN809">
        <f t="shared" si="49"/>
        <v>0</v>
      </c>
    </row>
    <row r="810" spans="1:40" x14ac:dyDescent="0.35">
      <c r="A810">
        <v>75.730900000000005</v>
      </c>
      <c r="B810">
        <v>85.138999999999996</v>
      </c>
      <c r="C810">
        <v>1.1918</v>
      </c>
      <c r="D810">
        <v>0</v>
      </c>
      <c r="E810">
        <v>0</v>
      </c>
      <c r="F810">
        <v>2.9422100000000002</v>
      </c>
      <c r="G810">
        <v>2.9422100000000002</v>
      </c>
      <c r="H810">
        <v>0</v>
      </c>
      <c r="I810">
        <v>0.55627499999999996</v>
      </c>
      <c r="J810">
        <v>5.3222399999999999</v>
      </c>
      <c r="K810" s="2">
        <v>115869000</v>
      </c>
      <c r="L810" s="1">
        <v>0</v>
      </c>
      <c r="M810" s="1">
        <v>0</v>
      </c>
      <c r="N810" s="1">
        <v>0</v>
      </c>
      <c r="O810" s="1">
        <v>0</v>
      </c>
      <c r="P810" s="2">
        <v>4398520</v>
      </c>
      <c r="Q810" s="1">
        <v>302464</v>
      </c>
      <c r="R810" s="1">
        <v>0</v>
      </c>
      <c r="S810">
        <v>98.731399999999994</v>
      </c>
      <c r="T810">
        <v>98.274000000000001</v>
      </c>
      <c r="U810">
        <v>2.0044499999999998</v>
      </c>
      <c r="V810">
        <v>0</v>
      </c>
      <c r="W810">
        <v>0</v>
      </c>
      <c r="X810">
        <v>1.78847</v>
      </c>
      <c r="Y810">
        <v>1.78847</v>
      </c>
      <c r="Z810">
        <v>0</v>
      </c>
      <c r="AA810">
        <v>1.3436999999999999</v>
      </c>
      <c r="AB810">
        <v>2.9635199999999999</v>
      </c>
      <c r="AC810" s="2">
        <v>339902000</v>
      </c>
      <c r="AD810" s="1">
        <v>0</v>
      </c>
      <c r="AE810" s="1">
        <v>0</v>
      </c>
      <c r="AF810" s="1">
        <v>0</v>
      </c>
      <c r="AG810" s="1">
        <v>0</v>
      </c>
      <c r="AH810" s="2">
        <v>4627200</v>
      </c>
      <c r="AI810" s="1">
        <v>150829</v>
      </c>
      <c r="AJ810" s="1">
        <v>0</v>
      </c>
      <c r="AK810" s="8">
        <f t="shared" si="51"/>
        <v>29</v>
      </c>
      <c r="AL810" s="8">
        <f t="shared" si="50"/>
        <v>16</v>
      </c>
      <c r="AM810">
        <f t="shared" si="48"/>
        <v>0</v>
      </c>
      <c r="AN810">
        <f t="shared" si="49"/>
        <v>0</v>
      </c>
    </row>
    <row r="811" spans="1:40" x14ac:dyDescent="0.35">
      <c r="A811">
        <v>73.847999999999999</v>
      </c>
      <c r="B811">
        <v>85.138999999999996</v>
      </c>
      <c r="C811">
        <v>1.12103</v>
      </c>
      <c r="D811">
        <v>0</v>
      </c>
      <c r="E811">
        <v>0</v>
      </c>
      <c r="F811">
        <v>2.9426199999999998</v>
      </c>
      <c r="G811">
        <v>2.9426199999999998</v>
      </c>
      <c r="H811">
        <v>0</v>
      </c>
      <c r="I811">
        <v>0.551369</v>
      </c>
      <c r="J811">
        <v>5.3222399999999999</v>
      </c>
      <c r="K811" s="2">
        <v>116171000</v>
      </c>
      <c r="L811" s="1">
        <v>0</v>
      </c>
      <c r="M811" s="1">
        <v>0</v>
      </c>
      <c r="N811" s="1">
        <v>0</v>
      </c>
      <c r="O811" s="1">
        <v>0</v>
      </c>
      <c r="P811" s="2">
        <v>4399140</v>
      </c>
      <c r="Q811" s="1">
        <v>302507</v>
      </c>
      <c r="R811" s="1">
        <v>0</v>
      </c>
      <c r="S811">
        <v>98.4679</v>
      </c>
      <c r="T811">
        <v>98.274000000000001</v>
      </c>
      <c r="U811">
        <v>1.9137599999999999</v>
      </c>
      <c r="V811">
        <v>0</v>
      </c>
      <c r="W811">
        <v>0</v>
      </c>
      <c r="X811">
        <v>1.7887200000000001</v>
      </c>
      <c r="Y811">
        <v>1.7887200000000001</v>
      </c>
      <c r="Z811">
        <v>0</v>
      </c>
      <c r="AA811">
        <v>1.3817699999999999</v>
      </c>
      <c r="AB811">
        <v>2.9635199999999999</v>
      </c>
      <c r="AC811" s="2">
        <v>340053000</v>
      </c>
      <c r="AD811" s="1">
        <v>0</v>
      </c>
      <c r="AE811" s="1">
        <v>0</v>
      </c>
      <c r="AF811" s="1">
        <v>0</v>
      </c>
      <c r="AG811" s="1">
        <v>0</v>
      </c>
      <c r="AH811" s="2">
        <v>4627850</v>
      </c>
      <c r="AI811" s="1">
        <v>150850</v>
      </c>
      <c r="AJ811" s="1">
        <v>0</v>
      </c>
      <c r="AK811" s="8">
        <f t="shared" si="51"/>
        <v>30</v>
      </c>
      <c r="AL811" s="8">
        <f t="shared" si="50"/>
        <v>16</v>
      </c>
      <c r="AM811">
        <f t="shared" si="48"/>
        <v>0</v>
      </c>
      <c r="AN811">
        <f t="shared" si="49"/>
        <v>0</v>
      </c>
    </row>
    <row r="812" spans="1:40" x14ac:dyDescent="0.35">
      <c r="A812">
        <v>71.885099999999994</v>
      </c>
      <c r="B812">
        <v>85.138999999999996</v>
      </c>
      <c r="C812">
        <v>1.02522</v>
      </c>
      <c r="D812">
        <v>0</v>
      </c>
      <c r="E812">
        <v>0</v>
      </c>
      <c r="F812">
        <v>2.9430299999999998</v>
      </c>
      <c r="G812">
        <v>2.9430299999999998</v>
      </c>
      <c r="H812">
        <v>0</v>
      </c>
      <c r="I812">
        <v>0.55144599999999999</v>
      </c>
      <c r="J812">
        <v>5.3222399999999999</v>
      </c>
      <c r="K812" s="2">
        <v>116474000</v>
      </c>
      <c r="L812" s="1">
        <v>0</v>
      </c>
      <c r="M812" s="1">
        <v>0</v>
      </c>
      <c r="N812" s="1">
        <v>0</v>
      </c>
      <c r="O812" s="1">
        <v>0</v>
      </c>
      <c r="P812" s="2">
        <v>4399750</v>
      </c>
      <c r="Q812" s="1">
        <v>302549</v>
      </c>
      <c r="R812" s="1">
        <v>0</v>
      </c>
      <c r="S812">
        <v>98.084999999999994</v>
      </c>
      <c r="T812">
        <v>98.274000000000001</v>
      </c>
      <c r="U812">
        <v>1.8733500000000001</v>
      </c>
      <c r="V812">
        <v>0</v>
      </c>
      <c r="W812">
        <v>0</v>
      </c>
      <c r="X812">
        <v>1.7889699999999999</v>
      </c>
      <c r="Y812">
        <v>1.7889699999999999</v>
      </c>
      <c r="Z812">
        <v>0</v>
      </c>
      <c r="AA812">
        <v>1.3819699999999999</v>
      </c>
      <c r="AB812">
        <v>2.9635199999999999</v>
      </c>
      <c r="AC812" s="2">
        <v>340204000</v>
      </c>
      <c r="AD812" s="1">
        <v>0</v>
      </c>
      <c r="AE812" s="1">
        <v>0</v>
      </c>
      <c r="AF812" s="1">
        <v>0</v>
      </c>
      <c r="AG812" s="1">
        <v>0</v>
      </c>
      <c r="AH812" s="2">
        <v>4628490</v>
      </c>
      <c r="AI812" s="1">
        <v>150871</v>
      </c>
      <c r="AJ812" s="1">
        <v>0</v>
      </c>
      <c r="AK812" s="8">
        <f t="shared" si="51"/>
        <v>31</v>
      </c>
      <c r="AL812" s="8">
        <f t="shared" si="50"/>
        <v>16</v>
      </c>
      <c r="AM812">
        <f t="shared" si="48"/>
        <v>0</v>
      </c>
      <c r="AN812">
        <f t="shared" si="49"/>
        <v>0</v>
      </c>
    </row>
    <row r="813" spans="1:40" x14ac:dyDescent="0.35">
      <c r="A813">
        <v>70.098799999999997</v>
      </c>
      <c r="B813">
        <v>85.138999999999996</v>
      </c>
      <c r="C813">
        <v>0.92923599999999995</v>
      </c>
      <c r="D813">
        <v>0.01</v>
      </c>
      <c r="E813">
        <v>0</v>
      </c>
      <c r="F813">
        <v>2.6410399999999998</v>
      </c>
      <c r="G813">
        <v>2.9434399999999998</v>
      </c>
      <c r="H813">
        <v>0</v>
      </c>
      <c r="I813">
        <v>0.55152299999999999</v>
      </c>
      <c r="J813">
        <v>5.3222399999999999</v>
      </c>
      <c r="K813" s="2">
        <v>116368000</v>
      </c>
      <c r="L813" s="1">
        <v>0</v>
      </c>
      <c r="M813" s="1">
        <v>0</v>
      </c>
      <c r="N813" s="1">
        <v>0</v>
      </c>
      <c r="O813" s="1">
        <v>0</v>
      </c>
      <c r="P813" s="2">
        <v>3948280</v>
      </c>
      <c r="Q813" s="1">
        <v>-105948</v>
      </c>
      <c r="R813" s="1">
        <v>408539</v>
      </c>
      <c r="S813">
        <v>97.527100000000004</v>
      </c>
      <c r="T813">
        <v>98.274000000000001</v>
      </c>
      <c r="U813">
        <v>1.71574</v>
      </c>
      <c r="V813">
        <v>0</v>
      </c>
      <c r="W813">
        <v>0</v>
      </c>
      <c r="X813">
        <v>2.0916199999999998</v>
      </c>
      <c r="Y813">
        <v>1.78922</v>
      </c>
      <c r="Z813">
        <v>0</v>
      </c>
      <c r="AA813">
        <v>1.3821600000000001</v>
      </c>
      <c r="AB813">
        <v>2.9635199999999999</v>
      </c>
      <c r="AC813" s="2">
        <v>341137000</v>
      </c>
      <c r="AD813" s="1">
        <v>0</v>
      </c>
      <c r="AE813" s="1">
        <v>0</v>
      </c>
      <c r="AF813" s="1">
        <v>0</v>
      </c>
      <c r="AG813" s="1">
        <v>0</v>
      </c>
      <c r="AH813" s="2">
        <v>5411520</v>
      </c>
      <c r="AI813" s="1">
        <v>933273</v>
      </c>
      <c r="AJ813" s="1">
        <v>0</v>
      </c>
      <c r="AK813" s="8">
        <f t="shared" si="51"/>
        <v>32</v>
      </c>
      <c r="AL813" s="8">
        <f t="shared" si="50"/>
        <v>16</v>
      </c>
      <c r="AM813">
        <f t="shared" si="48"/>
        <v>0</v>
      </c>
      <c r="AN813">
        <f t="shared" si="49"/>
        <v>0</v>
      </c>
    </row>
    <row r="814" spans="1:40" x14ac:dyDescent="0.35">
      <c r="A814">
        <v>68.268600000000006</v>
      </c>
      <c r="B814">
        <v>85.138999999999996</v>
      </c>
      <c r="C814">
        <v>0.89068400000000003</v>
      </c>
      <c r="D814">
        <v>0.01</v>
      </c>
      <c r="E814">
        <v>0</v>
      </c>
      <c r="F814">
        <v>2.7101500000000001</v>
      </c>
      <c r="G814">
        <v>3.0125500000000001</v>
      </c>
      <c r="H814">
        <v>0</v>
      </c>
      <c r="I814">
        <v>0.49492999999999998</v>
      </c>
      <c r="J814">
        <v>5.3222399999999999</v>
      </c>
      <c r="K814" s="2">
        <v>116269000</v>
      </c>
      <c r="L814" s="1">
        <v>0</v>
      </c>
      <c r="M814" s="1">
        <v>0</v>
      </c>
      <c r="N814" s="1">
        <v>0</v>
      </c>
      <c r="O814" s="1">
        <v>0</v>
      </c>
      <c r="P814" s="2">
        <v>4051600</v>
      </c>
      <c r="Q814" s="1">
        <v>-98842.7</v>
      </c>
      <c r="R814" s="1">
        <v>408539</v>
      </c>
      <c r="S814">
        <v>97.001199999999997</v>
      </c>
      <c r="T814">
        <v>98.274000000000001</v>
      </c>
      <c r="U814">
        <v>1.8163899999999999</v>
      </c>
      <c r="V814">
        <v>0</v>
      </c>
      <c r="W814">
        <v>0</v>
      </c>
      <c r="X814">
        <v>2.1356000000000002</v>
      </c>
      <c r="Y814">
        <v>1.8331999999999999</v>
      </c>
      <c r="Z814">
        <v>0</v>
      </c>
      <c r="AA814">
        <v>1.61599</v>
      </c>
      <c r="AB814">
        <v>2.9635199999999999</v>
      </c>
      <c r="AC814" s="2">
        <v>342074000</v>
      </c>
      <c r="AD814" s="1">
        <v>0</v>
      </c>
      <c r="AE814" s="1">
        <v>0</v>
      </c>
      <c r="AF814" s="1">
        <v>0</v>
      </c>
      <c r="AG814" s="1">
        <v>0</v>
      </c>
      <c r="AH814" s="2">
        <v>5525300</v>
      </c>
      <c r="AI814" s="1">
        <v>936982</v>
      </c>
      <c r="AJ814" s="1">
        <v>0</v>
      </c>
      <c r="AK814" s="8">
        <f t="shared" si="51"/>
        <v>33</v>
      </c>
      <c r="AL814" s="8">
        <f t="shared" si="50"/>
        <v>16</v>
      </c>
      <c r="AM814">
        <f t="shared" si="48"/>
        <v>0</v>
      </c>
      <c r="AN814">
        <f t="shared" si="49"/>
        <v>0</v>
      </c>
    </row>
    <row r="815" spans="1:40" x14ac:dyDescent="0.35">
      <c r="A815">
        <v>66.428299999999993</v>
      </c>
      <c r="B815">
        <v>85.138999999999996</v>
      </c>
      <c r="C815">
        <v>0.88141899999999995</v>
      </c>
      <c r="D815">
        <v>0.02</v>
      </c>
      <c r="E815">
        <v>0</v>
      </c>
      <c r="F815">
        <v>2.7105700000000001</v>
      </c>
      <c r="G815">
        <v>3.0129700000000001</v>
      </c>
      <c r="H815">
        <v>0</v>
      </c>
      <c r="I815">
        <v>0.50788199999999994</v>
      </c>
      <c r="J815">
        <v>5.3222399999999999</v>
      </c>
      <c r="K815" s="2">
        <v>116170000</v>
      </c>
      <c r="L815" s="1">
        <v>0</v>
      </c>
      <c r="M815" s="1">
        <v>0</v>
      </c>
      <c r="N815" s="1">
        <v>0</v>
      </c>
      <c r="O815" s="1">
        <v>0</v>
      </c>
      <c r="P815" s="2">
        <v>4052230</v>
      </c>
      <c r="Q815" s="1">
        <v>-98799.5</v>
      </c>
      <c r="R815" s="1">
        <v>408539</v>
      </c>
      <c r="S815">
        <v>96.444500000000005</v>
      </c>
      <c r="T815">
        <v>98.274000000000001</v>
      </c>
      <c r="U815">
        <v>1.8068299999999999</v>
      </c>
      <c r="V815">
        <v>0</v>
      </c>
      <c r="W815">
        <v>0</v>
      </c>
      <c r="X815">
        <v>2.13585</v>
      </c>
      <c r="Y815">
        <v>1.83345</v>
      </c>
      <c r="Z815">
        <v>0</v>
      </c>
      <c r="AA815">
        <v>1.6499600000000001</v>
      </c>
      <c r="AB815">
        <v>2.9635199999999999</v>
      </c>
      <c r="AC815" s="2">
        <v>343011000</v>
      </c>
      <c r="AD815" s="1">
        <v>0</v>
      </c>
      <c r="AE815" s="1">
        <v>0</v>
      </c>
      <c r="AF815" s="1">
        <v>0</v>
      </c>
      <c r="AG815" s="1">
        <v>0</v>
      </c>
      <c r="AH815" s="2">
        <v>5525960</v>
      </c>
      <c r="AI815" s="1">
        <v>937003</v>
      </c>
      <c r="AJ815" s="1">
        <v>0</v>
      </c>
      <c r="AK815" s="8">
        <f t="shared" si="51"/>
        <v>34</v>
      </c>
      <c r="AL815" s="8">
        <f t="shared" si="50"/>
        <v>16</v>
      </c>
      <c r="AM815">
        <f t="shared" si="48"/>
        <v>0</v>
      </c>
      <c r="AN815">
        <f t="shared" si="49"/>
        <v>0</v>
      </c>
    </row>
    <row r="816" spans="1:40" x14ac:dyDescent="0.35">
      <c r="A816">
        <v>64.552300000000002</v>
      </c>
      <c r="B816">
        <v>85.138999999999996</v>
      </c>
      <c r="C816">
        <v>0.81457400000000002</v>
      </c>
      <c r="D816">
        <v>0.02</v>
      </c>
      <c r="E816">
        <v>0</v>
      </c>
      <c r="F816">
        <v>2.7109899999999998</v>
      </c>
      <c r="G816">
        <v>3.0133899999999998</v>
      </c>
      <c r="H816">
        <v>0</v>
      </c>
      <c r="I816">
        <v>0.507961</v>
      </c>
      <c r="J816">
        <v>5.3222399999999999</v>
      </c>
      <c r="K816" s="2">
        <v>116072000</v>
      </c>
      <c r="L816" s="1">
        <v>0</v>
      </c>
      <c r="M816" s="1">
        <v>0</v>
      </c>
      <c r="N816" s="1">
        <v>0</v>
      </c>
      <c r="O816" s="1">
        <v>0</v>
      </c>
      <c r="P816" s="2">
        <v>4052860</v>
      </c>
      <c r="Q816" s="1">
        <v>-98756.4</v>
      </c>
      <c r="R816" s="1">
        <v>408539</v>
      </c>
      <c r="S816">
        <v>95.702500000000001</v>
      </c>
      <c r="T816">
        <v>98.274000000000001</v>
      </c>
      <c r="U816">
        <v>1.7198500000000001</v>
      </c>
      <c r="V816">
        <v>0</v>
      </c>
      <c r="W816">
        <v>0</v>
      </c>
      <c r="X816">
        <v>2.13611</v>
      </c>
      <c r="Y816">
        <v>1.83371</v>
      </c>
      <c r="Z816">
        <v>0</v>
      </c>
      <c r="AA816">
        <v>1.6501600000000001</v>
      </c>
      <c r="AB816">
        <v>2.9635199999999999</v>
      </c>
      <c r="AC816" s="2">
        <v>343948000</v>
      </c>
      <c r="AD816" s="1">
        <v>0</v>
      </c>
      <c r="AE816" s="1">
        <v>0</v>
      </c>
      <c r="AF816" s="1">
        <v>0</v>
      </c>
      <c r="AG816" s="1">
        <v>0</v>
      </c>
      <c r="AH816" s="2">
        <v>5526620</v>
      </c>
      <c r="AI816" s="1">
        <v>937025</v>
      </c>
      <c r="AJ816" s="1">
        <v>0</v>
      </c>
      <c r="AK816" s="8">
        <f t="shared" si="51"/>
        <v>35</v>
      </c>
      <c r="AL816" s="8">
        <f t="shared" si="50"/>
        <v>16</v>
      </c>
      <c r="AM816">
        <f t="shared" si="48"/>
        <v>0</v>
      </c>
      <c r="AN816">
        <f t="shared" si="49"/>
        <v>0</v>
      </c>
    </row>
    <row r="817" spans="1:40" x14ac:dyDescent="0.35">
      <c r="A817">
        <v>62.625500000000002</v>
      </c>
      <c r="B817">
        <v>85.138999999999996</v>
      </c>
      <c r="C817">
        <v>0.74169700000000005</v>
      </c>
      <c r="D817">
        <v>0.02</v>
      </c>
      <c r="E817">
        <v>0</v>
      </c>
      <c r="F817">
        <v>2.7114099999999999</v>
      </c>
      <c r="G817">
        <v>3.0138099999999999</v>
      </c>
      <c r="H817">
        <v>0</v>
      </c>
      <c r="I817">
        <v>0.50803900000000002</v>
      </c>
      <c r="J817">
        <v>5.3222399999999999</v>
      </c>
      <c r="K817" s="2">
        <v>115973000</v>
      </c>
      <c r="L817" s="1">
        <v>0</v>
      </c>
      <c r="M817" s="1">
        <v>0</v>
      </c>
      <c r="N817" s="1">
        <v>0</v>
      </c>
      <c r="O817" s="1">
        <v>0</v>
      </c>
      <c r="P817" s="2">
        <v>4053490</v>
      </c>
      <c r="Q817" s="1">
        <v>-98713.2</v>
      </c>
      <c r="R817" s="1">
        <v>408539</v>
      </c>
      <c r="S817">
        <v>95.279499999999999</v>
      </c>
      <c r="T817">
        <v>98.274000000000001</v>
      </c>
      <c r="U817">
        <v>1.5388500000000001</v>
      </c>
      <c r="V817">
        <v>0</v>
      </c>
      <c r="W817">
        <v>0</v>
      </c>
      <c r="X817">
        <v>2.1363599999999998</v>
      </c>
      <c r="Y817">
        <v>1.83396</v>
      </c>
      <c r="Z817">
        <v>0</v>
      </c>
      <c r="AA817">
        <v>1.65036</v>
      </c>
      <c r="AB817">
        <v>2.9635199999999999</v>
      </c>
      <c r="AC817" s="2">
        <v>344885000</v>
      </c>
      <c r="AD817" s="1">
        <v>0</v>
      </c>
      <c r="AE817" s="1">
        <v>0</v>
      </c>
      <c r="AF817" s="1">
        <v>0</v>
      </c>
      <c r="AG817" s="1">
        <v>0</v>
      </c>
      <c r="AH817" s="2">
        <v>5527280</v>
      </c>
      <c r="AI817" s="1">
        <v>937046</v>
      </c>
      <c r="AJ817" s="1">
        <v>0</v>
      </c>
      <c r="AK817" s="8">
        <f t="shared" si="51"/>
        <v>36</v>
      </c>
      <c r="AL817" s="8">
        <f t="shared" si="50"/>
        <v>16</v>
      </c>
      <c r="AM817">
        <f t="shared" si="48"/>
        <v>0</v>
      </c>
      <c r="AN817">
        <f t="shared" si="49"/>
        <v>0</v>
      </c>
    </row>
    <row r="818" spans="1:40" x14ac:dyDescent="0.35">
      <c r="A818">
        <v>60.667000000000002</v>
      </c>
      <c r="B818">
        <v>85.138999999999996</v>
      </c>
      <c r="C818">
        <v>0.84314</v>
      </c>
      <c r="D818">
        <v>0.02</v>
      </c>
      <c r="E818">
        <v>0</v>
      </c>
      <c r="F818">
        <v>2.9131399999999998</v>
      </c>
      <c r="G818">
        <v>3.2155399999999998</v>
      </c>
      <c r="H818">
        <v>0</v>
      </c>
      <c r="I818">
        <v>0.50811799999999996</v>
      </c>
      <c r="J818">
        <v>5.3222399999999999</v>
      </c>
      <c r="K818" s="2">
        <v>115895000</v>
      </c>
      <c r="L818" s="1">
        <v>0</v>
      </c>
      <c r="M818" s="1">
        <v>0</v>
      </c>
      <c r="N818" s="1">
        <v>0</v>
      </c>
      <c r="O818" s="1">
        <v>0</v>
      </c>
      <c r="P818" s="2">
        <v>4355060</v>
      </c>
      <c r="Q818" s="1">
        <v>-77975.3</v>
      </c>
      <c r="R818" s="1">
        <v>408539</v>
      </c>
      <c r="S818">
        <v>94.588999999999999</v>
      </c>
      <c r="T818">
        <v>98.274000000000001</v>
      </c>
      <c r="U818">
        <v>2.0697399999999999</v>
      </c>
      <c r="V818">
        <v>0</v>
      </c>
      <c r="W818">
        <v>0</v>
      </c>
      <c r="X818">
        <v>2.29454</v>
      </c>
      <c r="Y818">
        <v>1.99214</v>
      </c>
      <c r="Z818">
        <v>0</v>
      </c>
      <c r="AA818">
        <v>1.65055</v>
      </c>
      <c r="AB818">
        <v>2.9635199999999999</v>
      </c>
      <c r="AC818" s="2">
        <v>345836000</v>
      </c>
      <c r="AD818" s="1">
        <v>0</v>
      </c>
      <c r="AE818" s="1">
        <v>0</v>
      </c>
      <c r="AF818" s="1">
        <v>0</v>
      </c>
      <c r="AG818" s="1">
        <v>0</v>
      </c>
      <c r="AH818" s="2">
        <v>5936510</v>
      </c>
      <c r="AI818" s="1">
        <v>950386</v>
      </c>
      <c r="AJ818" s="1">
        <v>0</v>
      </c>
      <c r="AK818" s="8">
        <f t="shared" si="51"/>
        <v>37</v>
      </c>
      <c r="AL818" s="8">
        <f t="shared" si="50"/>
        <v>16</v>
      </c>
      <c r="AM818">
        <f t="shared" si="48"/>
        <v>0</v>
      </c>
      <c r="AN818">
        <f t="shared" si="49"/>
        <v>0</v>
      </c>
    </row>
    <row r="819" spans="1:40" x14ac:dyDescent="0.35">
      <c r="A819">
        <v>58.5687</v>
      </c>
      <c r="B819">
        <v>85.138999999999996</v>
      </c>
      <c r="C819">
        <v>0.67081500000000005</v>
      </c>
      <c r="D819">
        <v>0.02</v>
      </c>
      <c r="E819">
        <v>0</v>
      </c>
      <c r="F819">
        <v>2.9135800000000001</v>
      </c>
      <c r="G819">
        <v>3.2159800000000001</v>
      </c>
      <c r="H819">
        <v>0</v>
      </c>
      <c r="I819">
        <v>0.54592200000000002</v>
      </c>
      <c r="J819">
        <v>5.3222399999999999</v>
      </c>
      <c r="K819" s="2">
        <v>115817000</v>
      </c>
      <c r="L819" s="1">
        <v>0</v>
      </c>
      <c r="M819" s="1">
        <v>0</v>
      </c>
      <c r="N819" s="1">
        <v>0</v>
      </c>
      <c r="O819" s="1">
        <v>0</v>
      </c>
      <c r="P819" s="2">
        <v>4355730</v>
      </c>
      <c r="Q819" s="1">
        <v>-77929.2</v>
      </c>
      <c r="R819" s="1">
        <v>408539</v>
      </c>
      <c r="S819">
        <v>93.991900000000001</v>
      </c>
      <c r="T819">
        <v>98.274000000000001</v>
      </c>
      <c r="U819">
        <v>1.6572199999999999</v>
      </c>
      <c r="V819">
        <v>0</v>
      </c>
      <c r="W819">
        <v>0</v>
      </c>
      <c r="X819">
        <v>2.29481</v>
      </c>
      <c r="Y819">
        <v>1.99241</v>
      </c>
      <c r="Z819">
        <v>0</v>
      </c>
      <c r="AA819">
        <v>1.7727599999999999</v>
      </c>
      <c r="AB819">
        <v>2.9635199999999999</v>
      </c>
      <c r="AC819" s="2">
        <v>346786000</v>
      </c>
      <c r="AD819" s="1">
        <v>0</v>
      </c>
      <c r="AE819" s="1">
        <v>0</v>
      </c>
      <c r="AF819" s="1">
        <v>0</v>
      </c>
      <c r="AG819" s="1">
        <v>0</v>
      </c>
      <c r="AH819" s="2">
        <v>5937230</v>
      </c>
      <c r="AI819" s="1">
        <v>950409</v>
      </c>
      <c r="AJ819" s="1">
        <v>0</v>
      </c>
      <c r="AK819" s="8">
        <f t="shared" si="51"/>
        <v>38</v>
      </c>
      <c r="AL819" s="8">
        <f t="shared" si="50"/>
        <v>16</v>
      </c>
      <c r="AM819">
        <f t="shared" si="48"/>
        <v>0</v>
      </c>
      <c r="AN819">
        <f t="shared" si="49"/>
        <v>0</v>
      </c>
    </row>
    <row r="820" spans="1:40" x14ac:dyDescent="0.35">
      <c r="A820">
        <v>56.5336</v>
      </c>
      <c r="B820">
        <v>85.138999999999996</v>
      </c>
      <c r="C820">
        <v>0.72480599999999995</v>
      </c>
      <c r="D820">
        <v>0.02</v>
      </c>
      <c r="E820">
        <v>0</v>
      </c>
      <c r="F820">
        <v>2.9140299999999999</v>
      </c>
      <c r="G820">
        <v>3.2164299999999999</v>
      </c>
      <c r="H820">
        <v>0</v>
      </c>
      <c r="I820">
        <v>0.54600599999999999</v>
      </c>
      <c r="J820">
        <v>5.3222399999999999</v>
      </c>
      <c r="K820" s="2">
        <v>115739000</v>
      </c>
      <c r="L820" s="1">
        <v>0</v>
      </c>
      <c r="M820" s="1">
        <v>0</v>
      </c>
      <c r="N820" s="1">
        <v>0</v>
      </c>
      <c r="O820" s="1">
        <v>0</v>
      </c>
      <c r="P820" s="2">
        <v>4356400</v>
      </c>
      <c r="Q820" s="1">
        <v>-77883.199999999997</v>
      </c>
      <c r="R820" s="1">
        <v>408539</v>
      </c>
      <c r="S820">
        <v>93.138400000000004</v>
      </c>
      <c r="T820">
        <v>98.274000000000001</v>
      </c>
      <c r="U820">
        <v>2.00963</v>
      </c>
      <c r="V820">
        <v>0</v>
      </c>
      <c r="W820">
        <v>0</v>
      </c>
      <c r="X820">
        <v>2.2950900000000001</v>
      </c>
      <c r="Y820">
        <v>1.9926900000000001</v>
      </c>
      <c r="Z820">
        <v>0</v>
      </c>
      <c r="AA820">
        <v>1.7729699999999999</v>
      </c>
      <c r="AB820">
        <v>2.9635199999999999</v>
      </c>
      <c r="AC820" s="2">
        <v>347736000</v>
      </c>
      <c r="AD820" s="1">
        <v>0</v>
      </c>
      <c r="AE820" s="1">
        <v>0</v>
      </c>
      <c r="AF820" s="1">
        <v>0</v>
      </c>
      <c r="AG820" s="1">
        <v>0</v>
      </c>
      <c r="AH820" s="2">
        <v>5937950</v>
      </c>
      <c r="AI820" s="1">
        <v>950432</v>
      </c>
      <c r="AJ820" s="1">
        <v>0</v>
      </c>
      <c r="AK820" s="8">
        <f t="shared" si="51"/>
        <v>39</v>
      </c>
      <c r="AL820" s="8">
        <f t="shared" si="50"/>
        <v>16</v>
      </c>
      <c r="AM820">
        <f t="shared" si="48"/>
        <v>0</v>
      </c>
      <c r="AN820">
        <f t="shared" si="49"/>
        <v>0</v>
      </c>
    </row>
    <row r="821" spans="1:40" x14ac:dyDescent="0.35">
      <c r="A821">
        <v>54.405500000000004</v>
      </c>
      <c r="B821">
        <v>85.138999999999996</v>
      </c>
      <c r="C821">
        <v>0.60231299999999999</v>
      </c>
      <c r="D821">
        <v>0.02</v>
      </c>
      <c r="E821">
        <v>0</v>
      </c>
      <c r="F821">
        <v>2.9144800000000002</v>
      </c>
      <c r="G821">
        <v>3.2168800000000002</v>
      </c>
      <c r="H821">
        <v>0</v>
      </c>
      <c r="I821">
        <v>0.54608900000000005</v>
      </c>
      <c r="J821">
        <v>5.3222399999999999</v>
      </c>
      <c r="K821" s="2">
        <v>115661000</v>
      </c>
      <c r="L821" s="1">
        <v>0</v>
      </c>
      <c r="M821" s="1">
        <v>0</v>
      </c>
      <c r="N821" s="1">
        <v>0</v>
      </c>
      <c r="O821" s="1">
        <v>0</v>
      </c>
      <c r="P821" s="2">
        <v>4357070</v>
      </c>
      <c r="Q821" s="1">
        <v>-77837.100000000006</v>
      </c>
      <c r="R821" s="1">
        <v>408539</v>
      </c>
      <c r="S821">
        <v>92.759399999999999</v>
      </c>
      <c r="T821">
        <v>98.274000000000001</v>
      </c>
      <c r="U821">
        <v>1.44594</v>
      </c>
      <c r="V821">
        <v>0</v>
      </c>
      <c r="W821">
        <v>0</v>
      </c>
      <c r="X821">
        <v>2.2953700000000001</v>
      </c>
      <c r="Y821">
        <v>1.9929699999999999</v>
      </c>
      <c r="Z821">
        <v>0</v>
      </c>
      <c r="AA821">
        <v>1.77319</v>
      </c>
      <c r="AB821">
        <v>2.9635199999999999</v>
      </c>
      <c r="AC821" s="2">
        <v>348687000</v>
      </c>
      <c r="AD821" s="1">
        <v>0</v>
      </c>
      <c r="AE821" s="1">
        <v>0</v>
      </c>
      <c r="AF821" s="1">
        <v>0</v>
      </c>
      <c r="AG821" s="1">
        <v>0</v>
      </c>
      <c r="AH821" s="2">
        <v>5938670</v>
      </c>
      <c r="AI821" s="1">
        <v>950456</v>
      </c>
      <c r="AJ821" s="1">
        <v>0</v>
      </c>
      <c r="AK821" s="8">
        <f t="shared" si="51"/>
        <v>40</v>
      </c>
      <c r="AL821" s="8">
        <f t="shared" si="50"/>
        <v>16</v>
      </c>
      <c r="AM821">
        <f t="shared" si="48"/>
        <v>0</v>
      </c>
      <c r="AN821">
        <f t="shared" si="49"/>
        <v>0</v>
      </c>
    </row>
    <row r="822" spans="1:40" x14ac:dyDescent="0.35">
      <c r="A822">
        <v>52.438000000000002</v>
      </c>
      <c r="B822">
        <v>85.138999999999996</v>
      </c>
      <c r="C822">
        <v>0.73459099999999999</v>
      </c>
      <c r="D822">
        <v>0.03</v>
      </c>
      <c r="E822">
        <v>0</v>
      </c>
      <c r="F822">
        <v>2.91493</v>
      </c>
      <c r="G822">
        <v>3.21733</v>
      </c>
      <c r="H822">
        <v>0</v>
      </c>
      <c r="I822">
        <v>0.54617300000000002</v>
      </c>
      <c r="J822">
        <v>5.3222399999999999</v>
      </c>
      <c r="K822" s="2">
        <v>115583000</v>
      </c>
      <c r="L822" s="1">
        <v>0</v>
      </c>
      <c r="M822" s="1">
        <v>0</v>
      </c>
      <c r="N822" s="1">
        <v>0</v>
      </c>
      <c r="O822" s="1">
        <v>0</v>
      </c>
      <c r="P822" s="2">
        <v>4357740</v>
      </c>
      <c r="Q822" s="1">
        <v>-77791</v>
      </c>
      <c r="R822" s="1">
        <v>408539</v>
      </c>
      <c r="S822">
        <v>92.260400000000004</v>
      </c>
      <c r="T822">
        <v>98.274000000000001</v>
      </c>
      <c r="U822">
        <v>2.6301100000000002</v>
      </c>
      <c r="V822">
        <v>0</v>
      </c>
      <c r="W822">
        <v>0</v>
      </c>
      <c r="X822">
        <v>2.2956500000000002</v>
      </c>
      <c r="Y822">
        <v>1.99325</v>
      </c>
      <c r="Z822">
        <v>0</v>
      </c>
      <c r="AA822">
        <v>1.7734000000000001</v>
      </c>
      <c r="AB822">
        <v>2.9635199999999999</v>
      </c>
      <c r="AC822" s="2">
        <v>349637000</v>
      </c>
      <c r="AD822" s="1">
        <v>0</v>
      </c>
      <c r="AE822" s="1">
        <v>0</v>
      </c>
      <c r="AF822" s="1">
        <v>0</v>
      </c>
      <c r="AG822" s="1">
        <v>0</v>
      </c>
      <c r="AH822" s="2">
        <v>5939380</v>
      </c>
      <c r="AI822" s="1">
        <v>950479</v>
      </c>
      <c r="AJ822" s="1">
        <v>0</v>
      </c>
      <c r="AK822" s="8">
        <f t="shared" si="51"/>
        <v>41</v>
      </c>
      <c r="AL822" s="8">
        <f t="shared" si="50"/>
        <v>16</v>
      </c>
      <c r="AM822">
        <f t="shared" si="48"/>
        <v>0</v>
      </c>
      <c r="AN822">
        <f t="shared" si="49"/>
        <v>0</v>
      </c>
    </row>
    <row r="823" spans="1:40" x14ac:dyDescent="0.35">
      <c r="A823">
        <v>50.488100000000003</v>
      </c>
      <c r="B823">
        <v>85.138999999999996</v>
      </c>
      <c r="C823">
        <v>0.660223</v>
      </c>
      <c r="D823">
        <v>0.03</v>
      </c>
      <c r="E823">
        <v>0</v>
      </c>
      <c r="F823">
        <v>2.8172000000000001</v>
      </c>
      <c r="G823">
        <v>3.1196000000000002</v>
      </c>
      <c r="H823">
        <v>0</v>
      </c>
      <c r="I823">
        <v>0.54625699999999999</v>
      </c>
      <c r="J823">
        <v>5.3222399999999999</v>
      </c>
      <c r="K823" s="2">
        <v>115496000</v>
      </c>
      <c r="L823" s="1">
        <v>0</v>
      </c>
      <c r="M823" s="1">
        <v>0</v>
      </c>
      <c r="N823" s="1">
        <v>0</v>
      </c>
      <c r="O823" s="1">
        <v>0</v>
      </c>
      <c r="P823" s="2">
        <v>4211640</v>
      </c>
      <c r="Q823" s="1">
        <v>-87837.8</v>
      </c>
      <c r="R823" s="1">
        <v>408539</v>
      </c>
      <c r="S823">
        <v>91.498800000000003</v>
      </c>
      <c r="T823">
        <v>98.274000000000001</v>
      </c>
      <c r="U823">
        <v>1.88832</v>
      </c>
      <c r="V823">
        <v>0</v>
      </c>
      <c r="W823">
        <v>0</v>
      </c>
      <c r="X823">
        <v>2.2000099999999998</v>
      </c>
      <c r="Y823">
        <v>1.89761</v>
      </c>
      <c r="Z823">
        <v>0</v>
      </c>
      <c r="AA823">
        <v>1.77362</v>
      </c>
      <c r="AB823">
        <v>2.9635199999999999</v>
      </c>
      <c r="AC823" s="2">
        <v>350580000</v>
      </c>
      <c r="AD823" s="1">
        <v>0</v>
      </c>
      <c r="AE823" s="1">
        <v>0</v>
      </c>
      <c r="AF823" s="1">
        <v>0</v>
      </c>
      <c r="AG823" s="1">
        <v>0</v>
      </c>
      <c r="AH823" s="2">
        <v>5691940</v>
      </c>
      <c r="AI823" s="1">
        <v>942414</v>
      </c>
      <c r="AJ823" s="1">
        <v>0</v>
      </c>
      <c r="AK823" s="8">
        <f t="shared" si="51"/>
        <v>42</v>
      </c>
      <c r="AL823" s="8">
        <f t="shared" si="50"/>
        <v>16</v>
      </c>
      <c r="AM823">
        <f t="shared" si="48"/>
        <v>0</v>
      </c>
      <c r="AN823">
        <f t="shared" si="49"/>
        <v>0</v>
      </c>
    </row>
    <row r="824" spans="1:40" x14ac:dyDescent="0.35">
      <c r="A824">
        <v>48.556399999999996</v>
      </c>
      <c r="B824">
        <v>85.138999999999996</v>
      </c>
      <c r="C824">
        <v>0.67620000000000002</v>
      </c>
      <c r="D824">
        <v>0.03</v>
      </c>
      <c r="E824">
        <v>0</v>
      </c>
      <c r="F824">
        <v>2.8176299999999999</v>
      </c>
      <c r="G824">
        <v>3.1200299999999999</v>
      </c>
      <c r="H824">
        <v>0</v>
      </c>
      <c r="I824">
        <v>0.52794300000000005</v>
      </c>
      <c r="J824">
        <v>5.3222399999999999</v>
      </c>
      <c r="K824" s="2">
        <v>115408000</v>
      </c>
      <c r="L824" s="1">
        <v>0</v>
      </c>
      <c r="M824" s="1">
        <v>0</v>
      </c>
      <c r="N824" s="1">
        <v>0</v>
      </c>
      <c r="O824" s="1">
        <v>0</v>
      </c>
      <c r="P824" s="2">
        <v>4212290</v>
      </c>
      <c r="Q824" s="1">
        <v>-87793.1</v>
      </c>
      <c r="R824" s="1">
        <v>408539</v>
      </c>
      <c r="S824">
        <v>90.957099999999997</v>
      </c>
      <c r="T824">
        <v>98.274000000000001</v>
      </c>
      <c r="U824">
        <v>1.68435</v>
      </c>
      <c r="V824">
        <v>0</v>
      </c>
      <c r="W824">
        <v>0</v>
      </c>
      <c r="X824">
        <v>2.2002700000000002</v>
      </c>
      <c r="Y824">
        <v>1.8978699999999999</v>
      </c>
      <c r="Z824">
        <v>0</v>
      </c>
      <c r="AA824">
        <v>1.69973</v>
      </c>
      <c r="AB824">
        <v>2.9635199999999999</v>
      </c>
      <c r="AC824" s="2">
        <v>351522000</v>
      </c>
      <c r="AD824" s="1">
        <v>0</v>
      </c>
      <c r="AE824" s="1">
        <v>0</v>
      </c>
      <c r="AF824" s="1">
        <v>0</v>
      </c>
      <c r="AG824" s="1">
        <v>0</v>
      </c>
      <c r="AH824" s="2">
        <v>5692630</v>
      </c>
      <c r="AI824" s="1">
        <v>942436</v>
      </c>
      <c r="AJ824" s="1">
        <v>0</v>
      </c>
      <c r="AK824" s="8">
        <f t="shared" si="51"/>
        <v>43</v>
      </c>
      <c r="AL824" s="8">
        <f t="shared" si="50"/>
        <v>16</v>
      </c>
      <c r="AM824">
        <f t="shared" si="48"/>
        <v>0</v>
      </c>
      <c r="AN824">
        <f t="shared" si="49"/>
        <v>0</v>
      </c>
    </row>
    <row r="825" spans="1:40" x14ac:dyDescent="0.35">
      <c r="A825">
        <v>46.956299999999999</v>
      </c>
      <c r="B825">
        <v>85.138999999999996</v>
      </c>
      <c r="C825">
        <v>1.0011300000000001</v>
      </c>
      <c r="D825">
        <v>0.06</v>
      </c>
      <c r="E825">
        <v>0</v>
      </c>
      <c r="F825">
        <v>2.8180700000000001</v>
      </c>
      <c r="G825">
        <v>3.1204700000000001</v>
      </c>
      <c r="H825">
        <v>0</v>
      </c>
      <c r="I825">
        <v>0.52802400000000005</v>
      </c>
      <c r="J825">
        <v>5.3222399999999999</v>
      </c>
      <c r="K825" s="2">
        <v>115320000</v>
      </c>
      <c r="L825" s="1">
        <v>0</v>
      </c>
      <c r="M825" s="1">
        <v>0</v>
      </c>
      <c r="N825" s="1">
        <v>0</v>
      </c>
      <c r="O825" s="1">
        <v>0</v>
      </c>
      <c r="P825" s="2">
        <v>4212940</v>
      </c>
      <c r="Q825" s="1">
        <v>-87748.5</v>
      </c>
      <c r="R825" s="1">
        <v>408539</v>
      </c>
      <c r="S825">
        <v>90.7517</v>
      </c>
      <c r="T825">
        <v>98.274000000000001</v>
      </c>
      <c r="U825">
        <v>1.97841</v>
      </c>
      <c r="V825">
        <v>0</v>
      </c>
      <c r="W825">
        <v>0</v>
      </c>
      <c r="X825">
        <v>2.2005400000000002</v>
      </c>
      <c r="Y825">
        <v>1.8981399999999999</v>
      </c>
      <c r="Z825">
        <v>0</v>
      </c>
      <c r="AA825">
        <v>1.6999299999999999</v>
      </c>
      <c r="AB825">
        <v>2.9635199999999999</v>
      </c>
      <c r="AC825" s="2">
        <v>352465000</v>
      </c>
      <c r="AD825" s="1">
        <v>0</v>
      </c>
      <c r="AE825" s="1">
        <v>0</v>
      </c>
      <c r="AF825" s="1">
        <v>0</v>
      </c>
      <c r="AG825" s="1">
        <v>0</v>
      </c>
      <c r="AH825" s="2">
        <v>5693310</v>
      </c>
      <c r="AI825" s="1">
        <v>942458</v>
      </c>
      <c r="AJ825" s="1">
        <v>0</v>
      </c>
      <c r="AK825" s="8">
        <f t="shared" si="51"/>
        <v>44</v>
      </c>
      <c r="AL825" s="8">
        <f t="shared" si="50"/>
        <v>16</v>
      </c>
      <c r="AM825">
        <f t="shared" si="48"/>
        <v>0</v>
      </c>
      <c r="AN825">
        <f t="shared" si="49"/>
        <v>0</v>
      </c>
    </row>
    <row r="826" spans="1:40" x14ac:dyDescent="0.35">
      <c r="A826">
        <v>45.714199999999998</v>
      </c>
      <c r="B826">
        <v>85.138999999999996</v>
      </c>
      <c r="C826">
        <v>1.3879600000000001</v>
      </c>
      <c r="D826">
        <v>0.06</v>
      </c>
      <c r="E826">
        <v>0</v>
      </c>
      <c r="F826">
        <v>2.8184999999999998</v>
      </c>
      <c r="G826">
        <v>3.1208999999999998</v>
      </c>
      <c r="H826">
        <v>0</v>
      </c>
      <c r="I826">
        <v>0.52810599999999996</v>
      </c>
      <c r="J826">
        <v>5.3222399999999999</v>
      </c>
      <c r="K826" s="2">
        <v>115232000</v>
      </c>
      <c r="L826" s="1">
        <v>0</v>
      </c>
      <c r="M826" s="1">
        <v>0</v>
      </c>
      <c r="N826" s="1">
        <v>0</v>
      </c>
      <c r="O826" s="1">
        <v>0</v>
      </c>
      <c r="P826" s="2">
        <v>4213590</v>
      </c>
      <c r="Q826" s="1">
        <v>-87703.8</v>
      </c>
      <c r="R826" s="1">
        <v>408539</v>
      </c>
      <c r="S826">
        <v>90.636300000000006</v>
      </c>
      <c r="T826">
        <v>98.274000000000001</v>
      </c>
      <c r="U826">
        <v>3.1911900000000002</v>
      </c>
      <c r="V826">
        <v>0</v>
      </c>
      <c r="W826">
        <v>0</v>
      </c>
      <c r="X826">
        <v>2.2008000000000001</v>
      </c>
      <c r="Y826">
        <v>1.8984000000000001</v>
      </c>
      <c r="Z826">
        <v>0</v>
      </c>
      <c r="AA826">
        <v>1.7001299999999999</v>
      </c>
      <c r="AB826">
        <v>2.9635199999999999</v>
      </c>
      <c r="AC826" s="2">
        <v>353407000</v>
      </c>
      <c r="AD826" s="1">
        <v>0</v>
      </c>
      <c r="AE826" s="1">
        <v>0</v>
      </c>
      <c r="AF826" s="1">
        <v>0</v>
      </c>
      <c r="AG826" s="1">
        <v>0</v>
      </c>
      <c r="AH826" s="2">
        <v>5693990</v>
      </c>
      <c r="AI826" s="1">
        <v>942480</v>
      </c>
      <c r="AJ826" s="1">
        <v>0</v>
      </c>
      <c r="AK826" s="8">
        <f t="shared" si="51"/>
        <v>45</v>
      </c>
      <c r="AL826" s="8">
        <f t="shared" si="50"/>
        <v>16</v>
      </c>
      <c r="AM826">
        <f t="shared" si="48"/>
        <v>0</v>
      </c>
      <c r="AN826">
        <f t="shared" si="49"/>
        <v>0</v>
      </c>
    </row>
    <row r="827" spans="1:40" x14ac:dyDescent="0.35">
      <c r="A827">
        <v>44.368099999999998</v>
      </c>
      <c r="B827">
        <v>85.138999999999996</v>
      </c>
      <c r="C827">
        <v>1.19685</v>
      </c>
      <c r="D827">
        <v>0.06</v>
      </c>
      <c r="E827">
        <v>0</v>
      </c>
      <c r="F827">
        <v>2.7383000000000002</v>
      </c>
      <c r="G827">
        <v>3.0407000000000002</v>
      </c>
      <c r="H827">
        <v>0</v>
      </c>
      <c r="I827">
        <v>0.52818699999999996</v>
      </c>
      <c r="J827">
        <v>5.3222399999999999</v>
      </c>
      <c r="K827" s="2">
        <v>115136000</v>
      </c>
      <c r="L827" s="1">
        <v>0</v>
      </c>
      <c r="M827" s="1">
        <v>0</v>
      </c>
      <c r="N827" s="1">
        <v>0</v>
      </c>
      <c r="O827" s="1">
        <v>0</v>
      </c>
      <c r="P827" s="2">
        <v>4093700</v>
      </c>
      <c r="Q827" s="1">
        <v>-95948.2</v>
      </c>
      <c r="R827" s="1">
        <v>408539</v>
      </c>
      <c r="S827">
        <v>90.018699999999995</v>
      </c>
      <c r="T827">
        <v>98.274000000000001</v>
      </c>
      <c r="U827">
        <v>2.0926399999999998</v>
      </c>
      <c r="V827">
        <v>0</v>
      </c>
      <c r="W827">
        <v>0</v>
      </c>
      <c r="X827">
        <v>2.1137100000000002</v>
      </c>
      <c r="Y827">
        <v>1.81131</v>
      </c>
      <c r="Z827">
        <v>0</v>
      </c>
      <c r="AA827">
        <v>1.70034</v>
      </c>
      <c r="AB827">
        <v>2.9635199999999999</v>
      </c>
      <c r="AC827" s="2">
        <v>354342000</v>
      </c>
      <c r="AD827" s="1">
        <v>0</v>
      </c>
      <c r="AE827" s="1">
        <v>0</v>
      </c>
      <c r="AF827" s="1">
        <v>0</v>
      </c>
      <c r="AG827" s="1">
        <v>0</v>
      </c>
      <c r="AH827" s="2">
        <v>5468660</v>
      </c>
      <c r="AI827" s="1">
        <v>935136</v>
      </c>
      <c r="AJ827" s="1">
        <v>0</v>
      </c>
      <c r="AK827" s="8">
        <f t="shared" si="51"/>
        <v>46</v>
      </c>
      <c r="AL827" s="8">
        <f t="shared" si="50"/>
        <v>16</v>
      </c>
      <c r="AM827">
        <f t="shared" si="48"/>
        <v>0</v>
      </c>
      <c r="AN827">
        <f t="shared" si="49"/>
        <v>0</v>
      </c>
    </row>
    <row r="828" spans="1:40" x14ac:dyDescent="0.35">
      <c r="A828">
        <v>43.210900000000002</v>
      </c>
      <c r="B828">
        <v>85.138999999999996</v>
      </c>
      <c r="C828">
        <v>1.4096599999999999</v>
      </c>
      <c r="D828">
        <v>0.09</v>
      </c>
      <c r="E828">
        <v>0</v>
      </c>
      <c r="F828">
        <v>2.7387299999999999</v>
      </c>
      <c r="G828">
        <v>3.0411299999999999</v>
      </c>
      <c r="H828">
        <v>0</v>
      </c>
      <c r="I828">
        <v>0.513158</v>
      </c>
      <c r="J828">
        <v>5.3222399999999999</v>
      </c>
      <c r="K828" s="2">
        <v>115041000</v>
      </c>
      <c r="L828" s="1">
        <v>0</v>
      </c>
      <c r="M828" s="1">
        <v>0</v>
      </c>
      <c r="N828" s="1">
        <v>0</v>
      </c>
      <c r="O828" s="1">
        <v>0</v>
      </c>
      <c r="P828" s="2">
        <v>4094330</v>
      </c>
      <c r="Q828" s="1">
        <v>-95904.6</v>
      </c>
      <c r="R828" s="1">
        <v>408539</v>
      </c>
      <c r="S828">
        <v>89.372699999999995</v>
      </c>
      <c r="T828">
        <v>98.274000000000001</v>
      </c>
      <c r="U828">
        <v>1.4092499999999999</v>
      </c>
      <c r="V828">
        <v>0</v>
      </c>
      <c r="W828">
        <v>0</v>
      </c>
      <c r="X828">
        <v>2.1139600000000001</v>
      </c>
      <c r="Y828">
        <v>1.8115600000000001</v>
      </c>
      <c r="Z828">
        <v>0</v>
      </c>
      <c r="AA828">
        <v>1.6330499999999999</v>
      </c>
      <c r="AB828">
        <v>2.9635199999999999</v>
      </c>
      <c r="AC828" s="2">
        <v>355277000</v>
      </c>
      <c r="AD828" s="1">
        <v>0</v>
      </c>
      <c r="AE828" s="1">
        <v>0</v>
      </c>
      <c r="AF828" s="1">
        <v>0</v>
      </c>
      <c r="AG828" s="1">
        <v>0</v>
      </c>
      <c r="AH828" s="2">
        <v>5469320</v>
      </c>
      <c r="AI828" s="1">
        <v>935157</v>
      </c>
      <c r="AJ828" s="1">
        <v>0</v>
      </c>
      <c r="AK828" s="8">
        <f t="shared" si="51"/>
        <v>47</v>
      </c>
      <c r="AL828" s="8">
        <f t="shared" si="50"/>
        <v>16</v>
      </c>
      <c r="AM828">
        <f t="shared" si="48"/>
        <v>0</v>
      </c>
      <c r="AN828">
        <f t="shared" si="49"/>
        <v>0</v>
      </c>
    </row>
    <row r="829" spans="1:40" x14ac:dyDescent="0.35">
      <c r="A829">
        <v>41.876600000000003</v>
      </c>
      <c r="B829">
        <v>85.138999999999996</v>
      </c>
      <c r="C829">
        <v>1.19554</v>
      </c>
      <c r="D829">
        <v>0.09</v>
      </c>
      <c r="E829">
        <v>0</v>
      </c>
      <c r="F829">
        <v>2.73915</v>
      </c>
      <c r="G829">
        <v>3.04155</v>
      </c>
      <c r="H829">
        <v>0</v>
      </c>
      <c r="I829">
        <v>0.51323799999999997</v>
      </c>
      <c r="J829">
        <v>5.3222399999999999</v>
      </c>
      <c r="K829" s="2">
        <v>114945000</v>
      </c>
      <c r="L829" s="1">
        <v>0</v>
      </c>
      <c r="M829" s="1">
        <v>0</v>
      </c>
      <c r="N829" s="1">
        <v>0</v>
      </c>
      <c r="O829" s="1">
        <v>0</v>
      </c>
      <c r="P829" s="2">
        <v>4094960</v>
      </c>
      <c r="Q829" s="1">
        <v>-95861.1</v>
      </c>
      <c r="R829" s="1">
        <v>408539</v>
      </c>
      <c r="S829">
        <v>89.161799999999999</v>
      </c>
      <c r="T829">
        <v>98.274000000000001</v>
      </c>
      <c r="U829">
        <v>1.6548499999999999</v>
      </c>
      <c r="V829">
        <v>0</v>
      </c>
      <c r="W829">
        <v>0</v>
      </c>
      <c r="X829">
        <v>2.1142099999999999</v>
      </c>
      <c r="Y829">
        <v>1.8118099999999999</v>
      </c>
      <c r="Z829">
        <v>0</v>
      </c>
      <c r="AA829">
        <v>1.6332500000000001</v>
      </c>
      <c r="AB829">
        <v>2.9635199999999999</v>
      </c>
      <c r="AC829" s="2">
        <v>356213000</v>
      </c>
      <c r="AD829" s="1">
        <v>0</v>
      </c>
      <c r="AE829" s="1">
        <v>0</v>
      </c>
      <c r="AF829" s="1">
        <v>0</v>
      </c>
      <c r="AG829" s="1">
        <v>0</v>
      </c>
      <c r="AH829" s="2">
        <v>5469970</v>
      </c>
      <c r="AI829" s="1">
        <v>935178</v>
      </c>
      <c r="AJ829" s="1">
        <v>0</v>
      </c>
      <c r="AK829" s="8">
        <f t="shared" si="51"/>
        <v>48</v>
      </c>
      <c r="AL829" s="8">
        <f t="shared" si="50"/>
        <v>16</v>
      </c>
      <c r="AM829">
        <f t="shared" si="48"/>
        <v>0</v>
      </c>
      <c r="AN829">
        <f t="shared" si="49"/>
        <v>0</v>
      </c>
    </row>
    <row r="830" spans="1:40" x14ac:dyDescent="0.35">
      <c r="A830">
        <v>42.9343</v>
      </c>
      <c r="B830">
        <v>85.138999999999996</v>
      </c>
      <c r="C830">
        <v>3.7052999999999998</v>
      </c>
      <c r="D830">
        <v>0.09</v>
      </c>
      <c r="E830">
        <v>0</v>
      </c>
      <c r="F830">
        <v>2.7395800000000001</v>
      </c>
      <c r="G830">
        <v>3.0419800000000001</v>
      </c>
      <c r="H830">
        <v>0</v>
      </c>
      <c r="I830">
        <v>0.51331700000000002</v>
      </c>
      <c r="J830">
        <v>5.3222399999999999</v>
      </c>
      <c r="K830" s="2">
        <v>114849000</v>
      </c>
      <c r="L830" s="1">
        <v>0</v>
      </c>
      <c r="M830" s="1">
        <v>0</v>
      </c>
      <c r="N830" s="1">
        <v>0</v>
      </c>
      <c r="O830" s="1">
        <v>0</v>
      </c>
      <c r="P830" s="2">
        <v>4095600</v>
      </c>
      <c r="Q830" s="1">
        <v>-95817.5</v>
      </c>
      <c r="R830" s="1">
        <v>408539</v>
      </c>
      <c r="S830">
        <v>89.748500000000007</v>
      </c>
      <c r="T830">
        <v>98.274000000000001</v>
      </c>
      <c r="U830">
        <v>5.0370699999999999</v>
      </c>
      <c r="V830">
        <v>0</v>
      </c>
      <c r="W830">
        <v>0</v>
      </c>
      <c r="X830">
        <v>2.1144599999999998</v>
      </c>
      <c r="Y830">
        <v>1.81206</v>
      </c>
      <c r="Z830">
        <v>0</v>
      </c>
      <c r="AA830">
        <v>1.63344</v>
      </c>
      <c r="AB830">
        <v>2.9635199999999999</v>
      </c>
      <c r="AC830" s="2">
        <v>357148000</v>
      </c>
      <c r="AD830" s="1">
        <v>0</v>
      </c>
      <c r="AE830" s="1">
        <v>0</v>
      </c>
      <c r="AF830" s="1">
        <v>0</v>
      </c>
      <c r="AG830" s="1">
        <v>0</v>
      </c>
      <c r="AH830" s="2">
        <v>5470620</v>
      </c>
      <c r="AI830" s="1">
        <v>935199</v>
      </c>
      <c r="AJ830" s="1">
        <v>0</v>
      </c>
      <c r="AK830" s="8">
        <f t="shared" si="51"/>
        <v>49</v>
      </c>
      <c r="AL830" s="8">
        <f t="shared" si="50"/>
        <v>16</v>
      </c>
      <c r="AM830">
        <f t="shared" si="48"/>
        <v>0</v>
      </c>
      <c r="AN830">
        <f t="shared" si="49"/>
        <v>0</v>
      </c>
    </row>
    <row r="831" spans="1:40" x14ac:dyDescent="0.35">
      <c r="A831">
        <v>43.643099999999997</v>
      </c>
      <c r="B831">
        <v>85.138999999999996</v>
      </c>
      <c r="C831">
        <v>3.20052</v>
      </c>
      <c r="D831">
        <v>0.09</v>
      </c>
      <c r="E831">
        <v>0</v>
      </c>
      <c r="F831">
        <v>2.5108700000000002</v>
      </c>
      <c r="G831">
        <v>2.8132700000000002</v>
      </c>
      <c r="H831">
        <v>0</v>
      </c>
      <c r="I831">
        <v>0.51339699999999999</v>
      </c>
      <c r="J831">
        <v>5.3222399999999999</v>
      </c>
      <c r="K831" s="2">
        <v>114730000</v>
      </c>
      <c r="L831" s="1">
        <v>0</v>
      </c>
      <c r="M831" s="1">
        <v>0</v>
      </c>
      <c r="N831" s="1">
        <v>0</v>
      </c>
      <c r="O831" s="1">
        <v>0</v>
      </c>
      <c r="P831" s="2">
        <v>3753690</v>
      </c>
      <c r="Q831" s="1">
        <v>-119329</v>
      </c>
      <c r="R831" s="1">
        <v>408539</v>
      </c>
      <c r="S831">
        <v>90.262600000000006</v>
      </c>
      <c r="T831">
        <v>98.274000000000001</v>
      </c>
      <c r="U831">
        <v>3.2588499999999998</v>
      </c>
      <c r="V831">
        <v>0</v>
      </c>
      <c r="W831">
        <v>0</v>
      </c>
      <c r="X831">
        <v>1.93268</v>
      </c>
      <c r="Y831">
        <v>1.63028</v>
      </c>
      <c r="Z831">
        <v>0</v>
      </c>
      <c r="AA831">
        <v>1.63364</v>
      </c>
      <c r="AB831">
        <v>2.9635199999999999</v>
      </c>
      <c r="AC831" s="2">
        <v>358068000</v>
      </c>
      <c r="AD831" s="1">
        <v>0</v>
      </c>
      <c r="AE831" s="1">
        <v>0</v>
      </c>
      <c r="AF831" s="1">
        <v>0</v>
      </c>
      <c r="AG831" s="1">
        <v>0</v>
      </c>
      <c r="AH831" s="2">
        <v>5000290</v>
      </c>
      <c r="AI831" s="1">
        <v>919868</v>
      </c>
      <c r="AJ831" s="1">
        <v>0</v>
      </c>
      <c r="AK831" s="8">
        <f t="shared" si="51"/>
        <v>50</v>
      </c>
      <c r="AL831" s="8">
        <f t="shared" si="50"/>
        <v>16</v>
      </c>
      <c r="AM831">
        <f t="shared" si="48"/>
        <v>0</v>
      </c>
      <c r="AN831">
        <f t="shared" si="49"/>
        <v>0</v>
      </c>
    </row>
    <row r="832" spans="1:40" x14ac:dyDescent="0.35">
      <c r="A832">
        <v>44.6004</v>
      </c>
      <c r="B832">
        <v>85.138999999999996</v>
      </c>
      <c r="C832">
        <v>3.5189900000000001</v>
      </c>
      <c r="D832">
        <v>0.1</v>
      </c>
      <c r="E832">
        <v>0</v>
      </c>
      <c r="F832">
        <v>2.51126</v>
      </c>
      <c r="G832">
        <v>2.81366</v>
      </c>
      <c r="H832">
        <v>0</v>
      </c>
      <c r="I832">
        <v>0.47053699999999998</v>
      </c>
      <c r="J832">
        <v>5.3222399999999999</v>
      </c>
      <c r="K832" s="2">
        <v>114610000</v>
      </c>
      <c r="L832" s="1">
        <v>0</v>
      </c>
      <c r="M832" s="1">
        <v>0</v>
      </c>
      <c r="N832" s="1">
        <v>0</v>
      </c>
      <c r="O832" s="1">
        <v>0</v>
      </c>
      <c r="P832" s="2">
        <v>3754280</v>
      </c>
      <c r="Q832" s="1">
        <v>-119288</v>
      </c>
      <c r="R832" s="1">
        <v>408539</v>
      </c>
      <c r="S832">
        <v>90.729799999999997</v>
      </c>
      <c r="T832">
        <v>98.274000000000001</v>
      </c>
      <c r="U832">
        <v>4.4190100000000001</v>
      </c>
      <c r="V832">
        <v>0</v>
      </c>
      <c r="W832">
        <v>0</v>
      </c>
      <c r="X832">
        <v>1.9329000000000001</v>
      </c>
      <c r="Y832">
        <v>1.6305000000000001</v>
      </c>
      <c r="Z832">
        <v>0</v>
      </c>
      <c r="AA832">
        <v>1.49319</v>
      </c>
      <c r="AB832">
        <v>2.9635199999999999</v>
      </c>
      <c r="AC832" s="2">
        <v>358988000</v>
      </c>
      <c r="AD832" s="1">
        <v>0</v>
      </c>
      <c r="AE832" s="1">
        <v>0</v>
      </c>
      <c r="AF832" s="1">
        <v>0</v>
      </c>
      <c r="AG832" s="1">
        <v>0</v>
      </c>
      <c r="AH832" s="2">
        <v>5000880</v>
      </c>
      <c r="AI832" s="1">
        <v>919888</v>
      </c>
      <c r="AJ832" s="1">
        <v>0</v>
      </c>
      <c r="AK832" s="8">
        <f t="shared" si="51"/>
        <v>51</v>
      </c>
      <c r="AL832" s="8">
        <f t="shared" si="50"/>
        <v>16</v>
      </c>
      <c r="AM832">
        <f t="shared" si="48"/>
        <v>0</v>
      </c>
      <c r="AN832">
        <f t="shared" si="49"/>
        <v>0</v>
      </c>
    </row>
    <row r="833" spans="1:40" x14ac:dyDescent="0.35">
      <c r="A833">
        <v>47.217300000000002</v>
      </c>
      <c r="B833">
        <v>85.138999999999996</v>
      </c>
      <c r="C833">
        <v>5.2330800000000002</v>
      </c>
      <c r="D833">
        <v>0.1</v>
      </c>
      <c r="E833">
        <v>0</v>
      </c>
      <c r="F833">
        <v>2.51166</v>
      </c>
      <c r="G833">
        <v>2.81406</v>
      </c>
      <c r="H833">
        <v>0</v>
      </c>
      <c r="I833">
        <v>0.470611</v>
      </c>
      <c r="J833">
        <v>5.3222399999999999</v>
      </c>
      <c r="K833" s="2">
        <v>114491000</v>
      </c>
      <c r="L833" s="1">
        <v>0</v>
      </c>
      <c r="M833" s="1">
        <v>0</v>
      </c>
      <c r="N833" s="1">
        <v>0</v>
      </c>
      <c r="O833" s="1">
        <v>0</v>
      </c>
      <c r="P833" s="2">
        <v>3754860</v>
      </c>
      <c r="Q833" s="1">
        <v>-119248</v>
      </c>
      <c r="R833" s="1">
        <v>408539</v>
      </c>
      <c r="S833">
        <v>91.448800000000006</v>
      </c>
      <c r="T833">
        <v>98.274000000000001</v>
      </c>
      <c r="U833">
        <v>5.2864899999999997</v>
      </c>
      <c r="V833">
        <v>0</v>
      </c>
      <c r="W833">
        <v>0</v>
      </c>
      <c r="X833">
        <v>1.93313</v>
      </c>
      <c r="Y833">
        <v>1.63073</v>
      </c>
      <c r="Z833">
        <v>0</v>
      </c>
      <c r="AA833">
        <v>1.49336</v>
      </c>
      <c r="AB833">
        <v>2.9635199999999999</v>
      </c>
      <c r="AC833" s="2">
        <v>359907000</v>
      </c>
      <c r="AD833" s="1">
        <v>0</v>
      </c>
      <c r="AE833" s="1">
        <v>0</v>
      </c>
      <c r="AF833" s="1">
        <v>0</v>
      </c>
      <c r="AG833" s="1">
        <v>0</v>
      </c>
      <c r="AH833" s="2">
        <v>5001470</v>
      </c>
      <c r="AI833" s="1">
        <v>919907</v>
      </c>
      <c r="AJ833" s="1">
        <v>0</v>
      </c>
      <c r="AK833" s="8">
        <f t="shared" si="51"/>
        <v>52</v>
      </c>
      <c r="AL833" s="8">
        <f t="shared" si="50"/>
        <v>16</v>
      </c>
      <c r="AM833">
        <f t="shared" si="48"/>
        <v>359907000</v>
      </c>
      <c r="AN833">
        <f t="shared" si="49"/>
        <v>114491000</v>
      </c>
    </row>
    <row r="834" spans="1:40" x14ac:dyDescent="0.35">
      <c r="A834">
        <v>47.668199999999999</v>
      </c>
      <c r="B834">
        <v>85.138999999999996</v>
      </c>
      <c r="C834">
        <v>3.0595599999999998</v>
      </c>
      <c r="D834">
        <v>7.0000000000000007E-2</v>
      </c>
      <c r="E834">
        <v>0</v>
      </c>
      <c r="F834">
        <v>2.5120499999999999</v>
      </c>
      <c r="G834">
        <v>2.8144499999999999</v>
      </c>
      <c r="H834">
        <v>0</v>
      </c>
      <c r="I834">
        <v>0.47068399999999999</v>
      </c>
      <c r="J834">
        <v>5.3222399999999999</v>
      </c>
      <c r="K834" s="2">
        <v>114372000</v>
      </c>
      <c r="L834" s="1">
        <v>0</v>
      </c>
      <c r="M834" s="1">
        <v>0</v>
      </c>
      <c r="N834" s="1">
        <v>0</v>
      </c>
      <c r="O834" s="1">
        <v>0</v>
      </c>
      <c r="P834" s="2">
        <v>3755450</v>
      </c>
      <c r="Q834" s="1">
        <v>-119208</v>
      </c>
      <c r="R834" s="1">
        <v>408539</v>
      </c>
      <c r="S834">
        <v>91.979699999999994</v>
      </c>
      <c r="T834">
        <v>98.274000000000001</v>
      </c>
      <c r="U834">
        <v>4.1772799999999997</v>
      </c>
      <c r="V834">
        <v>0</v>
      </c>
      <c r="W834">
        <v>0</v>
      </c>
      <c r="X834">
        <v>1.93336</v>
      </c>
      <c r="Y834">
        <v>1.63096</v>
      </c>
      <c r="Z834">
        <v>0</v>
      </c>
      <c r="AA834">
        <v>1.4935400000000001</v>
      </c>
      <c r="AB834">
        <v>2.9635199999999999</v>
      </c>
      <c r="AC834" s="2">
        <v>360827000</v>
      </c>
      <c r="AD834" s="1">
        <v>0</v>
      </c>
      <c r="AE834" s="1">
        <v>0</v>
      </c>
      <c r="AF834" s="1">
        <v>0</v>
      </c>
      <c r="AG834" s="1">
        <v>0</v>
      </c>
      <c r="AH834" s="2">
        <v>5002060</v>
      </c>
      <c r="AI834" s="1">
        <v>919926</v>
      </c>
      <c r="AJ834" s="1">
        <v>0</v>
      </c>
      <c r="AK834" s="8">
        <f t="shared" si="51"/>
        <v>1</v>
      </c>
      <c r="AL834" s="8">
        <f t="shared" si="50"/>
        <v>17</v>
      </c>
      <c r="AM834">
        <f t="shared" si="48"/>
        <v>0</v>
      </c>
      <c r="AN834">
        <f t="shared" si="49"/>
        <v>0</v>
      </c>
    </row>
    <row r="835" spans="1:40" x14ac:dyDescent="0.35">
      <c r="A835">
        <v>47.674100000000003</v>
      </c>
      <c r="B835">
        <v>85.138999999999996</v>
      </c>
      <c r="C835">
        <v>2.6377299999999999</v>
      </c>
      <c r="D835">
        <v>7.0000000000000007E-2</v>
      </c>
      <c r="E835">
        <v>0</v>
      </c>
      <c r="F835">
        <v>2.5124399999999998</v>
      </c>
      <c r="G835">
        <v>2.8148399999999998</v>
      </c>
      <c r="H835">
        <v>0</v>
      </c>
      <c r="I835">
        <v>0.47075800000000001</v>
      </c>
      <c r="J835">
        <v>5.3222399999999999</v>
      </c>
      <c r="K835" s="2">
        <v>114253000</v>
      </c>
      <c r="L835" s="1">
        <v>0</v>
      </c>
      <c r="M835" s="1">
        <v>0</v>
      </c>
      <c r="N835" s="1">
        <v>0</v>
      </c>
      <c r="O835" s="1">
        <v>0</v>
      </c>
      <c r="P835" s="2">
        <v>3756030</v>
      </c>
      <c r="Q835" s="1">
        <v>-119167</v>
      </c>
      <c r="R835" s="1">
        <v>408539</v>
      </c>
      <c r="S835">
        <v>92.220399999999998</v>
      </c>
      <c r="T835">
        <v>98.274000000000001</v>
      </c>
      <c r="U835">
        <v>3.5579200000000002</v>
      </c>
      <c r="V835">
        <v>0</v>
      </c>
      <c r="W835">
        <v>0</v>
      </c>
      <c r="X835">
        <v>1.9335800000000001</v>
      </c>
      <c r="Y835">
        <v>1.6311800000000001</v>
      </c>
      <c r="Z835">
        <v>0</v>
      </c>
      <c r="AA835">
        <v>1.4937100000000001</v>
      </c>
      <c r="AB835">
        <v>2.9635199999999999</v>
      </c>
      <c r="AC835" s="2">
        <v>361747000</v>
      </c>
      <c r="AD835" s="1">
        <v>0</v>
      </c>
      <c r="AE835" s="1">
        <v>0</v>
      </c>
      <c r="AF835" s="1">
        <v>0</v>
      </c>
      <c r="AG835" s="1">
        <v>0</v>
      </c>
      <c r="AH835" s="2">
        <v>5002640</v>
      </c>
      <c r="AI835" s="1">
        <v>919945</v>
      </c>
      <c r="AJ835" s="1">
        <v>0</v>
      </c>
      <c r="AK835" s="8">
        <f t="shared" si="51"/>
        <v>2</v>
      </c>
      <c r="AL835" s="8">
        <f t="shared" si="50"/>
        <v>17</v>
      </c>
      <c r="AM835">
        <f t="shared" ref="AM835:AM898" si="52">IF(AK835=52,AC835,0)</f>
        <v>0</v>
      </c>
      <c r="AN835">
        <f t="shared" ref="AN835:AN898" si="53">IF(AK835=52,K835,0)</f>
        <v>0</v>
      </c>
    </row>
    <row r="836" spans="1:40" x14ac:dyDescent="0.35">
      <c r="A836">
        <v>50.927999999999997</v>
      </c>
      <c r="B836">
        <v>85.138999999999996</v>
      </c>
      <c r="C836">
        <v>5.9712100000000001</v>
      </c>
      <c r="D836">
        <v>7.0000000000000007E-2</v>
      </c>
      <c r="E836">
        <v>0</v>
      </c>
      <c r="F836">
        <v>2.6010200000000001</v>
      </c>
      <c r="G836">
        <v>2.9034200000000001</v>
      </c>
      <c r="H836">
        <v>0</v>
      </c>
      <c r="I836">
        <v>0.470831</v>
      </c>
      <c r="J836">
        <v>5.3222399999999999</v>
      </c>
      <c r="K836" s="2">
        <v>114143000</v>
      </c>
      <c r="L836" s="1">
        <v>0</v>
      </c>
      <c r="M836" s="1">
        <v>0</v>
      </c>
      <c r="N836" s="1">
        <v>0</v>
      </c>
      <c r="O836" s="2">
        <v>29016000</v>
      </c>
      <c r="P836" s="2">
        <v>3888460</v>
      </c>
      <c r="Q836" s="1">
        <v>-110062</v>
      </c>
      <c r="R836" s="1">
        <v>408539</v>
      </c>
      <c r="S836">
        <v>92.823099999999997</v>
      </c>
      <c r="T836">
        <v>98.274000000000001</v>
      </c>
      <c r="U836">
        <v>5.6710500000000001</v>
      </c>
      <c r="V836">
        <v>0</v>
      </c>
      <c r="W836">
        <v>0</v>
      </c>
      <c r="X836">
        <v>1.9865600000000001</v>
      </c>
      <c r="Y836">
        <v>1.6841600000000001</v>
      </c>
      <c r="Z836">
        <v>0</v>
      </c>
      <c r="AA836">
        <v>1.4938899999999999</v>
      </c>
      <c r="AB836">
        <v>2.9635199999999999</v>
      </c>
      <c r="AC836" s="2">
        <v>362672000</v>
      </c>
      <c r="AD836" s="1">
        <v>0</v>
      </c>
      <c r="AE836" s="1">
        <v>0</v>
      </c>
      <c r="AF836" s="1">
        <v>0</v>
      </c>
      <c r="AG836" s="2">
        <v>7883220</v>
      </c>
      <c r="AH836" s="2">
        <v>5139700</v>
      </c>
      <c r="AI836" s="1">
        <v>924412</v>
      </c>
      <c r="AJ836" s="1">
        <v>0</v>
      </c>
      <c r="AK836" s="8">
        <f t="shared" si="51"/>
        <v>3</v>
      </c>
      <c r="AL836" s="8">
        <f t="shared" ref="AL836:AL899" si="54">IF(AK835=52,AL835+1,AL835)</f>
        <v>17</v>
      </c>
      <c r="AM836">
        <f t="shared" si="52"/>
        <v>0</v>
      </c>
      <c r="AN836">
        <f t="shared" si="53"/>
        <v>0</v>
      </c>
    </row>
    <row r="837" spans="1:40" x14ac:dyDescent="0.35">
      <c r="A837">
        <v>53.974800000000002</v>
      </c>
      <c r="B837">
        <v>85.138999999999996</v>
      </c>
      <c r="C837">
        <v>5.8325800000000001</v>
      </c>
      <c r="D837">
        <v>0.06</v>
      </c>
      <c r="E837">
        <v>0</v>
      </c>
      <c r="F837">
        <v>2.6013999999999999</v>
      </c>
      <c r="G837">
        <v>2.9037999999999999</v>
      </c>
      <c r="H837">
        <v>0</v>
      </c>
      <c r="I837">
        <v>0.487431</v>
      </c>
      <c r="J837">
        <v>5.3222399999999999</v>
      </c>
      <c r="K837" s="2">
        <v>114033000</v>
      </c>
      <c r="L837" s="1">
        <v>0</v>
      </c>
      <c r="M837" s="1">
        <v>0</v>
      </c>
      <c r="N837" s="1">
        <v>0</v>
      </c>
      <c r="O837" s="1">
        <v>0</v>
      </c>
      <c r="P837" s="2">
        <v>3889030</v>
      </c>
      <c r="Q837" s="1">
        <v>-110022</v>
      </c>
      <c r="R837" s="1">
        <v>408539</v>
      </c>
      <c r="S837">
        <v>93.101799999999997</v>
      </c>
      <c r="T837">
        <v>98.274000000000001</v>
      </c>
      <c r="U837">
        <v>4.1974499999999999</v>
      </c>
      <c r="V837">
        <v>0</v>
      </c>
      <c r="W837">
        <v>0</v>
      </c>
      <c r="X837">
        <v>1.98678</v>
      </c>
      <c r="Y837">
        <v>1.68438</v>
      </c>
      <c r="Z837">
        <v>0</v>
      </c>
      <c r="AA837">
        <v>1.53481</v>
      </c>
      <c r="AB837">
        <v>2.9635199999999999</v>
      </c>
      <c r="AC837" s="2">
        <v>363596000</v>
      </c>
      <c r="AD837" s="1">
        <v>0</v>
      </c>
      <c r="AE837" s="1">
        <v>0</v>
      </c>
      <c r="AF837" s="1">
        <v>0</v>
      </c>
      <c r="AG837" s="1">
        <v>0</v>
      </c>
      <c r="AH837" s="2">
        <v>5140270</v>
      </c>
      <c r="AI837" s="1">
        <v>924431</v>
      </c>
      <c r="AJ837" s="1">
        <v>0</v>
      </c>
      <c r="AK837" s="8">
        <f t="shared" si="51"/>
        <v>4</v>
      </c>
      <c r="AL837" s="8">
        <f t="shared" si="54"/>
        <v>17</v>
      </c>
      <c r="AM837">
        <f t="shared" si="52"/>
        <v>0</v>
      </c>
      <c r="AN837">
        <f t="shared" si="53"/>
        <v>0</v>
      </c>
    </row>
    <row r="838" spans="1:40" x14ac:dyDescent="0.35">
      <c r="A838">
        <v>56.298699999999997</v>
      </c>
      <c r="B838">
        <v>85.138999999999996</v>
      </c>
      <c r="C838">
        <v>5.2103400000000004</v>
      </c>
      <c r="D838">
        <v>7.0000000000000007E-2</v>
      </c>
      <c r="E838">
        <v>0</v>
      </c>
      <c r="F838">
        <v>2.6017899999999998</v>
      </c>
      <c r="G838">
        <v>2.9041899999999998</v>
      </c>
      <c r="H838">
        <v>0</v>
      </c>
      <c r="I838">
        <v>0.48750300000000002</v>
      </c>
      <c r="J838">
        <v>5.3222399999999999</v>
      </c>
      <c r="K838" s="2">
        <v>113923000</v>
      </c>
      <c r="L838" s="1">
        <v>0</v>
      </c>
      <c r="M838" s="1">
        <v>0</v>
      </c>
      <c r="N838" s="1">
        <v>0</v>
      </c>
      <c r="O838" s="1">
        <v>0</v>
      </c>
      <c r="P838" s="2">
        <v>3889600</v>
      </c>
      <c r="Q838" s="1">
        <v>-109983</v>
      </c>
      <c r="R838" s="1">
        <v>408539</v>
      </c>
      <c r="S838">
        <v>93.238200000000006</v>
      </c>
      <c r="T838">
        <v>98.274000000000001</v>
      </c>
      <c r="U838">
        <v>3.9406099999999999</v>
      </c>
      <c r="V838">
        <v>0</v>
      </c>
      <c r="W838">
        <v>0</v>
      </c>
      <c r="X838">
        <v>1.9870000000000001</v>
      </c>
      <c r="Y838">
        <v>1.6846000000000001</v>
      </c>
      <c r="Z838">
        <v>0</v>
      </c>
      <c r="AA838">
        <v>1.5349900000000001</v>
      </c>
      <c r="AB838">
        <v>2.9635199999999999</v>
      </c>
      <c r="AC838" s="2">
        <v>364521000</v>
      </c>
      <c r="AD838" s="1">
        <v>0</v>
      </c>
      <c r="AE838" s="1">
        <v>0</v>
      </c>
      <c r="AF838" s="1">
        <v>0</v>
      </c>
      <c r="AG838" s="1">
        <v>0</v>
      </c>
      <c r="AH838" s="2">
        <v>5140850</v>
      </c>
      <c r="AI838" s="1">
        <v>924450</v>
      </c>
      <c r="AJ838" s="1">
        <v>0</v>
      </c>
      <c r="AK838" s="8">
        <f t="shared" si="51"/>
        <v>5</v>
      </c>
      <c r="AL838" s="8">
        <f t="shared" si="54"/>
        <v>17</v>
      </c>
      <c r="AM838">
        <f t="shared" si="52"/>
        <v>0</v>
      </c>
      <c r="AN838">
        <f t="shared" si="53"/>
        <v>0</v>
      </c>
    </row>
    <row r="839" spans="1:40" x14ac:dyDescent="0.35">
      <c r="A839">
        <v>57.762700000000002</v>
      </c>
      <c r="B839">
        <v>85.138999999999996</v>
      </c>
      <c r="C839">
        <v>4.2788500000000003</v>
      </c>
      <c r="D839">
        <v>0.05</v>
      </c>
      <c r="E839">
        <v>0</v>
      </c>
      <c r="F839">
        <v>2.6021700000000001</v>
      </c>
      <c r="G839">
        <v>2.9045700000000001</v>
      </c>
      <c r="H839">
        <v>0</v>
      </c>
      <c r="I839">
        <v>0.48757499999999998</v>
      </c>
      <c r="J839">
        <v>5.3222399999999999</v>
      </c>
      <c r="K839" s="2">
        <v>113813000</v>
      </c>
      <c r="L839" s="1">
        <v>0</v>
      </c>
      <c r="M839" s="1">
        <v>0</v>
      </c>
      <c r="N839" s="1">
        <v>0</v>
      </c>
      <c r="O839" s="1">
        <v>0</v>
      </c>
      <c r="P839" s="2">
        <v>3890180</v>
      </c>
      <c r="Q839" s="1">
        <v>-109943</v>
      </c>
      <c r="R839" s="1">
        <v>408539</v>
      </c>
      <c r="S839">
        <v>93.072999999999993</v>
      </c>
      <c r="T839">
        <v>98.274000000000001</v>
      </c>
      <c r="U839">
        <v>2.97315</v>
      </c>
      <c r="V839">
        <v>0</v>
      </c>
      <c r="W839">
        <v>0</v>
      </c>
      <c r="X839">
        <v>1.9872300000000001</v>
      </c>
      <c r="Y839">
        <v>1.68483</v>
      </c>
      <c r="Z839">
        <v>0</v>
      </c>
      <c r="AA839">
        <v>1.5351600000000001</v>
      </c>
      <c r="AB839">
        <v>2.9635199999999999</v>
      </c>
      <c r="AC839" s="2">
        <v>365445000</v>
      </c>
      <c r="AD839" s="1">
        <v>0</v>
      </c>
      <c r="AE839" s="1">
        <v>0</v>
      </c>
      <c r="AF839" s="1">
        <v>0</v>
      </c>
      <c r="AG839" s="1">
        <v>0</v>
      </c>
      <c r="AH839" s="2">
        <v>5141430</v>
      </c>
      <c r="AI839" s="1">
        <v>924469</v>
      </c>
      <c r="AJ839" s="1">
        <v>0</v>
      </c>
      <c r="AK839" s="8">
        <f t="shared" si="51"/>
        <v>6</v>
      </c>
      <c r="AL839" s="8">
        <f t="shared" si="54"/>
        <v>17</v>
      </c>
      <c r="AM839">
        <f t="shared" si="52"/>
        <v>0</v>
      </c>
      <c r="AN839">
        <f t="shared" si="53"/>
        <v>0</v>
      </c>
    </row>
    <row r="840" spans="1:40" x14ac:dyDescent="0.35">
      <c r="A840">
        <v>58.4985</v>
      </c>
      <c r="B840">
        <v>85.138999999999996</v>
      </c>
      <c r="C840">
        <v>3.7810700000000002</v>
      </c>
      <c r="D840">
        <v>0.04</v>
      </c>
      <c r="E840">
        <v>0</v>
      </c>
      <c r="F840">
        <v>2.8858999999999999</v>
      </c>
      <c r="G840">
        <v>3.1882999999999999</v>
      </c>
      <c r="H840">
        <v>0</v>
      </c>
      <c r="I840">
        <v>0.487647</v>
      </c>
      <c r="J840">
        <v>5.3222399999999999</v>
      </c>
      <c r="K840" s="2">
        <v>113732000</v>
      </c>
      <c r="L840" s="1">
        <v>0</v>
      </c>
      <c r="M840" s="1">
        <v>0</v>
      </c>
      <c r="N840" s="1">
        <v>0</v>
      </c>
      <c r="O840" s="1">
        <v>0</v>
      </c>
      <c r="P840" s="2">
        <v>4314340</v>
      </c>
      <c r="Q840" s="1">
        <v>-80775.399999999994</v>
      </c>
      <c r="R840" s="1">
        <v>408539</v>
      </c>
      <c r="S840">
        <v>92.586100000000002</v>
      </c>
      <c r="T840">
        <v>98.274000000000001</v>
      </c>
      <c r="U840">
        <v>2.4313099999999999</v>
      </c>
      <c r="V840">
        <v>0</v>
      </c>
      <c r="W840">
        <v>0</v>
      </c>
      <c r="X840">
        <v>2.1855699999999998</v>
      </c>
      <c r="Y840">
        <v>1.88317</v>
      </c>
      <c r="Z840">
        <v>0</v>
      </c>
      <c r="AA840">
        <v>1.5353300000000001</v>
      </c>
      <c r="AB840">
        <v>2.9635199999999999</v>
      </c>
      <c r="AC840" s="2">
        <v>366386000</v>
      </c>
      <c r="AD840" s="1">
        <v>0</v>
      </c>
      <c r="AE840" s="1">
        <v>0</v>
      </c>
      <c r="AF840" s="1">
        <v>0</v>
      </c>
      <c r="AG840" s="1">
        <v>0</v>
      </c>
      <c r="AH840" s="2">
        <v>5654600</v>
      </c>
      <c r="AI840" s="1">
        <v>941196</v>
      </c>
      <c r="AJ840" s="1">
        <v>0</v>
      </c>
      <c r="AK840" s="8">
        <f t="shared" ref="AK840:AK903" si="55">IF(AK839=52, 1, AK839+1)</f>
        <v>7</v>
      </c>
      <c r="AL840" s="8">
        <f t="shared" si="54"/>
        <v>17</v>
      </c>
      <c r="AM840">
        <f t="shared" si="52"/>
        <v>0</v>
      </c>
      <c r="AN840">
        <f t="shared" si="53"/>
        <v>0</v>
      </c>
    </row>
    <row r="841" spans="1:40" x14ac:dyDescent="0.35">
      <c r="A841">
        <v>59.6509</v>
      </c>
      <c r="B841">
        <v>85.138999999999996</v>
      </c>
      <c r="C841">
        <v>4.2197699999999996</v>
      </c>
      <c r="D841">
        <v>0.04</v>
      </c>
      <c r="E841">
        <v>0</v>
      </c>
      <c r="F841">
        <v>2.88632</v>
      </c>
      <c r="G841">
        <v>3.18872</v>
      </c>
      <c r="H841">
        <v>0</v>
      </c>
      <c r="I841">
        <v>0.54081699999999999</v>
      </c>
      <c r="J841">
        <v>5.3222399999999999</v>
      </c>
      <c r="K841" s="2">
        <v>113651000</v>
      </c>
      <c r="L841" s="1">
        <v>0</v>
      </c>
      <c r="M841" s="1">
        <v>0</v>
      </c>
      <c r="N841" s="1">
        <v>0</v>
      </c>
      <c r="O841" s="1">
        <v>0</v>
      </c>
      <c r="P841" s="2">
        <v>4314970</v>
      </c>
      <c r="Q841" s="1">
        <v>-80732</v>
      </c>
      <c r="R841" s="1">
        <v>408539</v>
      </c>
      <c r="S841">
        <v>92.370999999999995</v>
      </c>
      <c r="T841">
        <v>98.274000000000001</v>
      </c>
      <c r="U841">
        <v>2.1615799999999998</v>
      </c>
      <c r="V841">
        <v>0</v>
      </c>
      <c r="W841">
        <v>0</v>
      </c>
      <c r="X841">
        <v>2.1858200000000001</v>
      </c>
      <c r="Y841">
        <v>1.8834200000000001</v>
      </c>
      <c r="Z841">
        <v>0</v>
      </c>
      <c r="AA841">
        <v>1.6885699999999999</v>
      </c>
      <c r="AB841">
        <v>2.9635199999999999</v>
      </c>
      <c r="AC841" s="2">
        <v>367328000</v>
      </c>
      <c r="AD841" s="1">
        <v>0</v>
      </c>
      <c r="AE841" s="1">
        <v>0</v>
      </c>
      <c r="AF841" s="1">
        <v>0</v>
      </c>
      <c r="AG841" s="1">
        <v>0</v>
      </c>
      <c r="AH841" s="2">
        <v>5655250</v>
      </c>
      <c r="AI841" s="1">
        <v>941217</v>
      </c>
      <c r="AJ841" s="1">
        <v>0</v>
      </c>
      <c r="AK841" s="8">
        <f t="shared" si="55"/>
        <v>8</v>
      </c>
      <c r="AL841" s="8">
        <f t="shared" si="54"/>
        <v>17</v>
      </c>
      <c r="AM841">
        <f t="shared" si="52"/>
        <v>0</v>
      </c>
      <c r="AN841">
        <f t="shared" si="53"/>
        <v>0</v>
      </c>
    </row>
    <row r="842" spans="1:40" x14ac:dyDescent="0.35">
      <c r="A842">
        <v>61.792900000000003</v>
      </c>
      <c r="B842">
        <v>85.138999999999996</v>
      </c>
      <c r="C842">
        <v>5.2744600000000004</v>
      </c>
      <c r="D842">
        <v>0.04</v>
      </c>
      <c r="E842">
        <v>0</v>
      </c>
      <c r="F842">
        <v>2.8867400000000001</v>
      </c>
      <c r="G842">
        <v>3.1891400000000001</v>
      </c>
      <c r="H842">
        <v>0</v>
      </c>
      <c r="I842">
        <v>0.54089600000000004</v>
      </c>
      <c r="J842">
        <v>5.3222399999999999</v>
      </c>
      <c r="K842" s="2">
        <v>113570000</v>
      </c>
      <c r="L842" s="1">
        <v>0</v>
      </c>
      <c r="M842" s="1">
        <v>0</v>
      </c>
      <c r="N842" s="1">
        <v>0</v>
      </c>
      <c r="O842" s="1">
        <v>0</v>
      </c>
      <c r="P842" s="2">
        <v>4315610</v>
      </c>
      <c r="Q842" s="1">
        <v>-80688.600000000006</v>
      </c>
      <c r="R842" s="1">
        <v>408539</v>
      </c>
      <c r="S842">
        <v>92.3643</v>
      </c>
      <c r="T842">
        <v>98.274000000000001</v>
      </c>
      <c r="U842">
        <v>3.77007</v>
      </c>
      <c r="V842">
        <v>0</v>
      </c>
      <c r="W842">
        <v>0</v>
      </c>
      <c r="X842">
        <v>2.18607</v>
      </c>
      <c r="Y842">
        <v>1.88367</v>
      </c>
      <c r="Z842">
        <v>0</v>
      </c>
      <c r="AA842">
        <v>1.6887700000000001</v>
      </c>
      <c r="AB842">
        <v>2.9635199999999999</v>
      </c>
      <c r="AC842" s="2">
        <v>368269000</v>
      </c>
      <c r="AD842" s="1">
        <v>0</v>
      </c>
      <c r="AE842" s="1">
        <v>0</v>
      </c>
      <c r="AF842" s="1">
        <v>0</v>
      </c>
      <c r="AG842" s="1">
        <v>0</v>
      </c>
      <c r="AH842" s="2">
        <v>5655890</v>
      </c>
      <c r="AI842" s="1">
        <v>941238</v>
      </c>
      <c r="AJ842" s="1">
        <v>0</v>
      </c>
      <c r="AK842" s="8">
        <f t="shared" si="55"/>
        <v>9</v>
      </c>
      <c r="AL842" s="8">
        <f t="shared" si="54"/>
        <v>17</v>
      </c>
      <c r="AM842">
        <f t="shared" si="52"/>
        <v>0</v>
      </c>
      <c r="AN842">
        <f t="shared" si="53"/>
        <v>0</v>
      </c>
    </row>
    <row r="843" spans="1:40" x14ac:dyDescent="0.35">
      <c r="A843">
        <v>64.6374</v>
      </c>
      <c r="B843">
        <v>85.138999999999996</v>
      </c>
      <c r="C843">
        <v>6.0282999999999998</v>
      </c>
      <c r="D843">
        <v>0.04</v>
      </c>
      <c r="E843">
        <v>0</v>
      </c>
      <c r="F843">
        <v>2.8871600000000002</v>
      </c>
      <c r="G843">
        <v>3.1895600000000002</v>
      </c>
      <c r="H843">
        <v>0</v>
      </c>
      <c r="I843">
        <v>0.54097499999999998</v>
      </c>
      <c r="J843">
        <v>5.3222399999999999</v>
      </c>
      <c r="K843" s="2">
        <v>113490000</v>
      </c>
      <c r="L843" s="1">
        <v>0</v>
      </c>
      <c r="M843" s="1">
        <v>0</v>
      </c>
      <c r="N843" s="1">
        <v>0</v>
      </c>
      <c r="O843" s="1">
        <v>0</v>
      </c>
      <c r="P843" s="2">
        <v>4316240</v>
      </c>
      <c r="Q843" s="1">
        <v>-80645.2</v>
      </c>
      <c r="R843" s="1">
        <v>408539</v>
      </c>
      <c r="S843">
        <v>92.586399999999998</v>
      </c>
      <c r="T843">
        <v>98.274000000000001</v>
      </c>
      <c r="U843">
        <v>4.1644300000000003</v>
      </c>
      <c r="V843">
        <v>0</v>
      </c>
      <c r="W843">
        <v>0</v>
      </c>
      <c r="X843">
        <v>2.1863199999999998</v>
      </c>
      <c r="Y843">
        <v>1.88392</v>
      </c>
      <c r="Z843">
        <v>0</v>
      </c>
      <c r="AA843">
        <v>1.68896</v>
      </c>
      <c r="AB843">
        <v>2.9635199999999999</v>
      </c>
      <c r="AC843" s="2">
        <v>369210000</v>
      </c>
      <c r="AD843" s="1">
        <v>0</v>
      </c>
      <c r="AE843" s="1">
        <v>0</v>
      </c>
      <c r="AF843" s="1">
        <v>0</v>
      </c>
      <c r="AG843" s="1">
        <v>0</v>
      </c>
      <c r="AH843" s="2">
        <v>5656540</v>
      </c>
      <c r="AI843" s="1">
        <v>941259</v>
      </c>
      <c r="AJ843" s="1">
        <v>0</v>
      </c>
      <c r="AK843" s="8">
        <f t="shared" si="55"/>
        <v>10</v>
      </c>
      <c r="AL843" s="8">
        <f t="shared" si="54"/>
        <v>17</v>
      </c>
      <c r="AM843">
        <f t="shared" si="52"/>
        <v>0</v>
      </c>
      <c r="AN843">
        <f t="shared" si="53"/>
        <v>0</v>
      </c>
    </row>
    <row r="844" spans="1:40" x14ac:dyDescent="0.35">
      <c r="A844">
        <v>67.342600000000004</v>
      </c>
      <c r="B844">
        <v>85.138999999999996</v>
      </c>
      <c r="C844">
        <v>5.5862400000000001</v>
      </c>
      <c r="D844">
        <v>0.03</v>
      </c>
      <c r="E844">
        <v>0</v>
      </c>
      <c r="F844">
        <v>2.4832299999999998</v>
      </c>
      <c r="G844">
        <v>2.7856299999999998</v>
      </c>
      <c r="H844">
        <v>0</v>
      </c>
      <c r="I844">
        <v>0.54105400000000003</v>
      </c>
      <c r="J844">
        <v>5.3222399999999999</v>
      </c>
      <c r="K844" s="2">
        <v>113368000</v>
      </c>
      <c r="L844" s="1">
        <v>0</v>
      </c>
      <c r="M844" s="1">
        <v>0</v>
      </c>
      <c r="N844" s="1">
        <v>0</v>
      </c>
      <c r="O844" s="1">
        <v>0</v>
      </c>
      <c r="P844" s="2">
        <v>3712370</v>
      </c>
      <c r="Q844" s="1">
        <v>-122170</v>
      </c>
      <c r="R844" s="1">
        <v>408539</v>
      </c>
      <c r="S844">
        <v>92.941900000000004</v>
      </c>
      <c r="T844">
        <v>98.274000000000001</v>
      </c>
      <c r="U844">
        <v>4.5242199999999997</v>
      </c>
      <c r="V844">
        <v>0</v>
      </c>
      <c r="W844">
        <v>0</v>
      </c>
      <c r="X844">
        <v>1.9205399999999999</v>
      </c>
      <c r="Y844">
        <v>1.6181399999999999</v>
      </c>
      <c r="Z844">
        <v>0</v>
      </c>
      <c r="AA844">
        <v>1.6891499999999999</v>
      </c>
      <c r="AB844">
        <v>2.9635199999999999</v>
      </c>
      <c r="AC844" s="2">
        <v>370129000</v>
      </c>
      <c r="AD844" s="1">
        <v>0</v>
      </c>
      <c r="AE844" s="1">
        <v>0</v>
      </c>
      <c r="AF844" s="1">
        <v>0</v>
      </c>
      <c r="AG844" s="1">
        <v>0</v>
      </c>
      <c r="AH844" s="2">
        <v>4968900</v>
      </c>
      <c r="AI844" s="1">
        <v>918845</v>
      </c>
      <c r="AJ844" s="1">
        <v>0</v>
      </c>
      <c r="AK844" s="8">
        <f t="shared" si="55"/>
        <v>11</v>
      </c>
      <c r="AL844" s="8">
        <f t="shared" si="54"/>
        <v>17</v>
      </c>
      <c r="AM844">
        <f t="shared" si="52"/>
        <v>0</v>
      </c>
      <c r="AN844">
        <f t="shared" si="53"/>
        <v>0</v>
      </c>
    </row>
    <row r="845" spans="1:40" x14ac:dyDescent="0.35">
      <c r="A845">
        <v>70.297300000000007</v>
      </c>
      <c r="B845">
        <v>85.138999999999996</v>
      </c>
      <c r="C845">
        <v>5.8726099999999999</v>
      </c>
      <c r="D845">
        <v>0.03</v>
      </c>
      <c r="E845">
        <v>0</v>
      </c>
      <c r="F845">
        <v>2.4836</v>
      </c>
      <c r="G845">
        <v>2.786</v>
      </c>
      <c r="H845">
        <v>0</v>
      </c>
      <c r="I845">
        <v>0.46535799999999999</v>
      </c>
      <c r="J845">
        <v>5.3222399999999999</v>
      </c>
      <c r="K845" s="2">
        <v>113245000</v>
      </c>
      <c r="L845" s="1">
        <v>0</v>
      </c>
      <c r="M845" s="1">
        <v>0</v>
      </c>
      <c r="N845" s="1">
        <v>0</v>
      </c>
      <c r="O845" s="1">
        <v>0</v>
      </c>
      <c r="P845" s="2">
        <v>3712920</v>
      </c>
      <c r="Q845" s="1">
        <v>-122132</v>
      </c>
      <c r="R845" s="1">
        <v>408539</v>
      </c>
      <c r="S845">
        <v>93.719099999999997</v>
      </c>
      <c r="T845">
        <v>98.274000000000001</v>
      </c>
      <c r="U845">
        <v>5.2203200000000001</v>
      </c>
      <c r="V845">
        <v>0</v>
      </c>
      <c r="W845">
        <v>0</v>
      </c>
      <c r="X845">
        <v>1.92076</v>
      </c>
      <c r="Y845">
        <v>1.61836</v>
      </c>
      <c r="Z845">
        <v>0</v>
      </c>
      <c r="AA845">
        <v>1.4838100000000001</v>
      </c>
      <c r="AB845">
        <v>2.9635199999999999</v>
      </c>
      <c r="AC845" s="2">
        <v>371048000</v>
      </c>
      <c r="AD845" s="1">
        <v>0</v>
      </c>
      <c r="AE845" s="1">
        <v>0</v>
      </c>
      <c r="AF845" s="1">
        <v>0</v>
      </c>
      <c r="AG845" s="1">
        <v>0</v>
      </c>
      <c r="AH845" s="2">
        <v>4969460</v>
      </c>
      <c r="AI845" s="1">
        <v>918863</v>
      </c>
      <c r="AJ845" s="1">
        <v>0</v>
      </c>
      <c r="AK845" s="8">
        <f t="shared" si="55"/>
        <v>12</v>
      </c>
      <c r="AL845" s="8">
        <f t="shared" si="54"/>
        <v>17</v>
      </c>
      <c r="AM845">
        <f t="shared" si="52"/>
        <v>0</v>
      </c>
      <c r="AN845">
        <f t="shared" si="53"/>
        <v>0</v>
      </c>
    </row>
    <row r="846" spans="1:40" x14ac:dyDescent="0.35">
      <c r="A846">
        <v>72.579099999999997</v>
      </c>
      <c r="B846">
        <v>85.138999999999996</v>
      </c>
      <c r="C846">
        <v>5.2257999999999996</v>
      </c>
      <c r="D846">
        <v>0.01</v>
      </c>
      <c r="E846">
        <v>0</v>
      </c>
      <c r="F846">
        <v>2.4839699999999998</v>
      </c>
      <c r="G846">
        <v>2.7863699999999998</v>
      </c>
      <c r="H846">
        <v>0</v>
      </c>
      <c r="I846">
        <v>0.46542699999999998</v>
      </c>
      <c r="J846">
        <v>5.3222399999999999</v>
      </c>
      <c r="K846" s="2">
        <v>113123000</v>
      </c>
      <c r="L846" s="1">
        <v>0</v>
      </c>
      <c r="M846" s="1">
        <v>0</v>
      </c>
      <c r="N846" s="1">
        <v>0</v>
      </c>
      <c r="O846" s="1">
        <v>0</v>
      </c>
      <c r="P846" s="2">
        <v>3713470</v>
      </c>
      <c r="Q846" s="1">
        <v>-122094</v>
      </c>
      <c r="R846" s="1">
        <v>408539</v>
      </c>
      <c r="S846">
        <v>93.895799999999994</v>
      </c>
      <c r="T846">
        <v>98.274000000000001</v>
      </c>
      <c r="U846">
        <v>3.73881</v>
      </c>
      <c r="V846">
        <v>0</v>
      </c>
      <c r="W846">
        <v>0</v>
      </c>
      <c r="X846">
        <v>1.9209700000000001</v>
      </c>
      <c r="Y846">
        <v>1.6185700000000001</v>
      </c>
      <c r="Z846">
        <v>0</v>
      </c>
      <c r="AA846">
        <v>1.4839800000000001</v>
      </c>
      <c r="AB846">
        <v>2.9635199999999999</v>
      </c>
      <c r="AC846" s="2">
        <v>371967000</v>
      </c>
      <c r="AD846" s="1">
        <v>0</v>
      </c>
      <c r="AE846" s="1">
        <v>0</v>
      </c>
      <c r="AF846" s="1">
        <v>0</v>
      </c>
      <c r="AG846" s="1">
        <v>0</v>
      </c>
      <c r="AH846" s="2">
        <v>4970010</v>
      </c>
      <c r="AI846" s="1">
        <v>918881</v>
      </c>
      <c r="AJ846" s="1">
        <v>0</v>
      </c>
      <c r="AK846" s="8">
        <f t="shared" si="55"/>
        <v>13</v>
      </c>
      <c r="AL846" s="8">
        <f t="shared" si="54"/>
        <v>17</v>
      </c>
      <c r="AM846">
        <f t="shared" si="52"/>
        <v>0</v>
      </c>
      <c r="AN846">
        <f t="shared" si="53"/>
        <v>0</v>
      </c>
    </row>
    <row r="847" spans="1:40" x14ac:dyDescent="0.35">
      <c r="A847">
        <v>73.985799999999998</v>
      </c>
      <c r="B847">
        <v>85.138999999999996</v>
      </c>
      <c r="C847">
        <v>4.3271899999999999</v>
      </c>
      <c r="D847">
        <v>0.02</v>
      </c>
      <c r="E847">
        <v>0</v>
      </c>
      <c r="F847">
        <v>2.48434</v>
      </c>
      <c r="G847">
        <v>2.78674</v>
      </c>
      <c r="H847">
        <v>0</v>
      </c>
      <c r="I847">
        <v>0.46549600000000002</v>
      </c>
      <c r="J847">
        <v>5.3222399999999999</v>
      </c>
      <c r="K847" s="2">
        <v>113001000</v>
      </c>
      <c r="L847" s="1">
        <v>0</v>
      </c>
      <c r="M847" s="1">
        <v>0</v>
      </c>
      <c r="N847" s="1">
        <v>0</v>
      </c>
      <c r="O847" s="1">
        <v>0</v>
      </c>
      <c r="P847" s="2">
        <v>3714030</v>
      </c>
      <c r="Q847" s="1">
        <v>-122056</v>
      </c>
      <c r="R847" s="1">
        <v>408539</v>
      </c>
      <c r="S847">
        <v>94.002700000000004</v>
      </c>
      <c r="T847">
        <v>98.274000000000001</v>
      </c>
      <c r="U847">
        <v>3.2381000000000002</v>
      </c>
      <c r="V847">
        <v>0</v>
      </c>
      <c r="W847">
        <v>0</v>
      </c>
      <c r="X847">
        <v>1.92119</v>
      </c>
      <c r="Y847">
        <v>1.61879</v>
      </c>
      <c r="Z847">
        <v>0</v>
      </c>
      <c r="AA847">
        <v>1.48414</v>
      </c>
      <c r="AB847">
        <v>2.9635199999999999</v>
      </c>
      <c r="AC847" s="2">
        <v>372885000</v>
      </c>
      <c r="AD847" s="1">
        <v>0</v>
      </c>
      <c r="AE847" s="1">
        <v>0</v>
      </c>
      <c r="AF847" s="1">
        <v>0</v>
      </c>
      <c r="AG847" s="1">
        <v>0</v>
      </c>
      <c r="AH847" s="2">
        <v>4970570</v>
      </c>
      <c r="AI847" s="1">
        <v>918899</v>
      </c>
      <c r="AJ847" s="1">
        <v>0</v>
      </c>
      <c r="AK847" s="8">
        <f t="shared" si="55"/>
        <v>14</v>
      </c>
      <c r="AL847" s="8">
        <f t="shared" si="54"/>
        <v>17</v>
      </c>
      <c r="AM847">
        <f t="shared" si="52"/>
        <v>0</v>
      </c>
      <c r="AN847">
        <f t="shared" si="53"/>
        <v>0</v>
      </c>
    </row>
    <row r="848" spans="1:40" x14ac:dyDescent="0.35">
      <c r="A848">
        <v>76.069100000000006</v>
      </c>
      <c r="B848">
        <v>85.138999999999996</v>
      </c>
      <c r="C848">
        <v>5.0694999999999997</v>
      </c>
      <c r="D848">
        <v>0.01</v>
      </c>
      <c r="E848">
        <v>0</v>
      </c>
      <c r="F848">
        <v>2.4847100000000002</v>
      </c>
      <c r="G848">
        <v>2.7871100000000002</v>
      </c>
      <c r="H848">
        <v>0</v>
      </c>
      <c r="I848">
        <v>0.46556500000000001</v>
      </c>
      <c r="J848">
        <v>5.3222399999999999</v>
      </c>
      <c r="K848" s="2">
        <v>112879000</v>
      </c>
      <c r="L848" s="1">
        <v>0</v>
      </c>
      <c r="M848" s="1">
        <v>0</v>
      </c>
      <c r="N848" s="1">
        <v>0</v>
      </c>
      <c r="O848" s="1">
        <v>0</v>
      </c>
      <c r="P848" s="2">
        <v>3714580</v>
      </c>
      <c r="Q848" s="1">
        <v>-122018</v>
      </c>
      <c r="R848" s="1">
        <v>408539</v>
      </c>
      <c r="S848">
        <v>94.177300000000002</v>
      </c>
      <c r="T848">
        <v>98.274000000000001</v>
      </c>
      <c r="U848">
        <v>3.6406999999999998</v>
      </c>
      <c r="V848">
        <v>0</v>
      </c>
      <c r="W848">
        <v>0</v>
      </c>
      <c r="X848">
        <v>1.9214</v>
      </c>
      <c r="Y848">
        <v>1.619</v>
      </c>
      <c r="Z848">
        <v>0</v>
      </c>
      <c r="AA848">
        <v>1.48431</v>
      </c>
      <c r="AB848">
        <v>2.9635199999999999</v>
      </c>
      <c r="AC848" s="2">
        <v>373804000</v>
      </c>
      <c r="AD848" s="1">
        <v>0</v>
      </c>
      <c r="AE848" s="1">
        <v>0</v>
      </c>
      <c r="AF848" s="1">
        <v>0</v>
      </c>
      <c r="AG848" s="1">
        <v>0</v>
      </c>
      <c r="AH848" s="2">
        <v>4971120</v>
      </c>
      <c r="AI848" s="1">
        <v>918918</v>
      </c>
      <c r="AJ848" s="1">
        <v>0</v>
      </c>
      <c r="AK848" s="8">
        <f t="shared" si="55"/>
        <v>15</v>
      </c>
      <c r="AL848" s="8">
        <f t="shared" si="54"/>
        <v>17</v>
      </c>
      <c r="AM848">
        <f t="shared" si="52"/>
        <v>0</v>
      </c>
      <c r="AN848">
        <f t="shared" si="53"/>
        <v>0</v>
      </c>
    </row>
    <row r="849" spans="1:40" x14ac:dyDescent="0.35">
      <c r="A849">
        <v>77.361500000000007</v>
      </c>
      <c r="B849">
        <v>85.138999999999996</v>
      </c>
      <c r="C849">
        <v>4.6463900000000002</v>
      </c>
      <c r="D849">
        <v>0</v>
      </c>
      <c r="E849">
        <v>0</v>
      </c>
      <c r="F849">
        <v>2.8893300000000002</v>
      </c>
      <c r="G849">
        <v>2.8893300000000002</v>
      </c>
      <c r="H849">
        <v>0</v>
      </c>
      <c r="I849">
        <v>0.46563399999999999</v>
      </c>
      <c r="J849">
        <v>5.3222399999999999</v>
      </c>
      <c r="K849" s="2">
        <v>113176000</v>
      </c>
      <c r="L849" s="1">
        <v>0</v>
      </c>
      <c r="M849" s="1">
        <v>0</v>
      </c>
      <c r="N849" s="1">
        <v>0</v>
      </c>
      <c r="O849" s="1">
        <v>0</v>
      </c>
      <c r="P849" s="2">
        <v>4319470</v>
      </c>
      <c r="Q849" s="1">
        <v>297028</v>
      </c>
      <c r="R849" s="1">
        <v>0</v>
      </c>
      <c r="S849">
        <v>94.191100000000006</v>
      </c>
      <c r="T849">
        <v>98.274000000000001</v>
      </c>
      <c r="U849">
        <v>3.2665099999999998</v>
      </c>
      <c r="V849">
        <v>0</v>
      </c>
      <c r="W849">
        <v>0</v>
      </c>
      <c r="X849">
        <v>1.6843399999999999</v>
      </c>
      <c r="Y849">
        <v>1.6843399999999999</v>
      </c>
      <c r="Z849">
        <v>0</v>
      </c>
      <c r="AA849">
        <v>1.48447</v>
      </c>
      <c r="AB849">
        <v>2.9635199999999999</v>
      </c>
      <c r="AC849" s="2">
        <v>373946000</v>
      </c>
      <c r="AD849" s="1">
        <v>0</v>
      </c>
      <c r="AE849" s="1">
        <v>0</v>
      </c>
      <c r="AF849" s="1">
        <v>0</v>
      </c>
      <c r="AG849" s="1">
        <v>0</v>
      </c>
      <c r="AH849" s="2">
        <v>4357780</v>
      </c>
      <c r="AI849" s="1">
        <v>142047</v>
      </c>
      <c r="AJ849" s="1">
        <v>0</v>
      </c>
      <c r="AK849" s="8">
        <f t="shared" si="55"/>
        <v>16</v>
      </c>
      <c r="AL849" s="8">
        <f t="shared" si="54"/>
        <v>17</v>
      </c>
      <c r="AM849">
        <f t="shared" si="52"/>
        <v>0</v>
      </c>
      <c r="AN849">
        <f t="shared" si="53"/>
        <v>0</v>
      </c>
    </row>
    <row r="850" spans="1:40" x14ac:dyDescent="0.35">
      <c r="A850">
        <v>79.068399999999997</v>
      </c>
      <c r="B850">
        <v>85.138999999999996</v>
      </c>
      <c r="C850">
        <v>5.0799300000000001</v>
      </c>
      <c r="D850">
        <v>0</v>
      </c>
      <c r="E850">
        <v>0</v>
      </c>
      <c r="F850">
        <v>2.88971</v>
      </c>
      <c r="G850">
        <v>2.88971</v>
      </c>
      <c r="H850">
        <v>0</v>
      </c>
      <c r="I850">
        <v>0.54146000000000005</v>
      </c>
      <c r="J850">
        <v>5.3222399999999999</v>
      </c>
      <c r="K850" s="2">
        <v>113473000</v>
      </c>
      <c r="L850" s="1">
        <v>0</v>
      </c>
      <c r="M850" s="1">
        <v>0</v>
      </c>
      <c r="N850" s="1">
        <v>0</v>
      </c>
      <c r="O850" s="1">
        <v>0</v>
      </c>
      <c r="P850" s="2">
        <v>4320040</v>
      </c>
      <c r="Q850" s="1">
        <v>297068</v>
      </c>
      <c r="R850" s="1">
        <v>0</v>
      </c>
      <c r="S850">
        <v>94.650700000000001</v>
      </c>
      <c r="T850">
        <v>98.274000000000001</v>
      </c>
      <c r="U850">
        <v>4.4532800000000003</v>
      </c>
      <c r="V850">
        <v>0</v>
      </c>
      <c r="W850">
        <v>0</v>
      </c>
      <c r="X850">
        <v>1.6845600000000001</v>
      </c>
      <c r="Y850">
        <v>1.6845600000000001</v>
      </c>
      <c r="Z850">
        <v>0</v>
      </c>
      <c r="AA850">
        <v>1.30132</v>
      </c>
      <c r="AB850">
        <v>2.9635199999999999</v>
      </c>
      <c r="AC850" s="2">
        <v>374089000</v>
      </c>
      <c r="AD850" s="1">
        <v>0</v>
      </c>
      <c r="AE850" s="1">
        <v>0</v>
      </c>
      <c r="AF850" s="1">
        <v>0</v>
      </c>
      <c r="AG850" s="1">
        <v>0</v>
      </c>
      <c r="AH850" s="2">
        <v>4358360</v>
      </c>
      <c r="AI850" s="1">
        <v>142066</v>
      </c>
      <c r="AJ850" s="1">
        <v>0</v>
      </c>
      <c r="AK850" s="8">
        <f t="shared" si="55"/>
        <v>17</v>
      </c>
      <c r="AL850" s="8">
        <f t="shared" si="54"/>
        <v>17</v>
      </c>
      <c r="AM850">
        <f t="shared" si="52"/>
        <v>0</v>
      </c>
      <c r="AN850">
        <f t="shared" si="53"/>
        <v>0</v>
      </c>
    </row>
    <row r="851" spans="1:40" x14ac:dyDescent="0.35">
      <c r="A851">
        <v>80.428200000000004</v>
      </c>
      <c r="B851">
        <v>85.138999999999996</v>
      </c>
      <c r="C851">
        <v>4.7902399999999998</v>
      </c>
      <c r="D851">
        <v>0</v>
      </c>
      <c r="E851">
        <v>0</v>
      </c>
      <c r="F851">
        <v>2.8900899999999998</v>
      </c>
      <c r="G851">
        <v>2.8900899999999998</v>
      </c>
      <c r="H851">
        <v>0</v>
      </c>
      <c r="I851">
        <v>0.54153099999999998</v>
      </c>
      <c r="J851">
        <v>5.3222399999999999</v>
      </c>
      <c r="K851" s="2">
        <v>113771000</v>
      </c>
      <c r="L851" s="1">
        <v>0</v>
      </c>
      <c r="M851" s="1">
        <v>0</v>
      </c>
      <c r="N851" s="1">
        <v>0</v>
      </c>
      <c r="O851" s="1">
        <v>0</v>
      </c>
      <c r="P851" s="2">
        <v>4320610</v>
      </c>
      <c r="Q851" s="1">
        <v>297107</v>
      </c>
      <c r="R851" s="1">
        <v>0</v>
      </c>
      <c r="S851">
        <v>95.286799999999999</v>
      </c>
      <c r="T851">
        <v>98.274000000000001</v>
      </c>
      <c r="U851">
        <v>4.9209399999999999</v>
      </c>
      <c r="V851">
        <v>0</v>
      </c>
      <c r="W851">
        <v>0</v>
      </c>
      <c r="X851">
        <v>1.6847799999999999</v>
      </c>
      <c r="Y851">
        <v>1.6847799999999999</v>
      </c>
      <c r="Z851">
        <v>0</v>
      </c>
      <c r="AA851">
        <v>1.30149</v>
      </c>
      <c r="AB851">
        <v>2.9635199999999999</v>
      </c>
      <c r="AC851" s="2">
        <v>374231000</v>
      </c>
      <c r="AD851" s="1">
        <v>0</v>
      </c>
      <c r="AE851" s="1">
        <v>0</v>
      </c>
      <c r="AF851" s="1">
        <v>0</v>
      </c>
      <c r="AG851" s="1">
        <v>0</v>
      </c>
      <c r="AH851" s="2">
        <v>4358940</v>
      </c>
      <c r="AI851" s="1">
        <v>142084</v>
      </c>
      <c r="AJ851" s="1">
        <v>0</v>
      </c>
      <c r="AK851" s="8">
        <f t="shared" si="55"/>
        <v>18</v>
      </c>
      <c r="AL851" s="8">
        <f t="shared" si="54"/>
        <v>17</v>
      </c>
      <c r="AM851">
        <f t="shared" si="52"/>
        <v>0</v>
      </c>
      <c r="AN851">
        <f t="shared" si="53"/>
        <v>0</v>
      </c>
    </row>
    <row r="852" spans="1:40" x14ac:dyDescent="0.35">
      <c r="A852">
        <v>80.539299999999997</v>
      </c>
      <c r="B852">
        <v>85.138999999999996</v>
      </c>
      <c r="C852">
        <v>3.5682700000000001</v>
      </c>
      <c r="D852">
        <v>0</v>
      </c>
      <c r="E852">
        <v>0</v>
      </c>
      <c r="F852">
        <v>2.8904700000000001</v>
      </c>
      <c r="G852">
        <v>2.8904700000000001</v>
      </c>
      <c r="H852">
        <v>0</v>
      </c>
      <c r="I852">
        <v>0.54160299999999995</v>
      </c>
      <c r="J852">
        <v>5.3222399999999999</v>
      </c>
      <c r="K852" s="2">
        <v>114068000</v>
      </c>
      <c r="L852" s="1">
        <v>0</v>
      </c>
      <c r="M852" s="1">
        <v>0</v>
      </c>
      <c r="N852" s="1">
        <v>0</v>
      </c>
      <c r="O852" s="1">
        <v>0</v>
      </c>
      <c r="P852" s="2">
        <v>4321180</v>
      </c>
      <c r="Q852" s="1">
        <v>297146</v>
      </c>
      <c r="R852" s="1">
        <v>0</v>
      </c>
      <c r="S852">
        <v>95.611000000000004</v>
      </c>
      <c r="T852">
        <v>98.274000000000001</v>
      </c>
      <c r="U852">
        <v>4.6404899999999998</v>
      </c>
      <c r="V852">
        <v>0</v>
      </c>
      <c r="W852">
        <v>0</v>
      </c>
      <c r="X852">
        <v>1.6850099999999999</v>
      </c>
      <c r="Y852">
        <v>1.6850099999999999</v>
      </c>
      <c r="Z852">
        <v>0</v>
      </c>
      <c r="AA852">
        <v>1.30166</v>
      </c>
      <c r="AB852">
        <v>2.9635199999999999</v>
      </c>
      <c r="AC852" s="2">
        <v>374373000</v>
      </c>
      <c r="AD852" s="1">
        <v>0</v>
      </c>
      <c r="AE852" s="1">
        <v>0</v>
      </c>
      <c r="AF852" s="1">
        <v>0</v>
      </c>
      <c r="AG852" s="1">
        <v>0</v>
      </c>
      <c r="AH852" s="2">
        <v>4359510</v>
      </c>
      <c r="AI852" s="1">
        <v>142103</v>
      </c>
      <c r="AJ852" s="1">
        <v>0</v>
      </c>
      <c r="AK852" s="8">
        <f t="shared" si="55"/>
        <v>19</v>
      </c>
      <c r="AL852" s="8">
        <f t="shared" si="54"/>
        <v>17</v>
      </c>
      <c r="AM852">
        <f t="shared" si="52"/>
        <v>0</v>
      </c>
      <c r="AN852">
        <f t="shared" si="53"/>
        <v>0</v>
      </c>
    </row>
    <row r="853" spans="1:40" x14ac:dyDescent="0.35">
      <c r="A853">
        <v>80.554599999999994</v>
      </c>
      <c r="B853">
        <v>85.138999999999996</v>
      </c>
      <c r="C853">
        <v>3.2687400000000002</v>
      </c>
      <c r="D853">
        <v>0</v>
      </c>
      <c r="E853">
        <v>0</v>
      </c>
      <c r="F853">
        <v>2.85101</v>
      </c>
      <c r="G853">
        <v>2.85101</v>
      </c>
      <c r="H853">
        <v>0</v>
      </c>
      <c r="I853">
        <v>0.54167500000000002</v>
      </c>
      <c r="J853">
        <v>5.3222399999999999</v>
      </c>
      <c r="K853" s="2">
        <v>114361000</v>
      </c>
      <c r="L853" s="1">
        <v>0</v>
      </c>
      <c r="M853" s="1">
        <v>0</v>
      </c>
      <c r="N853" s="1">
        <v>0</v>
      </c>
      <c r="O853" s="1">
        <v>0</v>
      </c>
      <c r="P853" s="2">
        <v>4262190</v>
      </c>
      <c r="Q853" s="1">
        <v>293090</v>
      </c>
      <c r="R853" s="1">
        <v>0</v>
      </c>
      <c r="S853">
        <v>95.899100000000004</v>
      </c>
      <c r="T853">
        <v>98.274000000000001</v>
      </c>
      <c r="U853">
        <v>4.1959299999999997</v>
      </c>
      <c r="V853">
        <v>0</v>
      </c>
      <c r="W853">
        <v>0</v>
      </c>
      <c r="X853">
        <v>1.6599200000000001</v>
      </c>
      <c r="Y853">
        <v>1.6599200000000001</v>
      </c>
      <c r="Z853">
        <v>0</v>
      </c>
      <c r="AA853">
        <v>1.3018400000000001</v>
      </c>
      <c r="AB853">
        <v>2.9635199999999999</v>
      </c>
      <c r="AC853" s="2">
        <v>374513000</v>
      </c>
      <c r="AD853" s="1">
        <v>0</v>
      </c>
      <c r="AE853" s="1">
        <v>0</v>
      </c>
      <c r="AF853" s="1">
        <v>0</v>
      </c>
      <c r="AG853" s="1">
        <v>0</v>
      </c>
      <c r="AH853" s="2">
        <v>4294620</v>
      </c>
      <c r="AI853" s="1">
        <v>139988</v>
      </c>
      <c r="AJ853" s="1">
        <v>0</v>
      </c>
      <c r="AK853" s="8">
        <f t="shared" si="55"/>
        <v>20</v>
      </c>
      <c r="AL853" s="8">
        <f t="shared" si="54"/>
        <v>17</v>
      </c>
      <c r="AM853">
        <f t="shared" si="52"/>
        <v>0</v>
      </c>
      <c r="AN853">
        <f t="shared" si="53"/>
        <v>0</v>
      </c>
    </row>
    <row r="854" spans="1:40" x14ac:dyDescent="0.35">
      <c r="A854">
        <v>80.430800000000005</v>
      </c>
      <c r="B854">
        <v>85.138999999999996</v>
      </c>
      <c r="C854">
        <v>3.0417800000000002</v>
      </c>
      <c r="D854">
        <v>0</v>
      </c>
      <c r="E854">
        <v>0</v>
      </c>
      <c r="F854">
        <v>2.8513899999999999</v>
      </c>
      <c r="G854">
        <v>2.8513899999999999</v>
      </c>
      <c r="H854">
        <v>0</v>
      </c>
      <c r="I854">
        <v>0.53427999999999998</v>
      </c>
      <c r="J854">
        <v>5.3222399999999999</v>
      </c>
      <c r="K854" s="2">
        <v>114654000</v>
      </c>
      <c r="L854" s="1">
        <v>0</v>
      </c>
      <c r="M854" s="1">
        <v>0</v>
      </c>
      <c r="N854" s="1">
        <v>0</v>
      </c>
      <c r="O854" s="1">
        <v>0</v>
      </c>
      <c r="P854" s="2">
        <v>4262760</v>
      </c>
      <c r="Q854" s="1">
        <v>293128</v>
      </c>
      <c r="R854" s="1">
        <v>0</v>
      </c>
      <c r="S854">
        <v>96.063400000000001</v>
      </c>
      <c r="T854">
        <v>98.274000000000001</v>
      </c>
      <c r="U854">
        <v>3.6993499999999999</v>
      </c>
      <c r="V854">
        <v>0</v>
      </c>
      <c r="W854">
        <v>0</v>
      </c>
      <c r="X854">
        <v>1.6601399999999999</v>
      </c>
      <c r="Y854">
        <v>1.6601399999999999</v>
      </c>
      <c r="Z854">
        <v>0</v>
      </c>
      <c r="AA854">
        <v>1.2824599999999999</v>
      </c>
      <c r="AB854">
        <v>2.9635199999999999</v>
      </c>
      <c r="AC854" s="2">
        <v>374653000</v>
      </c>
      <c r="AD854" s="1">
        <v>0</v>
      </c>
      <c r="AE854" s="1">
        <v>0</v>
      </c>
      <c r="AF854" s="1">
        <v>0</v>
      </c>
      <c r="AG854" s="1">
        <v>0</v>
      </c>
      <c r="AH854" s="2">
        <v>4295180</v>
      </c>
      <c r="AI854" s="1">
        <v>140006</v>
      </c>
      <c r="AJ854" s="1">
        <v>0</v>
      </c>
      <c r="AK854" s="8">
        <f t="shared" si="55"/>
        <v>21</v>
      </c>
      <c r="AL854" s="8">
        <f t="shared" si="54"/>
        <v>17</v>
      </c>
      <c r="AM854">
        <f t="shared" si="52"/>
        <v>0</v>
      </c>
      <c r="AN854">
        <f t="shared" si="53"/>
        <v>0</v>
      </c>
    </row>
    <row r="855" spans="1:40" x14ac:dyDescent="0.35">
      <c r="A855">
        <v>79.772499999999994</v>
      </c>
      <c r="B855">
        <v>85.138999999999996</v>
      </c>
      <c r="C855">
        <v>2.4772099999999999</v>
      </c>
      <c r="D855">
        <v>0</v>
      </c>
      <c r="E855">
        <v>0</v>
      </c>
      <c r="F855">
        <v>2.8517700000000001</v>
      </c>
      <c r="G855">
        <v>2.8517700000000001</v>
      </c>
      <c r="H855">
        <v>0</v>
      </c>
      <c r="I855">
        <v>0.53435100000000002</v>
      </c>
      <c r="J855">
        <v>5.3222399999999999</v>
      </c>
      <c r="K855" s="2">
        <v>114947000</v>
      </c>
      <c r="L855" s="1">
        <v>0</v>
      </c>
      <c r="M855" s="1">
        <v>0</v>
      </c>
      <c r="N855" s="1">
        <v>0</v>
      </c>
      <c r="O855" s="1">
        <v>0</v>
      </c>
      <c r="P855" s="2">
        <v>4263320</v>
      </c>
      <c r="Q855" s="1">
        <v>293167</v>
      </c>
      <c r="R855" s="1">
        <v>0</v>
      </c>
      <c r="S855">
        <v>96.137900000000002</v>
      </c>
      <c r="T855">
        <v>98.274000000000001</v>
      </c>
      <c r="U855">
        <v>3.3316499999999998</v>
      </c>
      <c r="V855">
        <v>0</v>
      </c>
      <c r="W855">
        <v>0</v>
      </c>
      <c r="X855">
        <v>1.6603600000000001</v>
      </c>
      <c r="Y855">
        <v>1.6603600000000001</v>
      </c>
      <c r="Z855">
        <v>0</v>
      </c>
      <c r="AA855">
        <v>1.2826299999999999</v>
      </c>
      <c r="AB855">
        <v>2.9635199999999999</v>
      </c>
      <c r="AC855" s="2">
        <v>374793000</v>
      </c>
      <c r="AD855" s="1">
        <v>0</v>
      </c>
      <c r="AE855" s="1">
        <v>0</v>
      </c>
      <c r="AF855" s="1">
        <v>0</v>
      </c>
      <c r="AG855" s="1">
        <v>0</v>
      </c>
      <c r="AH855" s="2">
        <v>4295750</v>
      </c>
      <c r="AI855" s="1">
        <v>140025</v>
      </c>
      <c r="AJ855" s="1">
        <v>0</v>
      </c>
      <c r="AK855" s="8">
        <f t="shared" si="55"/>
        <v>22</v>
      </c>
      <c r="AL855" s="8">
        <f t="shared" si="54"/>
        <v>17</v>
      </c>
      <c r="AM855">
        <f t="shared" si="52"/>
        <v>0</v>
      </c>
      <c r="AN855">
        <f t="shared" si="53"/>
        <v>0</v>
      </c>
    </row>
    <row r="856" spans="1:40" x14ac:dyDescent="0.35">
      <c r="A856">
        <v>78.869200000000006</v>
      </c>
      <c r="B856">
        <v>85.138999999999996</v>
      </c>
      <c r="C856">
        <v>2.2199800000000001</v>
      </c>
      <c r="D856">
        <v>0</v>
      </c>
      <c r="E856">
        <v>0</v>
      </c>
      <c r="F856">
        <v>2.8521399999999999</v>
      </c>
      <c r="G856">
        <v>2.8521399999999999</v>
      </c>
      <c r="H856">
        <v>0</v>
      </c>
      <c r="I856">
        <v>0.53442100000000003</v>
      </c>
      <c r="J856">
        <v>5.3222399999999999</v>
      </c>
      <c r="K856" s="2">
        <v>115240000</v>
      </c>
      <c r="L856" s="1">
        <v>0</v>
      </c>
      <c r="M856" s="1">
        <v>0</v>
      </c>
      <c r="N856" s="1">
        <v>0</v>
      </c>
      <c r="O856" s="1">
        <v>0</v>
      </c>
      <c r="P856" s="2">
        <v>4263880</v>
      </c>
      <c r="Q856" s="1">
        <v>293206</v>
      </c>
      <c r="R856" s="1">
        <v>0</v>
      </c>
      <c r="S856">
        <v>96.107799999999997</v>
      </c>
      <c r="T856">
        <v>98.274000000000001</v>
      </c>
      <c r="U856">
        <v>2.6311100000000001</v>
      </c>
      <c r="V856">
        <v>0</v>
      </c>
      <c r="W856">
        <v>0</v>
      </c>
      <c r="X856">
        <v>1.6605799999999999</v>
      </c>
      <c r="Y856">
        <v>1.6605799999999999</v>
      </c>
      <c r="Z856">
        <v>0</v>
      </c>
      <c r="AA856">
        <v>1.2827999999999999</v>
      </c>
      <c r="AB856">
        <v>2.9635199999999999</v>
      </c>
      <c r="AC856" s="2">
        <v>374933000</v>
      </c>
      <c r="AD856" s="1">
        <v>0</v>
      </c>
      <c r="AE856" s="1">
        <v>0</v>
      </c>
      <c r="AF856" s="1">
        <v>0</v>
      </c>
      <c r="AG856" s="1">
        <v>0</v>
      </c>
      <c r="AH856" s="2">
        <v>4296320</v>
      </c>
      <c r="AI856" s="1">
        <v>140043</v>
      </c>
      <c r="AJ856" s="1">
        <v>0</v>
      </c>
      <c r="AK856" s="8">
        <f t="shared" si="55"/>
        <v>23</v>
      </c>
      <c r="AL856" s="8">
        <f t="shared" si="54"/>
        <v>17</v>
      </c>
      <c r="AM856">
        <f t="shared" si="52"/>
        <v>0</v>
      </c>
      <c r="AN856">
        <f t="shared" si="53"/>
        <v>0</v>
      </c>
    </row>
    <row r="857" spans="1:40" x14ac:dyDescent="0.35">
      <c r="A857">
        <v>78.302300000000002</v>
      </c>
      <c r="B857">
        <v>85.138999999999996</v>
      </c>
      <c r="C857">
        <v>2.6781600000000001</v>
      </c>
      <c r="D857">
        <v>0</v>
      </c>
      <c r="E857">
        <v>0</v>
      </c>
      <c r="F857">
        <v>2.9878399999999998</v>
      </c>
      <c r="G857">
        <v>2.9878399999999998</v>
      </c>
      <c r="H857">
        <v>0</v>
      </c>
      <c r="I857">
        <v>0.53449199999999997</v>
      </c>
      <c r="J857">
        <v>5.3222399999999999</v>
      </c>
      <c r="K857" s="2">
        <v>115547000</v>
      </c>
      <c r="L857" s="1">
        <v>0</v>
      </c>
      <c r="M857" s="1">
        <v>0</v>
      </c>
      <c r="N857" s="1">
        <v>0</v>
      </c>
      <c r="O857" s="1">
        <v>0</v>
      </c>
      <c r="P857" s="2">
        <v>4466740</v>
      </c>
      <c r="Q857" s="1">
        <v>307155</v>
      </c>
      <c r="R857" s="1">
        <v>0</v>
      </c>
      <c r="S857">
        <v>96.129199999999997</v>
      </c>
      <c r="T857">
        <v>98.274000000000001</v>
      </c>
      <c r="U857">
        <v>2.9478800000000001</v>
      </c>
      <c r="V857">
        <v>0</v>
      </c>
      <c r="W857">
        <v>0</v>
      </c>
      <c r="X857">
        <v>1.7505900000000001</v>
      </c>
      <c r="Y857">
        <v>1.7505900000000001</v>
      </c>
      <c r="Z857">
        <v>0</v>
      </c>
      <c r="AA857">
        <v>1.2829699999999999</v>
      </c>
      <c r="AB857">
        <v>2.9635199999999999</v>
      </c>
      <c r="AC857" s="2">
        <v>375080000</v>
      </c>
      <c r="AD857" s="1">
        <v>0</v>
      </c>
      <c r="AE857" s="1">
        <v>0</v>
      </c>
      <c r="AF857" s="1">
        <v>0</v>
      </c>
      <c r="AG857" s="1">
        <v>0</v>
      </c>
      <c r="AH857" s="2">
        <v>4529200</v>
      </c>
      <c r="AI857" s="1">
        <v>147634</v>
      </c>
      <c r="AJ857" s="1">
        <v>0</v>
      </c>
      <c r="AK857" s="8">
        <f t="shared" si="55"/>
        <v>24</v>
      </c>
      <c r="AL857" s="8">
        <f t="shared" si="54"/>
        <v>17</v>
      </c>
      <c r="AM857">
        <f t="shared" si="52"/>
        <v>0</v>
      </c>
      <c r="AN857">
        <f t="shared" si="53"/>
        <v>0</v>
      </c>
    </row>
    <row r="858" spans="1:40" x14ac:dyDescent="0.35">
      <c r="A858">
        <v>77.479600000000005</v>
      </c>
      <c r="B858">
        <v>85.138999999999996</v>
      </c>
      <c r="C858">
        <v>2.3546399999999998</v>
      </c>
      <c r="D858">
        <v>0</v>
      </c>
      <c r="E858">
        <v>0</v>
      </c>
      <c r="F858">
        <v>2.9882300000000002</v>
      </c>
      <c r="G858">
        <v>2.9882300000000002</v>
      </c>
      <c r="H858">
        <v>0</v>
      </c>
      <c r="I858">
        <v>0.559921</v>
      </c>
      <c r="J858">
        <v>5.3222399999999999</v>
      </c>
      <c r="K858" s="2">
        <v>115855000</v>
      </c>
      <c r="L858" s="1">
        <v>0</v>
      </c>
      <c r="M858" s="1">
        <v>0</v>
      </c>
      <c r="N858" s="1">
        <v>0</v>
      </c>
      <c r="O858" s="1">
        <v>0</v>
      </c>
      <c r="P858" s="2">
        <v>4467330</v>
      </c>
      <c r="Q858" s="1">
        <v>307196</v>
      </c>
      <c r="R858" s="1">
        <v>0</v>
      </c>
      <c r="S858">
        <v>96.204400000000007</v>
      </c>
      <c r="T858">
        <v>98.274000000000001</v>
      </c>
      <c r="U858">
        <v>3.2279499999999999</v>
      </c>
      <c r="V858">
        <v>0</v>
      </c>
      <c r="W858">
        <v>0</v>
      </c>
      <c r="X858">
        <v>1.75082</v>
      </c>
      <c r="Y858">
        <v>1.75082</v>
      </c>
      <c r="Z858">
        <v>0</v>
      </c>
      <c r="AA858">
        <v>1.3525100000000001</v>
      </c>
      <c r="AB858">
        <v>2.9635199999999999</v>
      </c>
      <c r="AC858" s="2">
        <v>375228000</v>
      </c>
      <c r="AD858" s="1">
        <v>0</v>
      </c>
      <c r="AE858" s="1">
        <v>0</v>
      </c>
      <c r="AF858" s="1">
        <v>0</v>
      </c>
      <c r="AG858" s="1">
        <v>0</v>
      </c>
      <c r="AH858" s="2">
        <v>4529800</v>
      </c>
      <c r="AI858" s="1">
        <v>147654</v>
      </c>
      <c r="AJ858" s="1">
        <v>0</v>
      </c>
      <c r="AK858" s="8">
        <f t="shared" si="55"/>
        <v>25</v>
      </c>
      <c r="AL858" s="8">
        <f t="shared" si="54"/>
        <v>17</v>
      </c>
      <c r="AM858">
        <f t="shared" si="52"/>
        <v>0</v>
      </c>
      <c r="AN858">
        <f t="shared" si="53"/>
        <v>0</v>
      </c>
    </row>
    <row r="859" spans="1:40" x14ac:dyDescent="0.35">
      <c r="A859">
        <v>76.478499999999997</v>
      </c>
      <c r="B859">
        <v>85.138999999999996</v>
      </c>
      <c r="C859">
        <v>2.1539100000000002</v>
      </c>
      <c r="D859">
        <v>0</v>
      </c>
      <c r="E859">
        <v>0</v>
      </c>
      <c r="F859">
        <v>2.9886300000000001</v>
      </c>
      <c r="G859">
        <v>2.9886300000000001</v>
      </c>
      <c r="H859">
        <v>0</v>
      </c>
      <c r="I859">
        <v>0.55999500000000002</v>
      </c>
      <c r="J859">
        <v>5.3222399999999999</v>
      </c>
      <c r="K859" s="2">
        <v>116162000</v>
      </c>
      <c r="L859" s="1">
        <v>0</v>
      </c>
      <c r="M859" s="1">
        <v>0</v>
      </c>
      <c r="N859" s="1">
        <v>0</v>
      </c>
      <c r="O859" s="1">
        <v>0</v>
      </c>
      <c r="P859" s="2">
        <v>4467920</v>
      </c>
      <c r="Q859" s="1">
        <v>307237</v>
      </c>
      <c r="R859" s="1">
        <v>0</v>
      </c>
      <c r="S859">
        <v>96.215400000000002</v>
      </c>
      <c r="T859">
        <v>98.274000000000001</v>
      </c>
      <c r="U859">
        <v>2.94123</v>
      </c>
      <c r="V859">
        <v>0</v>
      </c>
      <c r="W859">
        <v>0</v>
      </c>
      <c r="X859">
        <v>1.7510600000000001</v>
      </c>
      <c r="Y859">
        <v>1.7510600000000001</v>
      </c>
      <c r="Z859">
        <v>0</v>
      </c>
      <c r="AA859">
        <v>1.3526899999999999</v>
      </c>
      <c r="AB859">
        <v>2.9635199999999999</v>
      </c>
      <c r="AC859" s="2">
        <v>375376000</v>
      </c>
      <c r="AD859" s="1">
        <v>0</v>
      </c>
      <c r="AE859" s="1">
        <v>0</v>
      </c>
      <c r="AF859" s="1">
        <v>0</v>
      </c>
      <c r="AG859" s="1">
        <v>0</v>
      </c>
      <c r="AH859" s="2">
        <v>4530400</v>
      </c>
      <c r="AI859" s="1">
        <v>147674</v>
      </c>
      <c r="AJ859" s="1">
        <v>0</v>
      </c>
      <c r="AK859" s="8">
        <f t="shared" si="55"/>
        <v>26</v>
      </c>
      <c r="AL859" s="8">
        <f t="shared" si="54"/>
        <v>17</v>
      </c>
      <c r="AM859">
        <f t="shared" si="52"/>
        <v>0</v>
      </c>
      <c r="AN859">
        <f t="shared" si="53"/>
        <v>0</v>
      </c>
    </row>
    <row r="860" spans="1:40" x14ac:dyDescent="0.35">
      <c r="A860">
        <v>75.382199999999997</v>
      </c>
      <c r="B860">
        <v>85.138999999999996</v>
      </c>
      <c r="C860">
        <v>1.9946200000000001</v>
      </c>
      <c r="D860">
        <v>0</v>
      </c>
      <c r="E860">
        <v>0</v>
      </c>
      <c r="F860">
        <v>2.98902</v>
      </c>
      <c r="G860">
        <v>2.98902</v>
      </c>
      <c r="H860">
        <v>0</v>
      </c>
      <c r="I860">
        <v>0.56006900000000004</v>
      </c>
      <c r="J860">
        <v>5.3222399999999999</v>
      </c>
      <c r="K860" s="2">
        <v>116469000</v>
      </c>
      <c r="L860" s="1">
        <v>0</v>
      </c>
      <c r="M860" s="1">
        <v>0</v>
      </c>
      <c r="N860" s="1">
        <v>0</v>
      </c>
      <c r="O860" s="1">
        <v>0</v>
      </c>
      <c r="P860" s="2">
        <v>4468510</v>
      </c>
      <c r="Q860" s="1">
        <v>307277</v>
      </c>
      <c r="R860" s="1">
        <v>0</v>
      </c>
      <c r="S860">
        <v>96.169200000000004</v>
      </c>
      <c r="T860">
        <v>98.274000000000001</v>
      </c>
      <c r="U860">
        <v>2.8300100000000001</v>
      </c>
      <c r="V860">
        <v>0</v>
      </c>
      <c r="W860">
        <v>0</v>
      </c>
      <c r="X860">
        <v>1.75129</v>
      </c>
      <c r="Y860">
        <v>1.75129</v>
      </c>
      <c r="Z860">
        <v>0</v>
      </c>
      <c r="AA860">
        <v>1.35287</v>
      </c>
      <c r="AB860">
        <v>2.9635199999999999</v>
      </c>
      <c r="AC860" s="2">
        <v>375523000</v>
      </c>
      <c r="AD860" s="1">
        <v>0</v>
      </c>
      <c r="AE860" s="1">
        <v>0</v>
      </c>
      <c r="AF860" s="1">
        <v>0</v>
      </c>
      <c r="AG860" s="1">
        <v>0</v>
      </c>
      <c r="AH860" s="2">
        <v>4531000</v>
      </c>
      <c r="AI860" s="1">
        <v>147693</v>
      </c>
      <c r="AJ860" s="1">
        <v>0</v>
      </c>
      <c r="AK860" s="8">
        <f t="shared" si="55"/>
        <v>27</v>
      </c>
      <c r="AL860" s="8">
        <f t="shared" si="54"/>
        <v>17</v>
      </c>
      <c r="AM860">
        <f t="shared" si="52"/>
        <v>0</v>
      </c>
      <c r="AN860">
        <f t="shared" si="53"/>
        <v>0</v>
      </c>
    </row>
    <row r="861" spans="1:40" x14ac:dyDescent="0.35">
      <c r="A861">
        <v>74.191000000000003</v>
      </c>
      <c r="B861">
        <v>85.138999999999996</v>
      </c>
      <c r="C861">
        <v>1.8832500000000001</v>
      </c>
      <c r="D861">
        <v>0</v>
      </c>
      <c r="E861">
        <v>0</v>
      </c>
      <c r="F861">
        <v>2.98942</v>
      </c>
      <c r="G861">
        <v>2.98942</v>
      </c>
      <c r="H861">
        <v>0</v>
      </c>
      <c r="I861">
        <v>0.56014299999999995</v>
      </c>
      <c r="J861">
        <v>5.3222399999999999</v>
      </c>
      <c r="K861" s="2">
        <v>116776000</v>
      </c>
      <c r="L861" s="1">
        <v>0</v>
      </c>
      <c r="M861" s="1">
        <v>0</v>
      </c>
      <c r="N861" s="1">
        <v>0</v>
      </c>
      <c r="O861" s="1">
        <v>0</v>
      </c>
      <c r="P861" s="2">
        <v>4469110</v>
      </c>
      <c r="Q861" s="1">
        <v>307318</v>
      </c>
      <c r="R861" s="1">
        <v>0</v>
      </c>
      <c r="S861">
        <v>96.088999999999999</v>
      </c>
      <c r="T861">
        <v>98.274000000000001</v>
      </c>
      <c r="U861">
        <v>2.6792799999999999</v>
      </c>
      <c r="V861">
        <v>0</v>
      </c>
      <c r="W861">
        <v>0</v>
      </c>
      <c r="X861">
        <v>1.75152</v>
      </c>
      <c r="Y861">
        <v>1.75152</v>
      </c>
      <c r="Z861">
        <v>0</v>
      </c>
      <c r="AA861">
        <v>1.3530500000000001</v>
      </c>
      <c r="AB861">
        <v>2.9635199999999999</v>
      </c>
      <c r="AC861" s="2">
        <v>375671000</v>
      </c>
      <c r="AD861" s="1">
        <v>0</v>
      </c>
      <c r="AE861" s="1">
        <v>0</v>
      </c>
      <c r="AF861" s="1">
        <v>0</v>
      </c>
      <c r="AG861" s="1">
        <v>0</v>
      </c>
      <c r="AH861" s="2">
        <v>4531600</v>
      </c>
      <c r="AI861" s="1">
        <v>147713</v>
      </c>
      <c r="AJ861" s="1">
        <v>0</v>
      </c>
      <c r="AK861" s="8">
        <f t="shared" si="55"/>
        <v>28</v>
      </c>
      <c r="AL861" s="8">
        <f t="shared" si="54"/>
        <v>17</v>
      </c>
      <c r="AM861">
        <f t="shared" si="52"/>
        <v>0</v>
      </c>
      <c r="AN861">
        <f t="shared" si="53"/>
        <v>0</v>
      </c>
    </row>
    <row r="862" spans="1:40" x14ac:dyDescent="0.35">
      <c r="A862">
        <v>73.850300000000004</v>
      </c>
      <c r="B862">
        <v>85.138999999999996</v>
      </c>
      <c r="C862">
        <v>2.7327499999999998</v>
      </c>
      <c r="D862">
        <v>0</v>
      </c>
      <c r="E862">
        <v>0</v>
      </c>
      <c r="F862">
        <v>2.9630399999999999</v>
      </c>
      <c r="G862">
        <v>2.9630399999999999</v>
      </c>
      <c r="H862">
        <v>0</v>
      </c>
      <c r="I862">
        <v>0.56021699999999996</v>
      </c>
      <c r="J862">
        <v>5.3222399999999999</v>
      </c>
      <c r="K862" s="2">
        <v>117081000</v>
      </c>
      <c r="L862" s="1">
        <v>0</v>
      </c>
      <c r="M862" s="1">
        <v>0</v>
      </c>
      <c r="N862" s="1">
        <v>0</v>
      </c>
      <c r="O862" s="1">
        <v>0</v>
      </c>
      <c r="P862" s="2">
        <v>4429670</v>
      </c>
      <c r="Q862" s="1">
        <v>304606</v>
      </c>
      <c r="R862" s="1">
        <v>0</v>
      </c>
      <c r="S862">
        <v>96.125299999999996</v>
      </c>
      <c r="T862">
        <v>98.274000000000001</v>
      </c>
      <c r="U862">
        <v>2.7787799999999998</v>
      </c>
      <c r="V862">
        <v>0</v>
      </c>
      <c r="W862">
        <v>0</v>
      </c>
      <c r="X862">
        <v>1.80114</v>
      </c>
      <c r="Y862">
        <v>1.80114</v>
      </c>
      <c r="Z862">
        <v>0</v>
      </c>
      <c r="AA862">
        <v>1.3532200000000001</v>
      </c>
      <c r="AB862">
        <v>2.9635199999999999</v>
      </c>
      <c r="AC862" s="2">
        <v>375823000</v>
      </c>
      <c r="AD862" s="1">
        <v>0</v>
      </c>
      <c r="AE862" s="1">
        <v>0</v>
      </c>
      <c r="AF862" s="1">
        <v>0</v>
      </c>
      <c r="AG862" s="1">
        <v>0</v>
      </c>
      <c r="AH862" s="2">
        <v>4659970</v>
      </c>
      <c r="AI862" s="1">
        <v>151897</v>
      </c>
      <c r="AJ862" s="1">
        <v>0</v>
      </c>
      <c r="AK862" s="8">
        <f t="shared" si="55"/>
        <v>29</v>
      </c>
      <c r="AL862" s="8">
        <f t="shared" si="54"/>
        <v>17</v>
      </c>
      <c r="AM862">
        <f t="shared" si="52"/>
        <v>0</v>
      </c>
      <c r="AN862">
        <f t="shared" si="53"/>
        <v>0</v>
      </c>
    </row>
    <row r="863" spans="1:40" x14ac:dyDescent="0.35">
      <c r="A863">
        <v>73.539500000000004</v>
      </c>
      <c r="B863">
        <v>85.138999999999996</v>
      </c>
      <c r="C863">
        <v>2.7439900000000002</v>
      </c>
      <c r="D863">
        <v>0</v>
      </c>
      <c r="E863">
        <v>0</v>
      </c>
      <c r="F863">
        <v>2.9634299999999998</v>
      </c>
      <c r="G863">
        <v>2.9634299999999998</v>
      </c>
      <c r="H863">
        <v>0</v>
      </c>
      <c r="I863">
        <v>0.55527300000000002</v>
      </c>
      <c r="J863">
        <v>5.3222399999999999</v>
      </c>
      <c r="K863" s="2">
        <v>117386000</v>
      </c>
      <c r="L863" s="1">
        <v>0</v>
      </c>
      <c r="M863" s="1">
        <v>0</v>
      </c>
      <c r="N863" s="1">
        <v>0</v>
      </c>
      <c r="O863" s="1">
        <v>0</v>
      </c>
      <c r="P863" s="2">
        <v>4430250</v>
      </c>
      <c r="Q863" s="1">
        <v>304646</v>
      </c>
      <c r="R863" s="1">
        <v>0</v>
      </c>
      <c r="S863">
        <v>96.146199999999993</v>
      </c>
      <c r="T863">
        <v>98.274000000000001</v>
      </c>
      <c r="U863">
        <v>2.74065</v>
      </c>
      <c r="V863">
        <v>0</v>
      </c>
      <c r="W863">
        <v>0</v>
      </c>
      <c r="X863">
        <v>1.8013699999999999</v>
      </c>
      <c r="Y863">
        <v>1.8013699999999999</v>
      </c>
      <c r="Z863">
        <v>0</v>
      </c>
      <c r="AA863">
        <v>1.3915599999999999</v>
      </c>
      <c r="AB863">
        <v>2.9635199999999999</v>
      </c>
      <c r="AC863" s="2">
        <v>375975000</v>
      </c>
      <c r="AD863" s="1">
        <v>0</v>
      </c>
      <c r="AE863" s="1">
        <v>0</v>
      </c>
      <c r="AF863" s="1">
        <v>0</v>
      </c>
      <c r="AG863" s="1">
        <v>0</v>
      </c>
      <c r="AH863" s="2">
        <v>4660580</v>
      </c>
      <c r="AI863" s="1">
        <v>151917</v>
      </c>
      <c r="AJ863" s="1">
        <v>0</v>
      </c>
      <c r="AK863" s="8">
        <f t="shared" si="55"/>
        <v>30</v>
      </c>
      <c r="AL863" s="8">
        <f t="shared" si="54"/>
        <v>17</v>
      </c>
      <c r="AM863">
        <f t="shared" si="52"/>
        <v>0</v>
      </c>
      <c r="AN863">
        <f t="shared" si="53"/>
        <v>0</v>
      </c>
    </row>
    <row r="864" spans="1:40" x14ac:dyDescent="0.35">
      <c r="A864">
        <v>73.336699999999993</v>
      </c>
      <c r="B864">
        <v>85.138999999999996</v>
      </c>
      <c r="C864">
        <v>2.5879799999999999</v>
      </c>
      <c r="D864">
        <v>0.01</v>
      </c>
      <c r="E864">
        <v>0</v>
      </c>
      <c r="F864">
        <v>2.6614200000000001</v>
      </c>
      <c r="G864">
        <v>2.9638200000000001</v>
      </c>
      <c r="H864">
        <v>0</v>
      </c>
      <c r="I864">
        <v>0.55534700000000004</v>
      </c>
      <c r="J864">
        <v>5.3222399999999999</v>
      </c>
      <c r="K864" s="2">
        <v>117282000</v>
      </c>
      <c r="L864" s="1">
        <v>0</v>
      </c>
      <c r="M864" s="1">
        <v>0</v>
      </c>
      <c r="N864" s="1">
        <v>0</v>
      </c>
      <c r="O864" s="1">
        <v>0</v>
      </c>
      <c r="P864" s="2">
        <v>3978760</v>
      </c>
      <c r="Q864" s="1">
        <v>-103852</v>
      </c>
      <c r="R864" s="1">
        <v>408539</v>
      </c>
      <c r="S864">
        <v>95.894300000000001</v>
      </c>
      <c r="T864">
        <v>98.274000000000001</v>
      </c>
      <c r="U864">
        <v>2.5841599999999998</v>
      </c>
      <c r="V864">
        <v>0</v>
      </c>
      <c r="W864">
        <v>0</v>
      </c>
      <c r="X864">
        <v>2.1040100000000002</v>
      </c>
      <c r="Y864">
        <v>1.8016099999999999</v>
      </c>
      <c r="Z864">
        <v>0</v>
      </c>
      <c r="AA864">
        <v>1.39174</v>
      </c>
      <c r="AB864">
        <v>2.9635199999999999</v>
      </c>
      <c r="AC864" s="2">
        <v>376909000</v>
      </c>
      <c r="AD864" s="1">
        <v>0</v>
      </c>
      <c r="AE864" s="1">
        <v>0</v>
      </c>
      <c r="AF864" s="1">
        <v>0</v>
      </c>
      <c r="AG864" s="1">
        <v>0</v>
      </c>
      <c r="AH864" s="2">
        <v>5443580</v>
      </c>
      <c r="AI864" s="1">
        <v>934318</v>
      </c>
      <c r="AJ864" s="1">
        <v>0</v>
      </c>
      <c r="AK864" s="8">
        <f t="shared" si="55"/>
        <v>31</v>
      </c>
      <c r="AL864" s="8">
        <f t="shared" si="54"/>
        <v>17</v>
      </c>
      <c r="AM864">
        <f t="shared" si="52"/>
        <v>0</v>
      </c>
      <c r="AN864">
        <f t="shared" si="53"/>
        <v>0</v>
      </c>
    </row>
    <row r="865" spans="1:40" x14ac:dyDescent="0.35">
      <c r="A865">
        <v>72.965999999999994</v>
      </c>
      <c r="B865">
        <v>85.138999999999996</v>
      </c>
      <c r="C865">
        <v>2.4136199999999999</v>
      </c>
      <c r="D865">
        <v>0.01</v>
      </c>
      <c r="E865">
        <v>0</v>
      </c>
      <c r="F865">
        <v>2.66181</v>
      </c>
      <c r="G865">
        <v>2.96421</v>
      </c>
      <c r="H865">
        <v>0</v>
      </c>
      <c r="I865">
        <v>0.49875000000000003</v>
      </c>
      <c r="J865">
        <v>5.3222399999999999</v>
      </c>
      <c r="K865" s="2">
        <v>117178000</v>
      </c>
      <c r="L865" s="1">
        <v>0</v>
      </c>
      <c r="M865" s="1">
        <v>0</v>
      </c>
      <c r="N865" s="1">
        <v>0</v>
      </c>
      <c r="O865" s="1">
        <v>0</v>
      </c>
      <c r="P865" s="2">
        <v>3979340</v>
      </c>
      <c r="Q865" s="1">
        <v>-103812</v>
      </c>
      <c r="R865" s="1">
        <v>408539</v>
      </c>
      <c r="S865">
        <v>95.575199999999995</v>
      </c>
      <c r="T865">
        <v>98.274000000000001</v>
      </c>
      <c r="U865">
        <v>2.42117</v>
      </c>
      <c r="V865">
        <v>0</v>
      </c>
      <c r="W865">
        <v>0</v>
      </c>
      <c r="X865">
        <v>2.10425</v>
      </c>
      <c r="Y865">
        <v>1.80185</v>
      </c>
      <c r="Z865">
        <v>0</v>
      </c>
      <c r="AA865">
        <v>1.6255599999999999</v>
      </c>
      <c r="AB865">
        <v>2.9635199999999999</v>
      </c>
      <c r="AC865" s="2">
        <v>377844000</v>
      </c>
      <c r="AD865" s="1">
        <v>0</v>
      </c>
      <c r="AE865" s="1">
        <v>0</v>
      </c>
      <c r="AF865" s="1">
        <v>0</v>
      </c>
      <c r="AG865" s="1">
        <v>0</v>
      </c>
      <c r="AH865" s="2">
        <v>5444200</v>
      </c>
      <c r="AI865" s="1">
        <v>934338</v>
      </c>
      <c r="AJ865" s="1">
        <v>0</v>
      </c>
      <c r="AK865" s="8">
        <f t="shared" si="55"/>
        <v>32</v>
      </c>
      <c r="AL865" s="8">
        <f t="shared" si="54"/>
        <v>17</v>
      </c>
      <c r="AM865">
        <f t="shared" si="52"/>
        <v>0</v>
      </c>
      <c r="AN865">
        <f t="shared" si="53"/>
        <v>0</v>
      </c>
    </row>
    <row r="866" spans="1:40" x14ac:dyDescent="0.35">
      <c r="A866">
        <v>72.371899999999997</v>
      </c>
      <c r="B866">
        <v>85.138999999999996</v>
      </c>
      <c r="C866">
        <v>2.2219699999999998</v>
      </c>
      <c r="D866">
        <v>0.01</v>
      </c>
      <c r="E866">
        <v>0</v>
      </c>
      <c r="F866">
        <v>2.7313900000000002</v>
      </c>
      <c r="G866">
        <v>3.0337900000000002</v>
      </c>
      <c r="H866">
        <v>0</v>
      </c>
      <c r="I866">
        <v>0.49882399999999999</v>
      </c>
      <c r="J866">
        <v>5.3222399999999999</v>
      </c>
      <c r="K866" s="2">
        <v>117081000</v>
      </c>
      <c r="L866" s="1">
        <v>0</v>
      </c>
      <c r="M866" s="1">
        <v>0</v>
      </c>
      <c r="N866" s="1">
        <v>0</v>
      </c>
      <c r="O866" s="1">
        <v>0</v>
      </c>
      <c r="P866" s="2">
        <v>4083360</v>
      </c>
      <c r="Q866" s="1">
        <v>-96658.7</v>
      </c>
      <c r="R866" s="1">
        <v>408539</v>
      </c>
      <c r="S866">
        <v>95.230999999999995</v>
      </c>
      <c r="T866">
        <v>98.274000000000001</v>
      </c>
      <c r="U866">
        <v>2.2143700000000002</v>
      </c>
      <c r="V866">
        <v>0</v>
      </c>
      <c r="W866">
        <v>0</v>
      </c>
      <c r="X866">
        <v>2.14852</v>
      </c>
      <c r="Y866">
        <v>1.84612</v>
      </c>
      <c r="Z866">
        <v>0</v>
      </c>
      <c r="AA866">
        <v>1.62574</v>
      </c>
      <c r="AB866">
        <v>2.9635199999999999</v>
      </c>
      <c r="AC866" s="2">
        <v>378782000</v>
      </c>
      <c r="AD866" s="1">
        <v>0</v>
      </c>
      <c r="AE866" s="1">
        <v>0</v>
      </c>
      <c r="AF866" s="1">
        <v>0</v>
      </c>
      <c r="AG866" s="1">
        <v>0</v>
      </c>
      <c r="AH866" s="2">
        <v>5558740</v>
      </c>
      <c r="AI866" s="1">
        <v>938072</v>
      </c>
      <c r="AJ866" s="1">
        <v>0</v>
      </c>
      <c r="AK866" s="8">
        <f t="shared" si="55"/>
        <v>33</v>
      </c>
      <c r="AL866" s="8">
        <f t="shared" si="54"/>
        <v>17</v>
      </c>
      <c r="AM866">
        <f t="shared" si="52"/>
        <v>0</v>
      </c>
      <c r="AN866">
        <f t="shared" si="53"/>
        <v>0</v>
      </c>
    </row>
    <row r="867" spans="1:40" x14ac:dyDescent="0.35">
      <c r="A867">
        <v>71.967799999999997</v>
      </c>
      <c r="B867">
        <v>85.138999999999996</v>
      </c>
      <c r="C867">
        <v>2.4160599999999999</v>
      </c>
      <c r="D867">
        <v>0.01</v>
      </c>
      <c r="E867">
        <v>0</v>
      </c>
      <c r="F867">
        <v>2.7317900000000002</v>
      </c>
      <c r="G867">
        <v>3.0341900000000002</v>
      </c>
      <c r="H867">
        <v>0</v>
      </c>
      <c r="I867">
        <v>0.51186299999999996</v>
      </c>
      <c r="J867">
        <v>5.3222399999999999</v>
      </c>
      <c r="K867" s="2">
        <v>116985000</v>
      </c>
      <c r="L867" s="1">
        <v>0</v>
      </c>
      <c r="M867" s="1">
        <v>0</v>
      </c>
      <c r="N867" s="1">
        <v>0</v>
      </c>
      <c r="O867" s="1">
        <v>0</v>
      </c>
      <c r="P867" s="2">
        <v>4083960</v>
      </c>
      <c r="Q867" s="1">
        <v>-96617.4</v>
      </c>
      <c r="R867" s="1">
        <v>408539</v>
      </c>
      <c r="S867">
        <v>95.046800000000005</v>
      </c>
      <c r="T867">
        <v>98.274000000000001</v>
      </c>
      <c r="U867">
        <v>2.5870099999999998</v>
      </c>
      <c r="V867">
        <v>0</v>
      </c>
      <c r="W867">
        <v>0</v>
      </c>
      <c r="X867">
        <v>2.1487699999999998</v>
      </c>
      <c r="Y867">
        <v>1.8463700000000001</v>
      </c>
      <c r="Z867">
        <v>0</v>
      </c>
      <c r="AA867">
        <v>1.65995</v>
      </c>
      <c r="AB867">
        <v>2.9635199999999999</v>
      </c>
      <c r="AC867" s="2">
        <v>379720000</v>
      </c>
      <c r="AD867" s="1">
        <v>0</v>
      </c>
      <c r="AE867" s="1">
        <v>0</v>
      </c>
      <c r="AF867" s="1">
        <v>0</v>
      </c>
      <c r="AG867" s="1">
        <v>0</v>
      </c>
      <c r="AH867" s="2">
        <v>5559370</v>
      </c>
      <c r="AI867" s="1">
        <v>938092</v>
      </c>
      <c r="AJ867" s="1">
        <v>0</v>
      </c>
      <c r="AK867" s="8">
        <f t="shared" si="55"/>
        <v>34</v>
      </c>
      <c r="AL867" s="8">
        <f t="shared" si="54"/>
        <v>17</v>
      </c>
      <c r="AM867">
        <f t="shared" si="52"/>
        <v>0</v>
      </c>
      <c r="AN867">
        <f t="shared" si="53"/>
        <v>0</v>
      </c>
    </row>
    <row r="868" spans="1:40" x14ac:dyDescent="0.35">
      <c r="A868">
        <v>71.384200000000007</v>
      </c>
      <c r="B868">
        <v>85.138999999999996</v>
      </c>
      <c r="C868">
        <v>2.2117900000000001</v>
      </c>
      <c r="D868">
        <v>0.01</v>
      </c>
      <c r="E868">
        <v>0</v>
      </c>
      <c r="F868">
        <v>2.7322000000000002</v>
      </c>
      <c r="G868">
        <v>3.0346000000000002</v>
      </c>
      <c r="H868">
        <v>0</v>
      </c>
      <c r="I868">
        <v>0.511938</v>
      </c>
      <c r="J868">
        <v>5.3222399999999999</v>
      </c>
      <c r="K868" s="2">
        <v>116888000</v>
      </c>
      <c r="L868" s="1">
        <v>0</v>
      </c>
      <c r="M868" s="1">
        <v>0</v>
      </c>
      <c r="N868" s="1">
        <v>0</v>
      </c>
      <c r="O868" s="1">
        <v>0</v>
      </c>
      <c r="P868" s="2">
        <v>4084560</v>
      </c>
      <c r="Q868" s="1">
        <v>-96576.2</v>
      </c>
      <c r="R868" s="1">
        <v>408539</v>
      </c>
      <c r="S868">
        <v>94.740200000000002</v>
      </c>
      <c r="T868">
        <v>98.274000000000001</v>
      </c>
      <c r="U868">
        <v>2.5428500000000001</v>
      </c>
      <c r="V868">
        <v>0</v>
      </c>
      <c r="W868">
        <v>0</v>
      </c>
      <c r="X868">
        <v>2.1490100000000001</v>
      </c>
      <c r="Y868">
        <v>1.8466100000000001</v>
      </c>
      <c r="Z868">
        <v>0</v>
      </c>
      <c r="AA868">
        <v>1.6601399999999999</v>
      </c>
      <c r="AB868">
        <v>2.9635199999999999</v>
      </c>
      <c r="AC868" s="2">
        <v>380658000</v>
      </c>
      <c r="AD868" s="1">
        <v>0</v>
      </c>
      <c r="AE868" s="1">
        <v>0</v>
      </c>
      <c r="AF868" s="1">
        <v>0</v>
      </c>
      <c r="AG868" s="1">
        <v>0</v>
      </c>
      <c r="AH868" s="2">
        <v>5560010</v>
      </c>
      <c r="AI868" s="1">
        <v>938113</v>
      </c>
      <c r="AJ868" s="1">
        <v>0</v>
      </c>
      <c r="AK868" s="8">
        <f t="shared" si="55"/>
        <v>35</v>
      </c>
      <c r="AL868" s="8">
        <f t="shared" si="54"/>
        <v>17</v>
      </c>
      <c r="AM868">
        <f t="shared" si="52"/>
        <v>0</v>
      </c>
      <c r="AN868">
        <f t="shared" si="53"/>
        <v>0</v>
      </c>
    </row>
    <row r="869" spans="1:40" x14ac:dyDescent="0.35">
      <c r="A869">
        <v>70.626900000000006</v>
      </c>
      <c r="B869">
        <v>85.138999999999996</v>
      </c>
      <c r="C869">
        <v>2.0287799999999998</v>
      </c>
      <c r="D869">
        <v>0.01</v>
      </c>
      <c r="E869">
        <v>0</v>
      </c>
      <c r="F869">
        <v>2.7326000000000001</v>
      </c>
      <c r="G869">
        <v>3.0350000000000001</v>
      </c>
      <c r="H869">
        <v>0</v>
      </c>
      <c r="I869">
        <v>0.51201399999999997</v>
      </c>
      <c r="J869">
        <v>5.3222399999999999</v>
      </c>
      <c r="K869" s="2">
        <v>116792000</v>
      </c>
      <c r="L869" s="1">
        <v>0</v>
      </c>
      <c r="M869" s="1">
        <v>0</v>
      </c>
      <c r="N869" s="1">
        <v>0</v>
      </c>
      <c r="O869" s="1">
        <v>0</v>
      </c>
      <c r="P869" s="2">
        <v>4085160</v>
      </c>
      <c r="Q869" s="1">
        <v>-96534.9</v>
      </c>
      <c r="R869" s="1">
        <v>408539</v>
      </c>
      <c r="S869">
        <v>94.383899999999997</v>
      </c>
      <c r="T869">
        <v>98.274000000000001</v>
      </c>
      <c r="U869">
        <v>2.2298200000000001</v>
      </c>
      <c r="V869">
        <v>0</v>
      </c>
      <c r="W869">
        <v>0</v>
      </c>
      <c r="X869">
        <v>2.1492599999999999</v>
      </c>
      <c r="Y869">
        <v>1.8468599999999999</v>
      </c>
      <c r="Z869">
        <v>0</v>
      </c>
      <c r="AA869">
        <v>1.6603300000000001</v>
      </c>
      <c r="AB869">
        <v>2.9635199999999999</v>
      </c>
      <c r="AC869" s="2">
        <v>381596000</v>
      </c>
      <c r="AD869" s="1">
        <v>0</v>
      </c>
      <c r="AE869" s="1">
        <v>0</v>
      </c>
      <c r="AF869" s="1">
        <v>0</v>
      </c>
      <c r="AG869" s="1">
        <v>0</v>
      </c>
      <c r="AH869" s="2">
        <v>5560640</v>
      </c>
      <c r="AI869" s="1">
        <v>938134</v>
      </c>
      <c r="AJ869" s="1">
        <v>0</v>
      </c>
      <c r="AK869" s="8">
        <f t="shared" si="55"/>
        <v>36</v>
      </c>
      <c r="AL869" s="8">
        <f t="shared" si="54"/>
        <v>17</v>
      </c>
      <c r="AM869">
        <f t="shared" si="52"/>
        <v>0</v>
      </c>
      <c r="AN869">
        <f t="shared" si="53"/>
        <v>0</v>
      </c>
    </row>
    <row r="870" spans="1:40" x14ac:dyDescent="0.35">
      <c r="A870">
        <v>69.827299999999994</v>
      </c>
      <c r="B870">
        <v>85.138999999999996</v>
      </c>
      <c r="C870">
        <v>2.1362000000000001</v>
      </c>
      <c r="D870">
        <v>0.01</v>
      </c>
      <c r="E870">
        <v>0</v>
      </c>
      <c r="F870">
        <v>2.9357199999999999</v>
      </c>
      <c r="G870">
        <v>3.2381199999999999</v>
      </c>
      <c r="H870">
        <v>0</v>
      </c>
      <c r="I870">
        <v>0.51208900000000002</v>
      </c>
      <c r="J870">
        <v>5.3222399999999999</v>
      </c>
      <c r="K870" s="2">
        <v>116716000</v>
      </c>
      <c r="L870" s="1">
        <v>0</v>
      </c>
      <c r="M870" s="1">
        <v>0</v>
      </c>
      <c r="N870" s="1">
        <v>0</v>
      </c>
      <c r="O870" s="1">
        <v>0</v>
      </c>
      <c r="P870" s="2">
        <v>4388830</v>
      </c>
      <c r="Q870" s="1">
        <v>-75653.399999999994</v>
      </c>
      <c r="R870" s="1">
        <v>408539</v>
      </c>
      <c r="S870">
        <v>94.114999999999995</v>
      </c>
      <c r="T870">
        <v>98.274000000000001</v>
      </c>
      <c r="U870">
        <v>2.6756600000000001</v>
      </c>
      <c r="V870">
        <v>0</v>
      </c>
      <c r="W870">
        <v>0</v>
      </c>
      <c r="X870">
        <v>2.3085300000000002</v>
      </c>
      <c r="Y870">
        <v>2.0061300000000002</v>
      </c>
      <c r="Z870">
        <v>0</v>
      </c>
      <c r="AA870">
        <v>1.66052</v>
      </c>
      <c r="AB870">
        <v>2.9635199999999999</v>
      </c>
      <c r="AC870" s="2">
        <v>382548000</v>
      </c>
      <c r="AD870" s="1">
        <v>0</v>
      </c>
      <c r="AE870" s="1">
        <v>0</v>
      </c>
      <c r="AF870" s="1">
        <v>0</v>
      </c>
      <c r="AG870" s="1">
        <v>0</v>
      </c>
      <c r="AH870" s="2">
        <v>5972710</v>
      </c>
      <c r="AI870" s="1">
        <v>951566</v>
      </c>
      <c r="AJ870" s="1">
        <v>0</v>
      </c>
      <c r="AK870" s="8">
        <f t="shared" si="55"/>
        <v>37</v>
      </c>
      <c r="AL870" s="8">
        <f t="shared" si="54"/>
        <v>17</v>
      </c>
      <c r="AM870">
        <f t="shared" si="52"/>
        <v>0</v>
      </c>
      <c r="AN870">
        <f t="shared" si="53"/>
        <v>0</v>
      </c>
    </row>
    <row r="871" spans="1:40" x14ac:dyDescent="0.35">
      <c r="A871">
        <v>69.196299999999994</v>
      </c>
      <c r="B871">
        <v>85.138999999999996</v>
      </c>
      <c r="C871">
        <v>2.31752</v>
      </c>
      <c r="D871">
        <v>0.01</v>
      </c>
      <c r="E871">
        <v>0</v>
      </c>
      <c r="F871">
        <v>2.93615</v>
      </c>
      <c r="G871">
        <v>3.23855</v>
      </c>
      <c r="H871">
        <v>0</v>
      </c>
      <c r="I871">
        <v>0.55015400000000003</v>
      </c>
      <c r="J871">
        <v>5.3222399999999999</v>
      </c>
      <c r="K871" s="2">
        <v>116640000</v>
      </c>
      <c r="L871" s="1">
        <v>0</v>
      </c>
      <c r="M871" s="1">
        <v>0</v>
      </c>
      <c r="N871" s="1">
        <v>0</v>
      </c>
      <c r="O871" s="1">
        <v>0</v>
      </c>
      <c r="P871" s="2">
        <v>4389470</v>
      </c>
      <c r="Q871" s="1">
        <v>-75609.399999999994</v>
      </c>
      <c r="R871" s="1">
        <v>408539</v>
      </c>
      <c r="S871">
        <v>93.851799999999997</v>
      </c>
      <c r="T871">
        <v>98.274000000000001</v>
      </c>
      <c r="U871">
        <v>2.2886600000000001</v>
      </c>
      <c r="V871">
        <v>0</v>
      </c>
      <c r="W871">
        <v>0</v>
      </c>
      <c r="X871">
        <v>2.3087900000000001</v>
      </c>
      <c r="Y871">
        <v>2.0063900000000001</v>
      </c>
      <c r="Z871">
        <v>0</v>
      </c>
      <c r="AA871">
        <v>1.7835700000000001</v>
      </c>
      <c r="AB871">
        <v>2.9635199999999999</v>
      </c>
      <c r="AC871" s="2">
        <v>383499000</v>
      </c>
      <c r="AD871" s="1">
        <v>0</v>
      </c>
      <c r="AE871" s="1">
        <v>0</v>
      </c>
      <c r="AF871" s="1">
        <v>0</v>
      </c>
      <c r="AG871" s="1">
        <v>0</v>
      </c>
      <c r="AH871" s="2">
        <v>5973400</v>
      </c>
      <c r="AI871" s="1">
        <v>951588</v>
      </c>
      <c r="AJ871" s="1">
        <v>0</v>
      </c>
      <c r="AK871" s="8">
        <f t="shared" si="55"/>
        <v>38</v>
      </c>
      <c r="AL871" s="8">
        <f t="shared" si="54"/>
        <v>17</v>
      </c>
      <c r="AM871">
        <f t="shared" si="52"/>
        <v>0</v>
      </c>
      <c r="AN871">
        <f t="shared" si="53"/>
        <v>0</v>
      </c>
    </row>
    <row r="872" spans="1:40" x14ac:dyDescent="0.35">
      <c r="A872">
        <v>68.834100000000007</v>
      </c>
      <c r="B872">
        <v>85.138999999999996</v>
      </c>
      <c r="C872">
        <v>2.60629</v>
      </c>
      <c r="D872">
        <v>0.01</v>
      </c>
      <c r="E872">
        <v>0</v>
      </c>
      <c r="F872">
        <v>2.9365800000000002</v>
      </c>
      <c r="G872">
        <v>3.2389800000000002</v>
      </c>
      <c r="H872">
        <v>0</v>
      </c>
      <c r="I872">
        <v>0.550234</v>
      </c>
      <c r="J872">
        <v>5.3222399999999999</v>
      </c>
      <c r="K872" s="2">
        <v>116565000</v>
      </c>
      <c r="L872" s="1">
        <v>0</v>
      </c>
      <c r="M872" s="1">
        <v>0</v>
      </c>
      <c r="N872" s="1">
        <v>0</v>
      </c>
      <c r="O872" s="1">
        <v>0</v>
      </c>
      <c r="P872" s="2">
        <v>4390110</v>
      </c>
      <c r="Q872" s="1">
        <v>-75565.3</v>
      </c>
      <c r="R872" s="1">
        <v>408539</v>
      </c>
      <c r="S872">
        <v>93.644199999999998</v>
      </c>
      <c r="T872">
        <v>98.274000000000001</v>
      </c>
      <c r="U872">
        <v>2.79176</v>
      </c>
      <c r="V872">
        <v>0</v>
      </c>
      <c r="W872">
        <v>0</v>
      </c>
      <c r="X872">
        <v>2.3090600000000001</v>
      </c>
      <c r="Y872">
        <v>2.0066600000000001</v>
      </c>
      <c r="Z872">
        <v>0</v>
      </c>
      <c r="AA872">
        <v>1.7837700000000001</v>
      </c>
      <c r="AB872">
        <v>2.9635199999999999</v>
      </c>
      <c r="AC872" s="2">
        <v>384451000</v>
      </c>
      <c r="AD872" s="1">
        <v>0</v>
      </c>
      <c r="AE872" s="1">
        <v>0</v>
      </c>
      <c r="AF872" s="1">
        <v>0</v>
      </c>
      <c r="AG872" s="1">
        <v>0</v>
      </c>
      <c r="AH872" s="2">
        <v>5974090</v>
      </c>
      <c r="AI872" s="1">
        <v>951610</v>
      </c>
      <c r="AJ872" s="1">
        <v>0</v>
      </c>
      <c r="AK872" s="8">
        <f t="shared" si="55"/>
        <v>39</v>
      </c>
      <c r="AL872" s="8">
        <f t="shared" si="54"/>
        <v>17</v>
      </c>
      <c r="AM872">
        <f t="shared" si="52"/>
        <v>0</v>
      </c>
      <c r="AN872">
        <f t="shared" si="53"/>
        <v>0</v>
      </c>
    </row>
    <row r="873" spans="1:40" x14ac:dyDescent="0.35">
      <c r="A873">
        <v>67.956199999999995</v>
      </c>
      <c r="B873">
        <v>85.138999999999996</v>
      </c>
      <c r="C873">
        <v>2.0922399999999999</v>
      </c>
      <c r="D873">
        <v>0.02</v>
      </c>
      <c r="E873">
        <v>0</v>
      </c>
      <c r="F873">
        <v>2.9370099999999999</v>
      </c>
      <c r="G873">
        <v>3.2394099999999999</v>
      </c>
      <c r="H873">
        <v>0</v>
      </c>
      <c r="I873">
        <v>0.550315</v>
      </c>
      <c r="J873">
        <v>5.3222399999999999</v>
      </c>
      <c r="K873" s="2">
        <v>116489000</v>
      </c>
      <c r="L873" s="1">
        <v>0</v>
      </c>
      <c r="M873" s="1">
        <v>0</v>
      </c>
      <c r="N873" s="1">
        <v>0</v>
      </c>
      <c r="O873" s="1">
        <v>0</v>
      </c>
      <c r="P873" s="2">
        <v>4390750</v>
      </c>
      <c r="Q873" s="1">
        <v>-75521.3</v>
      </c>
      <c r="R873" s="1">
        <v>408539</v>
      </c>
      <c r="S873">
        <v>93.306100000000001</v>
      </c>
      <c r="T873">
        <v>98.274000000000001</v>
      </c>
      <c r="U873">
        <v>2.0380799999999999</v>
      </c>
      <c r="V873">
        <v>0</v>
      </c>
      <c r="W873">
        <v>0</v>
      </c>
      <c r="X873">
        <v>2.3093300000000001</v>
      </c>
      <c r="Y873">
        <v>2.0069300000000001</v>
      </c>
      <c r="Z873">
        <v>0</v>
      </c>
      <c r="AA873">
        <v>1.7839799999999999</v>
      </c>
      <c r="AB873">
        <v>2.9635199999999999</v>
      </c>
      <c r="AC873" s="2">
        <v>385402000</v>
      </c>
      <c r="AD873" s="1">
        <v>0</v>
      </c>
      <c r="AE873" s="1">
        <v>0</v>
      </c>
      <c r="AF873" s="1">
        <v>0</v>
      </c>
      <c r="AG873" s="1">
        <v>0</v>
      </c>
      <c r="AH873" s="2">
        <v>5974770</v>
      </c>
      <c r="AI873" s="1">
        <v>951633</v>
      </c>
      <c r="AJ873" s="1">
        <v>0</v>
      </c>
      <c r="AK873" s="8">
        <f t="shared" si="55"/>
        <v>40</v>
      </c>
      <c r="AL873" s="8">
        <f t="shared" si="54"/>
        <v>17</v>
      </c>
      <c r="AM873">
        <f t="shared" si="52"/>
        <v>0</v>
      </c>
      <c r="AN873">
        <f t="shared" si="53"/>
        <v>0</v>
      </c>
    </row>
    <row r="874" spans="1:40" x14ac:dyDescent="0.35">
      <c r="A874">
        <v>67.551000000000002</v>
      </c>
      <c r="B874">
        <v>85.138999999999996</v>
      </c>
      <c r="C874">
        <v>2.5414300000000001</v>
      </c>
      <c r="D874">
        <v>0.02</v>
      </c>
      <c r="E874">
        <v>0</v>
      </c>
      <c r="F874">
        <v>2.9374400000000001</v>
      </c>
      <c r="G874">
        <v>3.2398400000000001</v>
      </c>
      <c r="H874">
        <v>0</v>
      </c>
      <c r="I874">
        <v>0.55039499999999997</v>
      </c>
      <c r="J874">
        <v>5.3222399999999999</v>
      </c>
      <c r="K874" s="2">
        <v>116414000</v>
      </c>
      <c r="L874" s="1">
        <v>0</v>
      </c>
      <c r="M874" s="1">
        <v>0</v>
      </c>
      <c r="N874" s="1">
        <v>0</v>
      </c>
      <c r="O874" s="1">
        <v>0</v>
      </c>
      <c r="P874" s="2">
        <v>4391390</v>
      </c>
      <c r="Q874" s="1">
        <v>-75477.2</v>
      </c>
      <c r="R874" s="1">
        <v>408539</v>
      </c>
      <c r="S874">
        <v>93.302700000000002</v>
      </c>
      <c r="T874">
        <v>98.274000000000001</v>
      </c>
      <c r="U874">
        <v>3.4819</v>
      </c>
      <c r="V874">
        <v>0</v>
      </c>
      <c r="W874">
        <v>0</v>
      </c>
      <c r="X874">
        <v>2.30959</v>
      </c>
      <c r="Y874">
        <v>2.00719</v>
      </c>
      <c r="Z874">
        <v>0</v>
      </c>
      <c r="AA874">
        <v>1.7841800000000001</v>
      </c>
      <c r="AB874">
        <v>2.9635199999999999</v>
      </c>
      <c r="AC874" s="2">
        <v>386354000</v>
      </c>
      <c r="AD874" s="1">
        <v>0</v>
      </c>
      <c r="AE874" s="1">
        <v>0</v>
      </c>
      <c r="AF874" s="1">
        <v>0</v>
      </c>
      <c r="AG874" s="1">
        <v>0</v>
      </c>
      <c r="AH874" s="2">
        <v>5975460</v>
      </c>
      <c r="AI874" s="1">
        <v>951655</v>
      </c>
      <c r="AJ874" s="1">
        <v>0</v>
      </c>
      <c r="AK874" s="8">
        <f t="shared" si="55"/>
        <v>41</v>
      </c>
      <c r="AL874" s="8">
        <f t="shared" si="54"/>
        <v>17</v>
      </c>
      <c r="AM874">
        <f t="shared" si="52"/>
        <v>0</v>
      </c>
      <c r="AN874">
        <f t="shared" si="53"/>
        <v>0</v>
      </c>
    </row>
    <row r="875" spans="1:40" x14ac:dyDescent="0.35">
      <c r="A875">
        <v>66.375699999999995</v>
      </c>
      <c r="B875">
        <v>85.138999999999996</v>
      </c>
      <c r="C875">
        <v>1.7298199999999999</v>
      </c>
      <c r="D875">
        <v>0.02</v>
      </c>
      <c r="E875">
        <v>0</v>
      </c>
      <c r="F875">
        <v>2.839</v>
      </c>
      <c r="G875">
        <v>3.1414</v>
      </c>
      <c r="H875">
        <v>0</v>
      </c>
      <c r="I875">
        <v>0.55047500000000005</v>
      </c>
      <c r="J875">
        <v>5.3222399999999999</v>
      </c>
      <c r="K875" s="2">
        <v>116328000</v>
      </c>
      <c r="L875" s="1">
        <v>0</v>
      </c>
      <c r="M875" s="1">
        <v>0</v>
      </c>
      <c r="N875" s="1">
        <v>0</v>
      </c>
      <c r="O875" s="1">
        <v>0</v>
      </c>
      <c r="P875" s="2">
        <v>4244230</v>
      </c>
      <c r="Q875" s="1">
        <v>-85596.6</v>
      </c>
      <c r="R875" s="1">
        <v>408539</v>
      </c>
      <c r="S875">
        <v>92.944699999999997</v>
      </c>
      <c r="T875">
        <v>98.274000000000001</v>
      </c>
      <c r="U875">
        <v>1.9609000000000001</v>
      </c>
      <c r="V875">
        <v>0</v>
      </c>
      <c r="W875">
        <v>0</v>
      </c>
      <c r="X875">
        <v>2.2132700000000001</v>
      </c>
      <c r="Y875">
        <v>1.9108700000000001</v>
      </c>
      <c r="Z875">
        <v>0</v>
      </c>
      <c r="AA875">
        <v>1.7843899999999999</v>
      </c>
      <c r="AB875">
        <v>2.9635199999999999</v>
      </c>
      <c r="AC875" s="2">
        <v>387298000</v>
      </c>
      <c r="AD875" s="1">
        <v>0</v>
      </c>
      <c r="AE875" s="1">
        <v>0</v>
      </c>
      <c r="AF875" s="1">
        <v>0</v>
      </c>
      <c r="AG875" s="1">
        <v>0</v>
      </c>
      <c r="AH875" s="2">
        <v>5726250</v>
      </c>
      <c r="AI875" s="1">
        <v>943532</v>
      </c>
      <c r="AJ875" s="1">
        <v>0</v>
      </c>
      <c r="AK875" s="8">
        <f t="shared" si="55"/>
        <v>42</v>
      </c>
      <c r="AL875" s="8">
        <f t="shared" si="54"/>
        <v>17</v>
      </c>
      <c r="AM875">
        <f t="shared" si="52"/>
        <v>0</v>
      </c>
      <c r="AN875">
        <f t="shared" si="53"/>
        <v>0</v>
      </c>
    </row>
    <row r="876" spans="1:40" x14ac:dyDescent="0.35">
      <c r="A876">
        <v>65.384299999999996</v>
      </c>
      <c r="B876">
        <v>85.138999999999996</v>
      </c>
      <c r="C876">
        <v>1.9396899999999999</v>
      </c>
      <c r="D876">
        <v>0.02</v>
      </c>
      <c r="E876">
        <v>0</v>
      </c>
      <c r="F876">
        <v>2.8394200000000001</v>
      </c>
      <c r="G876">
        <v>3.1418200000000001</v>
      </c>
      <c r="H876">
        <v>0</v>
      </c>
      <c r="I876">
        <v>0.53202899999999997</v>
      </c>
      <c r="J876">
        <v>5.3222399999999999</v>
      </c>
      <c r="K876" s="2">
        <v>116243000</v>
      </c>
      <c r="L876" s="1">
        <v>0</v>
      </c>
      <c r="M876" s="1">
        <v>0</v>
      </c>
      <c r="N876" s="1">
        <v>0</v>
      </c>
      <c r="O876" s="1">
        <v>0</v>
      </c>
      <c r="P876" s="2">
        <v>4244850</v>
      </c>
      <c r="Q876" s="1">
        <v>-85553.8</v>
      </c>
      <c r="R876" s="1">
        <v>408539</v>
      </c>
      <c r="S876">
        <v>92.893699999999995</v>
      </c>
      <c r="T876">
        <v>98.274000000000001</v>
      </c>
      <c r="U876">
        <v>2.8434499999999998</v>
      </c>
      <c r="V876">
        <v>0</v>
      </c>
      <c r="W876">
        <v>0</v>
      </c>
      <c r="X876">
        <v>2.2135199999999999</v>
      </c>
      <c r="Y876">
        <v>1.9111199999999999</v>
      </c>
      <c r="Z876">
        <v>0</v>
      </c>
      <c r="AA876">
        <v>1.70997</v>
      </c>
      <c r="AB876">
        <v>2.9635199999999999</v>
      </c>
      <c r="AC876" s="2">
        <v>388241000</v>
      </c>
      <c r="AD876" s="1">
        <v>0</v>
      </c>
      <c r="AE876" s="1">
        <v>0</v>
      </c>
      <c r="AF876" s="1">
        <v>0</v>
      </c>
      <c r="AG876" s="1">
        <v>0</v>
      </c>
      <c r="AH876" s="2">
        <v>5726910</v>
      </c>
      <c r="AI876" s="1">
        <v>943553</v>
      </c>
      <c r="AJ876" s="1">
        <v>0</v>
      </c>
      <c r="AK876" s="8">
        <f t="shared" si="55"/>
        <v>43</v>
      </c>
      <c r="AL876" s="8">
        <f t="shared" si="54"/>
        <v>17</v>
      </c>
      <c r="AM876">
        <f t="shared" si="52"/>
        <v>0</v>
      </c>
      <c r="AN876">
        <f t="shared" si="53"/>
        <v>0</v>
      </c>
    </row>
    <row r="877" spans="1:40" x14ac:dyDescent="0.35">
      <c r="A877">
        <v>64.335599999999999</v>
      </c>
      <c r="B877">
        <v>85.138999999999996</v>
      </c>
      <c r="C877">
        <v>1.8681700000000001</v>
      </c>
      <c r="D877">
        <v>0.02</v>
      </c>
      <c r="E877">
        <v>0</v>
      </c>
      <c r="F877">
        <v>2.8398300000000001</v>
      </c>
      <c r="G877">
        <v>3.1422300000000001</v>
      </c>
      <c r="H877">
        <v>0</v>
      </c>
      <c r="I877">
        <v>0.53210599999999997</v>
      </c>
      <c r="J877">
        <v>5.3222399999999999</v>
      </c>
      <c r="K877" s="2">
        <v>116157000</v>
      </c>
      <c r="L877" s="1">
        <v>0</v>
      </c>
      <c r="M877" s="1">
        <v>0</v>
      </c>
      <c r="N877" s="1">
        <v>0</v>
      </c>
      <c r="O877" s="1">
        <v>0</v>
      </c>
      <c r="P877" s="2">
        <v>4245480</v>
      </c>
      <c r="Q877" s="1">
        <v>-85511.1</v>
      </c>
      <c r="R877" s="1">
        <v>408539</v>
      </c>
      <c r="S877">
        <v>92.775800000000004</v>
      </c>
      <c r="T877">
        <v>98.274000000000001</v>
      </c>
      <c r="U877">
        <v>2.6807300000000001</v>
      </c>
      <c r="V877">
        <v>0</v>
      </c>
      <c r="W877">
        <v>0</v>
      </c>
      <c r="X877">
        <v>2.2137699999999998</v>
      </c>
      <c r="Y877">
        <v>1.91137</v>
      </c>
      <c r="Z877">
        <v>0</v>
      </c>
      <c r="AA877">
        <v>1.71017</v>
      </c>
      <c r="AB877">
        <v>2.9635199999999999</v>
      </c>
      <c r="AC877" s="2">
        <v>389185000</v>
      </c>
      <c r="AD877" s="1">
        <v>0</v>
      </c>
      <c r="AE877" s="1">
        <v>0</v>
      </c>
      <c r="AF877" s="1">
        <v>0</v>
      </c>
      <c r="AG877" s="1">
        <v>0</v>
      </c>
      <c r="AH877" s="2">
        <v>5727560</v>
      </c>
      <c r="AI877" s="1">
        <v>943575</v>
      </c>
      <c r="AJ877" s="1">
        <v>0</v>
      </c>
      <c r="AK877" s="8">
        <f t="shared" si="55"/>
        <v>44</v>
      </c>
      <c r="AL877" s="8">
        <f t="shared" si="54"/>
        <v>17</v>
      </c>
      <c r="AM877">
        <f t="shared" si="52"/>
        <v>0</v>
      </c>
      <c r="AN877">
        <f t="shared" si="53"/>
        <v>0</v>
      </c>
    </row>
    <row r="878" spans="1:40" x14ac:dyDescent="0.35">
      <c r="A878">
        <v>63.268900000000002</v>
      </c>
      <c r="B878">
        <v>85.138999999999996</v>
      </c>
      <c r="C878">
        <v>1.83717</v>
      </c>
      <c r="D878">
        <v>0.02</v>
      </c>
      <c r="E878">
        <v>0</v>
      </c>
      <c r="F878">
        <v>2.8402500000000002</v>
      </c>
      <c r="G878">
        <v>3.1426500000000002</v>
      </c>
      <c r="H878">
        <v>0</v>
      </c>
      <c r="I878">
        <v>0.53218399999999999</v>
      </c>
      <c r="J878">
        <v>5.3222399999999999</v>
      </c>
      <c r="K878" s="2">
        <v>116072000</v>
      </c>
      <c r="L878" s="1">
        <v>0</v>
      </c>
      <c r="M878" s="1">
        <v>0</v>
      </c>
      <c r="N878" s="1">
        <v>0</v>
      </c>
      <c r="O878" s="1">
        <v>0</v>
      </c>
      <c r="P878" s="2">
        <v>4246100</v>
      </c>
      <c r="Q878" s="1">
        <v>-85468.4</v>
      </c>
      <c r="R878" s="1">
        <v>408539</v>
      </c>
      <c r="S878">
        <v>92.765900000000002</v>
      </c>
      <c r="T878">
        <v>98.274000000000001</v>
      </c>
      <c r="U878">
        <v>3.15923</v>
      </c>
      <c r="V878">
        <v>0</v>
      </c>
      <c r="W878">
        <v>0</v>
      </c>
      <c r="X878">
        <v>2.2140300000000002</v>
      </c>
      <c r="Y878">
        <v>1.9116299999999999</v>
      </c>
      <c r="Z878">
        <v>0</v>
      </c>
      <c r="AA878">
        <v>1.7103600000000001</v>
      </c>
      <c r="AB878">
        <v>2.9635199999999999</v>
      </c>
      <c r="AC878" s="2">
        <v>390128000</v>
      </c>
      <c r="AD878" s="1">
        <v>0</v>
      </c>
      <c r="AE878" s="1">
        <v>0</v>
      </c>
      <c r="AF878" s="1">
        <v>0</v>
      </c>
      <c r="AG878" s="1">
        <v>0</v>
      </c>
      <c r="AH878" s="2">
        <v>5728220</v>
      </c>
      <c r="AI878" s="1">
        <v>943596</v>
      </c>
      <c r="AJ878" s="1">
        <v>0</v>
      </c>
      <c r="AK878" s="8">
        <f t="shared" si="55"/>
        <v>45</v>
      </c>
      <c r="AL878" s="8">
        <f t="shared" si="54"/>
        <v>17</v>
      </c>
      <c r="AM878">
        <f t="shared" si="52"/>
        <v>0</v>
      </c>
      <c r="AN878">
        <f t="shared" si="53"/>
        <v>0</v>
      </c>
    </row>
    <row r="879" spans="1:40" x14ac:dyDescent="0.35">
      <c r="A879">
        <v>62.734000000000002</v>
      </c>
      <c r="B879">
        <v>85.138999999999996</v>
      </c>
      <c r="C879">
        <v>2.3730899999999999</v>
      </c>
      <c r="D879">
        <v>0.02</v>
      </c>
      <c r="E879">
        <v>0</v>
      </c>
      <c r="F879">
        <v>2.7594699999999999</v>
      </c>
      <c r="G879">
        <v>3.0618699999999999</v>
      </c>
      <c r="H879">
        <v>0</v>
      </c>
      <c r="I879">
        <v>0.53226200000000001</v>
      </c>
      <c r="J879">
        <v>5.3222399999999999</v>
      </c>
      <c r="K879" s="2">
        <v>115978000</v>
      </c>
      <c r="L879" s="1">
        <v>0</v>
      </c>
      <c r="M879" s="1">
        <v>0</v>
      </c>
      <c r="N879" s="1">
        <v>0</v>
      </c>
      <c r="O879" s="1">
        <v>0</v>
      </c>
      <c r="P879" s="2">
        <v>4125340</v>
      </c>
      <c r="Q879" s="1">
        <v>-93772.4</v>
      </c>
      <c r="R879" s="1">
        <v>408539</v>
      </c>
      <c r="S879">
        <v>92.7791</v>
      </c>
      <c r="T879">
        <v>98.274000000000001</v>
      </c>
      <c r="U879">
        <v>3.1786099999999999</v>
      </c>
      <c r="V879">
        <v>0</v>
      </c>
      <c r="W879">
        <v>0</v>
      </c>
      <c r="X879">
        <v>2.1263200000000002</v>
      </c>
      <c r="Y879">
        <v>1.82392</v>
      </c>
      <c r="Z879">
        <v>0</v>
      </c>
      <c r="AA879">
        <v>1.7105600000000001</v>
      </c>
      <c r="AB879">
        <v>2.9635199999999999</v>
      </c>
      <c r="AC879" s="2">
        <v>391065000</v>
      </c>
      <c r="AD879" s="1">
        <v>0</v>
      </c>
      <c r="AE879" s="1">
        <v>0</v>
      </c>
      <c r="AF879" s="1">
        <v>0</v>
      </c>
      <c r="AG879" s="1">
        <v>0</v>
      </c>
      <c r="AH879" s="2">
        <v>5501280</v>
      </c>
      <c r="AI879" s="1">
        <v>936199</v>
      </c>
      <c r="AJ879" s="1">
        <v>0</v>
      </c>
      <c r="AK879" s="8">
        <f t="shared" si="55"/>
        <v>46</v>
      </c>
      <c r="AL879" s="8">
        <f t="shared" si="54"/>
        <v>17</v>
      </c>
      <c r="AM879">
        <f t="shared" si="52"/>
        <v>0</v>
      </c>
      <c r="AN879">
        <f t="shared" si="53"/>
        <v>0</v>
      </c>
    </row>
    <row r="880" spans="1:40" x14ac:dyDescent="0.35">
      <c r="A880">
        <v>61.563400000000001</v>
      </c>
      <c r="B880">
        <v>85.138999999999996</v>
      </c>
      <c r="C880">
        <v>1.6420399999999999</v>
      </c>
      <c r="D880">
        <v>0.02</v>
      </c>
      <c r="E880">
        <v>0</v>
      </c>
      <c r="F880">
        <v>2.7598699999999998</v>
      </c>
      <c r="G880">
        <v>3.0622699999999998</v>
      </c>
      <c r="H880">
        <v>0</v>
      </c>
      <c r="I880">
        <v>0.51712499999999995</v>
      </c>
      <c r="J880">
        <v>5.3222399999999999</v>
      </c>
      <c r="K880" s="2">
        <v>115884000</v>
      </c>
      <c r="L880" s="1">
        <v>0</v>
      </c>
      <c r="M880" s="1">
        <v>0</v>
      </c>
      <c r="N880" s="1">
        <v>0</v>
      </c>
      <c r="O880" s="1">
        <v>0</v>
      </c>
      <c r="P880" s="2">
        <v>4125940</v>
      </c>
      <c r="Q880" s="1">
        <v>-93730.7</v>
      </c>
      <c r="R880" s="1">
        <v>408539</v>
      </c>
      <c r="S880">
        <v>92.457800000000006</v>
      </c>
      <c r="T880">
        <v>98.274000000000001</v>
      </c>
      <c r="U880">
        <v>2.4123299999999999</v>
      </c>
      <c r="V880">
        <v>0</v>
      </c>
      <c r="W880">
        <v>0</v>
      </c>
      <c r="X880">
        <v>2.12656</v>
      </c>
      <c r="Y880">
        <v>1.82416</v>
      </c>
      <c r="Z880">
        <v>0</v>
      </c>
      <c r="AA880">
        <v>1.64279</v>
      </c>
      <c r="AB880">
        <v>2.9635199999999999</v>
      </c>
      <c r="AC880" s="2">
        <v>392001000</v>
      </c>
      <c r="AD880" s="1">
        <v>0</v>
      </c>
      <c r="AE880" s="1">
        <v>0</v>
      </c>
      <c r="AF880" s="1">
        <v>0</v>
      </c>
      <c r="AG880" s="1">
        <v>0</v>
      </c>
      <c r="AH880" s="2">
        <v>5501910</v>
      </c>
      <c r="AI880" s="1">
        <v>936219</v>
      </c>
      <c r="AJ880" s="1">
        <v>0</v>
      </c>
      <c r="AK880" s="8">
        <f t="shared" si="55"/>
        <v>47</v>
      </c>
      <c r="AL880" s="8">
        <f t="shared" si="54"/>
        <v>17</v>
      </c>
      <c r="AM880">
        <f t="shared" si="52"/>
        <v>0</v>
      </c>
      <c r="AN880">
        <f t="shared" si="53"/>
        <v>0</v>
      </c>
    </row>
    <row r="881" spans="1:40" x14ac:dyDescent="0.35">
      <c r="A881">
        <v>60.677999999999997</v>
      </c>
      <c r="B881">
        <v>85.138999999999996</v>
      </c>
      <c r="C881">
        <v>2.0145200000000001</v>
      </c>
      <c r="D881">
        <v>0.02</v>
      </c>
      <c r="E881">
        <v>0</v>
      </c>
      <c r="F881">
        <v>2.7602799999999998</v>
      </c>
      <c r="G881">
        <v>3.0626799999999998</v>
      </c>
      <c r="H881">
        <v>0</v>
      </c>
      <c r="I881">
        <v>0.51720100000000002</v>
      </c>
      <c r="J881">
        <v>5.3222399999999999</v>
      </c>
      <c r="K881" s="2">
        <v>115790000</v>
      </c>
      <c r="L881" s="1">
        <v>0</v>
      </c>
      <c r="M881" s="1">
        <v>0</v>
      </c>
      <c r="N881" s="1">
        <v>0</v>
      </c>
      <c r="O881" s="1">
        <v>0</v>
      </c>
      <c r="P881" s="2">
        <v>4126550</v>
      </c>
      <c r="Q881" s="1">
        <v>-93689.1</v>
      </c>
      <c r="R881" s="1">
        <v>408539</v>
      </c>
      <c r="S881">
        <v>92.253799999999998</v>
      </c>
      <c r="T881">
        <v>98.274000000000001</v>
      </c>
      <c r="U881">
        <v>1.8744000000000001</v>
      </c>
      <c r="V881">
        <v>0</v>
      </c>
      <c r="W881">
        <v>0</v>
      </c>
      <c r="X881">
        <v>2.1267999999999998</v>
      </c>
      <c r="Y881">
        <v>1.8244</v>
      </c>
      <c r="Z881">
        <v>0</v>
      </c>
      <c r="AA881">
        <v>1.6429800000000001</v>
      </c>
      <c r="AB881">
        <v>2.9635199999999999</v>
      </c>
      <c r="AC881" s="2">
        <v>392937000</v>
      </c>
      <c r="AD881" s="1">
        <v>0</v>
      </c>
      <c r="AE881" s="1">
        <v>0</v>
      </c>
      <c r="AF881" s="1">
        <v>0</v>
      </c>
      <c r="AG881" s="1">
        <v>0</v>
      </c>
      <c r="AH881" s="2">
        <v>5502530</v>
      </c>
      <c r="AI881" s="1">
        <v>936240</v>
      </c>
      <c r="AJ881" s="1">
        <v>0</v>
      </c>
      <c r="AK881" s="8">
        <f t="shared" si="55"/>
        <v>48</v>
      </c>
      <c r="AL881" s="8">
        <f t="shared" si="54"/>
        <v>17</v>
      </c>
      <c r="AM881">
        <f t="shared" si="52"/>
        <v>0</v>
      </c>
      <c r="AN881">
        <f t="shared" si="53"/>
        <v>0</v>
      </c>
    </row>
    <row r="882" spans="1:40" x14ac:dyDescent="0.35">
      <c r="A882">
        <v>59.859900000000003</v>
      </c>
      <c r="B882">
        <v>85.138999999999996</v>
      </c>
      <c r="C882">
        <v>2.0728</v>
      </c>
      <c r="D882">
        <v>0.02</v>
      </c>
      <c r="E882">
        <v>0</v>
      </c>
      <c r="F882">
        <v>2.7606899999999999</v>
      </c>
      <c r="G882">
        <v>3.0630899999999999</v>
      </c>
      <c r="H882">
        <v>0</v>
      </c>
      <c r="I882">
        <v>0.51727599999999996</v>
      </c>
      <c r="J882">
        <v>5.3222399999999999</v>
      </c>
      <c r="K882" s="2">
        <v>115697000</v>
      </c>
      <c r="L882" s="1">
        <v>0</v>
      </c>
      <c r="M882" s="1">
        <v>0</v>
      </c>
      <c r="N882" s="1">
        <v>0</v>
      </c>
      <c r="O882" s="1">
        <v>0</v>
      </c>
      <c r="P882" s="2">
        <v>4127150</v>
      </c>
      <c r="Q882" s="1">
        <v>-93647.4</v>
      </c>
      <c r="R882" s="1">
        <v>408539</v>
      </c>
      <c r="S882">
        <v>92.199600000000004</v>
      </c>
      <c r="T882">
        <v>98.274000000000001</v>
      </c>
      <c r="U882">
        <v>3.28505</v>
      </c>
      <c r="V882">
        <v>0</v>
      </c>
      <c r="W882">
        <v>0</v>
      </c>
      <c r="X882">
        <v>2.12704</v>
      </c>
      <c r="Y882">
        <v>1.82464</v>
      </c>
      <c r="Z882">
        <v>0</v>
      </c>
      <c r="AA882">
        <v>1.64316</v>
      </c>
      <c r="AB882">
        <v>2.9635199999999999</v>
      </c>
      <c r="AC882" s="2">
        <v>393873000</v>
      </c>
      <c r="AD882" s="1">
        <v>0</v>
      </c>
      <c r="AE882" s="1">
        <v>0</v>
      </c>
      <c r="AF882" s="1">
        <v>0</v>
      </c>
      <c r="AG882" s="1">
        <v>0</v>
      </c>
      <c r="AH882" s="2">
        <v>5503160</v>
      </c>
      <c r="AI882" s="1">
        <v>936260</v>
      </c>
      <c r="AJ882" s="1">
        <v>0</v>
      </c>
      <c r="AK882" s="8">
        <f t="shared" si="55"/>
        <v>49</v>
      </c>
      <c r="AL882" s="8">
        <f t="shared" si="54"/>
        <v>17</v>
      </c>
      <c r="AM882">
        <f t="shared" si="52"/>
        <v>0</v>
      </c>
      <c r="AN882">
        <f t="shared" si="53"/>
        <v>0</v>
      </c>
    </row>
    <row r="883" spans="1:40" x14ac:dyDescent="0.35">
      <c r="A883">
        <v>62.785699999999999</v>
      </c>
      <c r="B883">
        <v>85.138999999999996</v>
      </c>
      <c r="C883">
        <v>5.8395999999999999</v>
      </c>
      <c r="D883">
        <v>0.02</v>
      </c>
      <c r="E883">
        <v>0</v>
      </c>
      <c r="F883">
        <v>2.53037</v>
      </c>
      <c r="G883">
        <v>2.83277</v>
      </c>
      <c r="H883">
        <v>0</v>
      </c>
      <c r="I883">
        <v>0.51735200000000003</v>
      </c>
      <c r="J883">
        <v>5.3222399999999999</v>
      </c>
      <c r="K883" s="2">
        <v>115580000</v>
      </c>
      <c r="L883" s="1">
        <v>0</v>
      </c>
      <c r="M883" s="1">
        <v>0</v>
      </c>
      <c r="N883" s="1">
        <v>0</v>
      </c>
      <c r="O883" s="1">
        <v>0</v>
      </c>
      <c r="P883" s="2">
        <v>3782850</v>
      </c>
      <c r="Q883" s="1">
        <v>-117324</v>
      </c>
      <c r="R883" s="1">
        <v>408539</v>
      </c>
      <c r="S883">
        <v>93.742000000000004</v>
      </c>
      <c r="T883">
        <v>98.274000000000001</v>
      </c>
      <c r="U883">
        <v>7.4031900000000004</v>
      </c>
      <c r="V883">
        <v>0</v>
      </c>
      <c r="W883">
        <v>0</v>
      </c>
      <c r="X883">
        <v>1.94398</v>
      </c>
      <c r="Y883">
        <v>1.64158</v>
      </c>
      <c r="Z883">
        <v>0</v>
      </c>
      <c r="AA883">
        <v>1.6433500000000001</v>
      </c>
      <c r="AB883">
        <v>2.9635199999999999</v>
      </c>
      <c r="AC883" s="2">
        <v>394794000</v>
      </c>
      <c r="AD883" s="1">
        <v>0</v>
      </c>
      <c r="AE883" s="1">
        <v>0</v>
      </c>
      <c r="AF883" s="1">
        <v>0</v>
      </c>
      <c r="AG883" s="1">
        <v>0</v>
      </c>
      <c r="AH883" s="2">
        <v>5029530</v>
      </c>
      <c r="AI883" s="1">
        <v>920822</v>
      </c>
      <c r="AJ883" s="1">
        <v>0</v>
      </c>
      <c r="AK883" s="8">
        <f t="shared" si="55"/>
        <v>50</v>
      </c>
      <c r="AL883" s="8">
        <f t="shared" si="54"/>
        <v>17</v>
      </c>
      <c r="AM883">
        <f t="shared" si="52"/>
        <v>0</v>
      </c>
      <c r="AN883">
        <f t="shared" si="53"/>
        <v>0</v>
      </c>
    </row>
    <row r="884" spans="1:40" x14ac:dyDescent="0.35">
      <c r="A884">
        <v>66.634100000000004</v>
      </c>
      <c r="B884">
        <v>85.138999999999996</v>
      </c>
      <c r="C884">
        <v>6.9858000000000002</v>
      </c>
      <c r="D884">
        <v>0.02</v>
      </c>
      <c r="E884">
        <v>0</v>
      </c>
      <c r="F884">
        <v>2.5307499999999998</v>
      </c>
      <c r="G884">
        <v>2.8331499999999998</v>
      </c>
      <c r="H884">
        <v>0</v>
      </c>
      <c r="I884">
        <v>0.474192</v>
      </c>
      <c r="J884">
        <v>5.3222399999999999</v>
      </c>
      <c r="K884" s="2">
        <v>115462000</v>
      </c>
      <c r="L884" s="1">
        <v>0</v>
      </c>
      <c r="M884" s="1">
        <v>0</v>
      </c>
      <c r="N884" s="1">
        <v>0</v>
      </c>
      <c r="O884" s="1">
        <v>0</v>
      </c>
      <c r="P884" s="2">
        <v>3783410</v>
      </c>
      <c r="Q884" s="1">
        <v>-117285</v>
      </c>
      <c r="R884" s="1">
        <v>408539</v>
      </c>
      <c r="S884">
        <v>96.253500000000003</v>
      </c>
      <c r="T884">
        <v>98.274000000000001</v>
      </c>
      <c r="U884">
        <v>6.3944599999999996</v>
      </c>
      <c r="V884">
        <v>0</v>
      </c>
      <c r="W884">
        <v>0</v>
      </c>
      <c r="X884">
        <v>1.9441900000000001</v>
      </c>
      <c r="Y884">
        <v>1.6417900000000001</v>
      </c>
      <c r="Z884">
        <v>0</v>
      </c>
      <c r="AA884">
        <v>1.5019199999999999</v>
      </c>
      <c r="AB884">
        <v>2.9635199999999999</v>
      </c>
      <c r="AC884" s="2">
        <v>395715000</v>
      </c>
      <c r="AD884" s="1">
        <v>0</v>
      </c>
      <c r="AE884" s="1">
        <v>0</v>
      </c>
      <c r="AF884" s="1">
        <v>0</v>
      </c>
      <c r="AG884" s="1">
        <v>0</v>
      </c>
      <c r="AH884" s="2">
        <v>5030090</v>
      </c>
      <c r="AI884" s="1">
        <v>920840</v>
      </c>
      <c r="AJ884" s="1">
        <v>0</v>
      </c>
      <c r="AK884" s="8">
        <f t="shared" si="55"/>
        <v>51</v>
      </c>
      <c r="AL884" s="8">
        <f t="shared" si="54"/>
        <v>17</v>
      </c>
      <c r="AM884">
        <f t="shared" si="52"/>
        <v>0</v>
      </c>
      <c r="AN884">
        <f t="shared" si="53"/>
        <v>0</v>
      </c>
    </row>
    <row r="885" spans="1:40" x14ac:dyDescent="0.35">
      <c r="A885">
        <v>70.525000000000006</v>
      </c>
      <c r="B885">
        <v>85.138999999999996</v>
      </c>
      <c r="C885">
        <v>7.0564299999999998</v>
      </c>
      <c r="D885">
        <v>0.02</v>
      </c>
      <c r="E885">
        <v>0</v>
      </c>
      <c r="F885">
        <v>2.53112</v>
      </c>
      <c r="G885">
        <v>2.83352</v>
      </c>
      <c r="H885">
        <v>0</v>
      </c>
      <c r="I885">
        <v>0.47426200000000002</v>
      </c>
      <c r="J885">
        <v>5.3222399999999999</v>
      </c>
      <c r="K885" s="2">
        <v>115345000</v>
      </c>
      <c r="L885" s="1">
        <v>0</v>
      </c>
      <c r="M885" s="1">
        <v>0</v>
      </c>
      <c r="N885" s="1">
        <v>0</v>
      </c>
      <c r="O885" s="1">
        <v>0</v>
      </c>
      <c r="P885" s="2">
        <v>3783970</v>
      </c>
      <c r="Q885" s="1">
        <v>-117247</v>
      </c>
      <c r="R885" s="1">
        <v>408539</v>
      </c>
      <c r="S885">
        <v>98.550899999999999</v>
      </c>
      <c r="T885">
        <v>98.274000000000001</v>
      </c>
      <c r="U885">
        <v>6.3144099999999996</v>
      </c>
      <c r="V885">
        <v>0</v>
      </c>
      <c r="W885">
        <v>0</v>
      </c>
      <c r="X885">
        <v>1.94441</v>
      </c>
      <c r="Y885">
        <v>1.64201</v>
      </c>
      <c r="Z885">
        <v>0</v>
      </c>
      <c r="AA885">
        <v>1.5020800000000001</v>
      </c>
      <c r="AB885">
        <v>2.9635199999999999</v>
      </c>
      <c r="AC885" s="2">
        <v>396636000</v>
      </c>
      <c r="AD885" s="1">
        <v>0</v>
      </c>
      <c r="AE885" s="1">
        <v>0</v>
      </c>
      <c r="AF885" s="1">
        <v>0</v>
      </c>
      <c r="AG885" s="1">
        <v>0</v>
      </c>
      <c r="AH885" s="2">
        <v>5030660</v>
      </c>
      <c r="AI885" s="1">
        <v>920858</v>
      </c>
      <c r="AJ885" s="1">
        <v>0</v>
      </c>
      <c r="AK885" s="8">
        <f t="shared" si="55"/>
        <v>52</v>
      </c>
      <c r="AL885" s="8">
        <f t="shared" si="54"/>
        <v>17</v>
      </c>
      <c r="AM885">
        <f t="shared" si="52"/>
        <v>396636000</v>
      </c>
      <c r="AN885">
        <f t="shared" si="53"/>
        <v>115345000</v>
      </c>
    </row>
    <row r="886" spans="1:40" x14ac:dyDescent="0.35">
      <c r="A886">
        <v>72.960300000000004</v>
      </c>
      <c r="B886">
        <v>85.138999999999996</v>
      </c>
      <c r="C886">
        <v>5.5760699999999996</v>
      </c>
      <c r="D886">
        <v>0.01</v>
      </c>
      <c r="E886">
        <v>0</v>
      </c>
      <c r="F886">
        <v>2.5314999999999999</v>
      </c>
      <c r="G886">
        <v>2.8338999999999999</v>
      </c>
      <c r="H886">
        <v>0</v>
      </c>
      <c r="I886">
        <v>0.474333</v>
      </c>
      <c r="J886">
        <v>5.3222399999999999</v>
      </c>
      <c r="K886" s="2">
        <v>115228000</v>
      </c>
      <c r="L886" s="1">
        <v>0</v>
      </c>
      <c r="M886" s="1">
        <v>0</v>
      </c>
      <c r="N886" s="1">
        <v>0</v>
      </c>
      <c r="O886" s="1">
        <v>0</v>
      </c>
      <c r="P886" s="2">
        <v>3784530</v>
      </c>
      <c r="Q886" s="1">
        <v>-117208</v>
      </c>
      <c r="R886" s="1">
        <v>408539</v>
      </c>
      <c r="S886">
        <v>99.302199999999999</v>
      </c>
      <c r="T886">
        <v>98.274000000000001</v>
      </c>
      <c r="U886">
        <v>7.4884500000000003</v>
      </c>
      <c r="V886">
        <v>0</v>
      </c>
      <c r="W886">
        <v>0</v>
      </c>
      <c r="X886">
        <v>1.9446300000000001</v>
      </c>
      <c r="Y886">
        <v>1.6422300000000001</v>
      </c>
      <c r="Z886">
        <v>0</v>
      </c>
      <c r="AA886">
        <v>1.5022500000000001</v>
      </c>
      <c r="AB886">
        <v>2.9635199999999999</v>
      </c>
      <c r="AC886" s="2">
        <v>397557000</v>
      </c>
      <c r="AD886" s="1">
        <v>0</v>
      </c>
      <c r="AE886" s="1">
        <v>0</v>
      </c>
      <c r="AF886" s="1">
        <v>0</v>
      </c>
      <c r="AG886" s="1">
        <v>0</v>
      </c>
      <c r="AH886" s="2">
        <v>5031220</v>
      </c>
      <c r="AI886" s="1">
        <v>920877</v>
      </c>
      <c r="AJ886" s="1">
        <v>0</v>
      </c>
      <c r="AK886" s="8">
        <f t="shared" si="55"/>
        <v>1</v>
      </c>
      <c r="AL886" s="8">
        <f t="shared" si="54"/>
        <v>18</v>
      </c>
      <c r="AM886">
        <f t="shared" si="52"/>
        <v>0</v>
      </c>
      <c r="AN886">
        <f t="shared" si="53"/>
        <v>0</v>
      </c>
    </row>
    <row r="887" spans="1:40" x14ac:dyDescent="0.35">
      <c r="A887">
        <v>75.510599999999997</v>
      </c>
      <c r="B887">
        <v>85.138999999999996</v>
      </c>
      <c r="C887">
        <v>5.68452</v>
      </c>
      <c r="D887">
        <v>0.01</v>
      </c>
      <c r="E887">
        <v>0</v>
      </c>
      <c r="F887">
        <v>2.5318700000000001</v>
      </c>
      <c r="G887">
        <v>2.8342700000000001</v>
      </c>
      <c r="H887">
        <v>0</v>
      </c>
      <c r="I887">
        <v>0.47440300000000002</v>
      </c>
      <c r="J887">
        <v>5.3222399999999999</v>
      </c>
      <c r="K887" s="2">
        <v>115111000</v>
      </c>
      <c r="L887" s="1">
        <v>0</v>
      </c>
      <c r="M887" s="1">
        <v>0</v>
      </c>
      <c r="N887" s="1">
        <v>0</v>
      </c>
      <c r="O887" s="1">
        <v>0</v>
      </c>
      <c r="P887" s="2">
        <v>3785090</v>
      </c>
      <c r="Q887" s="1">
        <v>-117170</v>
      </c>
      <c r="R887" s="1">
        <v>408539</v>
      </c>
      <c r="S887">
        <v>99.302199999999999</v>
      </c>
      <c r="T887">
        <v>98.274000000000001</v>
      </c>
      <c r="U887">
        <v>11.3203</v>
      </c>
      <c r="V887">
        <v>0</v>
      </c>
      <c r="W887">
        <v>0</v>
      </c>
      <c r="X887">
        <v>1.94485</v>
      </c>
      <c r="Y887">
        <v>1.64245</v>
      </c>
      <c r="Z887">
        <v>0</v>
      </c>
      <c r="AA887">
        <v>1.5024200000000001</v>
      </c>
      <c r="AB887">
        <v>2.9635199999999999</v>
      </c>
      <c r="AC887" s="2">
        <v>398478000</v>
      </c>
      <c r="AD887" s="1">
        <v>0</v>
      </c>
      <c r="AE887" s="1">
        <v>0</v>
      </c>
      <c r="AF887" s="1">
        <v>0</v>
      </c>
      <c r="AG887" s="1">
        <v>0</v>
      </c>
      <c r="AH887" s="2">
        <v>5031780</v>
      </c>
      <c r="AI887" s="1">
        <v>920895</v>
      </c>
      <c r="AJ887" s="1">
        <v>0</v>
      </c>
      <c r="AK887" s="8">
        <f t="shared" si="55"/>
        <v>2</v>
      </c>
      <c r="AL887" s="8">
        <f t="shared" si="54"/>
        <v>18</v>
      </c>
      <c r="AM887">
        <f t="shared" si="52"/>
        <v>0</v>
      </c>
      <c r="AN887">
        <f t="shared" si="53"/>
        <v>0</v>
      </c>
    </row>
    <row r="888" spans="1:40" x14ac:dyDescent="0.35">
      <c r="A888">
        <v>77.586699999999993</v>
      </c>
      <c r="B888">
        <v>85.138999999999996</v>
      </c>
      <c r="C888">
        <v>5.6710500000000001</v>
      </c>
      <c r="D888">
        <v>0</v>
      </c>
      <c r="E888">
        <v>0</v>
      </c>
      <c r="F888">
        <v>2.9234399999999998</v>
      </c>
      <c r="G888">
        <v>2.9234399999999998</v>
      </c>
      <c r="H888">
        <v>0</v>
      </c>
      <c r="I888">
        <v>0.47447299999999998</v>
      </c>
      <c r="J888">
        <v>5.3222399999999999</v>
      </c>
      <c r="K888" s="2">
        <v>115411000</v>
      </c>
      <c r="L888" s="1">
        <v>0</v>
      </c>
      <c r="M888" s="1">
        <v>0</v>
      </c>
      <c r="N888" s="1">
        <v>0</v>
      </c>
      <c r="O888" s="1">
        <v>0</v>
      </c>
      <c r="P888" s="2">
        <v>4370470</v>
      </c>
      <c r="Q888" s="1">
        <v>300536</v>
      </c>
      <c r="R888" s="1">
        <v>0</v>
      </c>
      <c r="S888">
        <v>99.302199999999999</v>
      </c>
      <c r="T888">
        <v>98.274000000000001</v>
      </c>
      <c r="U888">
        <v>8.1516000000000002</v>
      </c>
      <c r="V888">
        <v>0</v>
      </c>
      <c r="W888">
        <v>0</v>
      </c>
      <c r="X888">
        <v>1.69577</v>
      </c>
      <c r="Y888">
        <v>1.69577</v>
      </c>
      <c r="Z888">
        <v>0</v>
      </c>
      <c r="AA888">
        <v>1.5025900000000001</v>
      </c>
      <c r="AB888">
        <v>2.9635199999999999</v>
      </c>
      <c r="AC888" s="2">
        <v>398621000</v>
      </c>
      <c r="AD888" s="1">
        <v>0</v>
      </c>
      <c r="AE888" s="1">
        <v>0</v>
      </c>
      <c r="AF888" s="1">
        <v>0</v>
      </c>
      <c r="AG888" s="1">
        <v>0</v>
      </c>
      <c r="AH888" s="2">
        <v>4387370</v>
      </c>
      <c r="AI888" s="1">
        <v>143011</v>
      </c>
      <c r="AJ888" s="1">
        <v>0</v>
      </c>
      <c r="AK888" s="8">
        <f t="shared" si="55"/>
        <v>3</v>
      </c>
      <c r="AL888" s="8">
        <f t="shared" si="54"/>
        <v>18</v>
      </c>
      <c r="AM888">
        <f t="shared" si="52"/>
        <v>0</v>
      </c>
      <c r="AN888">
        <f t="shared" si="53"/>
        <v>0</v>
      </c>
    </row>
    <row r="889" spans="1:40" x14ac:dyDescent="0.35">
      <c r="A889">
        <v>78.2136</v>
      </c>
      <c r="B889">
        <v>85.138999999999996</v>
      </c>
      <c r="C889">
        <v>4.1366199999999997</v>
      </c>
      <c r="D889">
        <v>0</v>
      </c>
      <c r="E889">
        <v>0</v>
      </c>
      <c r="F889">
        <v>2.92381</v>
      </c>
      <c r="G889">
        <v>2.92381</v>
      </c>
      <c r="H889">
        <v>0</v>
      </c>
      <c r="I889">
        <v>0.54785300000000003</v>
      </c>
      <c r="J889">
        <v>5.3222399999999999</v>
      </c>
      <c r="K889" s="2">
        <v>115712000</v>
      </c>
      <c r="L889" s="1">
        <v>0</v>
      </c>
      <c r="M889" s="1">
        <v>0</v>
      </c>
      <c r="N889" s="1">
        <v>0</v>
      </c>
      <c r="O889" s="2">
        <v>29016000</v>
      </c>
      <c r="P889" s="2">
        <v>4371020</v>
      </c>
      <c r="Q889" s="1">
        <v>300573</v>
      </c>
      <c r="R889" s="1">
        <v>0</v>
      </c>
      <c r="S889">
        <v>99.302199999999999</v>
      </c>
      <c r="T889">
        <v>98.274000000000001</v>
      </c>
      <c r="U889">
        <v>5.09755</v>
      </c>
      <c r="V889">
        <v>0</v>
      </c>
      <c r="W889">
        <v>0</v>
      </c>
      <c r="X889">
        <v>1.6959900000000001</v>
      </c>
      <c r="Y889">
        <v>1.6959900000000001</v>
      </c>
      <c r="Z889">
        <v>0</v>
      </c>
      <c r="AA889">
        <v>1.3101499999999999</v>
      </c>
      <c r="AB889">
        <v>2.9635199999999999</v>
      </c>
      <c r="AC889" s="2">
        <v>398764000</v>
      </c>
      <c r="AD889" s="1">
        <v>0</v>
      </c>
      <c r="AE889" s="1">
        <v>0</v>
      </c>
      <c r="AF889" s="1">
        <v>0</v>
      </c>
      <c r="AG889" s="2">
        <v>7883220</v>
      </c>
      <c r="AH889" s="2">
        <v>4387920</v>
      </c>
      <c r="AI889" s="1">
        <v>143029</v>
      </c>
      <c r="AJ889" s="1">
        <v>0</v>
      </c>
      <c r="AK889" s="8">
        <f t="shared" si="55"/>
        <v>4</v>
      </c>
      <c r="AL889" s="8">
        <f t="shared" si="54"/>
        <v>18</v>
      </c>
      <c r="AM889">
        <f t="shared" si="52"/>
        <v>0</v>
      </c>
      <c r="AN889">
        <f t="shared" si="53"/>
        <v>0</v>
      </c>
    </row>
    <row r="890" spans="1:40" x14ac:dyDescent="0.35">
      <c r="A890">
        <v>78.362499999999997</v>
      </c>
      <c r="B890">
        <v>85.138999999999996</v>
      </c>
      <c r="C890">
        <v>3.4917400000000001</v>
      </c>
      <c r="D890">
        <v>0</v>
      </c>
      <c r="E890">
        <v>0</v>
      </c>
      <c r="F890">
        <v>2.9241799999999998</v>
      </c>
      <c r="G890">
        <v>2.9241799999999998</v>
      </c>
      <c r="H890">
        <v>0</v>
      </c>
      <c r="I890">
        <v>0.54792200000000002</v>
      </c>
      <c r="J890">
        <v>5.3222399999999999</v>
      </c>
      <c r="K890" s="2">
        <v>116012000</v>
      </c>
      <c r="L890" s="1">
        <v>0</v>
      </c>
      <c r="M890" s="1">
        <v>0</v>
      </c>
      <c r="N890" s="1">
        <v>0</v>
      </c>
      <c r="O890" s="1">
        <v>0</v>
      </c>
      <c r="P890" s="2">
        <v>4371570</v>
      </c>
      <c r="Q890" s="1">
        <v>300611</v>
      </c>
      <c r="R890" s="1">
        <v>0</v>
      </c>
      <c r="S890">
        <v>99.302199999999999</v>
      </c>
      <c r="T890">
        <v>98.274000000000001</v>
      </c>
      <c r="U890">
        <v>5.5228400000000004</v>
      </c>
      <c r="V890">
        <v>0</v>
      </c>
      <c r="W890">
        <v>0</v>
      </c>
      <c r="X890">
        <v>1.6961999999999999</v>
      </c>
      <c r="Y890">
        <v>1.6961999999999999</v>
      </c>
      <c r="Z890">
        <v>0</v>
      </c>
      <c r="AA890">
        <v>1.3103199999999999</v>
      </c>
      <c r="AB890">
        <v>2.9635199999999999</v>
      </c>
      <c r="AC890" s="2">
        <v>398907000</v>
      </c>
      <c r="AD890" s="1">
        <v>0</v>
      </c>
      <c r="AE890" s="1">
        <v>0</v>
      </c>
      <c r="AF890" s="1">
        <v>0</v>
      </c>
      <c r="AG890" s="1">
        <v>0</v>
      </c>
      <c r="AH890" s="2">
        <v>4388470</v>
      </c>
      <c r="AI890" s="1">
        <v>143047</v>
      </c>
      <c r="AJ890" s="1">
        <v>0</v>
      </c>
      <c r="AK890" s="8">
        <f t="shared" si="55"/>
        <v>5</v>
      </c>
      <c r="AL890" s="8">
        <f t="shared" si="54"/>
        <v>18</v>
      </c>
      <c r="AM890">
        <f t="shared" si="52"/>
        <v>0</v>
      </c>
      <c r="AN890">
        <f t="shared" si="53"/>
        <v>0</v>
      </c>
    </row>
    <row r="891" spans="1:40" x14ac:dyDescent="0.35">
      <c r="A891">
        <v>79.9512</v>
      </c>
      <c r="B891">
        <v>85.138999999999996</v>
      </c>
      <c r="C891">
        <v>5.0335700000000001</v>
      </c>
      <c r="D891">
        <v>0</v>
      </c>
      <c r="E891">
        <v>0</v>
      </c>
      <c r="F891">
        <v>2.9245399999999999</v>
      </c>
      <c r="G891">
        <v>2.9245399999999999</v>
      </c>
      <c r="H891">
        <v>0</v>
      </c>
      <c r="I891">
        <v>0.54799100000000001</v>
      </c>
      <c r="J891">
        <v>5.3222399999999999</v>
      </c>
      <c r="K891" s="2">
        <v>116313000</v>
      </c>
      <c r="L891" s="1">
        <v>0</v>
      </c>
      <c r="M891" s="1">
        <v>0</v>
      </c>
      <c r="N891" s="1">
        <v>0</v>
      </c>
      <c r="O891" s="1">
        <v>0</v>
      </c>
      <c r="P891" s="2">
        <v>4372120</v>
      </c>
      <c r="Q891" s="1">
        <v>300649</v>
      </c>
      <c r="R891" s="1">
        <v>0</v>
      </c>
      <c r="S891">
        <v>99.302199999999999</v>
      </c>
      <c r="T891">
        <v>98.274000000000001</v>
      </c>
      <c r="U891">
        <v>6.2587599999999997</v>
      </c>
      <c r="V891">
        <v>0</v>
      </c>
      <c r="W891">
        <v>0</v>
      </c>
      <c r="X891">
        <v>1.69641</v>
      </c>
      <c r="Y891">
        <v>1.69641</v>
      </c>
      <c r="Z891">
        <v>0</v>
      </c>
      <c r="AA891">
        <v>1.3104800000000001</v>
      </c>
      <c r="AB891">
        <v>2.9635199999999999</v>
      </c>
      <c r="AC891" s="2">
        <v>399050000</v>
      </c>
      <c r="AD891" s="1">
        <v>0</v>
      </c>
      <c r="AE891" s="1">
        <v>0</v>
      </c>
      <c r="AF891" s="1">
        <v>0</v>
      </c>
      <c r="AG891" s="1">
        <v>0</v>
      </c>
      <c r="AH891" s="2">
        <v>4389020</v>
      </c>
      <c r="AI891" s="1">
        <v>143065</v>
      </c>
      <c r="AJ891" s="1">
        <v>0</v>
      </c>
      <c r="AK891" s="8">
        <f t="shared" si="55"/>
        <v>6</v>
      </c>
      <c r="AL891" s="8">
        <f t="shared" si="54"/>
        <v>18</v>
      </c>
      <c r="AM891">
        <f t="shared" si="52"/>
        <v>0</v>
      </c>
      <c r="AN891">
        <f t="shared" si="53"/>
        <v>0</v>
      </c>
    </row>
    <row r="892" spans="1:40" x14ac:dyDescent="0.35">
      <c r="A892">
        <v>81.590299999999999</v>
      </c>
      <c r="B892">
        <v>85.138999999999996</v>
      </c>
      <c r="C892">
        <v>5.4875600000000002</v>
      </c>
      <c r="D892">
        <v>0</v>
      </c>
      <c r="E892">
        <v>0</v>
      </c>
      <c r="F892">
        <v>3.2101999999999999</v>
      </c>
      <c r="G892">
        <v>3.2101999999999999</v>
      </c>
      <c r="H892">
        <v>0</v>
      </c>
      <c r="I892">
        <v>0.54805899999999996</v>
      </c>
      <c r="J892">
        <v>5.3222399999999999</v>
      </c>
      <c r="K892" s="2">
        <v>116643000</v>
      </c>
      <c r="L892" s="1">
        <v>0</v>
      </c>
      <c r="M892" s="1">
        <v>0</v>
      </c>
      <c r="N892" s="1">
        <v>0</v>
      </c>
      <c r="O892" s="1">
        <v>0</v>
      </c>
      <c r="P892" s="2">
        <v>4799170</v>
      </c>
      <c r="Q892" s="1">
        <v>330015</v>
      </c>
      <c r="R892" s="1">
        <v>0</v>
      </c>
      <c r="S892">
        <v>99.302199999999999</v>
      </c>
      <c r="T892">
        <v>98.274000000000001</v>
      </c>
      <c r="U892">
        <v>7.3415100000000004</v>
      </c>
      <c r="V892">
        <v>0</v>
      </c>
      <c r="W892">
        <v>0</v>
      </c>
      <c r="X892">
        <v>1.89611</v>
      </c>
      <c r="Y892">
        <v>1.89611</v>
      </c>
      <c r="Z892">
        <v>0</v>
      </c>
      <c r="AA892">
        <v>1.3106500000000001</v>
      </c>
      <c r="AB892">
        <v>2.9635199999999999</v>
      </c>
      <c r="AC892" s="2">
        <v>399210000</v>
      </c>
      <c r="AD892" s="1">
        <v>0</v>
      </c>
      <c r="AE892" s="1">
        <v>0</v>
      </c>
      <c r="AF892" s="1">
        <v>0</v>
      </c>
      <c r="AG892" s="1">
        <v>0</v>
      </c>
      <c r="AH892" s="2">
        <v>4905690</v>
      </c>
      <c r="AI892" s="1">
        <v>159907</v>
      </c>
      <c r="AJ892" s="1">
        <v>0</v>
      </c>
      <c r="AK892" s="8">
        <f t="shared" si="55"/>
        <v>7</v>
      </c>
      <c r="AL892" s="8">
        <f t="shared" si="54"/>
        <v>18</v>
      </c>
      <c r="AM892">
        <f t="shared" si="52"/>
        <v>0</v>
      </c>
      <c r="AN892">
        <f t="shared" si="53"/>
        <v>0</v>
      </c>
    </row>
    <row r="893" spans="1:40" x14ac:dyDescent="0.35">
      <c r="A893">
        <v>83.787499999999994</v>
      </c>
      <c r="B893">
        <v>85.138999999999996</v>
      </c>
      <c r="C893">
        <v>6.1790799999999999</v>
      </c>
      <c r="D893">
        <v>0</v>
      </c>
      <c r="E893">
        <v>0</v>
      </c>
      <c r="F893">
        <v>3.2105999999999999</v>
      </c>
      <c r="G893">
        <v>3.2105999999999999</v>
      </c>
      <c r="H893">
        <v>0</v>
      </c>
      <c r="I893">
        <v>0.60159099999999999</v>
      </c>
      <c r="J893">
        <v>5.3222399999999999</v>
      </c>
      <c r="K893" s="2">
        <v>116973000</v>
      </c>
      <c r="L893" s="1">
        <v>0</v>
      </c>
      <c r="M893" s="1">
        <v>0</v>
      </c>
      <c r="N893" s="1">
        <v>0</v>
      </c>
      <c r="O893" s="1">
        <v>0</v>
      </c>
      <c r="P893" s="2">
        <v>4799770</v>
      </c>
      <c r="Q893" s="1">
        <v>330056</v>
      </c>
      <c r="R893" s="1">
        <v>0</v>
      </c>
      <c r="S893">
        <v>99.302199999999999</v>
      </c>
      <c r="T893">
        <v>98.274000000000001</v>
      </c>
      <c r="U893">
        <v>8.3073499999999996</v>
      </c>
      <c r="V893">
        <v>0</v>
      </c>
      <c r="W893">
        <v>0</v>
      </c>
      <c r="X893">
        <v>1.89635</v>
      </c>
      <c r="Y893">
        <v>1.89635</v>
      </c>
      <c r="Z893">
        <v>0</v>
      </c>
      <c r="AA893">
        <v>1.4649300000000001</v>
      </c>
      <c r="AB893">
        <v>2.9635199999999999</v>
      </c>
      <c r="AC893" s="2">
        <v>399370000</v>
      </c>
      <c r="AD893" s="1">
        <v>0</v>
      </c>
      <c r="AE893" s="1">
        <v>0</v>
      </c>
      <c r="AF893" s="1">
        <v>0</v>
      </c>
      <c r="AG893" s="1">
        <v>0</v>
      </c>
      <c r="AH893" s="2">
        <v>4906300</v>
      </c>
      <c r="AI893" s="1">
        <v>159927</v>
      </c>
      <c r="AJ893" s="1">
        <v>0</v>
      </c>
      <c r="AK893" s="8">
        <f t="shared" si="55"/>
        <v>8</v>
      </c>
      <c r="AL893" s="8">
        <f t="shared" si="54"/>
        <v>18</v>
      </c>
      <c r="AM893">
        <f t="shared" si="52"/>
        <v>0</v>
      </c>
      <c r="AN893">
        <f t="shared" si="53"/>
        <v>0</v>
      </c>
    </row>
    <row r="894" spans="1:40" x14ac:dyDescent="0.35">
      <c r="A894">
        <v>85.138999999999996</v>
      </c>
      <c r="B894">
        <v>85.138999999999996</v>
      </c>
      <c r="C894">
        <v>5.5483900000000004</v>
      </c>
      <c r="D894">
        <v>0</v>
      </c>
      <c r="E894">
        <v>0</v>
      </c>
      <c r="F894">
        <v>3.2109999999999999</v>
      </c>
      <c r="G894">
        <v>3.2109999999999999</v>
      </c>
      <c r="H894">
        <v>0</v>
      </c>
      <c r="I894">
        <v>0.60166699999999995</v>
      </c>
      <c r="J894">
        <v>5.3222399999999999</v>
      </c>
      <c r="K894" s="2">
        <v>117303000</v>
      </c>
      <c r="L894" s="1">
        <v>0</v>
      </c>
      <c r="M894" s="1">
        <v>0</v>
      </c>
      <c r="N894" s="1">
        <v>0</v>
      </c>
      <c r="O894" s="1">
        <v>0</v>
      </c>
      <c r="P894" s="2">
        <v>4800370</v>
      </c>
      <c r="Q894" s="1">
        <v>330097</v>
      </c>
      <c r="R894" s="1">
        <v>0</v>
      </c>
      <c r="S894">
        <v>99.302199999999999</v>
      </c>
      <c r="T894">
        <v>98.274000000000001</v>
      </c>
      <c r="U894">
        <v>6.0943699999999996</v>
      </c>
      <c r="V894">
        <v>0</v>
      </c>
      <c r="W894">
        <v>0</v>
      </c>
      <c r="X894">
        <v>1.89659</v>
      </c>
      <c r="Y894">
        <v>1.89659</v>
      </c>
      <c r="Z894">
        <v>0</v>
      </c>
      <c r="AA894">
        <v>1.46512</v>
      </c>
      <c r="AB894">
        <v>2.9635199999999999</v>
      </c>
      <c r="AC894" s="2">
        <v>399529000</v>
      </c>
      <c r="AD894" s="1">
        <v>0</v>
      </c>
      <c r="AE894" s="1">
        <v>0</v>
      </c>
      <c r="AF894" s="1">
        <v>0</v>
      </c>
      <c r="AG894" s="1">
        <v>0</v>
      </c>
      <c r="AH894" s="2">
        <v>4906920</v>
      </c>
      <c r="AI894" s="1">
        <v>159947</v>
      </c>
      <c r="AJ894" s="1">
        <v>0</v>
      </c>
      <c r="AK894" s="8">
        <f t="shared" si="55"/>
        <v>9</v>
      </c>
      <c r="AL894" s="8">
        <f t="shared" si="54"/>
        <v>18</v>
      </c>
      <c r="AM894">
        <f t="shared" si="52"/>
        <v>0</v>
      </c>
      <c r="AN894">
        <f t="shared" si="53"/>
        <v>0</v>
      </c>
    </row>
    <row r="895" spans="1:40" x14ac:dyDescent="0.35">
      <c r="A895">
        <v>85.138999999999996</v>
      </c>
      <c r="B895">
        <v>85.138999999999996</v>
      </c>
      <c r="C895">
        <v>4.3765299999999998</v>
      </c>
      <c r="D895">
        <v>0</v>
      </c>
      <c r="E895">
        <v>0</v>
      </c>
      <c r="F895">
        <v>3.2114099999999999</v>
      </c>
      <c r="G895">
        <v>3.2114099999999999</v>
      </c>
      <c r="H895">
        <v>0</v>
      </c>
      <c r="I895">
        <v>0.601742</v>
      </c>
      <c r="J895">
        <v>5.3222399999999999</v>
      </c>
      <c r="K895" s="2">
        <v>117633000</v>
      </c>
      <c r="L895" s="1">
        <v>0</v>
      </c>
      <c r="M895" s="1">
        <v>0</v>
      </c>
      <c r="N895" s="1">
        <v>0</v>
      </c>
      <c r="O895" s="1">
        <v>0</v>
      </c>
      <c r="P895" s="2">
        <v>4800970</v>
      </c>
      <c r="Q895" s="1">
        <v>330139</v>
      </c>
      <c r="R895" s="1">
        <v>0</v>
      </c>
      <c r="S895">
        <v>99.302199999999999</v>
      </c>
      <c r="T895">
        <v>98.274000000000001</v>
      </c>
      <c r="U895">
        <v>5.48637</v>
      </c>
      <c r="V895">
        <v>0</v>
      </c>
      <c r="W895">
        <v>0</v>
      </c>
      <c r="X895">
        <v>1.89682</v>
      </c>
      <c r="Y895">
        <v>1.89682</v>
      </c>
      <c r="Z895">
        <v>0</v>
      </c>
      <c r="AA895">
        <v>1.4653</v>
      </c>
      <c r="AB895">
        <v>2.9635199999999999</v>
      </c>
      <c r="AC895" s="2">
        <v>399689000</v>
      </c>
      <c r="AD895" s="1">
        <v>0</v>
      </c>
      <c r="AE895" s="1">
        <v>0</v>
      </c>
      <c r="AF895" s="1">
        <v>0</v>
      </c>
      <c r="AG895" s="1">
        <v>0</v>
      </c>
      <c r="AH895" s="2">
        <v>4907530</v>
      </c>
      <c r="AI895" s="1">
        <v>159967</v>
      </c>
      <c r="AJ895" s="1">
        <v>0</v>
      </c>
      <c r="AK895" s="8">
        <f t="shared" si="55"/>
        <v>10</v>
      </c>
      <c r="AL895" s="8">
        <f t="shared" si="54"/>
        <v>18</v>
      </c>
      <c r="AM895">
        <f t="shared" si="52"/>
        <v>0</v>
      </c>
      <c r="AN895">
        <f t="shared" si="53"/>
        <v>0</v>
      </c>
    </row>
    <row r="896" spans="1:40" x14ac:dyDescent="0.35">
      <c r="A896">
        <v>85.138999999999996</v>
      </c>
      <c r="B896">
        <v>85.138999999999996</v>
      </c>
      <c r="C896">
        <v>5.5882199999999997</v>
      </c>
      <c r="D896">
        <v>0</v>
      </c>
      <c r="E896">
        <v>0</v>
      </c>
      <c r="F896">
        <v>2.8046899999999999</v>
      </c>
      <c r="G896">
        <v>2.8046899999999999</v>
      </c>
      <c r="H896">
        <v>0</v>
      </c>
      <c r="I896">
        <v>0.60181799999999996</v>
      </c>
      <c r="J896">
        <v>5.3222399999999999</v>
      </c>
      <c r="K896" s="2">
        <v>117922000</v>
      </c>
      <c r="L896" s="1">
        <v>0</v>
      </c>
      <c r="M896" s="1">
        <v>0</v>
      </c>
      <c r="N896" s="1">
        <v>0</v>
      </c>
      <c r="O896" s="1">
        <v>0</v>
      </c>
      <c r="P896" s="2">
        <v>4192940</v>
      </c>
      <c r="Q896" s="1">
        <v>288328</v>
      </c>
      <c r="R896" s="1">
        <v>0</v>
      </c>
      <c r="S896">
        <v>99.302199999999999</v>
      </c>
      <c r="T896">
        <v>98.274000000000001</v>
      </c>
      <c r="U896">
        <v>5.7362200000000003</v>
      </c>
      <c r="V896">
        <v>0</v>
      </c>
      <c r="W896">
        <v>0</v>
      </c>
      <c r="X896">
        <v>1.62921</v>
      </c>
      <c r="Y896">
        <v>1.62921</v>
      </c>
      <c r="Z896">
        <v>0</v>
      </c>
      <c r="AA896">
        <v>1.46549</v>
      </c>
      <c r="AB896">
        <v>2.9635199999999999</v>
      </c>
      <c r="AC896" s="2">
        <v>399827000</v>
      </c>
      <c r="AD896" s="1">
        <v>0</v>
      </c>
      <c r="AE896" s="1">
        <v>0</v>
      </c>
      <c r="AF896" s="1">
        <v>0</v>
      </c>
      <c r="AG896" s="1">
        <v>0</v>
      </c>
      <c r="AH896" s="2">
        <v>4215160</v>
      </c>
      <c r="AI896" s="1">
        <v>137398</v>
      </c>
      <c r="AJ896" s="1">
        <v>0</v>
      </c>
      <c r="AK896" s="8">
        <f t="shared" si="55"/>
        <v>11</v>
      </c>
      <c r="AL896" s="8">
        <f t="shared" si="54"/>
        <v>18</v>
      </c>
      <c r="AM896">
        <f t="shared" si="52"/>
        <v>0</v>
      </c>
      <c r="AN896">
        <f t="shared" si="53"/>
        <v>0</v>
      </c>
    </row>
    <row r="897" spans="1:40" x14ac:dyDescent="0.35">
      <c r="A897">
        <v>85.138999999999996</v>
      </c>
      <c r="B897">
        <v>85.138999999999996</v>
      </c>
      <c r="C897">
        <v>5.1234400000000004</v>
      </c>
      <c r="D897">
        <v>0</v>
      </c>
      <c r="E897">
        <v>0</v>
      </c>
      <c r="F897">
        <v>2.80504</v>
      </c>
      <c r="G897">
        <v>2.80504</v>
      </c>
      <c r="H897">
        <v>0</v>
      </c>
      <c r="I897">
        <v>0.52559900000000004</v>
      </c>
      <c r="J897">
        <v>5.3222399999999999</v>
      </c>
      <c r="K897" s="2">
        <v>118210000</v>
      </c>
      <c r="L897" s="1">
        <v>0</v>
      </c>
      <c r="M897" s="1">
        <v>0</v>
      </c>
      <c r="N897" s="1">
        <v>0</v>
      </c>
      <c r="O897" s="1">
        <v>0</v>
      </c>
      <c r="P897" s="2">
        <v>4193470</v>
      </c>
      <c r="Q897" s="1">
        <v>288364</v>
      </c>
      <c r="R897" s="1">
        <v>0</v>
      </c>
      <c r="S897">
        <v>99.302199999999999</v>
      </c>
      <c r="T897">
        <v>98.274000000000001</v>
      </c>
      <c r="U897">
        <v>5.0887900000000004</v>
      </c>
      <c r="V897">
        <v>0</v>
      </c>
      <c r="W897">
        <v>0</v>
      </c>
      <c r="X897">
        <v>1.6294200000000001</v>
      </c>
      <c r="Y897">
        <v>1.6294200000000001</v>
      </c>
      <c r="Z897">
        <v>0</v>
      </c>
      <c r="AA897">
        <v>1.2587299999999999</v>
      </c>
      <c r="AB897">
        <v>2.9635199999999999</v>
      </c>
      <c r="AC897" s="2">
        <v>399964000</v>
      </c>
      <c r="AD897" s="1">
        <v>0</v>
      </c>
      <c r="AE897" s="1">
        <v>0</v>
      </c>
      <c r="AF897" s="1">
        <v>0</v>
      </c>
      <c r="AG897" s="1">
        <v>0</v>
      </c>
      <c r="AH897" s="2">
        <v>4215690</v>
      </c>
      <c r="AI897" s="1">
        <v>137415</v>
      </c>
      <c r="AJ897" s="1">
        <v>0</v>
      </c>
      <c r="AK897" s="8">
        <f t="shared" si="55"/>
        <v>12</v>
      </c>
      <c r="AL897" s="8">
        <f t="shared" si="54"/>
        <v>18</v>
      </c>
      <c r="AM897">
        <f t="shared" si="52"/>
        <v>0</v>
      </c>
      <c r="AN897">
        <f t="shared" si="53"/>
        <v>0</v>
      </c>
    </row>
    <row r="898" spans="1:40" x14ac:dyDescent="0.35">
      <c r="A898">
        <v>85.138999999999996</v>
      </c>
      <c r="B898">
        <v>85.138999999999996</v>
      </c>
      <c r="C898">
        <v>5.2965200000000001</v>
      </c>
      <c r="D898">
        <v>0</v>
      </c>
      <c r="E898">
        <v>0</v>
      </c>
      <c r="F898">
        <v>2.8054000000000001</v>
      </c>
      <c r="G898">
        <v>2.8054000000000001</v>
      </c>
      <c r="H898">
        <v>0</v>
      </c>
      <c r="I898">
        <v>0.52566500000000005</v>
      </c>
      <c r="J898">
        <v>5.3222399999999999</v>
      </c>
      <c r="K898" s="2">
        <v>118498000</v>
      </c>
      <c r="L898" s="1">
        <v>0</v>
      </c>
      <c r="M898" s="1">
        <v>0</v>
      </c>
      <c r="N898" s="1">
        <v>0</v>
      </c>
      <c r="O898" s="1">
        <v>0</v>
      </c>
      <c r="P898" s="2">
        <v>4193990</v>
      </c>
      <c r="Q898" s="1">
        <v>288400</v>
      </c>
      <c r="R898" s="1">
        <v>0</v>
      </c>
      <c r="S898">
        <v>99.302199999999999</v>
      </c>
      <c r="T898">
        <v>98.274000000000001</v>
      </c>
      <c r="U898">
        <v>9.5676199999999998</v>
      </c>
      <c r="V898">
        <v>0</v>
      </c>
      <c r="W898">
        <v>0</v>
      </c>
      <c r="X898">
        <v>1.6296200000000001</v>
      </c>
      <c r="Y898">
        <v>1.6296200000000001</v>
      </c>
      <c r="Z898">
        <v>0</v>
      </c>
      <c r="AA898">
        <v>1.2588900000000001</v>
      </c>
      <c r="AB898">
        <v>2.9635199999999999</v>
      </c>
      <c r="AC898" s="2">
        <v>400102000</v>
      </c>
      <c r="AD898" s="1">
        <v>0</v>
      </c>
      <c r="AE898" s="1">
        <v>0</v>
      </c>
      <c r="AF898" s="1">
        <v>0</v>
      </c>
      <c r="AG898" s="1">
        <v>0</v>
      </c>
      <c r="AH898" s="2">
        <v>4216220</v>
      </c>
      <c r="AI898" s="1">
        <v>137433</v>
      </c>
      <c r="AJ898" s="1">
        <v>0</v>
      </c>
      <c r="AK898" s="8">
        <f t="shared" si="55"/>
        <v>13</v>
      </c>
      <c r="AL898" s="8">
        <f t="shared" si="54"/>
        <v>18</v>
      </c>
      <c r="AM898">
        <f t="shared" si="52"/>
        <v>0</v>
      </c>
      <c r="AN898">
        <f t="shared" si="53"/>
        <v>0</v>
      </c>
    </row>
    <row r="899" spans="1:40" x14ac:dyDescent="0.35">
      <c r="A899">
        <v>85.138999999999996</v>
      </c>
      <c r="B899">
        <v>85.138999999999996</v>
      </c>
      <c r="C899">
        <v>4.8557300000000003</v>
      </c>
      <c r="D899">
        <v>0</v>
      </c>
      <c r="E899">
        <v>0</v>
      </c>
      <c r="F899">
        <v>2.8057500000000002</v>
      </c>
      <c r="G899">
        <v>2.8057500000000002</v>
      </c>
      <c r="H899">
        <v>0</v>
      </c>
      <c r="I899">
        <v>0.52573099999999995</v>
      </c>
      <c r="J899">
        <v>5.3222399999999999</v>
      </c>
      <c r="K899" s="2">
        <v>118787000</v>
      </c>
      <c r="L899" s="1">
        <v>0</v>
      </c>
      <c r="M899" s="1">
        <v>0</v>
      </c>
      <c r="N899" s="1">
        <v>0</v>
      </c>
      <c r="O899" s="1">
        <v>0</v>
      </c>
      <c r="P899" s="2">
        <v>4194520</v>
      </c>
      <c r="Q899" s="1">
        <v>288436</v>
      </c>
      <c r="R899" s="1">
        <v>0</v>
      </c>
      <c r="S899">
        <v>99.302199999999999</v>
      </c>
      <c r="T899">
        <v>98.274000000000001</v>
      </c>
      <c r="U899">
        <v>6.2637400000000003</v>
      </c>
      <c r="V899">
        <v>0</v>
      </c>
      <c r="W899">
        <v>0</v>
      </c>
      <c r="X899">
        <v>1.6298299999999999</v>
      </c>
      <c r="Y899">
        <v>1.6298299999999999</v>
      </c>
      <c r="Z899">
        <v>0</v>
      </c>
      <c r="AA899">
        <v>1.25905</v>
      </c>
      <c r="AB899">
        <v>2.9635199999999999</v>
      </c>
      <c r="AC899" s="2">
        <v>400239000</v>
      </c>
      <c r="AD899" s="1">
        <v>0</v>
      </c>
      <c r="AE899" s="1">
        <v>0</v>
      </c>
      <c r="AF899" s="1">
        <v>0</v>
      </c>
      <c r="AG899" s="1">
        <v>0</v>
      </c>
      <c r="AH899" s="2">
        <v>4216750</v>
      </c>
      <c r="AI899" s="1">
        <v>137450</v>
      </c>
      <c r="AJ899" s="1">
        <v>0</v>
      </c>
      <c r="AK899" s="8">
        <f t="shared" si="55"/>
        <v>14</v>
      </c>
      <c r="AL899" s="8">
        <f t="shared" si="54"/>
        <v>18</v>
      </c>
      <c r="AM899">
        <f t="shared" ref="AM899:AM962" si="56">IF(AK899=52,AC899,0)</f>
        <v>0</v>
      </c>
      <c r="AN899">
        <f t="shared" ref="AN899:AN962" si="57">IF(AK899=52,K899,0)</f>
        <v>0</v>
      </c>
    </row>
    <row r="900" spans="1:40" x14ac:dyDescent="0.35">
      <c r="A900">
        <v>85.138999999999996</v>
      </c>
      <c r="B900">
        <v>85.138999999999996</v>
      </c>
      <c r="C900">
        <v>6.9090499999999997</v>
      </c>
      <c r="D900">
        <v>0</v>
      </c>
      <c r="E900">
        <v>0</v>
      </c>
      <c r="F900">
        <v>2.8060999999999998</v>
      </c>
      <c r="G900">
        <v>2.8060999999999998</v>
      </c>
      <c r="H900">
        <v>0</v>
      </c>
      <c r="I900">
        <v>0.52579699999999996</v>
      </c>
      <c r="J900">
        <v>5.3222399999999999</v>
      </c>
      <c r="K900" s="2">
        <v>119075000</v>
      </c>
      <c r="L900" s="1">
        <v>0</v>
      </c>
      <c r="M900" s="1">
        <v>0</v>
      </c>
      <c r="N900" s="1">
        <v>0</v>
      </c>
      <c r="O900" s="1">
        <v>0</v>
      </c>
      <c r="P900" s="2">
        <v>4195050</v>
      </c>
      <c r="Q900" s="1">
        <v>288472</v>
      </c>
      <c r="R900" s="1">
        <v>0</v>
      </c>
      <c r="S900">
        <v>99.302199999999999</v>
      </c>
      <c r="T900">
        <v>98.274000000000001</v>
      </c>
      <c r="U900">
        <v>12.319599999999999</v>
      </c>
      <c r="V900">
        <v>0</v>
      </c>
      <c r="W900">
        <v>0</v>
      </c>
      <c r="X900">
        <v>1.6300300000000001</v>
      </c>
      <c r="Y900">
        <v>1.6300300000000001</v>
      </c>
      <c r="Z900">
        <v>0</v>
      </c>
      <c r="AA900">
        <v>1.2592000000000001</v>
      </c>
      <c r="AB900">
        <v>2.9635199999999999</v>
      </c>
      <c r="AC900" s="2">
        <v>400377000</v>
      </c>
      <c r="AD900" s="1">
        <v>0</v>
      </c>
      <c r="AE900" s="1">
        <v>0</v>
      </c>
      <c r="AF900" s="1">
        <v>0</v>
      </c>
      <c r="AG900" s="1">
        <v>0</v>
      </c>
      <c r="AH900" s="2">
        <v>4217280</v>
      </c>
      <c r="AI900" s="1">
        <v>137467</v>
      </c>
      <c r="AJ900" s="1">
        <v>0</v>
      </c>
      <c r="AK900" s="8">
        <f t="shared" si="55"/>
        <v>15</v>
      </c>
      <c r="AL900" s="8">
        <f t="shared" ref="AL900:AL963" si="58">IF(AK899=52,AL899+1,AL899)</f>
        <v>18</v>
      </c>
      <c r="AM900">
        <f t="shared" si="56"/>
        <v>0</v>
      </c>
      <c r="AN900">
        <f t="shared" si="57"/>
        <v>0</v>
      </c>
    </row>
    <row r="901" spans="1:40" x14ac:dyDescent="0.35">
      <c r="A901">
        <v>85.138999999999996</v>
      </c>
      <c r="B901">
        <v>85.138999999999996</v>
      </c>
      <c r="C901">
        <v>7.2116199999999999</v>
      </c>
      <c r="D901">
        <v>0</v>
      </c>
      <c r="E901">
        <v>0</v>
      </c>
      <c r="F901">
        <v>2.9089900000000002</v>
      </c>
      <c r="G901">
        <v>2.9089900000000002</v>
      </c>
      <c r="H901">
        <v>0</v>
      </c>
      <c r="I901">
        <v>0.52586299999999997</v>
      </c>
      <c r="J901">
        <v>5.3222399999999999</v>
      </c>
      <c r="K901" s="2">
        <v>119374000</v>
      </c>
      <c r="L901" s="1">
        <v>0</v>
      </c>
      <c r="M901" s="1">
        <v>0</v>
      </c>
      <c r="N901" s="1">
        <v>0</v>
      </c>
      <c r="O901" s="1">
        <v>0</v>
      </c>
      <c r="P901" s="2">
        <v>4348870</v>
      </c>
      <c r="Q901" s="1">
        <v>299050</v>
      </c>
      <c r="R901" s="1">
        <v>0</v>
      </c>
      <c r="S901">
        <v>99.302199999999999</v>
      </c>
      <c r="T901">
        <v>98.274000000000001</v>
      </c>
      <c r="U901">
        <v>10.218</v>
      </c>
      <c r="V901">
        <v>0</v>
      </c>
      <c r="W901">
        <v>0</v>
      </c>
      <c r="X901">
        <v>1.6958</v>
      </c>
      <c r="Y901">
        <v>1.6958</v>
      </c>
      <c r="Z901">
        <v>0</v>
      </c>
      <c r="AA901">
        <v>1.25936</v>
      </c>
      <c r="AB901">
        <v>2.9635199999999999</v>
      </c>
      <c r="AC901" s="2">
        <v>400520000</v>
      </c>
      <c r="AD901" s="1">
        <v>0</v>
      </c>
      <c r="AE901" s="1">
        <v>0</v>
      </c>
      <c r="AF901" s="1">
        <v>0</v>
      </c>
      <c r="AG901" s="1">
        <v>0</v>
      </c>
      <c r="AH901" s="2">
        <v>4387440</v>
      </c>
      <c r="AI901" s="1">
        <v>143014</v>
      </c>
      <c r="AJ901" s="1">
        <v>0</v>
      </c>
      <c r="AK901" s="8">
        <f t="shared" si="55"/>
        <v>16</v>
      </c>
      <c r="AL901" s="8">
        <f t="shared" si="58"/>
        <v>18</v>
      </c>
      <c r="AM901">
        <f t="shared" si="56"/>
        <v>0</v>
      </c>
      <c r="AN901">
        <f t="shared" si="57"/>
        <v>0</v>
      </c>
    </row>
    <row r="902" spans="1:40" x14ac:dyDescent="0.35">
      <c r="A902">
        <v>85.138999999999996</v>
      </c>
      <c r="B902">
        <v>85.138999999999996</v>
      </c>
      <c r="C902">
        <v>5.0164099999999996</v>
      </c>
      <c r="D902">
        <v>0</v>
      </c>
      <c r="E902">
        <v>0</v>
      </c>
      <c r="F902">
        <v>2.9093599999999999</v>
      </c>
      <c r="G902">
        <v>2.9093599999999999</v>
      </c>
      <c r="H902">
        <v>0</v>
      </c>
      <c r="I902">
        <v>0.54514499999999999</v>
      </c>
      <c r="J902">
        <v>5.3222399999999999</v>
      </c>
      <c r="K902" s="2">
        <v>119673000</v>
      </c>
      <c r="L902" s="1">
        <v>0</v>
      </c>
      <c r="M902" s="1">
        <v>0</v>
      </c>
      <c r="N902" s="1">
        <v>0</v>
      </c>
      <c r="O902" s="1">
        <v>0</v>
      </c>
      <c r="P902" s="2">
        <v>4349420</v>
      </c>
      <c r="Q902" s="1">
        <v>299088</v>
      </c>
      <c r="R902" s="1">
        <v>0</v>
      </c>
      <c r="S902">
        <v>99.302199999999999</v>
      </c>
      <c r="T902">
        <v>98.274000000000001</v>
      </c>
      <c r="U902">
        <v>6.5588699999999998</v>
      </c>
      <c r="V902">
        <v>0</v>
      </c>
      <c r="W902">
        <v>0</v>
      </c>
      <c r="X902">
        <v>1.69601</v>
      </c>
      <c r="Y902">
        <v>1.69601</v>
      </c>
      <c r="Z902">
        <v>0</v>
      </c>
      <c r="AA902">
        <v>1.3101799999999999</v>
      </c>
      <c r="AB902">
        <v>2.9635199999999999</v>
      </c>
      <c r="AC902" s="2">
        <v>400663000</v>
      </c>
      <c r="AD902" s="1">
        <v>0</v>
      </c>
      <c r="AE902" s="1">
        <v>0</v>
      </c>
      <c r="AF902" s="1">
        <v>0</v>
      </c>
      <c r="AG902" s="1">
        <v>0</v>
      </c>
      <c r="AH902" s="2">
        <v>4387990</v>
      </c>
      <c r="AI902" s="1">
        <v>143032</v>
      </c>
      <c r="AJ902" s="1">
        <v>0</v>
      </c>
      <c r="AK902" s="8">
        <f t="shared" si="55"/>
        <v>17</v>
      </c>
      <c r="AL902" s="8">
        <f t="shared" si="58"/>
        <v>18</v>
      </c>
      <c r="AM902">
        <f t="shared" si="56"/>
        <v>0</v>
      </c>
      <c r="AN902">
        <f t="shared" si="57"/>
        <v>0</v>
      </c>
    </row>
    <row r="903" spans="1:40" x14ac:dyDescent="0.35">
      <c r="A903">
        <v>85.138999999999996</v>
      </c>
      <c r="B903">
        <v>85.138999999999996</v>
      </c>
      <c r="C903">
        <v>4.3839100000000002</v>
      </c>
      <c r="D903">
        <v>0</v>
      </c>
      <c r="E903">
        <v>0</v>
      </c>
      <c r="F903">
        <v>2.9097200000000001</v>
      </c>
      <c r="G903">
        <v>2.9097200000000001</v>
      </c>
      <c r="H903">
        <v>0</v>
      </c>
      <c r="I903">
        <v>0.54521399999999998</v>
      </c>
      <c r="J903">
        <v>5.3222399999999999</v>
      </c>
      <c r="K903" s="2">
        <v>119973000</v>
      </c>
      <c r="L903" s="1">
        <v>0</v>
      </c>
      <c r="M903" s="1">
        <v>0</v>
      </c>
      <c r="N903" s="1">
        <v>0</v>
      </c>
      <c r="O903" s="1">
        <v>0</v>
      </c>
      <c r="P903" s="2">
        <v>4349960</v>
      </c>
      <c r="Q903" s="1">
        <v>299125</v>
      </c>
      <c r="R903" s="1">
        <v>0</v>
      </c>
      <c r="S903">
        <v>99.302199999999999</v>
      </c>
      <c r="T903">
        <v>98.274000000000001</v>
      </c>
      <c r="U903">
        <v>5.5625099999999996</v>
      </c>
      <c r="V903">
        <v>0</v>
      </c>
      <c r="W903">
        <v>0</v>
      </c>
      <c r="X903">
        <v>1.6962299999999999</v>
      </c>
      <c r="Y903">
        <v>1.6962299999999999</v>
      </c>
      <c r="Z903">
        <v>0</v>
      </c>
      <c r="AA903">
        <v>1.3103400000000001</v>
      </c>
      <c r="AB903">
        <v>2.9635199999999999</v>
      </c>
      <c r="AC903" s="2">
        <v>400806000</v>
      </c>
      <c r="AD903" s="1">
        <v>0</v>
      </c>
      <c r="AE903" s="1">
        <v>0</v>
      </c>
      <c r="AF903" s="1">
        <v>0</v>
      </c>
      <c r="AG903" s="1">
        <v>0</v>
      </c>
      <c r="AH903" s="2">
        <v>4388540</v>
      </c>
      <c r="AI903" s="1">
        <v>143050</v>
      </c>
      <c r="AJ903" s="1">
        <v>0</v>
      </c>
      <c r="AK903" s="8">
        <f t="shared" si="55"/>
        <v>18</v>
      </c>
      <c r="AL903" s="8">
        <f t="shared" si="58"/>
        <v>18</v>
      </c>
      <c r="AM903">
        <f t="shared" si="56"/>
        <v>0</v>
      </c>
      <c r="AN903">
        <f t="shared" si="57"/>
        <v>0</v>
      </c>
    </row>
    <row r="904" spans="1:40" x14ac:dyDescent="0.35">
      <c r="A904">
        <v>85.138999999999996</v>
      </c>
      <c r="B904">
        <v>85.138999999999996</v>
      </c>
      <c r="C904">
        <v>3.9589500000000002</v>
      </c>
      <c r="D904">
        <v>0</v>
      </c>
      <c r="E904">
        <v>0</v>
      </c>
      <c r="F904">
        <v>2.9100899999999998</v>
      </c>
      <c r="G904">
        <v>2.9100899999999998</v>
      </c>
      <c r="H904">
        <v>0</v>
      </c>
      <c r="I904">
        <v>0.54528200000000004</v>
      </c>
      <c r="J904">
        <v>5.3222399999999999</v>
      </c>
      <c r="K904" s="2">
        <v>120272000</v>
      </c>
      <c r="L904" s="1">
        <v>0</v>
      </c>
      <c r="M904" s="1">
        <v>0</v>
      </c>
      <c r="N904" s="1">
        <v>0</v>
      </c>
      <c r="O904" s="1">
        <v>0</v>
      </c>
      <c r="P904" s="2">
        <v>4350510</v>
      </c>
      <c r="Q904" s="1">
        <v>299163</v>
      </c>
      <c r="R904" s="1">
        <v>0</v>
      </c>
      <c r="S904">
        <v>99.302199999999999</v>
      </c>
      <c r="T904">
        <v>98.274000000000001</v>
      </c>
      <c r="U904">
        <v>6.0843800000000003</v>
      </c>
      <c r="V904">
        <v>0</v>
      </c>
      <c r="W904">
        <v>0</v>
      </c>
      <c r="X904">
        <v>1.6964399999999999</v>
      </c>
      <c r="Y904">
        <v>1.6964399999999999</v>
      </c>
      <c r="Z904">
        <v>0</v>
      </c>
      <c r="AA904">
        <v>1.3105100000000001</v>
      </c>
      <c r="AB904">
        <v>2.9635199999999999</v>
      </c>
      <c r="AC904" s="2">
        <v>400949000</v>
      </c>
      <c r="AD904" s="1">
        <v>0</v>
      </c>
      <c r="AE904" s="1">
        <v>0</v>
      </c>
      <c r="AF904" s="1">
        <v>0</v>
      </c>
      <c r="AG904" s="1">
        <v>0</v>
      </c>
      <c r="AH904" s="2">
        <v>4389090</v>
      </c>
      <c r="AI904" s="1">
        <v>143068</v>
      </c>
      <c r="AJ904" s="1">
        <v>0</v>
      </c>
      <c r="AK904" s="8">
        <f t="shared" ref="AK904:AK967" si="59">IF(AK903=52, 1, AK903+1)</f>
        <v>19</v>
      </c>
      <c r="AL904" s="8">
        <f t="shared" si="58"/>
        <v>18</v>
      </c>
      <c r="AM904">
        <f t="shared" si="56"/>
        <v>0</v>
      </c>
      <c r="AN904">
        <f t="shared" si="57"/>
        <v>0</v>
      </c>
    </row>
    <row r="905" spans="1:40" x14ac:dyDescent="0.35">
      <c r="A905">
        <v>85.101100000000002</v>
      </c>
      <c r="B905">
        <v>85.138999999999996</v>
      </c>
      <c r="C905">
        <v>3.3147500000000001</v>
      </c>
      <c r="D905">
        <v>0</v>
      </c>
      <c r="E905">
        <v>0</v>
      </c>
      <c r="F905">
        <v>2.8703400000000001</v>
      </c>
      <c r="G905">
        <v>2.8703400000000001</v>
      </c>
      <c r="H905">
        <v>0</v>
      </c>
      <c r="I905">
        <v>0.54535</v>
      </c>
      <c r="J905">
        <v>5.3222399999999999</v>
      </c>
      <c r="K905" s="2">
        <v>120567000</v>
      </c>
      <c r="L905" s="1">
        <v>0</v>
      </c>
      <c r="M905" s="1">
        <v>0</v>
      </c>
      <c r="N905" s="1">
        <v>0</v>
      </c>
      <c r="O905" s="1">
        <v>0</v>
      </c>
      <c r="P905" s="2">
        <v>4291080</v>
      </c>
      <c r="Q905" s="1">
        <v>295076</v>
      </c>
      <c r="R905" s="1">
        <v>0</v>
      </c>
      <c r="S905">
        <v>99.302199999999999</v>
      </c>
      <c r="T905">
        <v>98.274000000000001</v>
      </c>
      <c r="U905">
        <v>4.1559999999999997</v>
      </c>
      <c r="V905">
        <v>0</v>
      </c>
      <c r="W905">
        <v>0</v>
      </c>
      <c r="X905">
        <v>1.67117</v>
      </c>
      <c r="Y905">
        <v>1.67117</v>
      </c>
      <c r="Z905">
        <v>0</v>
      </c>
      <c r="AA905">
        <v>1.31067</v>
      </c>
      <c r="AB905">
        <v>2.9635199999999999</v>
      </c>
      <c r="AC905" s="2">
        <v>401090000</v>
      </c>
      <c r="AD905" s="1">
        <v>0</v>
      </c>
      <c r="AE905" s="1">
        <v>0</v>
      </c>
      <c r="AF905" s="1">
        <v>0</v>
      </c>
      <c r="AG905" s="1">
        <v>0</v>
      </c>
      <c r="AH905" s="2">
        <v>4323730</v>
      </c>
      <c r="AI905" s="1">
        <v>140937</v>
      </c>
      <c r="AJ905" s="1">
        <v>0</v>
      </c>
      <c r="AK905" s="8">
        <f t="shared" si="59"/>
        <v>20</v>
      </c>
      <c r="AL905" s="8">
        <f t="shared" si="58"/>
        <v>18</v>
      </c>
      <c r="AM905">
        <f t="shared" si="56"/>
        <v>0</v>
      </c>
      <c r="AN905">
        <f t="shared" si="57"/>
        <v>0</v>
      </c>
    </row>
    <row r="906" spans="1:40" x14ac:dyDescent="0.35">
      <c r="A906">
        <v>84.911500000000004</v>
      </c>
      <c r="B906">
        <v>85.138999999999996</v>
      </c>
      <c r="C906">
        <v>3.0899800000000002</v>
      </c>
      <c r="D906">
        <v>0</v>
      </c>
      <c r="E906">
        <v>0</v>
      </c>
      <c r="F906">
        <v>2.8706999999999998</v>
      </c>
      <c r="G906">
        <v>2.8706999999999998</v>
      </c>
      <c r="H906">
        <v>0</v>
      </c>
      <c r="I906">
        <v>0.53790099999999996</v>
      </c>
      <c r="J906">
        <v>5.3222399999999999</v>
      </c>
      <c r="K906" s="2">
        <v>120862000</v>
      </c>
      <c r="L906" s="1">
        <v>0</v>
      </c>
      <c r="M906" s="1">
        <v>0</v>
      </c>
      <c r="N906" s="1">
        <v>0</v>
      </c>
      <c r="O906" s="1">
        <v>0</v>
      </c>
      <c r="P906" s="2">
        <v>4291620</v>
      </c>
      <c r="Q906" s="1">
        <v>295113</v>
      </c>
      <c r="R906" s="1">
        <v>0</v>
      </c>
      <c r="S906">
        <v>99.302199999999999</v>
      </c>
      <c r="T906">
        <v>98.274000000000001</v>
      </c>
      <c r="U906">
        <v>3.5686399999999998</v>
      </c>
      <c r="V906">
        <v>0</v>
      </c>
      <c r="W906">
        <v>0</v>
      </c>
      <c r="X906">
        <v>1.6713800000000001</v>
      </c>
      <c r="Y906">
        <v>1.6713800000000001</v>
      </c>
      <c r="Z906">
        <v>0</v>
      </c>
      <c r="AA906">
        <v>1.29115</v>
      </c>
      <c r="AB906">
        <v>2.9635199999999999</v>
      </c>
      <c r="AC906" s="2">
        <v>401231000</v>
      </c>
      <c r="AD906" s="1">
        <v>0</v>
      </c>
      <c r="AE906" s="1">
        <v>0</v>
      </c>
      <c r="AF906" s="1">
        <v>0</v>
      </c>
      <c r="AG906" s="1">
        <v>0</v>
      </c>
      <c r="AH906" s="2">
        <v>4324270</v>
      </c>
      <c r="AI906" s="1">
        <v>140954</v>
      </c>
      <c r="AJ906" s="1">
        <v>0</v>
      </c>
      <c r="AK906" s="8">
        <f t="shared" si="59"/>
        <v>21</v>
      </c>
      <c r="AL906" s="8">
        <f t="shared" si="58"/>
        <v>18</v>
      </c>
      <c r="AM906">
        <f t="shared" si="56"/>
        <v>0</v>
      </c>
      <c r="AN906">
        <f t="shared" si="57"/>
        <v>0</v>
      </c>
    </row>
    <row r="907" spans="1:40" x14ac:dyDescent="0.35">
      <c r="A907">
        <v>84.543300000000002</v>
      </c>
      <c r="B907">
        <v>85.138999999999996</v>
      </c>
      <c r="C907">
        <v>2.8887700000000001</v>
      </c>
      <c r="D907">
        <v>0</v>
      </c>
      <c r="E907">
        <v>0</v>
      </c>
      <c r="F907">
        <v>2.8710599999999999</v>
      </c>
      <c r="G907">
        <v>2.8710599999999999</v>
      </c>
      <c r="H907">
        <v>0</v>
      </c>
      <c r="I907">
        <v>0.53796900000000003</v>
      </c>
      <c r="J907">
        <v>5.3222399999999999</v>
      </c>
      <c r="K907" s="2">
        <v>121157000</v>
      </c>
      <c r="L907" s="1">
        <v>0</v>
      </c>
      <c r="M907" s="1">
        <v>0</v>
      </c>
      <c r="N907" s="1">
        <v>0</v>
      </c>
      <c r="O907" s="1">
        <v>0</v>
      </c>
      <c r="P907" s="2">
        <v>4292160</v>
      </c>
      <c r="Q907" s="1">
        <v>295150</v>
      </c>
      <c r="R907" s="1">
        <v>0</v>
      </c>
      <c r="S907">
        <v>99.302199999999999</v>
      </c>
      <c r="T907">
        <v>98.274000000000001</v>
      </c>
      <c r="U907">
        <v>3.48326</v>
      </c>
      <c r="V907">
        <v>0</v>
      </c>
      <c r="W907">
        <v>0</v>
      </c>
      <c r="X907">
        <v>1.6715899999999999</v>
      </c>
      <c r="Y907">
        <v>1.6715899999999999</v>
      </c>
      <c r="Z907">
        <v>0</v>
      </c>
      <c r="AA907">
        <v>1.29131</v>
      </c>
      <c r="AB907">
        <v>2.9635199999999999</v>
      </c>
      <c r="AC907" s="2">
        <v>401372000</v>
      </c>
      <c r="AD907" s="1">
        <v>0</v>
      </c>
      <c r="AE907" s="1">
        <v>0</v>
      </c>
      <c r="AF907" s="1">
        <v>0</v>
      </c>
      <c r="AG907" s="1">
        <v>0</v>
      </c>
      <c r="AH907" s="2">
        <v>4324810</v>
      </c>
      <c r="AI907" s="1">
        <v>140972</v>
      </c>
      <c r="AJ907" s="1">
        <v>0</v>
      </c>
      <c r="AK907" s="8">
        <f t="shared" si="59"/>
        <v>22</v>
      </c>
      <c r="AL907" s="8">
        <f t="shared" si="58"/>
        <v>18</v>
      </c>
      <c r="AM907">
        <f t="shared" si="56"/>
        <v>0</v>
      </c>
      <c r="AN907">
        <f t="shared" si="57"/>
        <v>0</v>
      </c>
    </row>
    <row r="908" spans="1:40" x14ac:dyDescent="0.35">
      <c r="A908">
        <v>84.064300000000003</v>
      </c>
      <c r="B908">
        <v>85.138999999999996</v>
      </c>
      <c r="C908">
        <v>2.7641300000000002</v>
      </c>
      <c r="D908">
        <v>0</v>
      </c>
      <c r="E908">
        <v>0</v>
      </c>
      <c r="F908">
        <v>2.8714200000000001</v>
      </c>
      <c r="G908">
        <v>2.8714200000000001</v>
      </c>
      <c r="H908">
        <v>0</v>
      </c>
      <c r="I908">
        <v>0.53803599999999996</v>
      </c>
      <c r="J908">
        <v>5.3222399999999999</v>
      </c>
      <c r="K908" s="2">
        <v>121452000</v>
      </c>
      <c r="L908" s="1">
        <v>0</v>
      </c>
      <c r="M908" s="1">
        <v>0</v>
      </c>
      <c r="N908" s="1">
        <v>0</v>
      </c>
      <c r="O908" s="1">
        <v>0</v>
      </c>
      <c r="P908" s="2">
        <v>4292700</v>
      </c>
      <c r="Q908" s="1">
        <v>295187</v>
      </c>
      <c r="R908" s="1">
        <v>0</v>
      </c>
      <c r="S908">
        <v>99.302199999999999</v>
      </c>
      <c r="T908">
        <v>98.274000000000001</v>
      </c>
      <c r="U908">
        <v>4.2468899999999996</v>
      </c>
      <c r="V908">
        <v>0</v>
      </c>
      <c r="W908">
        <v>0</v>
      </c>
      <c r="X908">
        <v>1.6718</v>
      </c>
      <c r="Y908">
        <v>1.6718</v>
      </c>
      <c r="Z908">
        <v>0</v>
      </c>
      <c r="AA908">
        <v>1.2914699999999999</v>
      </c>
      <c r="AB908">
        <v>2.9635199999999999</v>
      </c>
      <c r="AC908" s="2">
        <v>401513000</v>
      </c>
      <c r="AD908" s="1">
        <v>0</v>
      </c>
      <c r="AE908" s="1">
        <v>0</v>
      </c>
      <c r="AF908" s="1">
        <v>0</v>
      </c>
      <c r="AG908" s="1">
        <v>0</v>
      </c>
      <c r="AH908" s="2">
        <v>4325350</v>
      </c>
      <c r="AI908" s="1">
        <v>140990</v>
      </c>
      <c r="AJ908" s="1">
        <v>0</v>
      </c>
      <c r="AK908" s="8">
        <f t="shared" si="59"/>
        <v>23</v>
      </c>
      <c r="AL908" s="8">
        <f t="shared" si="58"/>
        <v>18</v>
      </c>
      <c r="AM908">
        <f t="shared" si="56"/>
        <v>0</v>
      </c>
      <c r="AN908">
        <f t="shared" si="57"/>
        <v>0</v>
      </c>
    </row>
    <row r="909" spans="1:40" x14ac:dyDescent="0.35">
      <c r="A909">
        <v>83.271100000000004</v>
      </c>
      <c r="B909">
        <v>85.138999999999996</v>
      </c>
      <c r="C909">
        <v>2.53403</v>
      </c>
      <c r="D909">
        <v>0</v>
      </c>
      <c r="E909">
        <v>0</v>
      </c>
      <c r="F909">
        <v>3.0080100000000001</v>
      </c>
      <c r="G909">
        <v>3.0080100000000001</v>
      </c>
      <c r="H909">
        <v>0</v>
      </c>
      <c r="I909">
        <v>0.53810400000000003</v>
      </c>
      <c r="J909">
        <v>5.3222399999999999</v>
      </c>
      <c r="K909" s="2">
        <v>121761000</v>
      </c>
      <c r="L909" s="1">
        <v>0</v>
      </c>
      <c r="M909" s="1">
        <v>0</v>
      </c>
      <c r="N909" s="1">
        <v>0</v>
      </c>
      <c r="O909" s="1">
        <v>0</v>
      </c>
      <c r="P909" s="2">
        <v>4496890</v>
      </c>
      <c r="Q909" s="1">
        <v>309229</v>
      </c>
      <c r="R909" s="1">
        <v>0</v>
      </c>
      <c r="S909">
        <v>99.302199999999999</v>
      </c>
      <c r="T909">
        <v>98.274000000000001</v>
      </c>
      <c r="U909">
        <v>3.5169899999999998</v>
      </c>
      <c r="V909">
        <v>0</v>
      </c>
      <c r="W909">
        <v>0</v>
      </c>
      <c r="X909">
        <v>1.76241</v>
      </c>
      <c r="Y909">
        <v>1.76241</v>
      </c>
      <c r="Z909">
        <v>0</v>
      </c>
      <c r="AA909">
        <v>1.2916399999999999</v>
      </c>
      <c r="AB909">
        <v>2.9635199999999999</v>
      </c>
      <c r="AC909" s="2">
        <v>401661000</v>
      </c>
      <c r="AD909" s="1">
        <v>0</v>
      </c>
      <c r="AE909" s="1">
        <v>0</v>
      </c>
      <c r="AF909" s="1">
        <v>0</v>
      </c>
      <c r="AG909" s="1">
        <v>0</v>
      </c>
      <c r="AH909" s="2">
        <v>4559780</v>
      </c>
      <c r="AI909" s="1">
        <v>148631</v>
      </c>
      <c r="AJ909" s="1">
        <v>0</v>
      </c>
      <c r="AK909" s="8">
        <f t="shared" si="59"/>
        <v>24</v>
      </c>
      <c r="AL909" s="8">
        <f t="shared" si="58"/>
        <v>18</v>
      </c>
      <c r="AM909">
        <f t="shared" si="56"/>
        <v>0</v>
      </c>
      <c r="AN909">
        <f t="shared" si="57"/>
        <v>0</v>
      </c>
    </row>
    <row r="910" spans="1:40" x14ac:dyDescent="0.35">
      <c r="A910">
        <v>82.624200000000002</v>
      </c>
      <c r="B910">
        <v>85.138999999999996</v>
      </c>
      <c r="C910">
        <v>2.6407400000000001</v>
      </c>
      <c r="D910">
        <v>0</v>
      </c>
      <c r="E910">
        <v>0</v>
      </c>
      <c r="F910">
        <v>3.0083799999999998</v>
      </c>
      <c r="G910">
        <v>3.0083799999999998</v>
      </c>
      <c r="H910">
        <v>0</v>
      </c>
      <c r="I910">
        <v>0.56369999999999998</v>
      </c>
      <c r="J910">
        <v>5.3222399999999999</v>
      </c>
      <c r="K910" s="2">
        <v>122071000</v>
      </c>
      <c r="L910" s="1">
        <v>0</v>
      </c>
      <c r="M910" s="1">
        <v>0</v>
      </c>
      <c r="N910" s="1">
        <v>0</v>
      </c>
      <c r="O910" s="1">
        <v>0</v>
      </c>
      <c r="P910" s="2">
        <v>4497460</v>
      </c>
      <c r="Q910" s="1">
        <v>309268</v>
      </c>
      <c r="R910" s="1">
        <v>0</v>
      </c>
      <c r="S910">
        <v>99.302199999999999</v>
      </c>
      <c r="T910">
        <v>98.274000000000001</v>
      </c>
      <c r="U910">
        <v>3.5626899999999999</v>
      </c>
      <c r="V910">
        <v>0</v>
      </c>
      <c r="W910">
        <v>0</v>
      </c>
      <c r="X910">
        <v>1.7626299999999999</v>
      </c>
      <c r="Y910">
        <v>1.7626299999999999</v>
      </c>
      <c r="Z910">
        <v>0</v>
      </c>
      <c r="AA910">
        <v>1.36164</v>
      </c>
      <c r="AB910">
        <v>2.9635199999999999</v>
      </c>
      <c r="AC910" s="2">
        <v>401810000</v>
      </c>
      <c r="AD910" s="1">
        <v>0</v>
      </c>
      <c r="AE910" s="1">
        <v>0</v>
      </c>
      <c r="AF910" s="1">
        <v>0</v>
      </c>
      <c r="AG910" s="1">
        <v>0</v>
      </c>
      <c r="AH910" s="2">
        <v>4560350</v>
      </c>
      <c r="AI910" s="1">
        <v>148650</v>
      </c>
      <c r="AJ910" s="1">
        <v>0</v>
      </c>
      <c r="AK910" s="8">
        <f t="shared" si="59"/>
        <v>25</v>
      </c>
      <c r="AL910" s="8">
        <f t="shared" si="58"/>
        <v>18</v>
      </c>
      <c r="AM910">
        <f t="shared" si="56"/>
        <v>0</v>
      </c>
      <c r="AN910">
        <f t="shared" si="57"/>
        <v>0</v>
      </c>
    </row>
    <row r="911" spans="1:40" x14ac:dyDescent="0.35">
      <c r="A911">
        <v>81.694900000000004</v>
      </c>
      <c r="B911">
        <v>85.138999999999996</v>
      </c>
      <c r="C911">
        <v>2.34192</v>
      </c>
      <c r="D911">
        <v>0</v>
      </c>
      <c r="E911">
        <v>0</v>
      </c>
      <c r="F911">
        <v>3.0087600000000001</v>
      </c>
      <c r="G911">
        <v>3.0087600000000001</v>
      </c>
      <c r="H911">
        <v>0</v>
      </c>
      <c r="I911">
        <v>0.56377100000000002</v>
      </c>
      <c r="J911">
        <v>5.3222399999999999</v>
      </c>
      <c r="K911" s="2">
        <v>122380000</v>
      </c>
      <c r="L911" s="1">
        <v>0</v>
      </c>
      <c r="M911" s="1">
        <v>0</v>
      </c>
      <c r="N911" s="1">
        <v>0</v>
      </c>
      <c r="O911" s="1">
        <v>0</v>
      </c>
      <c r="P911" s="2">
        <v>4498020</v>
      </c>
      <c r="Q911" s="1">
        <v>309306</v>
      </c>
      <c r="R911" s="1">
        <v>0</v>
      </c>
      <c r="S911">
        <v>99.302199999999999</v>
      </c>
      <c r="T911">
        <v>98.274000000000001</v>
      </c>
      <c r="U911">
        <v>3.3642500000000002</v>
      </c>
      <c r="V911">
        <v>0</v>
      </c>
      <c r="W911">
        <v>0</v>
      </c>
      <c r="X911">
        <v>1.76285</v>
      </c>
      <c r="Y911">
        <v>1.76285</v>
      </c>
      <c r="Z911">
        <v>0</v>
      </c>
      <c r="AA911">
        <v>1.36181</v>
      </c>
      <c r="AB911">
        <v>2.9635199999999999</v>
      </c>
      <c r="AC911" s="2">
        <v>401959000</v>
      </c>
      <c r="AD911" s="1">
        <v>0</v>
      </c>
      <c r="AE911" s="1">
        <v>0</v>
      </c>
      <c r="AF911" s="1">
        <v>0</v>
      </c>
      <c r="AG911" s="1">
        <v>0</v>
      </c>
      <c r="AH911" s="2">
        <v>4560920</v>
      </c>
      <c r="AI911" s="1">
        <v>148668</v>
      </c>
      <c r="AJ911" s="1">
        <v>0</v>
      </c>
      <c r="AK911" s="8">
        <f t="shared" si="59"/>
        <v>26</v>
      </c>
      <c r="AL911" s="8">
        <f t="shared" si="58"/>
        <v>18</v>
      </c>
      <c r="AM911">
        <f t="shared" si="56"/>
        <v>0</v>
      </c>
      <c r="AN911">
        <f t="shared" si="57"/>
        <v>0</v>
      </c>
    </row>
    <row r="912" spans="1:40" x14ac:dyDescent="0.35">
      <c r="A912">
        <v>80.589799999999997</v>
      </c>
      <c r="B912">
        <v>85.138999999999996</v>
      </c>
      <c r="C912">
        <v>2.1372100000000001</v>
      </c>
      <c r="D912">
        <v>0</v>
      </c>
      <c r="E912">
        <v>0</v>
      </c>
      <c r="F912">
        <v>3.0091399999999999</v>
      </c>
      <c r="G912">
        <v>3.0091399999999999</v>
      </c>
      <c r="H912">
        <v>0</v>
      </c>
      <c r="I912">
        <v>0.56384199999999995</v>
      </c>
      <c r="J912">
        <v>5.3222399999999999</v>
      </c>
      <c r="K912" s="2">
        <v>122689000</v>
      </c>
      <c r="L912" s="1">
        <v>0</v>
      </c>
      <c r="M912" s="1">
        <v>0</v>
      </c>
      <c r="N912" s="1">
        <v>0</v>
      </c>
      <c r="O912" s="1">
        <v>0</v>
      </c>
      <c r="P912" s="2">
        <v>4498590</v>
      </c>
      <c r="Q912" s="1">
        <v>309345</v>
      </c>
      <c r="R912" s="1">
        <v>0</v>
      </c>
      <c r="S912">
        <v>99.302199999999999</v>
      </c>
      <c r="T912">
        <v>98.274000000000001</v>
      </c>
      <c r="U912">
        <v>3.1944300000000001</v>
      </c>
      <c r="V912">
        <v>0</v>
      </c>
      <c r="W912">
        <v>0</v>
      </c>
      <c r="X912">
        <v>1.7630699999999999</v>
      </c>
      <c r="Y912">
        <v>1.7630699999999999</v>
      </c>
      <c r="Z912">
        <v>0</v>
      </c>
      <c r="AA912">
        <v>1.36198</v>
      </c>
      <c r="AB912">
        <v>2.9635199999999999</v>
      </c>
      <c r="AC912" s="2">
        <v>402107000</v>
      </c>
      <c r="AD912" s="1">
        <v>0</v>
      </c>
      <c r="AE912" s="1">
        <v>0</v>
      </c>
      <c r="AF912" s="1">
        <v>0</v>
      </c>
      <c r="AG912" s="1">
        <v>0</v>
      </c>
      <c r="AH912" s="2">
        <v>4561490</v>
      </c>
      <c r="AI912" s="1">
        <v>148687</v>
      </c>
      <c r="AJ912" s="1">
        <v>0</v>
      </c>
      <c r="AK912" s="8">
        <f t="shared" si="59"/>
        <v>27</v>
      </c>
      <c r="AL912" s="8">
        <f t="shared" si="58"/>
        <v>18</v>
      </c>
      <c r="AM912">
        <f t="shared" si="56"/>
        <v>0</v>
      </c>
      <c r="AN912">
        <f t="shared" si="57"/>
        <v>0</v>
      </c>
    </row>
    <row r="913" spans="1:40" x14ac:dyDescent="0.35">
      <c r="A913">
        <v>79.4268</v>
      </c>
      <c r="B913">
        <v>85.138999999999996</v>
      </c>
      <c r="C913">
        <v>2.0405899999999999</v>
      </c>
      <c r="D913">
        <v>0</v>
      </c>
      <c r="E913">
        <v>0</v>
      </c>
      <c r="F913">
        <v>3.0095200000000002</v>
      </c>
      <c r="G913">
        <v>3.0095200000000002</v>
      </c>
      <c r="H913">
        <v>0</v>
      </c>
      <c r="I913">
        <v>0.563913</v>
      </c>
      <c r="J913">
        <v>5.3222399999999999</v>
      </c>
      <c r="K913" s="2">
        <v>122999000</v>
      </c>
      <c r="L913" s="1">
        <v>0</v>
      </c>
      <c r="M913" s="1">
        <v>0</v>
      </c>
      <c r="N913" s="1">
        <v>0</v>
      </c>
      <c r="O913" s="1">
        <v>0</v>
      </c>
      <c r="P913" s="2">
        <v>4499150</v>
      </c>
      <c r="Q913" s="1">
        <v>309384</v>
      </c>
      <c r="R913" s="1">
        <v>0</v>
      </c>
      <c r="S913">
        <v>99.302199999999999</v>
      </c>
      <c r="T913">
        <v>98.274000000000001</v>
      </c>
      <c r="U913">
        <v>2.8218999999999999</v>
      </c>
      <c r="V913">
        <v>0</v>
      </c>
      <c r="W913">
        <v>0</v>
      </c>
      <c r="X913">
        <v>1.76329</v>
      </c>
      <c r="Y913">
        <v>1.76329</v>
      </c>
      <c r="Z913">
        <v>0</v>
      </c>
      <c r="AA913">
        <v>1.36215</v>
      </c>
      <c r="AB913">
        <v>2.9635199999999999</v>
      </c>
      <c r="AC913" s="2">
        <v>402256000</v>
      </c>
      <c r="AD913" s="1">
        <v>0</v>
      </c>
      <c r="AE913" s="1">
        <v>0</v>
      </c>
      <c r="AF913" s="1">
        <v>0</v>
      </c>
      <c r="AG913" s="1">
        <v>0</v>
      </c>
      <c r="AH913" s="2">
        <v>4562060</v>
      </c>
      <c r="AI913" s="1">
        <v>148706</v>
      </c>
      <c r="AJ913" s="1">
        <v>0</v>
      </c>
      <c r="AK913" s="8">
        <f t="shared" si="59"/>
        <v>28</v>
      </c>
      <c r="AL913" s="8">
        <f t="shared" si="58"/>
        <v>18</v>
      </c>
      <c r="AM913">
        <f t="shared" si="56"/>
        <v>0</v>
      </c>
      <c r="AN913">
        <f t="shared" si="57"/>
        <v>0</v>
      </c>
    </row>
    <row r="914" spans="1:40" x14ac:dyDescent="0.35">
      <c r="A914">
        <v>78.963300000000004</v>
      </c>
      <c r="B914">
        <v>85.138999999999996</v>
      </c>
      <c r="C914">
        <v>2.6886000000000001</v>
      </c>
      <c r="D914">
        <v>0</v>
      </c>
      <c r="E914">
        <v>0</v>
      </c>
      <c r="F914">
        <v>2.9829400000000001</v>
      </c>
      <c r="G914">
        <v>2.9829400000000001</v>
      </c>
      <c r="H914">
        <v>0</v>
      </c>
      <c r="I914">
        <v>0.56398300000000001</v>
      </c>
      <c r="J914">
        <v>5.3222399999999999</v>
      </c>
      <c r="K914" s="2">
        <v>123305000</v>
      </c>
      <c r="L914" s="1">
        <v>0</v>
      </c>
      <c r="M914" s="1">
        <v>0</v>
      </c>
      <c r="N914" s="1">
        <v>0</v>
      </c>
      <c r="O914" s="1">
        <v>0</v>
      </c>
      <c r="P914" s="2">
        <v>4459410</v>
      </c>
      <c r="Q914" s="1">
        <v>306652</v>
      </c>
      <c r="R914" s="1">
        <v>0</v>
      </c>
      <c r="S914">
        <v>99.302199999999999</v>
      </c>
      <c r="T914">
        <v>98.274000000000001</v>
      </c>
      <c r="U914">
        <v>3.4597199999999999</v>
      </c>
      <c r="V914">
        <v>0</v>
      </c>
      <c r="W914">
        <v>0</v>
      </c>
      <c r="X914">
        <v>1.8132299999999999</v>
      </c>
      <c r="Y914">
        <v>1.8132299999999999</v>
      </c>
      <c r="Z914">
        <v>0</v>
      </c>
      <c r="AA914">
        <v>1.36232</v>
      </c>
      <c r="AB914">
        <v>2.9635199999999999</v>
      </c>
      <c r="AC914" s="2">
        <v>402409000</v>
      </c>
      <c r="AD914" s="1">
        <v>0</v>
      </c>
      <c r="AE914" s="1">
        <v>0</v>
      </c>
      <c r="AF914" s="1">
        <v>0</v>
      </c>
      <c r="AG914" s="1">
        <v>0</v>
      </c>
      <c r="AH914" s="2">
        <v>4691260</v>
      </c>
      <c r="AI914" s="1">
        <v>152917</v>
      </c>
      <c r="AJ914" s="1">
        <v>0</v>
      </c>
      <c r="AK914" s="8">
        <f t="shared" si="59"/>
        <v>29</v>
      </c>
      <c r="AL914" s="8">
        <f t="shared" si="58"/>
        <v>18</v>
      </c>
      <c r="AM914">
        <f t="shared" si="56"/>
        <v>0</v>
      </c>
      <c r="AN914">
        <f t="shared" si="57"/>
        <v>0</v>
      </c>
    </row>
    <row r="915" spans="1:40" x14ac:dyDescent="0.35">
      <c r="A915">
        <v>78.581599999999995</v>
      </c>
      <c r="B915">
        <v>85.138999999999996</v>
      </c>
      <c r="C915">
        <v>2.7572000000000001</v>
      </c>
      <c r="D915">
        <v>0</v>
      </c>
      <c r="E915">
        <v>0</v>
      </c>
      <c r="F915">
        <v>2.9833099999999999</v>
      </c>
      <c r="G915">
        <v>2.9833099999999999</v>
      </c>
      <c r="H915">
        <v>0</v>
      </c>
      <c r="I915">
        <v>0.559002</v>
      </c>
      <c r="J915">
        <v>5.3222399999999999</v>
      </c>
      <c r="K915" s="2">
        <v>123612000</v>
      </c>
      <c r="L915" s="1">
        <v>0</v>
      </c>
      <c r="M915" s="1">
        <v>0</v>
      </c>
      <c r="N915" s="1">
        <v>0</v>
      </c>
      <c r="O915" s="1">
        <v>0</v>
      </c>
      <c r="P915" s="2">
        <v>4459970</v>
      </c>
      <c r="Q915" s="1">
        <v>306690</v>
      </c>
      <c r="R915" s="1">
        <v>0</v>
      </c>
      <c r="S915">
        <v>99.302199999999999</v>
      </c>
      <c r="T915">
        <v>98.274000000000001</v>
      </c>
      <c r="U915">
        <v>3.33453</v>
      </c>
      <c r="V915">
        <v>0</v>
      </c>
      <c r="W915">
        <v>0</v>
      </c>
      <c r="X915">
        <v>1.8134600000000001</v>
      </c>
      <c r="Y915">
        <v>1.8134600000000001</v>
      </c>
      <c r="Z915">
        <v>0</v>
      </c>
      <c r="AA915">
        <v>1.4009</v>
      </c>
      <c r="AB915">
        <v>2.9635199999999999</v>
      </c>
      <c r="AC915" s="2">
        <v>402562000</v>
      </c>
      <c r="AD915" s="1">
        <v>0</v>
      </c>
      <c r="AE915" s="1">
        <v>0</v>
      </c>
      <c r="AF915" s="1">
        <v>0</v>
      </c>
      <c r="AG915" s="1">
        <v>0</v>
      </c>
      <c r="AH915" s="2">
        <v>4691850</v>
      </c>
      <c r="AI915" s="1">
        <v>152936</v>
      </c>
      <c r="AJ915" s="1">
        <v>0</v>
      </c>
      <c r="AK915" s="8">
        <f t="shared" si="59"/>
        <v>30</v>
      </c>
      <c r="AL915" s="8">
        <f t="shared" si="58"/>
        <v>18</v>
      </c>
      <c r="AM915">
        <f t="shared" si="56"/>
        <v>0</v>
      </c>
      <c r="AN915">
        <f t="shared" si="57"/>
        <v>0</v>
      </c>
    </row>
    <row r="916" spans="1:40" x14ac:dyDescent="0.35">
      <c r="A916">
        <v>77.993300000000005</v>
      </c>
      <c r="B916">
        <v>85.138999999999996</v>
      </c>
      <c r="C916">
        <v>2.51878</v>
      </c>
      <c r="D916">
        <v>0</v>
      </c>
      <c r="E916">
        <v>0</v>
      </c>
      <c r="F916">
        <v>2.9836800000000001</v>
      </c>
      <c r="G916">
        <v>2.9836800000000001</v>
      </c>
      <c r="H916">
        <v>0</v>
      </c>
      <c r="I916">
        <v>0.55907200000000001</v>
      </c>
      <c r="J916">
        <v>5.3222399999999999</v>
      </c>
      <c r="K916" s="2">
        <v>123919000</v>
      </c>
      <c r="L916" s="1">
        <v>0</v>
      </c>
      <c r="M916" s="1">
        <v>0</v>
      </c>
      <c r="N916" s="1">
        <v>0</v>
      </c>
      <c r="O916" s="1">
        <v>0</v>
      </c>
      <c r="P916" s="2">
        <v>4460530</v>
      </c>
      <c r="Q916" s="1">
        <v>306728</v>
      </c>
      <c r="R916" s="1">
        <v>0</v>
      </c>
      <c r="S916">
        <v>99.302199999999999</v>
      </c>
      <c r="T916">
        <v>98.274000000000001</v>
      </c>
      <c r="U916">
        <v>3.19658</v>
      </c>
      <c r="V916">
        <v>0</v>
      </c>
      <c r="W916">
        <v>0</v>
      </c>
      <c r="X916">
        <v>1.81369</v>
      </c>
      <c r="Y916">
        <v>1.81369</v>
      </c>
      <c r="Z916">
        <v>0</v>
      </c>
      <c r="AA916">
        <v>1.4010800000000001</v>
      </c>
      <c r="AB916">
        <v>2.9635199999999999</v>
      </c>
      <c r="AC916" s="2">
        <v>402715000</v>
      </c>
      <c r="AD916" s="1">
        <v>0</v>
      </c>
      <c r="AE916" s="1">
        <v>0</v>
      </c>
      <c r="AF916" s="1">
        <v>0</v>
      </c>
      <c r="AG916" s="1">
        <v>0</v>
      </c>
      <c r="AH916" s="2">
        <v>4692440</v>
      </c>
      <c r="AI916" s="1">
        <v>152955</v>
      </c>
      <c r="AJ916" s="1">
        <v>0</v>
      </c>
      <c r="AK916" s="8">
        <f t="shared" si="59"/>
        <v>31</v>
      </c>
      <c r="AL916" s="8">
        <f t="shared" si="58"/>
        <v>18</v>
      </c>
      <c r="AM916">
        <f t="shared" si="56"/>
        <v>0</v>
      </c>
      <c r="AN916">
        <f t="shared" si="57"/>
        <v>0</v>
      </c>
    </row>
    <row r="917" spans="1:40" x14ac:dyDescent="0.35">
      <c r="A917">
        <v>77.299000000000007</v>
      </c>
      <c r="B917">
        <v>85.138999999999996</v>
      </c>
      <c r="C917">
        <v>2.3696299999999999</v>
      </c>
      <c r="D917">
        <v>0</v>
      </c>
      <c r="E917">
        <v>0</v>
      </c>
      <c r="F917">
        <v>2.9840599999999999</v>
      </c>
      <c r="G917">
        <v>2.9840599999999999</v>
      </c>
      <c r="H917">
        <v>0</v>
      </c>
      <c r="I917">
        <v>0.55914200000000003</v>
      </c>
      <c r="J917">
        <v>5.3222399999999999</v>
      </c>
      <c r="K917" s="2">
        <v>124226000</v>
      </c>
      <c r="L917" s="1">
        <v>0</v>
      </c>
      <c r="M917" s="1">
        <v>0</v>
      </c>
      <c r="N917" s="1">
        <v>0</v>
      </c>
      <c r="O917" s="1">
        <v>0</v>
      </c>
      <c r="P917" s="2">
        <v>4461090</v>
      </c>
      <c r="Q917" s="1">
        <v>306767</v>
      </c>
      <c r="R917" s="1">
        <v>0</v>
      </c>
      <c r="S917">
        <v>99.302199999999999</v>
      </c>
      <c r="T917">
        <v>98.274000000000001</v>
      </c>
      <c r="U917">
        <v>3.0827100000000001</v>
      </c>
      <c r="V917">
        <v>0</v>
      </c>
      <c r="W917">
        <v>0</v>
      </c>
      <c r="X917">
        <v>1.8139099999999999</v>
      </c>
      <c r="Y917">
        <v>1.8139099999999999</v>
      </c>
      <c r="Z917">
        <v>0</v>
      </c>
      <c r="AA917">
        <v>1.4012500000000001</v>
      </c>
      <c r="AB917">
        <v>2.9635199999999999</v>
      </c>
      <c r="AC917" s="2">
        <v>402868000</v>
      </c>
      <c r="AD917" s="1">
        <v>0</v>
      </c>
      <c r="AE917" s="1">
        <v>0</v>
      </c>
      <c r="AF917" s="1">
        <v>0</v>
      </c>
      <c r="AG917" s="1">
        <v>0</v>
      </c>
      <c r="AH917" s="2">
        <v>4693030</v>
      </c>
      <c r="AI917" s="1">
        <v>152975</v>
      </c>
      <c r="AJ917" s="1">
        <v>0</v>
      </c>
      <c r="AK917" s="8">
        <f t="shared" si="59"/>
        <v>32</v>
      </c>
      <c r="AL917" s="8">
        <f t="shared" si="58"/>
        <v>18</v>
      </c>
      <c r="AM917">
        <f t="shared" si="56"/>
        <v>0</v>
      </c>
      <c r="AN917">
        <f t="shared" si="57"/>
        <v>0</v>
      </c>
    </row>
    <row r="918" spans="1:40" x14ac:dyDescent="0.35">
      <c r="A918">
        <v>76.288399999999996</v>
      </c>
      <c r="B918">
        <v>85.138999999999996</v>
      </c>
      <c r="C918">
        <v>2.0969899999999999</v>
      </c>
      <c r="D918">
        <v>0</v>
      </c>
      <c r="E918">
        <v>0</v>
      </c>
      <c r="F918">
        <v>3.0540799999999999</v>
      </c>
      <c r="G918">
        <v>3.0540799999999999</v>
      </c>
      <c r="H918">
        <v>0</v>
      </c>
      <c r="I918">
        <v>0.55921200000000004</v>
      </c>
      <c r="J918">
        <v>5.3222399999999999</v>
      </c>
      <c r="K918" s="2">
        <v>124540000</v>
      </c>
      <c r="L918" s="1">
        <v>0</v>
      </c>
      <c r="M918" s="1">
        <v>0</v>
      </c>
      <c r="N918" s="1">
        <v>0</v>
      </c>
      <c r="O918" s="1">
        <v>0</v>
      </c>
      <c r="P918" s="2">
        <v>4565780</v>
      </c>
      <c r="Q918" s="1">
        <v>313966</v>
      </c>
      <c r="R918" s="1">
        <v>0</v>
      </c>
      <c r="S918">
        <v>99.282499999999999</v>
      </c>
      <c r="T918">
        <v>98.274000000000001</v>
      </c>
      <c r="U918">
        <v>2.9265300000000001</v>
      </c>
      <c r="V918">
        <v>0</v>
      </c>
      <c r="W918">
        <v>0</v>
      </c>
      <c r="X918">
        <v>1.8584700000000001</v>
      </c>
      <c r="Y918">
        <v>1.8584700000000001</v>
      </c>
      <c r="Z918">
        <v>0</v>
      </c>
      <c r="AA918">
        <v>1.40143</v>
      </c>
      <c r="AB918">
        <v>2.9635199999999999</v>
      </c>
      <c r="AC918" s="2">
        <v>403024000</v>
      </c>
      <c r="AD918" s="1">
        <v>0</v>
      </c>
      <c r="AE918" s="1">
        <v>0</v>
      </c>
      <c r="AF918" s="1">
        <v>0</v>
      </c>
      <c r="AG918" s="1">
        <v>0</v>
      </c>
      <c r="AH918" s="2">
        <v>4808300</v>
      </c>
      <c r="AI918" s="1">
        <v>156732</v>
      </c>
      <c r="AJ918" s="1">
        <v>0</v>
      </c>
      <c r="AK918" s="8">
        <f t="shared" si="59"/>
        <v>33</v>
      </c>
      <c r="AL918" s="8">
        <f t="shared" si="58"/>
        <v>18</v>
      </c>
      <c r="AM918">
        <f t="shared" si="56"/>
        <v>0</v>
      </c>
      <c r="AN918">
        <f t="shared" si="57"/>
        <v>0</v>
      </c>
    </row>
    <row r="919" spans="1:40" x14ac:dyDescent="0.35">
      <c r="A919">
        <v>75.483999999999995</v>
      </c>
      <c r="B919">
        <v>85.138999999999996</v>
      </c>
      <c r="C919">
        <v>2.3239399999999999</v>
      </c>
      <c r="D919">
        <v>0</v>
      </c>
      <c r="E919">
        <v>0</v>
      </c>
      <c r="F919">
        <v>3.0544699999999998</v>
      </c>
      <c r="G919">
        <v>3.0544699999999998</v>
      </c>
      <c r="H919">
        <v>0</v>
      </c>
      <c r="I919">
        <v>0.57233500000000004</v>
      </c>
      <c r="J919">
        <v>5.3222399999999999</v>
      </c>
      <c r="K919" s="2">
        <v>124854000</v>
      </c>
      <c r="L919" s="1">
        <v>0</v>
      </c>
      <c r="M919" s="1">
        <v>0</v>
      </c>
      <c r="N919" s="1">
        <v>0</v>
      </c>
      <c r="O919" s="1">
        <v>0</v>
      </c>
      <c r="P919" s="2">
        <v>4566350</v>
      </c>
      <c r="Q919" s="1">
        <v>314005</v>
      </c>
      <c r="R919" s="1">
        <v>0</v>
      </c>
      <c r="S919">
        <v>99.302199999999999</v>
      </c>
      <c r="T919">
        <v>98.274000000000001</v>
      </c>
      <c r="U919">
        <v>3.41987</v>
      </c>
      <c r="V919">
        <v>0</v>
      </c>
      <c r="W919">
        <v>0</v>
      </c>
      <c r="X919">
        <v>1.8587</v>
      </c>
      <c r="Y919">
        <v>1.8587</v>
      </c>
      <c r="Z919">
        <v>0</v>
      </c>
      <c r="AA919">
        <v>1.4358500000000001</v>
      </c>
      <c r="AB919">
        <v>2.9635199999999999</v>
      </c>
      <c r="AC919" s="2">
        <v>403181000</v>
      </c>
      <c r="AD919" s="1">
        <v>0</v>
      </c>
      <c r="AE919" s="1">
        <v>0</v>
      </c>
      <c r="AF919" s="1">
        <v>0</v>
      </c>
      <c r="AG919" s="1">
        <v>0</v>
      </c>
      <c r="AH919" s="2">
        <v>4808910</v>
      </c>
      <c r="AI919" s="1">
        <v>156752</v>
      </c>
      <c r="AJ919" s="1">
        <v>0</v>
      </c>
      <c r="AK919" s="8">
        <f t="shared" si="59"/>
        <v>34</v>
      </c>
      <c r="AL919" s="8">
        <f t="shared" si="58"/>
        <v>18</v>
      </c>
      <c r="AM919">
        <f t="shared" si="56"/>
        <v>0</v>
      </c>
      <c r="AN919">
        <f t="shared" si="57"/>
        <v>0</v>
      </c>
    </row>
    <row r="920" spans="1:40" x14ac:dyDescent="0.35">
      <c r="A920">
        <v>74.490099999999998</v>
      </c>
      <c r="B920">
        <v>85.138999999999996</v>
      </c>
      <c r="C920">
        <v>2.0995499999999998</v>
      </c>
      <c r="D920">
        <v>0</v>
      </c>
      <c r="E920">
        <v>0</v>
      </c>
      <c r="F920">
        <v>3.0548500000000001</v>
      </c>
      <c r="G920">
        <v>3.0548500000000001</v>
      </c>
      <c r="H920">
        <v>0</v>
      </c>
      <c r="I920">
        <v>0.572407</v>
      </c>
      <c r="J920">
        <v>5.3222399999999999</v>
      </c>
      <c r="K920" s="2">
        <v>125168000</v>
      </c>
      <c r="L920" s="1">
        <v>0</v>
      </c>
      <c r="M920" s="1">
        <v>0</v>
      </c>
      <c r="N920" s="1">
        <v>0</v>
      </c>
      <c r="O920" s="1">
        <v>0</v>
      </c>
      <c r="P920" s="2">
        <v>4566920</v>
      </c>
      <c r="Q920" s="1">
        <v>314044</v>
      </c>
      <c r="R920" s="1">
        <v>0</v>
      </c>
      <c r="S920">
        <v>99.255499999999998</v>
      </c>
      <c r="T920">
        <v>98.274000000000001</v>
      </c>
      <c r="U920">
        <v>3.2662200000000001</v>
      </c>
      <c r="V920">
        <v>0</v>
      </c>
      <c r="W920">
        <v>0</v>
      </c>
      <c r="X920">
        <v>1.85894</v>
      </c>
      <c r="Y920">
        <v>1.85894</v>
      </c>
      <c r="Z920">
        <v>0</v>
      </c>
      <c r="AA920">
        <v>1.4360299999999999</v>
      </c>
      <c r="AB920">
        <v>2.9635199999999999</v>
      </c>
      <c r="AC920" s="2">
        <v>403338000</v>
      </c>
      <c r="AD920" s="1">
        <v>0</v>
      </c>
      <c r="AE920" s="1">
        <v>0</v>
      </c>
      <c r="AF920" s="1">
        <v>0</v>
      </c>
      <c r="AG920" s="1">
        <v>0</v>
      </c>
      <c r="AH920" s="2">
        <v>4809510</v>
      </c>
      <c r="AI920" s="1">
        <v>156771</v>
      </c>
      <c r="AJ920" s="1">
        <v>0</v>
      </c>
      <c r="AK920" s="8">
        <f t="shared" si="59"/>
        <v>35</v>
      </c>
      <c r="AL920" s="8">
        <f t="shared" si="58"/>
        <v>18</v>
      </c>
      <c r="AM920">
        <f t="shared" si="56"/>
        <v>0</v>
      </c>
      <c r="AN920">
        <f t="shared" si="57"/>
        <v>0</v>
      </c>
    </row>
    <row r="921" spans="1:40" x14ac:dyDescent="0.35">
      <c r="A921">
        <v>73.324399999999997</v>
      </c>
      <c r="B921">
        <v>85.138999999999996</v>
      </c>
      <c r="C921">
        <v>1.91228</v>
      </c>
      <c r="D921">
        <v>0</v>
      </c>
      <c r="E921">
        <v>0</v>
      </c>
      <c r="F921">
        <v>3.0552299999999999</v>
      </c>
      <c r="G921">
        <v>3.0552299999999999</v>
      </c>
      <c r="H921">
        <v>0</v>
      </c>
      <c r="I921">
        <v>0.57247899999999996</v>
      </c>
      <c r="J921">
        <v>5.3222399999999999</v>
      </c>
      <c r="K921" s="2">
        <v>125482000</v>
      </c>
      <c r="L921" s="1">
        <v>0</v>
      </c>
      <c r="M921" s="1">
        <v>0</v>
      </c>
      <c r="N921" s="1">
        <v>0</v>
      </c>
      <c r="O921" s="1">
        <v>0</v>
      </c>
      <c r="P921" s="2">
        <v>4567490</v>
      </c>
      <c r="Q921" s="1">
        <v>314084</v>
      </c>
      <c r="R921" s="1">
        <v>0</v>
      </c>
      <c r="S921">
        <v>99.155799999999999</v>
      </c>
      <c r="T921">
        <v>98.274000000000001</v>
      </c>
      <c r="U921">
        <v>2.8448699999999998</v>
      </c>
      <c r="V921">
        <v>0</v>
      </c>
      <c r="W921">
        <v>0</v>
      </c>
      <c r="X921">
        <v>1.85917</v>
      </c>
      <c r="Y921">
        <v>1.85917</v>
      </c>
      <c r="Z921">
        <v>0</v>
      </c>
      <c r="AA921">
        <v>1.43621</v>
      </c>
      <c r="AB921">
        <v>2.9635199999999999</v>
      </c>
      <c r="AC921" s="2">
        <v>403495000</v>
      </c>
      <c r="AD921" s="1">
        <v>0</v>
      </c>
      <c r="AE921" s="1">
        <v>0</v>
      </c>
      <c r="AF921" s="1">
        <v>0</v>
      </c>
      <c r="AG921" s="1">
        <v>0</v>
      </c>
      <c r="AH921" s="2">
        <v>4810110</v>
      </c>
      <c r="AI921" s="1">
        <v>156791</v>
      </c>
      <c r="AJ921" s="1">
        <v>0</v>
      </c>
      <c r="AK921" s="8">
        <f t="shared" si="59"/>
        <v>36</v>
      </c>
      <c r="AL921" s="8">
        <f t="shared" si="58"/>
        <v>18</v>
      </c>
      <c r="AM921">
        <f t="shared" si="56"/>
        <v>0</v>
      </c>
      <c r="AN921">
        <f t="shared" si="57"/>
        <v>0</v>
      </c>
    </row>
    <row r="922" spans="1:40" x14ac:dyDescent="0.35">
      <c r="A922">
        <v>72.415499999999994</v>
      </c>
      <c r="B922">
        <v>85.138999999999996</v>
      </c>
      <c r="C922">
        <v>2.07294</v>
      </c>
      <c r="D922">
        <v>0.01</v>
      </c>
      <c r="E922">
        <v>0</v>
      </c>
      <c r="F922">
        <v>2.95729</v>
      </c>
      <c r="G922">
        <v>3.25969</v>
      </c>
      <c r="H922">
        <v>0</v>
      </c>
      <c r="I922">
        <v>0.57255</v>
      </c>
      <c r="J922">
        <v>5.3222399999999999</v>
      </c>
      <c r="K922" s="2">
        <v>125408000</v>
      </c>
      <c r="L922" s="1">
        <v>0</v>
      </c>
      <c r="M922" s="1">
        <v>0</v>
      </c>
      <c r="N922" s="1">
        <v>0</v>
      </c>
      <c r="O922" s="1">
        <v>0</v>
      </c>
      <c r="P922" s="2">
        <v>4421070</v>
      </c>
      <c r="Q922" s="1">
        <v>-73436.5</v>
      </c>
      <c r="R922" s="1">
        <v>408539</v>
      </c>
      <c r="S922">
        <v>99.040999999999997</v>
      </c>
      <c r="T922">
        <v>98.274000000000001</v>
      </c>
      <c r="U922">
        <v>3.5868099999999998</v>
      </c>
      <c r="V922">
        <v>0</v>
      </c>
      <c r="W922">
        <v>0</v>
      </c>
      <c r="X922">
        <v>2.3218899999999998</v>
      </c>
      <c r="Y922">
        <v>2.0194899999999998</v>
      </c>
      <c r="Z922">
        <v>0</v>
      </c>
      <c r="AA922">
        <v>1.4363900000000001</v>
      </c>
      <c r="AB922">
        <v>2.9635199999999999</v>
      </c>
      <c r="AC922" s="2">
        <v>404447000</v>
      </c>
      <c r="AD922" s="1">
        <v>0</v>
      </c>
      <c r="AE922" s="1">
        <v>0</v>
      </c>
      <c r="AF922" s="1">
        <v>0</v>
      </c>
      <c r="AG922" s="1">
        <v>0</v>
      </c>
      <c r="AH922" s="2">
        <v>6007280</v>
      </c>
      <c r="AI922" s="1">
        <v>952692</v>
      </c>
      <c r="AJ922" s="1">
        <v>0</v>
      </c>
      <c r="AK922" s="8">
        <f t="shared" si="59"/>
        <v>37</v>
      </c>
      <c r="AL922" s="8">
        <f t="shared" si="58"/>
        <v>18</v>
      </c>
      <c r="AM922">
        <f t="shared" si="56"/>
        <v>0</v>
      </c>
      <c r="AN922">
        <f t="shared" si="57"/>
        <v>0</v>
      </c>
    </row>
    <row r="923" spans="1:40" x14ac:dyDescent="0.35">
      <c r="A923">
        <v>71.066400000000002</v>
      </c>
      <c r="B923">
        <v>85.138999999999996</v>
      </c>
      <c r="C923">
        <v>1.61131</v>
      </c>
      <c r="D923">
        <v>0.01</v>
      </c>
      <c r="E923">
        <v>0</v>
      </c>
      <c r="F923">
        <v>2.9576899999999999</v>
      </c>
      <c r="G923">
        <v>3.2600899999999999</v>
      </c>
      <c r="H923">
        <v>0</v>
      </c>
      <c r="I923">
        <v>0.55419499999999999</v>
      </c>
      <c r="J923">
        <v>5.3222399999999999</v>
      </c>
      <c r="K923" s="2">
        <v>125335000</v>
      </c>
      <c r="L923" s="1">
        <v>0</v>
      </c>
      <c r="M923" s="1">
        <v>0</v>
      </c>
      <c r="N923" s="1">
        <v>0</v>
      </c>
      <c r="O923" s="1">
        <v>0</v>
      </c>
      <c r="P923" s="2">
        <v>4421680</v>
      </c>
      <c r="Q923" s="1">
        <v>-73394.5</v>
      </c>
      <c r="R923" s="1">
        <v>408539</v>
      </c>
      <c r="S923">
        <v>98.7577</v>
      </c>
      <c r="T923">
        <v>98.274000000000001</v>
      </c>
      <c r="U923">
        <v>2.7742800000000001</v>
      </c>
      <c r="V923">
        <v>0</v>
      </c>
      <c r="W923">
        <v>0</v>
      </c>
      <c r="X923">
        <v>2.3221400000000001</v>
      </c>
      <c r="Y923">
        <v>2.0197400000000001</v>
      </c>
      <c r="Z923">
        <v>0</v>
      </c>
      <c r="AA923">
        <v>1.79389</v>
      </c>
      <c r="AB923">
        <v>2.9635199999999999</v>
      </c>
      <c r="AC923" s="2">
        <v>405400000</v>
      </c>
      <c r="AD923" s="1">
        <v>0</v>
      </c>
      <c r="AE923" s="1">
        <v>0</v>
      </c>
      <c r="AF923" s="1">
        <v>0</v>
      </c>
      <c r="AG923" s="1">
        <v>0</v>
      </c>
      <c r="AH923" s="2">
        <v>6007940</v>
      </c>
      <c r="AI923" s="1">
        <v>952714</v>
      </c>
      <c r="AJ923" s="1">
        <v>0</v>
      </c>
      <c r="AK923" s="8">
        <f t="shared" si="59"/>
        <v>38</v>
      </c>
      <c r="AL923" s="8">
        <f t="shared" si="58"/>
        <v>18</v>
      </c>
      <c r="AM923">
        <f t="shared" si="56"/>
        <v>0</v>
      </c>
      <c r="AN923">
        <f t="shared" si="57"/>
        <v>0</v>
      </c>
    </row>
    <row r="924" spans="1:40" x14ac:dyDescent="0.35">
      <c r="A924">
        <v>69.790599999999998</v>
      </c>
      <c r="B924">
        <v>85.138999999999996</v>
      </c>
      <c r="C924">
        <v>1.6962999999999999</v>
      </c>
      <c r="D924">
        <v>0.01</v>
      </c>
      <c r="E924">
        <v>0</v>
      </c>
      <c r="F924">
        <v>2.9581</v>
      </c>
      <c r="G924">
        <v>3.2605</v>
      </c>
      <c r="H924">
        <v>0</v>
      </c>
      <c r="I924">
        <v>0.55427199999999999</v>
      </c>
      <c r="J924">
        <v>5.3222399999999999</v>
      </c>
      <c r="K924" s="2">
        <v>125262000</v>
      </c>
      <c r="L924" s="1">
        <v>0</v>
      </c>
      <c r="M924" s="1">
        <v>0</v>
      </c>
      <c r="N924" s="1">
        <v>0</v>
      </c>
      <c r="O924" s="1">
        <v>0</v>
      </c>
      <c r="P924" s="2">
        <v>4422290</v>
      </c>
      <c r="Q924" s="1">
        <v>-73352.5</v>
      </c>
      <c r="R924" s="1">
        <v>408539</v>
      </c>
      <c r="S924">
        <v>98.603899999999996</v>
      </c>
      <c r="T924">
        <v>98.274000000000001</v>
      </c>
      <c r="U924">
        <v>3.2355700000000001</v>
      </c>
      <c r="V924">
        <v>0</v>
      </c>
      <c r="W924">
        <v>0</v>
      </c>
      <c r="X924">
        <v>2.3224</v>
      </c>
      <c r="Y924">
        <v>2.02</v>
      </c>
      <c r="Z924">
        <v>0</v>
      </c>
      <c r="AA924">
        <v>1.79409</v>
      </c>
      <c r="AB924">
        <v>2.9635199999999999</v>
      </c>
      <c r="AC924" s="2">
        <v>406353000</v>
      </c>
      <c r="AD924" s="1">
        <v>0</v>
      </c>
      <c r="AE924" s="1">
        <v>0</v>
      </c>
      <c r="AF924" s="1">
        <v>0</v>
      </c>
      <c r="AG924" s="1">
        <v>0</v>
      </c>
      <c r="AH924" s="2">
        <v>6008590</v>
      </c>
      <c r="AI924" s="1">
        <v>952735</v>
      </c>
      <c r="AJ924" s="1">
        <v>0</v>
      </c>
      <c r="AK924" s="8">
        <f t="shared" si="59"/>
        <v>39</v>
      </c>
      <c r="AL924" s="8">
        <f t="shared" si="58"/>
        <v>18</v>
      </c>
      <c r="AM924">
        <f t="shared" si="56"/>
        <v>0</v>
      </c>
      <c r="AN924">
        <f t="shared" si="57"/>
        <v>0</v>
      </c>
    </row>
    <row r="925" spans="1:40" x14ac:dyDescent="0.35">
      <c r="A925">
        <v>68.212100000000007</v>
      </c>
      <c r="B925">
        <v>85.138999999999996</v>
      </c>
      <c r="C925">
        <v>1.38073</v>
      </c>
      <c r="D925">
        <v>0.01</v>
      </c>
      <c r="E925">
        <v>0</v>
      </c>
      <c r="F925">
        <v>2.95851</v>
      </c>
      <c r="G925">
        <v>3.26091</v>
      </c>
      <c r="H925">
        <v>0</v>
      </c>
      <c r="I925">
        <v>0.55434899999999998</v>
      </c>
      <c r="J925">
        <v>5.3222399999999999</v>
      </c>
      <c r="K925" s="2">
        <v>125188000</v>
      </c>
      <c r="L925" s="1">
        <v>0</v>
      </c>
      <c r="M925" s="1">
        <v>0</v>
      </c>
      <c r="N925" s="1">
        <v>0</v>
      </c>
      <c r="O925" s="1">
        <v>0</v>
      </c>
      <c r="P925" s="2">
        <v>4422900</v>
      </c>
      <c r="Q925" s="1">
        <v>-73310.399999999994</v>
      </c>
      <c r="R925" s="1">
        <v>408539</v>
      </c>
      <c r="S925">
        <v>98.223699999999994</v>
      </c>
      <c r="T925">
        <v>98.274000000000001</v>
      </c>
      <c r="U925">
        <v>2.3094700000000001</v>
      </c>
      <c r="V925">
        <v>0</v>
      </c>
      <c r="W925">
        <v>0</v>
      </c>
      <c r="X925">
        <v>2.3226499999999999</v>
      </c>
      <c r="Y925">
        <v>2.0202499999999999</v>
      </c>
      <c r="Z925">
        <v>0</v>
      </c>
      <c r="AA925">
        <v>1.7942800000000001</v>
      </c>
      <c r="AB925">
        <v>2.9635199999999999</v>
      </c>
      <c r="AC925" s="2">
        <v>407306000</v>
      </c>
      <c r="AD925" s="1">
        <v>0</v>
      </c>
      <c r="AE925" s="1">
        <v>0</v>
      </c>
      <c r="AF925" s="1">
        <v>0</v>
      </c>
      <c r="AG925" s="1">
        <v>0</v>
      </c>
      <c r="AH925" s="2">
        <v>6009250</v>
      </c>
      <c r="AI925" s="1">
        <v>952756</v>
      </c>
      <c r="AJ925" s="1">
        <v>0</v>
      </c>
      <c r="AK925" s="8">
        <f t="shared" si="59"/>
        <v>40</v>
      </c>
      <c r="AL925" s="8">
        <f t="shared" si="58"/>
        <v>18</v>
      </c>
      <c r="AM925">
        <f t="shared" si="56"/>
        <v>0</v>
      </c>
      <c r="AN925">
        <f t="shared" si="57"/>
        <v>0</v>
      </c>
    </row>
    <row r="926" spans="1:40" x14ac:dyDescent="0.35">
      <c r="A926">
        <v>66.960999999999999</v>
      </c>
      <c r="B926">
        <v>85.138999999999996</v>
      </c>
      <c r="C926">
        <v>1.68594</v>
      </c>
      <c r="D926">
        <v>0.02</v>
      </c>
      <c r="E926">
        <v>0</v>
      </c>
      <c r="F926">
        <v>2.95892</v>
      </c>
      <c r="G926">
        <v>3.26132</v>
      </c>
      <c r="H926">
        <v>0</v>
      </c>
      <c r="I926">
        <v>0.55442499999999995</v>
      </c>
      <c r="J926">
        <v>5.3222399999999999</v>
      </c>
      <c r="K926" s="2">
        <v>125115000</v>
      </c>
      <c r="L926" s="1">
        <v>0</v>
      </c>
      <c r="M926" s="1">
        <v>0</v>
      </c>
      <c r="N926" s="1">
        <v>0</v>
      </c>
      <c r="O926" s="1">
        <v>0</v>
      </c>
      <c r="P926" s="2">
        <v>4423510</v>
      </c>
      <c r="Q926" s="1">
        <v>-73268.399999999994</v>
      </c>
      <c r="R926" s="1">
        <v>408539</v>
      </c>
      <c r="S926">
        <v>98.264399999999995</v>
      </c>
      <c r="T926">
        <v>98.274000000000001</v>
      </c>
      <c r="U926">
        <v>4.1598899999999999</v>
      </c>
      <c r="V926">
        <v>0</v>
      </c>
      <c r="W926">
        <v>0</v>
      </c>
      <c r="X926">
        <v>2.3229000000000002</v>
      </c>
      <c r="Y926">
        <v>2.0205000000000002</v>
      </c>
      <c r="Z926">
        <v>0</v>
      </c>
      <c r="AA926">
        <v>1.7944800000000001</v>
      </c>
      <c r="AB926">
        <v>2.9635199999999999</v>
      </c>
      <c r="AC926" s="2">
        <v>408258000</v>
      </c>
      <c r="AD926" s="1">
        <v>0</v>
      </c>
      <c r="AE926" s="1">
        <v>0</v>
      </c>
      <c r="AF926" s="1">
        <v>0</v>
      </c>
      <c r="AG926" s="1">
        <v>0</v>
      </c>
      <c r="AH926" s="2">
        <v>6009900</v>
      </c>
      <c r="AI926" s="1">
        <v>952778</v>
      </c>
      <c r="AJ926" s="1">
        <v>0</v>
      </c>
      <c r="AK926" s="8">
        <f t="shared" si="59"/>
        <v>41</v>
      </c>
      <c r="AL926" s="8">
        <f t="shared" si="58"/>
        <v>18</v>
      </c>
      <c r="AM926">
        <f t="shared" si="56"/>
        <v>0</v>
      </c>
      <c r="AN926">
        <f t="shared" si="57"/>
        <v>0</v>
      </c>
    </row>
    <row r="927" spans="1:40" x14ac:dyDescent="0.35">
      <c r="A927">
        <v>65.964500000000001</v>
      </c>
      <c r="B927">
        <v>85.138999999999996</v>
      </c>
      <c r="C927">
        <v>1.9234899999999999</v>
      </c>
      <c r="D927">
        <v>0.02</v>
      </c>
      <c r="E927">
        <v>0</v>
      </c>
      <c r="F927">
        <v>2.85981</v>
      </c>
      <c r="G927">
        <v>3.16221</v>
      </c>
      <c r="H927">
        <v>0</v>
      </c>
      <c r="I927">
        <v>0.55450200000000005</v>
      </c>
      <c r="J927">
        <v>5.3222399999999999</v>
      </c>
      <c r="K927" s="2">
        <v>125031000</v>
      </c>
      <c r="L927" s="1">
        <v>0</v>
      </c>
      <c r="M927" s="1">
        <v>0</v>
      </c>
      <c r="N927" s="1">
        <v>0</v>
      </c>
      <c r="O927" s="1">
        <v>0</v>
      </c>
      <c r="P927" s="2">
        <v>4275340</v>
      </c>
      <c r="Q927" s="1">
        <v>-83457.100000000006</v>
      </c>
      <c r="R927" s="1">
        <v>408539</v>
      </c>
      <c r="S927">
        <v>98.198099999999997</v>
      </c>
      <c r="T927">
        <v>98.274000000000001</v>
      </c>
      <c r="U927">
        <v>3.2429100000000002</v>
      </c>
      <c r="V927">
        <v>0</v>
      </c>
      <c r="W927">
        <v>0</v>
      </c>
      <c r="X927">
        <v>2.22593</v>
      </c>
      <c r="Y927">
        <v>1.92353</v>
      </c>
      <c r="Z927">
        <v>0</v>
      </c>
      <c r="AA927">
        <v>1.79467</v>
      </c>
      <c r="AB927">
        <v>2.9635199999999999</v>
      </c>
      <c r="AC927" s="2">
        <v>409203000</v>
      </c>
      <c r="AD927" s="1">
        <v>0</v>
      </c>
      <c r="AE927" s="1">
        <v>0</v>
      </c>
      <c r="AF927" s="1">
        <v>0</v>
      </c>
      <c r="AG927" s="1">
        <v>0</v>
      </c>
      <c r="AH927" s="2">
        <v>5759010</v>
      </c>
      <c r="AI927" s="1">
        <v>944600</v>
      </c>
      <c r="AJ927" s="1">
        <v>0</v>
      </c>
      <c r="AK927" s="8">
        <f t="shared" si="59"/>
        <v>42</v>
      </c>
      <c r="AL927" s="8">
        <f t="shared" si="58"/>
        <v>18</v>
      </c>
      <c r="AM927">
        <f t="shared" si="56"/>
        <v>0</v>
      </c>
      <c r="AN927">
        <f t="shared" si="57"/>
        <v>0</v>
      </c>
    </row>
    <row r="928" spans="1:40" x14ac:dyDescent="0.35">
      <c r="A928">
        <v>65.754599999999996</v>
      </c>
      <c r="B928">
        <v>85.138999999999996</v>
      </c>
      <c r="C928">
        <v>2.74288</v>
      </c>
      <c r="D928">
        <v>0.02</v>
      </c>
      <c r="E928">
        <v>0</v>
      </c>
      <c r="F928">
        <v>2.8602099999999999</v>
      </c>
      <c r="G928">
        <v>3.1626099999999999</v>
      </c>
      <c r="H928">
        <v>0</v>
      </c>
      <c r="I928">
        <v>0.53592899999999999</v>
      </c>
      <c r="J928">
        <v>5.3222399999999999</v>
      </c>
      <c r="K928" s="2">
        <v>124948000</v>
      </c>
      <c r="L928" s="1">
        <v>0</v>
      </c>
      <c r="M928" s="1">
        <v>0</v>
      </c>
      <c r="N928" s="1">
        <v>0</v>
      </c>
      <c r="O928" s="1">
        <v>0</v>
      </c>
      <c r="P928" s="2">
        <v>4275940</v>
      </c>
      <c r="Q928" s="1">
        <v>-83416.399999999994</v>
      </c>
      <c r="R928" s="1">
        <v>408539</v>
      </c>
      <c r="S928">
        <v>98.345500000000001</v>
      </c>
      <c r="T928">
        <v>98.274000000000001</v>
      </c>
      <c r="U928">
        <v>3.7307600000000001</v>
      </c>
      <c r="V928">
        <v>0</v>
      </c>
      <c r="W928">
        <v>0</v>
      </c>
      <c r="X928">
        <v>2.2261700000000002</v>
      </c>
      <c r="Y928">
        <v>1.92377</v>
      </c>
      <c r="Z928">
        <v>0</v>
      </c>
      <c r="AA928">
        <v>1.7197499999999999</v>
      </c>
      <c r="AB928">
        <v>2.9635199999999999</v>
      </c>
      <c r="AC928" s="2">
        <v>410148000</v>
      </c>
      <c r="AD928" s="1">
        <v>0</v>
      </c>
      <c r="AE928" s="1">
        <v>0</v>
      </c>
      <c r="AF928" s="1">
        <v>0</v>
      </c>
      <c r="AG928" s="1">
        <v>0</v>
      </c>
      <c r="AH928" s="2">
        <v>5759630</v>
      </c>
      <c r="AI928" s="1">
        <v>944620</v>
      </c>
      <c r="AJ928" s="1">
        <v>0</v>
      </c>
      <c r="AK928" s="8">
        <f t="shared" si="59"/>
        <v>43</v>
      </c>
      <c r="AL928" s="8">
        <f t="shared" si="58"/>
        <v>18</v>
      </c>
      <c r="AM928">
        <f t="shared" si="56"/>
        <v>0</v>
      </c>
      <c r="AN928">
        <f t="shared" si="57"/>
        <v>0</v>
      </c>
    </row>
    <row r="929" spans="1:40" x14ac:dyDescent="0.35">
      <c r="A929">
        <v>65.088399999999993</v>
      </c>
      <c r="B929">
        <v>85.138999999999996</v>
      </c>
      <c r="C929">
        <v>2.28003</v>
      </c>
      <c r="D929">
        <v>0.02</v>
      </c>
      <c r="E929">
        <v>0</v>
      </c>
      <c r="F929">
        <v>2.8605999999999998</v>
      </c>
      <c r="G929">
        <v>3.1629999999999998</v>
      </c>
      <c r="H929">
        <v>0</v>
      </c>
      <c r="I929">
        <v>0.53600300000000001</v>
      </c>
      <c r="J929">
        <v>5.3222399999999999</v>
      </c>
      <c r="K929" s="2">
        <v>124865000</v>
      </c>
      <c r="L929" s="1">
        <v>0</v>
      </c>
      <c r="M929" s="1">
        <v>0</v>
      </c>
      <c r="N929" s="1">
        <v>0</v>
      </c>
      <c r="O929" s="1">
        <v>0</v>
      </c>
      <c r="P929" s="2">
        <v>4276530</v>
      </c>
      <c r="Q929" s="1">
        <v>-83375.600000000006</v>
      </c>
      <c r="R929" s="1">
        <v>408539</v>
      </c>
      <c r="S929">
        <v>98.944199999999995</v>
      </c>
      <c r="T929">
        <v>98.274000000000001</v>
      </c>
      <c r="U929">
        <v>5.6958700000000002</v>
      </c>
      <c r="V929">
        <v>0</v>
      </c>
      <c r="W929">
        <v>0</v>
      </c>
      <c r="X929">
        <v>2.22641</v>
      </c>
      <c r="Y929">
        <v>1.92401</v>
      </c>
      <c r="Z929">
        <v>0</v>
      </c>
      <c r="AA929">
        <v>1.71994</v>
      </c>
      <c r="AB929">
        <v>2.9635199999999999</v>
      </c>
      <c r="AC929" s="2">
        <v>411092000</v>
      </c>
      <c r="AD929" s="1">
        <v>0</v>
      </c>
      <c r="AE929" s="1">
        <v>0</v>
      </c>
      <c r="AF929" s="1">
        <v>0</v>
      </c>
      <c r="AG929" s="1">
        <v>0</v>
      </c>
      <c r="AH929" s="2">
        <v>5760250</v>
      </c>
      <c r="AI929" s="1">
        <v>944640</v>
      </c>
      <c r="AJ929" s="1">
        <v>0</v>
      </c>
      <c r="AK929" s="8">
        <f t="shared" si="59"/>
        <v>44</v>
      </c>
      <c r="AL929" s="8">
        <f t="shared" si="58"/>
        <v>18</v>
      </c>
      <c r="AM929">
        <f t="shared" si="56"/>
        <v>0</v>
      </c>
      <c r="AN929">
        <f t="shared" si="57"/>
        <v>0</v>
      </c>
    </row>
    <row r="930" spans="1:40" x14ac:dyDescent="0.35">
      <c r="A930">
        <v>64.067700000000002</v>
      </c>
      <c r="B930">
        <v>85.138999999999996</v>
      </c>
      <c r="C930">
        <v>1.91255</v>
      </c>
      <c r="D930">
        <v>0.02</v>
      </c>
      <c r="E930">
        <v>0</v>
      </c>
      <c r="F930">
        <v>2.8610000000000002</v>
      </c>
      <c r="G930">
        <v>3.1634000000000002</v>
      </c>
      <c r="H930">
        <v>0</v>
      </c>
      <c r="I930">
        <v>0.53607700000000003</v>
      </c>
      <c r="J930">
        <v>5.3222399999999999</v>
      </c>
      <c r="K930" s="2">
        <v>124781000</v>
      </c>
      <c r="L930" s="1">
        <v>0</v>
      </c>
      <c r="M930" s="1">
        <v>0</v>
      </c>
      <c r="N930" s="1">
        <v>0</v>
      </c>
      <c r="O930" s="1">
        <v>0</v>
      </c>
      <c r="P930" s="2">
        <v>4277120</v>
      </c>
      <c r="Q930" s="1">
        <v>-83334.8</v>
      </c>
      <c r="R930" s="1">
        <v>408539</v>
      </c>
      <c r="S930">
        <v>98.808099999999996</v>
      </c>
      <c r="T930">
        <v>98.274000000000001</v>
      </c>
      <c r="U930">
        <v>3.12236</v>
      </c>
      <c r="V930">
        <v>0</v>
      </c>
      <c r="W930">
        <v>0</v>
      </c>
      <c r="X930">
        <v>2.2266499999999998</v>
      </c>
      <c r="Y930">
        <v>1.92425</v>
      </c>
      <c r="Z930">
        <v>0</v>
      </c>
      <c r="AA930">
        <v>1.7201200000000001</v>
      </c>
      <c r="AB930">
        <v>2.9635199999999999</v>
      </c>
      <c r="AC930" s="2">
        <v>412037000</v>
      </c>
      <c r="AD930" s="1">
        <v>0</v>
      </c>
      <c r="AE930" s="1">
        <v>0</v>
      </c>
      <c r="AF930" s="1">
        <v>0</v>
      </c>
      <c r="AG930" s="1">
        <v>0</v>
      </c>
      <c r="AH930" s="2">
        <v>5760880</v>
      </c>
      <c r="AI930" s="1">
        <v>944661</v>
      </c>
      <c r="AJ930" s="1">
        <v>0</v>
      </c>
      <c r="AK930" s="8">
        <f t="shared" si="59"/>
        <v>45</v>
      </c>
      <c r="AL930" s="8">
        <f t="shared" si="58"/>
        <v>18</v>
      </c>
      <c r="AM930">
        <f t="shared" si="56"/>
        <v>0</v>
      </c>
      <c r="AN930">
        <f t="shared" si="57"/>
        <v>0</v>
      </c>
    </row>
    <row r="931" spans="1:40" x14ac:dyDescent="0.35">
      <c r="A931">
        <v>63.453400000000002</v>
      </c>
      <c r="B931">
        <v>85.138999999999996</v>
      </c>
      <c r="C931">
        <v>2.3004099999999998</v>
      </c>
      <c r="D931">
        <v>0.02</v>
      </c>
      <c r="E931">
        <v>0</v>
      </c>
      <c r="F931">
        <v>2.7796699999999999</v>
      </c>
      <c r="G931">
        <v>3.0820699999999999</v>
      </c>
      <c r="H931">
        <v>0</v>
      </c>
      <c r="I931">
        <v>0.53615100000000004</v>
      </c>
      <c r="J931">
        <v>5.3222399999999999</v>
      </c>
      <c r="K931" s="2">
        <v>124690000</v>
      </c>
      <c r="L931" s="1">
        <v>0</v>
      </c>
      <c r="M931" s="1">
        <v>0</v>
      </c>
      <c r="N931" s="1">
        <v>0</v>
      </c>
      <c r="O931" s="1">
        <v>0</v>
      </c>
      <c r="P931" s="2">
        <v>4155530</v>
      </c>
      <c r="Q931" s="1">
        <v>-91695.9</v>
      </c>
      <c r="R931" s="1">
        <v>408539</v>
      </c>
      <c r="S931">
        <v>98.779700000000005</v>
      </c>
      <c r="T931">
        <v>98.274000000000001</v>
      </c>
      <c r="U931">
        <v>3.2842099999999999</v>
      </c>
      <c r="V931">
        <v>0</v>
      </c>
      <c r="W931">
        <v>0</v>
      </c>
      <c r="X931">
        <v>2.13835</v>
      </c>
      <c r="Y931">
        <v>1.83595</v>
      </c>
      <c r="Z931">
        <v>0</v>
      </c>
      <c r="AA931">
        <v>1.72031</v>
      </c>
      <c r="AB931">
        <v>2.9635199999999999</v>
      </c>
      <c r="AC931" s="2">
        <v>412974000</v>
      </c>
      <c r="AD931" s="1">
        <v>0</v>
      </c>
      <c r="AE931" s="1">
        <v>0</v>
      </c>
      <c r="AF931" s="1">
        <v>0</v>
      </c>
      <c r="AG931" s="1">
        <v>0</v>
      </c>
      <c r="AH931" s="2">
        <v>5532410</v>
      </c>
      <c r="AI931" s="1">
        <v>937214</v>
      </c>
      <c r="AJ931" s="1">
        <v>0</v>
      </c>
      <c r="AK931" s="8">
        <f t="shared" si="59"/>
        <v>46</v>
      </c>
      <c r="AL931" s="8">
        <f t="shared" si="58"/>
        <v>18</v>
      </c>
      <c r="AM931">
        <f t="shared" si="56"/>
        <v>0</v>
      </c>
      <c r="AN931">
        <f t="shared" si="57"/>
        <v>0</v>
      </c>
    </row>
    <row r="932" spans="1:40" x14ac:dyDescent="0.35">
      <c r="A932">
        <v>62.594700000000003</v>
      </c>
      <c r="B932">
        <v>85.138999999999996</v>
      </c>
      <c r="C932">
        <v>2.1059399999999999</v>
      </c>
      <c r="D932">
        <v>0.02</v>
      </c>
      <c r="E932">
        <v>0</v>
      </c>
      <c r="F932">
        <v>2.7800500000000001</v>
      </c>
      <c r="G932">
        <v>3.0824500000000001</v>
      </c>
      <c r="H932">
        <v>0</v>
      </c>
      <c r="I932">
        <v>0.52090999999999998</v>
      </c>
      <c r="J932">
        <v>5.3222399999999999</v>
      </c>
      <c r="K932" s="2">
        <v>124598000</v>
      </c>
      <c r="L932" s="1">
        <v>0</v>
      </c>
      <c r="M932" s="1">
        <v>0</v>
      </c>
      <c r="N932" s="1">
        <v>0</v>
      </c>
      <c r="O932" s="1">
        <v>0</v>
      </c>
      <c r="P932" s="2">
        <v>4156110</v>
      </c>
      <c r="Q932" s="1">
        <v>-91656.2</v>
      </c>
      <c r="R932" s="1">
        <v>408539</v>
      </c>
      <c r="S932">
        <v>98.613100000000003</v>
      </c>
      <c r="T932">
        <v>98.274000000000001</v>
      </c>
      <c r="U932">
        <v>2.5556800000000002</v>
      </c>
      <c r="V932">
        <v>0</v>
      </c>
      <c r="W932">
        <v>0</v>
      </c>
      <c r="X932">
        <v>2.1385800000000001</v>
      </c>
      <c r="Y932">
        <v>1.8361799999999999</v>
      </c>
      <c r="Z932">
        <v>0</v>
      </c>
      <c r="AA932">
        <v>1.6520900000000001</v>
      </c>
      <c r="AB932">
        <v>2.9635199999999999</v>
      </c>
      <c r="AC932" s="2">
        <v>413911000</v>
      </c>
      <c r="AD932" s="1">
        <v>0</v>
      </c>
      <c r="AE932" s="1">
        <v>0</v>
      </c>
      <c r="AF932" s="1">
        <v>0</v>
      </c>
      <c r="AG932" s="1">
        <v>0</v>
      </c>
      <c r="AH932" s="2">
        <v>5533010</v>
      </c>
      <c r="AI932" s="1">
        <v>937233</v>
      </c>
      <c r="AJ932" s="1">
        <v>0</v>
      </c>
      <c r="AK932" s="8">
        <f t="shared" si="59"/>
        <v>47</v>
      </c>
      <c r="AL932" s="8">
        <f t="shared" si="58"/>
        <v>18</v>
      </c>
      <c r="AM932">
        <f t="shared" si="56"/>
        <v>0</v>
      </c>
      <c r="AN932">
        <f t="shared" si="57"/>
        <v>0</v>
      </c>
    </row>
    <row r="933" spans="1:40" x14ac:dyDescent="0.35">
      <c r="A933">
        <v>62.729599999999998</v>
      </c>
      <c r="B933">
        <v>85.138999999999996</v>
      </c>
      <c r="C933">
        <v>3.1895899999999999</v>
      </c>
      <c r="D933">
        <v>0.02</v>
      </c>
      <c r="E933">
        <v>0</v>
      </c>
      <c r="F933">
        <v>2.78044</v>
      </c>
      <c r="G933">
        <v>3.08284</v>
      </c>
      <c r="H933">
        <v>0</v>
      </c>
      <c r="I933">
        <v>0.52098199999999995</v>
      </c>
      <c r="J933">
        <v>5.3222399999999999</v>
      </c>
      <c r="K933" s="2">
        <v>124506000</v>
      </c>
      <c r="L933" s="1">
        <v>0</v>
      </c>
      <c r="M933" s="1">
        <v>0</v>
      </c>
      <c r="N933" s="1">
        <v>0</v>
      </c>
      <c r="O933" s="1">
        <v>0</v>
      </c>
      <c r="P933" s="2">
        <v>4156690</v>
      </c>
      <c r="Q933" s="1">
        <v>-91616.5</v>
      </c>
      <c r="R933" s="1">
        <v>408539</v>
      </c>
      <c r="S933">
        <v>99.302199999999999</v>
      </c>
      <c r="T933">
        <v>98.274000000000001</v>
      </c>
      <c r="U933">
        <v>6.9399100000000002</v>
      </c>
      <c r="V933">
        <v>0</v>
      </c>
      <c r="W933">
        <v>0</v>
      </c>
      <c r="X933">
        <v>2.1388099999999999</v>
      </c>
      <c r="Y933">
        <v>1.8364100000000001</v>
      </c>
      <c r="Z933">
        <v>0</v>
      </c>
      <c r="AA933">
        <v>1.6522600000000001</v>
      </c>
      <c r="AB933">
        <v>2.9635199999999999</v>
      </c>
      <c r="AC933" s="2">
        <v>414849000</v>
      </c>
      <c r="AD933" s="1">
        <v>0</v>
      </c>
      <c r="AE933" s="1">
        <v>0</v>
      </c>
      <c r="AF933" s="1">
        <v>0</v>
      </c>
      <c r="AG933" s="1">
        <v>0</v>
      </c>
      <c r="AH933" s="2">
        <v>5533600</v>
      </c>
      <c r="AI933" s="1">
        <v>937252</v>
      </c>
      <c r="AJ933" s="1">
        <v>0</v>
      </c>
      <c r="AK933" s="8">
        <f t="shared" si="59"/>
        <v>48</v>
      </c>
      <c r="AL933" s="8">
        <f t="shared" si="58"/>
        <v>18</v>
      </c>
      <c r="AM933">
        <f t="shared" si="56"/>
        <v>0</v>
      </c>
      <c r="AN933">
        <f t="shared" si="57"/>
        <v>0</v>
      </c>
    </row>
    <row r="934" spans="1:40" x14ac:dyDescent="0.35">
      <c r="A934">
        <v>61.872100000000003</v>
      </c>
      <c r="B934">
        <v>85.138999999999996</v>
      </c>
      <c r="C934">
        <v>2.11524</v>
      </c>
      <c r="D934">
        <v>0.02</v>
      </c>
      <c r="E934">
        <v>0</v>
      </c>
      <c r="F934">
        <v>2.7808299999999999</v>
      </c>
      <c r="G934">
        <v>3.0832299999999999</v>
      </c>
      <c r="H934">
        <v>0</v>
      </c>
      <c r="I934">
        <v>0.52105500000000005</v>
      </c>
      <c r="J934">
        <v>5.3222399999999999</v>
      </c>
      <c r="K934" s="2">
        <v>124415000</v>
      </c>
      <c r="L934" s="1">
        <v>0</v>
      </c>
      <c r="M934" s="1">
        <v>0</v>
      </c>
      <c r="N934" s="1">
        <v>0</v>
      </c>
      <c r="O934" s="1">
        <v>0</v>
      </c>
      <c r="P934" s="2">
        <v>4157270</v>
      </c>
      <c r="Q934" s="1">
        <v>-91576.7</v>
      </c>
      <c r="R934" s="1">
        <v>408539</v>
      </c>
      <c r="S934">
        <v>99.302199999999999</v>
      </c>
      <c r="T934">
        <v>98.274000000000001</v>
      </c>
      <c r="U934">
        <v>3.1077400000000002</v>
      </c>
      <c r="V934">
        <v>0</v>
      </c>
      <c r="W934">
        <v>0</v>
      </c>
      <c r="X934">
        <v>2.1390400000000001</v>
      </c>
      <c r="Y934">
        <v>1.8366400000000001</v>
      </c>
      <c r="Z934">
        <v>0</v>
      </c>
      <c r="AA934">
        <v>1.6524399999999999</v>
      </c>
      <c r="AB934">
        <v>2.9635199999999999</v>
      </c>
      <c r="AC934" s="2">
        <v>415786000</v>
      </c>
      <c r="AD934" s="1">
        <v>0</v>
      </c>
      <c r="AE934" s="1">
        <v>0</v>
      </c>
      <c r="AF934" s="1">
        <v>0</v>
      </c>
      <c r="AG934" s="1">
        <v>0</v>
      </c>
      <c r="AH934" s="2">
        <v>5534200</v>
      </c>
      <c r="AI934" s="1">
        <v>937272</v>
      </c>
      <c r="AJ934" s="1">
        <v>0</v>
      </c>
      <c r="AK934" s="8">
        <f t="shared" si="59"/>
        <v>49</v>
      </c>
      <c r="AL934" s="8">
        <f t="shared" si="58"/>
        <v>18</v>
      </c>
      <c r="AM934">
        <f t="shared" si="56"/>
        <v>0</v>
      </c>
      <c r="AN934">
        <f t="shared" si="57"/>
        <v>0</v>
      </c>
    </row>
    <row r="935" spans="1:40" x14ac:dyDescent="0.35">
      <c r="A935">
        <v>62.918700000000001</v>
      </c>
      <c r="B935">
        <v>85.138999999999996</v>
      </c>
      <c r="C935">
        <v>3.9620899999999999</v>
      </c>
      <c r="D935">
        <v>0.02</v>
      </c>
      <c r="E935">
        <v>0</v>
      </c>
      <c r="F935">
        <v>2.5489799999999998</v>
      </c>
      <c r="G935">
        <v>2.8513799999999998</v>
      </c>
      <c r="H935">
        <v>0</v>
      </c>
      <c r="I935">
        <v>0.52112700000000001</v>
      </c>
      <c r="J935">
        <v>5.3222399999999999</v>
      </c>
      <c r="K935" s="2">
        <v>124299000</v>
      </c>
      <c r="L935" s="1">
        <v>0</v>
      </c>
      <c r="M935" s="1">
        <v>0</v>
      </c>
      <c r="N935" s="1">
        <v>0</v>
      </c>
      <c r="O935" s="1">
        <v>0</v>
      </c>
      <c r="P935" s="2">
        <v>3810670</v>
      </c>
      <c r="Q935" s="1">
        <v>-115411</v>
      </c>
      <c r="R935" s="1">
        <v>408539</v>
      </c>
      <c r="S935">
        <v>99.302199999999999</v>
      </c>
      <c r="T935">
        <v>98.274000000000001</v>
      </c>
      <c r="U935">
        <v>5.3322200000000004</v>
      </c>
      <c r="V935">
        <v>0</v>
      </c>
      <c r="W935">
        <v>0</v>
      </c>
      <c r="X935">
        <v>1.9547600000000001</v>
      </c>
      <c r="Y935">
        <v>1.6523600000000001</v>
      </c>
      <c r="Z935">
        <v>0</v>
      </c>
      <c r="AA935">
        <v>1.65262</v>
      </c>
      <c r="AB935">
        <v>2.9635199999999999</v>
      </c>
      <c r="AC935" s="2">
        <v>416708000</v>
      </c>
      <c r="AD935" s="1">
        <v>0</v>
      </c>
      <c r="AE935" s="1">
        <v>0</v>
      </c>
      <c r="AF935" s="1">
        <v>0</v>
      </c>
      <c r="AG935" s="1">
        <v>0</v>
      </c>
      <c r="AH935" s="2">
        <v>5057430</v>
      </c>
      <c r="AI935" s="1">
        <v>921731</v>
      </c>
      <c r="AJ935" s="1">
        <v>0</v>
      </c>
      <c r="AK935" s="8">
        <f t="shared" si="59"/>
        <v>50</v>
      </c>
      <c r="AL935" s="8">
        <f t="shared" si="58"/>
        <v>18</v>
      </c>
      <c r="AM935">
        <f t="shared" si="56"/>
        <v>0</v>
      </c>
      <c r="AN935">
        <f t="shared" si="57"/>
        <v>0</v>
      </c>
    </row>
    <row r="936" spans="1:40" x14ac:dyDescent="0.35">
      <c r="A936">
        <v>62.495899999999999</v>
      </c>
      <c r="B936">
        <v>85.138999999999996</v>
      </c>
      <c r="C936">
        <v>2.4225300000000001</v>
      </c>
      <c r="D936">
        <v>0.02</v>
      </c>
      <c r="E936">
        <v>0</v>
      </c>
      <c r="F936">
        <v>2.5493399999999999</v>
      </c>
      <c r="G936">
        <v>2.8517399999999999</v>
      </c>
      <c r="H936">
        <v>0</v>
      </c>
      <c r="I936">
        <v>0.47767900000000002</v>
      </c>
      <c r="J936">
        <v>5.3222399999999999</v>
      </c>
      <c r="K936" s="2">
        <v>124184000</v>
      </c>
      <c r="L936" s="1">
        <v>0</v>
      </c>
      <c r="M936" s="1">
        <v>0</v>
      </c>
      <c r="N936" s="1">
        <v>0</v>
      </c>
      <c r="O936" s="1">
        <v>0</v>
      </c>
      <c r="P936" s="2">
        <v>3811200</v>
      </c>
      <c r="Q936" s="1">
        <v>-115374</v>
      </c>
      <c r="R936" s="1">
        <v>408539</v>
      </c>
      <c r="S936">
        <v>99.302199999999999</v>
      </c>
      <c r="T936">
        <v>98.274000000000001</v>
      </c>
      <c r="U936">
        <v>4.6766100000000002</v>
      </c>
      <c r="V936">
        <v>0</v>
      </c>
      <c r="W936">
        <v>0</v>
      </c>
      <c r="X936">
        <v>1.9549700000000001</v>
      </c>
      <c r="Y936">
        <v>1.6525700000000001</v>
      </c>
      <c r="Z936">
        <v>0</v>
      </c>
      <c r="AA936">
        <v>1.5102500000000001</v>
      </c>
      <c r="AB936">
        <v>2.9635199999999999</v>
      </c>
      <c r="AC936" s="2">
        <v>417629000</v>
      </c>
      <c r="AD936" s="1">
        <v>0</v>
      </c>
      <c r="AE936" s="1">
        <v>0</v>
      </c>
      <c r="AF936" s="1">
        <v>0</v>
      </c>
      <c r="AG936" s="1">
        <v>0</v>
      </c>
      <c r="AH936" s="2">
        <v>5057970</v>
      </c>
      <c r="AI936" s="1">
        <v>921748</v>
      </c>
      <c r="AJ936" s="1">
        <v>0</v>
      </c>
      <c r="AK936" s="8">
        <f t="shared" si="59"/>
        <v>51</v>
      </c>
      <c r="AL936" s="8">
        <f t="shared" si="58"/>
        <v>18</v>
      </c>
      <c r="AM936">
        <f t="shared" si="56"/>
        <v>0</v>
      </c>
      <c r="AN936">
        <f t="shared" si="57"/>
        <v>0</v>
      </c>
    </row>
    <row r="937" spans="1:40" x14ac:dyDescent="0.35">
      <c r="A937">
        <v>63.462299999999999</v>
      </c>
      <c r="B937">
        <v>85.138999999999996</v>
      </c>
      <c r="C937">
        <v>3.9078200000000001</v>
      </c>
      <c r="D937">
        <v>0.02</v>
      </c>
      <c r="E937">
        <v>0</v>
      </c>
      <c r="F937">
        <v>2.5497000000000001</v>
      </c>
      <c r="G937">
        <v>2.8521000000000001</v>
      </c>
      <c r="H937">
        <v>0</v>
      </c>
      <c r="I937">
        <v>0.477746</v>
      </c>
      <c r="J937">
        <v>5.3222399999999999</v>
      </c>
      <c r="K937" s="2">
        <v>124069000</v>
      </c>
      <c r="L937" s="1">
        <v>0</v>
      </c>
      <c r="M937" s="1">
        <v>0</v>
      </c>
      <c r="N937" s="1">
        <v>0</v>
      </c>
      <c r="O937" s="1">
        <v>0</v>
      </c>
      <c r="P937" s="2">
        <v>3811730</v>
      </c>
      <c r="Q937" s="1">
        <v>-115337</v>
      </c>
      <c r="R937" s="1">
        <v>408539</v>
      </c>
      <c r="S937">
        <v>99.302199999999999</v>
      </c>
      <c r="T937">
        <v>98.274000000000001</v>
      </c>
      <c r="U937">
        <v>6.4570499999999997</v>
      </c>
      <c r="V937">
        <v>0</v>
      </c>
      <c r="W937">
        <v>0</v>
      </c>
      <c r="X937">
        <v>1.9551799999999999</v>
      </c>
      <c r="Y937">
        <v>1.6527799999999999</v>
      </c>
      <c r="Z937">
        <v>0</v>
      </c>
      <c r="AA937">
        <v>1.51041</v>
      </c>
      <c r="AB937">
        <v>2.9635199999999999</v>
      </c>
      <c r="AC937" s="2">
        <v>418551000</v>
      </c>
      <c r="AD937" s="1">
        <v>0</v>
      </c>
      <c r="AE937" s="1">
        <v>0</v>
      </c>
      <c r="AF937" s="1">
        <v>0</v>
      </c>
      <c r="AG937" s="1">
        <v>0</v>
      </c>
      <c r="AH937" s="2">
        <v>5058500</v>
      </c>
      <c r="AI937" s="1">
        <v>921766</v>
      </c>
      <c r="AJ937" s="1">
        <v>0</v>
      </c>
      <c r="AK937" s="8">
        <f t="shared" si="59"/>
        <v>52</v>
      </c>
      <c r="AL937" s="8">
        <f t="shared" si="58"/>
        <v>18</v>
      </c>
      <c r="AM937">
        <f t="shared" si="56"/>
        <v>418551000</v>
      </c>
      <c r="AN937">
        <f t="shared" si="57"/>
        <v>124069000</v>
      </c>
    </row>
    <row r="938" spans="1:40" x14ac:dyDescent="0.35">
      <c r="A938">
        <v>64.857500000000002</v>
      </c>
      <c r="B938">
        <v>85.138999999999996</v>
      </c>
      <c r="C938">
        <v>4.3364599999999998</v>
      </c>
      <c r="D938">
        <v>0.02</v>
      </c>
      <c r="E938">
        <v>0</v>
      </c>
      <c r="F938">
        <v>2.5500600000000002</v>
      </c>
      <c r="G938">
        <v>2.8524600000000002</v>
      </c>
      <c r="H938">
        <v>0</v>
      </c>
      <c r="I938">
        <v>0.47781299999999999</v>
      </c>
      <c r="J938">
        <v>5.3222399999999999</v>
      </c>
      <c r="K938" s="2">
        <v>123953000</v>
      </c>
      <c r="L938" s="1">
        <v>0</v>
      </c>
      <c r="M938" s="1">
        <v>0</v>
      </c>
      <c r="N938" s="1">
        <v>0</v>
      </c>
      <c r="O938" s="1">
        <v>0</v>
      </c>
      <c r="P938" s="2">
        <v>3812270</v>
      </c>
      <c r="Q938" s="1">
        <v>-115301</v>
      </c>
      <c r="R938" s="1">
        <v>408539</v>
      </c>
      <c r="S938">
        <v>99.302199999999999</v>
      </c>
      <c r="T938">
        <v>98.274000000000001</v>
      </c>
      <c r="U938">
        <v>7.55715</v>
      </c>
      <c r="V938">
        <v>0</v>
      </c>
      <c r="W938">
        <v>0</v>
      </c>
      <c r="X938">
        <v>1.9553799999999999</v>
      </c>
      <c r="Y938">
        <v>1.6529799999999999</v>
      </c>
      <c r="Z938">
        <v>0</v>
      </c>
      <c r="AA938">
        <v>1.51057</v>
      </c>
      <c r="AB938">
        <v>2.9635199999999999</v>
      </c>
      <c r="AC938" s="2">
        <v>419473000</v>
      </c>
      <c r="AD938" s="1">
        <v>0</v>
      </c>
      <c r="AE938" s="1">
        <v>0</v>
      </c>
      <c r="AF938" s="1">
        <v>0</v>
      </c>
      <c r="AG938" s="1">
        <v>0</v>
      </c>
      <c r="AH938" s="2">
        <v>5059040</v>
      </c>
      <c r="AI938" s="1">
        <v>921783</v>
      </c>
      <c r="AJ938" s="1">
        <v>0</v>
      </c>
      <c r="AK938" s="8">
        <f t="shared" si="59"/>
        <v>1</v>
      </c>
      <c r="AL938" s="8">
        <f t="shared" si="58"/>
        <v>19</v>
      </c>
      <c r="AM938">
        <f t="shared" si="56"/>
        <v>0</v>
      </c>
      <c r="AN938">
        <f t="shared" si="57"/>
        <v>0</v>
      </c>
    </row>
    <row r="939" spans="1:40" x14ac:dyDescent="0.35">
      <c r="A939">
        <v>65.235799999999998</v>
      </c>
      <c r="B939">
        <v>85.138999999999996</v>
      </c>
      <c r="C939">
        <v>3.28627</v>
      </c>
      <c r="D939">
        <v>0.02</v>
      </c>
      <c r="E939">
        <v>0</v>
      </c>
      <c r="F939">
        <v>2.5504099999999998</v>
      </c>
      <c r="G939">
        <v>2.8528099999999998</v>
      </c>
      <c r="H939">
        <v>0</v>
      </c>
      <c r="I939">
        <v>0.47788000000000003</v>
      </c>
      <c r="J939">
        <v>5.3222399999999999</v>
      </c>
      <c r="K939" s="2">
        <v>123838000</v>
      </c>
      <c r="L939" s="1">
        <v>0</v>
      </c>
      <c r="M939" s="1">
        <v>0</v>
      </c>
      <c r="N939" s="1">
        <v>0</v>
      </c>
      <c r="O939" s="1">
        <v>0</v>
      </c>
      <c r="P939" s="2">
        <v>3812800</v>
      </c>
      <c r="Q939" s="1">
        <v>-115264</v>
      </c>
      <c r="R939" s="1">
        <v>408539</v>
      </c>
      <c r="S939">
        <v>99.202500000000001</v>
      </c>
      <c r="T939">
        <v>98.274000000000001</v>
      </c>
      <c r="U939">
        <v>3.5951900000000001</v>
      </c>
      <c r="V939">
        <v>0</v>
      </c>
      <c r="W939">
        <v>0</v>
      </c>
      <c r="X939">
        <v>1.9555899999999999</v>
      </c>
      <c r="Y939">
        <v>1.6531899999999999</v>
      </c>
      <c r="Z939">
        <v>0</v>
      </c>
      <c r="AA939">
        <v>1.5107299999999999</v>
      </c>
      <c r="AB939">
        <v>2.9635199999999999</v>
      </c>
      <c r="AC939" s="2">
        <v>420395000</v>
      </c>
      <c r="AD939" s="1">
        <v>0</v>
      </c>
      <c r="AE939" s="1">
        <v>0</v>
      </c>
      <c r="AF939" s="1">
        <v>0</v>
      </c>
      <c r="AG939" s="1">
        <v>0</v>
      </c>
      <c r="AH939" s="2">
        <v>5059580</v>
      </c>
      <c r="AI939" s="1">
        <v>921801</v>
      </c>
      <c r="AJ939" s="1">
        <v>0</v>
      </c>
      <c r="AK939" s="8">
        <f t="shared" si="59"/>
        <v>2</v>
      </c>
      <c r="AL939" s="8">
        <f t="shared" si="58"/>
        <v>19</v>
      </c>
      <c r="AM939">
        <f t="shared" si="56"/>
        <v>0</v>
      </c>
      <c r="AN939">
        <f t="shared" si="57"/>
        <v>0</v>
      </c>
    </row>
    <row r="940" spans="1:40" x14ac:dyDescent="0.35">
      <c r="A940">
        <v>65.245900000000006</v>
      </c>
      <c r="B940">
        <v>85.138999999999996</v>
      </c>
      <c r="C940">
        <v>2.8414700000000002</v>
      </c>
      <c r="D940">
        <v>0.01</v>
      </c>
      <c r="E940">
        <v>0</v>
      </c>
      <c r="F940">
        <v>2.5504099999999998</v>
      </c>
      <c r="G940">
        <v>2.8528099999999998</v>
      </c>
      <c r="H940">
        <v>0</v>
      </c>
      <c r="I940">
        <v>0.47794700000000001</v>
      </c>
      <c r="J940">
        <v>5.3222399999999999</v>
      </c>
      <c r="K940" s="2">
        <v>123723000</v>
      </c>
      <c r="L940" s="1">
        <v>0</v>
      </c>
      <c r="M940" s="1">
        <v>0</v>
      </c>
      <c r="N940" s="1">
        <v>0</v>
      </c>
      <c r="O940" s="1">
        <v>0</v>
      </c>
      <c r="P940" s="2">
        <v>3812800</v>
      </c>
      <c r="Q940" s="1">
        <v>-115264</v>
      </c>
      <c r="R940" s="1">
        <v>408539</v>
      </c>
      <c r="S940">
        <v>99.302199999999999</v>
      </c>
      <c r="T940">
        <v>98.274000000000001</v>
      </c>
      <c r="U940">
        <v>3.9325800000000002</v>
      </c>
      <c r="V940">
        <v>0</v>
      </c>
      <c r="W940">
        <v>0</v>
      </c>
      <c r="X940">
        <v>1.9555899999999999</v>
      </c>
      <c r="Y940">
        <v>1.6531899999999999</v>
      </c>
      <c r="Z940">
        <v>0</v>
      </c>
      <c r="AA940">
        <v>1.5108900000000001</v>
      </c>
      <c r="AB940">
        <v>2.9635199999999999</v>
      </c>
      <c r="AC940" s="2">
        <v>421317000</v>
      </c>
      <c r="AD940" s="1">
        <v>0</v>
      </c>
      <c r="AE940" s="1">
        <v>0</v>
      </c>
      <c r="AF940" s="1">
        <v>0</v>
      </c>
      <c r="AG940" s="1">
        <v>0</v>
      </c>
      <c r="AH940" s="2">
        <v>5059580</v>
      </c>
      <c r="AI940" s="1">
        <v>921801</v>
      </c>
      <c r="AJ940" s="1">
        <v>0</v>
      </c>
      <c r="AK940" s="8">
        <f t="shared" si="59"/>
        <v>3</v>
      </c>
      <c r="AL940" s="8">
        <f t="shared" si="58"/>
        <v>19</v>
      </c>
      <c r="AM940">
        <f t="shared" si="56"/>
        <v>0</v>
      </c>
      <c r="AN940">
        <f t="shared" si="57"/>
        <v>0</v>
      </c>
    </row>
    <row r="941" spans="1:40" x14ac:dyDescent="0.35">
      <c r="A941">
        <v>64.658000000000001</v>
      </c>
      <c r="B941">
        <v>85.138999999999996</v>
      </c>
      <c r="C941">
        <v>2.2639999999999998</v>
      </c>
      <c r="D941">
        <v>0.01</v>
      </c>
      <c r="E941">
        <v>0</v>
      </c>
      <c r="F941">
        <v>2.6401500000000002</v>
      </c>
      <c r="G941">
        <v>2.9425500000000002</v>
      </c>
      <c r="H941">
        <v>0</v>
      </c>
      <c r="I941">
        <v>0.47794700000000001</v>
      </c>
      <c r="J941">
        <v>5.3222399999999999</v>
      </c>
      <c r="K941" s="2">
        <v>123617000</v>
      </c>
      <c r="L941" s="1">
        <v>0</v>
      </c>
      <c r="M941" s="1">
        <v>0</v>
      </c>
      <c r="N941" s="1">
        <v>0</v>
      </c>
      <c r="O941" s="2">
        <v>29016000</v>
      </c>
      <c r="P941" s="2">
        <v>3946950</v>
      </c>
      <c r="Q941" s="1">
        <v>-106039</v>
      </c>
      <c r="R941" s="1">
        <v>408539</v>
      </c>
      <c r="S941">
        <v>99.302199999999999</v>
      </c>
      <c r="T941">
        <v>98.274000000000001</v>
      </c>
      <c r="U941">
        <v>4.0896400000000002</v>
      </c>
      <c r="V941">
        <v>0</v>
      </c>
      <c r="W941">
        <v>0</v>
      </c>
      <c r="X941">
        <v>2.0092500000000002</v>
      </c>
      <c r="Y941">
        <v>1.70685</v>
      </c>
      <c r="Z941">
        <v>0</v>
      </c>
      <c r="AA941">
        <v>1.5108900000000001</v>
      </c>
      <c r="AB941">
        <v>2.9635199999999999</v>
      </c>
      <c r="AC941" s="2">
        <v>422243000</v>
      </c>
      <c r="AD941" s="1">
        <v>0</v>
      </c>
      <c r="AE941" s="1">
        <v>0</v>
      </c>
      <c r="AF941" s="1">
        <v>0</v>
      </c>
      <c r="AG941" s="2">
        <v>7883220</v>
      </c>
      <c r="AH941" s="2">
        <v>5198420</v>
      </c>
      <c r="AI941" s="1">
        <v>926327</v>
      </c>
      <c r="AJ941" s="1">
        <v>0</v>
      </c>
      <c r="AK941" s="8">
        <f t="shared" si="59"/>
        <v>4</v>
      </c>
      <c r="AL941" s="8">
        <f t="shared" si="58"/>
        <v>19</v>
      </c>
      <c r="AM941">
        <f t="shared" si="56"/>
        <v>0</v>
      </c>
      <c r="AN941">
        <f t="shared" si="57"/>
        <v>0</v>
      </c>
    </row>
    <row r="942" spans="1:40" x14ac:dyDescent="0.35">
      <c r="A942">
        <v>65.652799999999999</v>
      </c>
      <c r="B942">
        <v>85.138999999999996</v>
      </c>
      <c r="C942">
        <v>3.8562599999999998</v>
      </c>
      <c r="D942">
        <v>0.02</v>
      </c>
      <c r="E942">
        <v>0</v>
      </c>
      <c r="F942">
        <v>2.6404899999999998</v>
      </c>
      <c r="G942">
        <v>2.9428899999999998</v>
      </c>
      <c r="H942">
        <v>0</v>
      </c>
      <c r="I942">
        <v>0.49476300000000001</v>
      </c>
      <c r="J942">
        <v>5.3222399999999999</v>
      </c>
      <c r="K942" s="2">
        <v>123511000</v>
      </c>
      <c r="L942" s="1">
        <v>0</v>
      </c>
      <c r="M942" s="1">
        <v>0</v>
      </c>
      <c r="N942" s="1">
        <v>0</v>
      </c>
      <c r="O942" s="1">
        <v>0</v>
      </c>
      <c r="P942" s="2">
        <v>3947470</v>
      </c>
      <c r="Q942" s="1">
        <v>-106003</v>
      </c>
      <c r="R942" s="1">
        <v>408539</v>
      </c>
      <c r="S942">
        <v>99.302199999999999</v>
      </c>
      <c r="T942">
        <v>98.274000000000001</v>
      </c>
      <c r="U942">
        <v>5.2591099999999997</v>
      </c>
      <c r="V942">
        <v>0</v>
      </c>
      <c r="W942">
        <v>0</v>
      </c>
      <c r="X942">
        <v>2.0094599999999998</v>
      </c>
      <c r="Y942">
        <v>1.70706</v>
      </c>
      <c r="Z942">
        <v>0</v>
      </c>
      <c r="AA942">
        <v>1.5523499999999999</v>
      </c>
      <c r="AB942">
        <v>2.9635199999999999</v>
      </c>
      <c r="AC942" s="2">
        <v>423169000</v>
      </c>
      <c r="AD942" s="1">
        <v>0</v>
      </c>
      <c r="AE942" s="1">
        <v>0</v>
      </c>
      <c r="AF942" s="1">
        <v>0</v>
      </c>
      <c r="AG942" s="1">
        <v>0</v>
      </c>
      <c r="AH942" s="2">
        <v>5198940</v>
      </c>
      <c r="AI942" s="1">
        <v>926344</v>
      </c>
      <c r="AJ942" s="1">
        <v>0</v>
      </c>
      <c r="AK942" s="8">
        <f t="shared" si="59"/>
        <v>5</v>
      </c>
      <c r="AL942" s="8">
        <f t="shared" si="58"/>
        <v>19</v>
      </c>
      <c r="AM942">
        <f t="shared" si="56"/>
        <v>0</v>
      </c>
      <c r="AN942">
        <f t="shared" si="57"/>
        <v>0</v>
      </c>
    </row>
    <row r="943" spans="1:40" x14ac:dyDescent="0.35">
      <c r="A943">
        <v>68.740499999999997</v>
      </c>
      <c r="B943">
        <v>85.138999999999996</v>
      </c>
      <c r="C943">
        <v>6.0752800000000002</v>
      </c>
      <c r="D943">
        <v>0.02</v>
      </c>
      <c r="E943">
        <v>0</v>
      </c>
      <c r="F943">
        <v>2.6408399999999999</v>
      </c>
      <c r="G943">
        <v>2.9432399999999999</v>
      </c>
      <c r="H943">
        <v>0</v>
      </c>
      <c r="I943">
        <v>0.49482900000000002</v>
      </c>
      <c r="J943">
        <v>5.3222399999999999</v>
      </c>
      <c r="K943" s="2">
        <v>123405000</v>
      </c>
      <c r="L943" s="1">
        <v>0</v>
      </c>
      <c r="M943" s="1">
        <v>0</v>
      </c>
      <c r="N943" s="1">
        <v>0</v>
      </c>
      <c r="O943" s="1">
        <v>0</v>
      </c>
      <c r="P943" s="2">
        <v>3947990</v>
      </c>
      <c r="Q943" s="1">
        <v>-105967</v>
      </c>
      <c r="R943" s="1">
        <v>408539</v>
      </c>
      <c r="S943">
        <v>99.302199999999999</v>
      </c>
      <c r="T943">
        <v>98.274000000000001</v>
      </c>
      <c r="U943">
        <v>4.8043399999999998</v>
      </c>
      <c r="V943">
        <v>0</v>
      </c>
      <c r="W943">
        <v>0</v>
      </c>
      <c r="X943">
        <v>2.0096599999999998</v>
      </c>
      <c r="Y943">
        <v>1.70726</v>
      </c>
      <c r="Z943">
        <v>0</v>
      </c>
      <c r="AA943">
        <v>1.5525100000000001</v>
      </c>
      <c r="AB943">
        <v>2.9635199999999999</v>
      </c>
      <c r="AC943" s="2">
        <v>424096000</v>
      </c>
      <c r="AD943" s="1">
        <v>0</v>
      </c>
      <c r="AE943" s="1">
        <v>0</v>
      </c>
      <c r="AF943" s="1">
        <v>0</v>
      </c>
      <c r="AG943" s="1">
        <v>0</v>
      </c>
      <c r="AH943" s="2">
        <v>5199460</v>
      </c>
      <c r="AI943" s="1">
        <v>926361</v>
      </c>
      <c r="AJ943" s="1">
        <v>0</v>
      </c>
      <c r="AK943" s="8">
        <f t="shared" si="59"/>
        <v>6</v>
      </c>
      <c r="AL943" s="8">
        <f t="shared" si="58"/>
        <v>19</v>
      </c>
      <c r="AM943">
        <f t="shared" si="56"/>
        <v>0</v>
      </c>
      <c r="AN943">
        <f t="shared" si="57"/>
        <v>0</v>
      </c>
    </row>
    <row r="944" spans="1:40" x14ac:dyDescent="0.35">
      <c r="A944">
        <v>71.629400000000004</v>
      </c>
      <c r="B944">
        <v>85.138999999999996</v>
      </c>
      <c r="C944">
        <v>5.9936999999999996</v>
      </c>
      <c r="D944">
        <v>0.04</v>
      </c>
      <c r="E944">
        <v>0</v>
      </c>
      <c r="F944">
        <v>2.6411899999999999</v>
      </c>
      <c r="G944">
        <v>2.9435899999999999</v>
      </c>
      <c r="H944">
        <v>0</v>
      </c>
      <c r="I944">
        <v>0.494894</v>
      </c>
      <c r="J944">
        <v>5.3222399999999999</v>
      </c>
      <c r="K944" s="2">
        <v>123299000</v>
      </c>
      <c r="L944" s="1">
        <v>0</v>
      </c>
      <c r="M944" s="1">
        <v>0</v>
      </c>
      <c r="N944" s="1">
        <v>0</v>
      </c>
      <c r="O944" s="1">
        <v>0</v>
      </c>
      <c r="P944" s="2">
        <v>3948510</v>
      </c>
      <c r="Q944" s="1">
        <v>-105932</v>
      </c>
      <c r="R944" s="1">
        <v>408539</v>
      </c>
      <c r="S944">
        <v>99.302199999999999</v>
      </c>
      <c r="T944">
        <v>98.274000000000001</v>
      </c>
      <c r="U944">
        <v>5.2373799999999999</v>
      </c>
      <c r="V944">
        <v>0</v>
      </c>
      <c r="W944">
        <v>0</v>
      </c>
      <c r="X944">
        <v>2.0098600000000002</v>
      </c>
      <c r="Y944">
        <v>1.70746</v>
      </c>
      <c r="Z944">
        <v>0</v>
      </c>
      <c r="AA944">
        <v>1.5526599999999999</v>
      </c>
      <c r="AB944">
        <v>2.9635199999999999</v>
      </c>
      <c r="AC944" s="2">
        <v>425022000</v>
      </c>
      <c r="AD944" s="1">
        <v>0</v>
      </c>
      <c r="AE944" s="1">
        <v>0</v>
      </c>
      <c r="AF944" s="1">
        <v>0</v>
      </c>
      <c r="AG944" s="1">
        <v>0</v>
      </c>
      <c r="AH944" s="2">
        <v>5199990</v>
      </c>
      <c r="AI944" s="1">
        <v>926378</v>
      </c>
      <c r="AJ944" s="1">
        <v>0</v>
      </c>
      <c r="AK944" s="8">
        <f t="shared" si="59"/>
        <v>7</v>
      </c>
      <c r="AL944" s="8">
        <f t="shared" si="58"/>
        <v>19</v>
      </c>
      <c r="AM944">
        <f t="shared" si="56"/>
        <v>0</v>
      </c>
      <c r="AN944">
        <f t="shared" si="57"/>
        <v>0</v>
      </c>
    </row>
    <row r="945" spans="1:40" x14ac:dyDescent="0.35">
      <c r="A945">
        <v>73.974199999999996</v>
      </c>
      <c r="B945">
        <v>85.138999999999996</v>
      </c>
      <c r="C945">
        <v>5.7198700000000002</v>
      </c>
      <c r="D945">
        <v>0.02</v>
      </c>
      <c r="E945">
        <v>0</v>
      </c>
      <c r="F945">
        <v>2.92869</v>
      </c>
      <c r="G945">
        <v>3.23109</v>
      </c>
      <c r="H945">
        <v>0</v>
      </c>
      <c r="I945">
        <v>0.49495899999999998</v>
      </c>
      <c r="J945">
        <v>5.3222399999999999</v>
      </c>
      <c r="K945" s="2">
        <v>123223000</v>
      </c>
      <c r="L945" s="1">
        <v>0</v>
      </c>
      <c r="M945" s="1">
        <v>0</v>
      </c>
      <c r="N945" s="1">
        <v>0</v>
      </c>
      <c r="O945" s="1">
        <v>0</v>
      </c>
      <c r="P945" s="2">
        <v>4378310</v>
      </c>
      <c r="Q945" s="1">
        <v>-76376.600000000006</v>
      </c>
      <c r="R945" s="1">
        <v>408539</v>
      </c>
      <c r="S945">
        <v>99.302199999999999</v>
      </c>
      <c r="T945">
        <v>98.274000000000001</v>
      </c>
      <c r="U945">
        <v>6.8954199999999997</v>
      </c>
      <c r="V945">
        <v>0</v>
      </c>
      <c r="W945">
        <v>0</v>
      </c>
      <c r="X945">
        <v>2.2108500000000002</v>
      </c>
      <c r="Y945">
        <v>1.90845</v>
      </c>
      <c r="Z945">
        <v>0</v>
      </c>
      <c r="AA945">
        <v>1.5528200000000001</v>
      </c>
      <c r="AB945">
        <v>2.9635199999999999</v>
      </c>
      <c r="AC945" s="2">
        <v>425965000</v>
      </c>
      <c r="AD945" s="1">
        <v>0</v>
      </c>
      <c r="AE945" s="1">
        <v>0</v>
      </c>
      <c r="AF945" s="1">
        <v>0</v>
      </c>
      <c r="AG945" s="1">
        <v>0</v>
      </c>
      <c r="AH945" s="2">
        <v>5719990</v>
      </c>
      <c r="AI945" s="1">
        <v>943328</v>
      </c>
      <c r="AJ945" s="1">
        <v>0</v>
      </c>
      <c r="AK945" s="8">
        <f t="shared" si="59"/>
        <v>8</v>
      </c>
      <c r="AL945" s="8">
        <f t="shared" si="58"/>
        <v>19</v>
      </c>
      <c r="AM945">
        <f t="shared" si="56"/>
        <v>0</v>
      </c>
      <c r="AN945">
        <f t="shared" si="57"/>
        <v>0</v>
      </c>
    </row>
    <row r="946" spans="1:40" x14ac:dyDescent="0.35">
      <c r="A946">
        <v>75.352900000000005</v>
      </c>
      <c r="B946">
        <v>85.138999999999996</v>
      </c>
      <c r="C946">
        <v>5.0484299999999998</v>
      </c>
      <c r="D946">
        <v>0</v>
      </c>
      <c r="E946">
        <v>0</v>
      </c>
      <c r="F946">
        <v>3.2314699999999998</v>
      </c>
      <c r="G946">
        <v>3.2314699999999998</v>
      </c>
      <c r="H946">
        <v>0</v>
      </c>
      <c r="I946">
        <v>0.54883599999999999</v>
      </c>
      <c r="J946">
        <v>5.3222399999999999</v>
      </c>
      <c r="K946" s="2">
        <v>123555000</v>
      </c>
      <c r="L946" s="1">
        <v>0</v>
      </c>
      <c r="M946" s="1">
        <v>0</v>
      </c>
      <c r="N946" s="1">
        <v>0</v>
      </c>
      <c r="O946" s="1">
        <v>0</v>
      </c>
      <c r="P946" s="2">
        <v>4830960</v>
      </c>
      <c r="Q946" s="1">
        <v>332201</v>
      </c>
      <c r="R946" s="1">
        <v>0</v>
      </c>
      <c r="S946">
        <v>99.302199999999999</v>
      </c>
      <c r="T946">
        <v>98.274000000000001</v>
      </c>
      <c r="U946">
        <v>5.1431399999999998</v>
      </c>
      <c r="V946">
        <v>0</v>
      </c>
      <c r="W946">
        <v>0</v>
      </c>
      <c r="X946">
        <v>1.9086700000000001</v>
      </c>
      <c r="Y946">
        <v>1.9086700000000001</v>
      </c>
      <c r="Z946">
        <v>0</v>
      </c>
      <c r="AA946">
        <v>1.7081</v>
      </c>
      <c r="AB946">
        <v>2.9635199999999999</v>
      </c>
      <c r="AC946" s="2">
        <v>426126000</v>
      </c>
      <c r="AD946" s="1">
        <v>0</v>
      </c>
      <c r="AE946" s="1">
        <v>0</v>
      </c>
      <c r="AF946" s="1">
        <v>0</v>
      </c>
      <c r="AG946" s="1">
        <v>0</v>
      </c>
      <c r="AH946" s="2">
        <v>4938190</v>
      </c>
      <c r="AI946" s="1">
        <v>160966</v>
      </c>
      <c r="AJ946" s="1">
        <v>0</v>
      </c>
      <c r="AK946" s="8">
        <f t="shared" si="59"/>
        <v>9</v>
      </c>
      <c r="AL946" s="8">
        <f t="shared" si="58"/>
        <v>19</v>
      </c>
      <c r="AM946">
        <f t="shared" si="56"/>
        <v>0</v>
      </c>
      <c r="AN946">
        <f t="shared" si="57"/>
        <v>0</v>
      </c>
    </row>
    <row r="947" spans="1:40" x14ac:dyDescent="0.35">
      <c r="A947">
        <v>76.798000000000002</v>
      </c>
      <c r="B947">
        <v>85.138999999999996</v>
      </c>
      <c r="C947">
        <v>5.0211199999999998</v>
      </c>
      <c r="D947">
        <v>0</v>
      </c>
      <c r="E947">
        <v>0</v>
      </c>
      <c r="F947">
        <v>3.2318500000000001</v>
      </c>
      <c r="G947">
        <v>3.2318500000000001</v>
      </c>
      <c r="H947">
        <v>0</v>
      </c>
      <c r="I947">
        <v>0.60557700000000003</v>
      </c>
      <c r="J947">
        <v>5.3222399999999999</v>
      </c>
      <c r="K947" s="2">
        <v>123887000</v>
      </c>
      <c r="L947" s="1">
        <v>0</v>
      </c>
      <c r="M947" s="1">
        <v>0</v>
      </c>
      <c r="N947" s="1">
        <v>0</v>
      </c>
      <c r="O947" s="1">
        <v>0</v>
      </c>
      <c r="P947" s="2">
        <v>4831540</v>
      </c>
      <c r="Q947" s="1">
        <v>332241</v>
      </c>
      <c r="R947" s="1">
        <v>0</v>
      </c>
      <c r="S947">
        <v>99.302199999999999</v>
      </c>
      <c r="T947">
        <v>98.274000000000001</v>
      </c>
      <c r="U947">
        <v>3.9200900000000001</v>
      </c>
      <c r="V947">
        <v>0</v>
      </c>
      <c r="W947">
        <v>0</v>
      </c>
      <c r="X947">
        <v>1.9089</v>
      </c>
      <c r="Y947">
        <v>1.9089</v>
      </c>
      <c r="Z947">
        <v>0</v>
      </c>
      <c r="AA947">
        <v>1.47464</v>
      </c>
      <c r="AB947">
        <v>2.9635199999999999</v>
      </c>
      <c r="AC947" s="2">
        <v>426287000</v>
      </c>
      <c r="AD947" s="1">
        <v>0</v>
      </c>
      <c r="AE947" s="1">
        <v>0</v>
      </c>
      <c r="AF947" s="1">
        <v>0</v>
      </c>
      <c r="AG947" s="1">
        <v>0</v>
      </c>
      <c r="AH947" s="2">
        <v>4938780</v>
      </c>
      <c r="AI947" s="1">
        <v>160985</v>
      </c>
      <c r="AJ947" s="1">
        <v>0</v>
      </c>
      <c r="AK947" s="8">
        <f t="shared" si="59"/>
        <v>10</v>
      </c>
      <c r="AL947" s="8">
        <f t="shared" si="58"/>
        <v>19</v>
      </c>
      <c r="AM947">
        <f t="shared" si="56"/>
        <v>0</v>
      </c>
      <c r="AN947">
        <f t="shared" si="57"/>
        <v>0</v>
      </c>
    </row>
    <row r="948" spans="1:40" x14ac:dyDescent="0.35">
      <c r="A948">
        <v>79.790999999999997</v>
      </c>
      <c r="B948">
        <v>85.138999999999996</v>
      </c>
      <c r="C948">
        <v>6.6792800000000003</v>
      </c>
      <c r="D948">
        <v>0</v>
      </c>
      <c r="E948">
        <v>0</v>
      </c>
      <c r="F948">
        <v>3.2322299999999999</v>
      </c>
      <c r="G948">
        <v>3.2322299999999999</v>
      </c>
      <c r="H948">
        <v>0</v>
      </c>
      <c r="I948">
        <v>0.60564899999999999</v>
      </c>
      <c r="J948">
        <v>5.3222399999999999</v>
      </c>
      <c r="K948" s="2">
        <v>124219000</v>
      </c>
      <c r="L948" s="1">
        <v>0</v>
      </c>
      <c r="M948" s="1">
        <v>0</v>
      </c>
      <c r="N948" s="1">
        <v>0</v>
      </c>
      <c r="O948" s="1">
        <v>0</v>
      </c>
      <c r="P948" s="2">
        <v>4832110</v>
      </c>
      <c r="Q948" s="1">
        <v>332280</v>
      </c>
      <c r="R948" s="1">
        <v>0</v>
      </c>
      <c r="S948">
        <v>99.302199999999999</v>
      </c>
      <c r="T948">
        <v>98.274000000000001</v>
      </c>
      <c r="U948">
        <v>5.8509200000000003</v>
      </c>
      <c r="V948">
        <v>0</v>
      </c>
      <c r="W948">
        <v>0</v>
      </c>
      <c r="X948">
        <v>1.90913</v>
      </c>
      <c r="Y948">
        <v>1.90913</v>
      </c>
      <c r="Z948">
        <v>0</v>
      </c>
      <c r="AA948">
        <v>1.47482</v>
      </c>
      <c r="AB948">
        <v>2.9635199999999999</v>
      </c>
      <c r="AC948" s="2">
        <v>426448000</v>
      </c>
      <c r="AD948" s="1">
        <v>0</v>
      </c>
      <c r="AE948" s="1">
        <v>0</v>
      </c>
      <c r="AF948" s="1">
        <v>0</v>
      </c>
      <c r="AG948" s="1">
        <v>0</v>
      </c>
      <c r="AH948" s="2">
        <v>4939360</v>
      </c>
      <c r="AI948" s="1">
        <v>161004</v>
      </c>
      <c r="AJ948" s="1">
        <v>0</v>
      </c>
      <c r="AK948" s="8">
        <f t="shared" si="59"/>
        <v>11</v>
      </c>
      <c r="AL948" s="8">
        <f t="shared" si="58"/>
        <v>19</v>
      </c>
      <c r="AM948">
        <f t="shared" si="56"/>
        <v>0</v>
      </c>
      <c r="AN948">
        <f t="shared" si="57"/>
        <v>0</v>
      </c>
    </row>
    <row r="949" spans="1:40" x14ac:dyDescent="0.35">
      <c r="A949">
        <v>81.873500000000007</v>
      </c>
      <c r="B949">
        <v>85.138999999999996</v>
      </c>
      <c r="C949">
        <v>5.4430100000000001</v>
      </c>
      <c r="D949">
        <v>0</v>
      </c>
      <c r="E949">
        <v>0</v>
      </c>
      <c r="F949">
        <v>2.8228599999999999</v>
      </c>
      <c r="G949">
        <v>2.8228599999999999</v>
      </c>
      <c r="H949">
        <v>0</v>
      </c>
      <c r="I949">
        <v>0.60572099999999995</v>
      </c>
      <c r="J949">
        <v>5.3222399999999999</v>
      </c>
      <c r="K949" s="2">
        <v>124509000</v>
      </c>
      <c r="L949" s="1">
        <v>0</v>
      </c>
      <c r="M949" s="1">
        <v>0</v>
      </c>
      <c r="N949" s="1">
        <v>0</v>
      </c>
      <c r="O949" s="1">
        <v>0</v>
      </c>
      <c r="P949" s="2">
        <v>4220110</v>
      </c>
      <c r="Q949" s="1">
        <v>290196</v>
      </c>
      <c r="R949" s="1">
        <v>0</v>
      </c>
      <c r="S949">
        <v>99.302199999999999</v>
      </c>
      <c r="T949">
        <v>98.274000000000001</v>
      </c>
      <c r="U949">
        <v>7.3610600000000002</v>
      </c>
      <c r="V949">
        <v>0</v>
      </c>
      <c r="W949">
        <v>0</v>
      </c>
      <c r="X949">
        <v>1.6397699999999999</v>
      </c>
      <c r="Y949">
        <v>1.6397699999999999</v>
      </c>
      <c r="Z949">
        <v>0</v>
      </c>
      <c r="AA949">
        <v>1.47499</v>
      </c>
      <c r="AB949">
        <v>2.9635199999999999</v>
      </c>
      <c r="AC949" s="2">
        <v>426587000</v>
      </c>
      <c r="AD949" s="1">
        <v>0</v>
      </c>
      <c r="AE949" s="1">
        <v>0</v>
      </c>
      <c r="AF949" s="1">
        <v>0</v>
      </c>
      <c r="AG949" s="1">
        <v>0</v>
      </c>
      <c r="AH949" s="2">
        <v>4242470</v>
      </c>
      <c r="AI949" s="1">
        <v>138288</v>
      </c>
      <c r="AJ949" s="1">
        <v>0</v>
      </c>
      <c r="AK949" s="8">
        <f t="shared" si="59"/>
        <v>12</v>
      </c>
      <c r="AL949" s="8">
        <f t="shared" si="58"/>
        <v>19</v>
      </c>
      <c r="AM949">
        <f t="shared" si="56"/>
        <v>0</v>
      </c>
      <c r="AN949">
        <f t="shared" si="57"/>
        <v>0</v>
      </c>
    </row>
    <row r="950" spans="1:40" x14ac:dyDescent="0.35">
      <c r="A950">
        <v>83.364099999999993</v>
      </c>
      <c r="B950">
        <v>85.138999999999996</v>
      </c>
      <c r="C950">
        <v>4.8283500000000004</v>
      </c>
      <c r="D950">
        <v>0</v>
      </c>
      <c r="E950">
        <v>0</v>
      </c>
      <c r="F950">
        <v>2.8231999999999999</v>
      </c>
      <c r="G950">
        <v>2.8231999999999999</v>
      </c>
      <c r="H950">
        <v>0</v>
      </c>
      <c r="I950">
        <v>0.52900499999999995</v>
      </c>
      <c r="J950">
        <v>5.3222399999999999</v>
      </c>
      <c r="K950" s="2">
        <v>124800000</v>
      </c>
      <c r="L950" s="1">
        <v>0</v>
      </c>
      <c r="M950" s="1">
        <v>0</v>
      </c>
      <c r="N950" s="1">
        <v>0</v>
      </c>
      <c r="O950" s="1">
        <v>0</v>
      </c>
      <c r="P950" s="2">
        <v>4220610</v>
      </c>
      <c r="Q950" s="1">
        <v>290230</v>
      </c>
      <c r="R950" s="1">
        <v>0</v>
      </c>
      <c r="S950">
        <v>99.302199999999999</v>
      </c>
      <c r="T950">
        <v>98.274000000000001</v>
      </c>
      <c r="U950">
        <v>7.0914999999999999</v>
      </c>
      <c r="V950">
        <v>0</v>
      </c>
      <c r="W950">
        <v>0</v>
      </c>
      <c r="X950">
        <v>1.6399600000000001</v>
      </c>
      <c r="Y950">
        <v>1.6399600000000001</v>
      </c>
      <c r="Z950">
        <v>0</v>
      </c>
      <c r="AA950">
        <v>1.2668900000000001</v>
      </c>
      <c r="AB950">
        <v>2.9635199999999999</v>
      </c>
      <c r="AC950" s="2">
        <v>426725000</v>
      </c>
      <c r="AD950" s="1">
        <v>0</v>
      </c>
      <c r="AE950" s="1">
        <v>0</v>
      </c>
      <c r="AF950" s="1">
        <v>0</v>
      </c>
      <c r="AG950" s="1">
        <v>0</v>
      </c>
      <c r="AH950" s="2">
        <v>4242980</v>
      </c>
      <c r="AI950" s="1">
        <v>138305</v>
      </c>
      <c r="AJ950" s="1">
        <v>0</v>
      </c>
      <c r="AK950" s="8">
        <f t="shared" si="59"/>
        <v>13</v>
      </c>
      <c r="AL950" s="8">
        <f t="shared" si="58"/>
        <v>19</v>
      </c>
      <c r="AM950">
        <f t="shared" si="56"/>
        <v>0</v>
      </c>
      <c r="AN950">
        <f t="shared" si="57"/>
        <v>0</v>
      </c>
    </row>
    <row r="951" spans="1:40" x14ac:dyDescent="0.35">
      <c r="A951">
        <v>85.138999999999996</v>
      </c>
      <c r="B951">
        <v>85.138999999999996</v>
      </c>
      <c r="C951">
        <v>5.8348800000000001</v>
      </c>
      <c r="D951">
        <v>0</v>
      </c>
      <c r="E951">
        <v>0</v>
      </c>
      <c r="F951">
        <v>2.8235299999999999</v>
      </c>
      <c r="G951">
        <v>2.8235299999999999</v>
      </c>
      <c r="H951">
        <v>0</v>
      </c>
      <c r="I951">
        <v>0.52906699999999995</v>
      </c>
      <c r="J951">
        <v>5.3222399999999999</v>
      </c>
      <c r="K951" s="2">
        <v>125090000</v>
      </c>
      <c r="L951" s="1">
        <v>0</v>
      </c>
      <c r="M951" s="1">
        <v>0</v>
      </c>
      <c r="N951" s="1">
        <v>0</v>
      </c>
      <c r="O951" s="1">
        <v>0</v>
      </c>
      <c r="P951" s="2">
        <v>4221110</v>
      </c>
      <c r="Q951" s="1">
        <v>290265</v>
      </c>
      <c r="R951" s="1">
        <v>0</v>
      </c>
      <c r="S951">
        <v>99.302199999999999</v>
      </c>
      <c r="T951">
        <v>98.274000000000001</v>
      </c>
      <c r="U951">
        <v>6.6592099999999999</v>
      </c>
      <c r="V951">
        <v>0</v>
      </c>
      <c r="W951">
        <v>0</v>
      </c>
      <c r="X951">
        <v>1.6401600000000001</v>
      </c>
      <c r="Y951">
        <v>1.6401600000000001</v>
      </c>
      <c r="Z951">
        <v>0</v>
      </c>
      <c r="AA951">
        <v>1.2670399999999999</v>
      </c>
      <c r="AB951">
        <v>2.9635199999999999</v>
      </c>
      <c r="AC951" s="2">
        <v>426863000</v>
      </c>
      <c r="AD951" s="1">
        <v>0</v>
      </c>
      <c r="AE951" s="1">
        <v>0</v>
      </c>
      <c r="AF951" s="1">
        <v>0</v>
      </c>
      <c r="AG951" s="1">
        <v>0</v>
      </c>
      <c r="AH951" s="2">
        <v>4243480</v>
      </c>
      <c r="AI951" s="1">
        <v>138321</v>
      </c>
      <c r="AJ951" s="1">
        <v>0</v>
      </c>
      <c r="AK951" s="8">
        <f t="shared" si="59"/>
        <v>14</v>
      </c>
      <c r="AL951" s="8">
        <f t="shared" si="58"/>
        <v>19</v>
      </c>
      <c r="AM951">
        <f t="shared" si="56"/>
        <v>0</v>
      </c>
      <c r="AN951">
        <f t="shared" si="57"/>
        <v>0</v>
      </c>
    </row>
    <row r="952" spans="1:40" x14ac:dyDescent="0.35">
      <c r="A952">
        <v>85.138999999999996</v>
      </c>
      <c r="B952">
        <v>85.138999999999996</v>
      </c>
      <c r="C952">
        <v>4.73407</v>
      </c>
      <c r="D952">
        <v>0</v>
      </c>
      <c r="E952">
        <v>0</v>
      </c>
      <c r="F952">
        <v>2.8238699999999999</v>
      </c>
      <c r="G952">
        <v>2.8238699999999999</v>
      </c>
      <c r="H952">
        <v>0</v>
      </c>
      <c r="I952">
        <v>0.52912999999999999</v>
      </c>
      <c r="J952">
        <v>5.3222399999999999</v>
      </c>
      <c r="K952" s="2">
        <v>125380000</v>
      </c>
      <c r="L952" s="1">
        <v>0</v>
      </c>
      <c r="M952" s="1">
        <v>0</v>
      </c>
      <c r="N952" s="1">
        <v>0</v>
      </c>
      <c r="O952" s="1">
        <v>0</v>
      </c>
      <c r="P952" s="2">
        <v>4221610</v>
      </c>
      <c r="Q952" s="1">
        <v>290299</v>
      </c>
      <c r="R952" s="1">
        <v>0</v>
      </c>
      <c r="S952">
        <v>99.302199999999999</v>
      </c>
      <c r="T952">
        <v>98.274000000000001</v>
      </c>
      <c r="U952">
        <v>5.7332900000000002</v>
      </c>
      <c r="V952">
        <v>0</v>
      </c>
      <c r="W952">
        <v>0</v>
      </c>
      <c r="X952">
        <v>1.64035</v>
      </c>
      <c r="Y952">
        <v>1.64035</v>
      </c>
      <c r="Z952">
        <v>0</v>
      </c>
      <c r="AA952">
        <v>1.26719</v>
      </c>
      <c r="AB952">
        <v>2.9635199999999999</v>
      </c>
      <c r="AC952" s="2">
        <v>427002000</v>
      </c>
      <c r="AD952" s="1">
        <v>0</v>
      </c>
      <c r="AE952" s="1">
        <v>0</v>
      </c>
      <c r="AF952" s="1">
        <v>0</v>
      </c>
      <c r="AG952" s="1">
        <v>0</v>
      </c>
      <c r="AH952" s="2">
        <v>4243980</v>
      </c>
      <c r="AI952" s="1">
        <v>138337</v>
      </c>
      <c r="AJ952" s="1">
        <v>0</v>
      </c>
      <c r="AK952" s="8">
        <f t="shared" si="59"/>
        <v>15</v>
      </c>
      <c r="AL952" s="8">
        <f t="shared" si="58"/>
        <v>19</v>
      </c>
      <c r="AM952">
        <f t="shared" si="56"/>
        <v>0</v>
      </c>
      <c r="AN952">
        <f t="shared" si="57"/>
        <v>0</v>
      </c>
    </row>
    <row r="953" spans="1:40" x14ac:dyDescent="0.35">
      <c r="A953">
        <v>85.138999999999996</v>
      </c>
      <c r="B953">
        <v>85.138999999999996</v>
      </c>
      <c r="C953">
        <v>6.0696099999999999</v>
      </c>
      <c r="D953">
        <v>0</v>
      </c>
      <c r="E953">
        <v>0</v>
      </c>
      <c r="F953">
        <v>2.8241999999999998</v>
      </c>
      <c r="G953">
        <v>2.8241999999999998</v>
      </c>
      <c r="H953">
        <v>0</v>
      </c>
      <c r="I953">
        <v>0.52919300000000002</v>
      </c>
      <c r="J953">
        <v>5.3222399999999999</v>
      </c>
      <c r="K953" s="2">
        <v>125671000</v>
      </c>
      <c r="L953" s="1">
        <v>0</v>
      </c>
      <c r="M953" s="1">
        <v>0</v>
      </c>
      <c r="N953" s="1">
        <v>0</v>
      </c>
      <c r="O953" s="1">
        <v>0</v>
      </c>
      <c r="P953" s="2">
        <v>4222110</v>
      </c>
      <c r="Q953" s="1">
        <v>290333</v>
      </c>
      <c r="R953" s="1">
        <v>0</v>
      </c>
      <c r="S953">
        <v>99.302199999999999</v>
      </c>
      <c r="T953">
        <v>98.274000000000001</v>
      </c>
      <c r="U953">
        <v>7.3157300000000003</v>
      </c>
      <c r="V953">
        <v>0</v>
      </c>
      <c r="W953">
        <v>0</v>
      </c>
      <c r="X953">
        <v>1.64055</v>
      </c>
      <c r="Y953">
        <v>1.64055</v>
      </c>
      <c r="Z953">
        <v>0</v>
      </c>
      <c r="AA953">
        <v>1.2673399999999999</v>
      </c>
      <c r="AB953">
        <v>2.9635199999999999</v>
      </c>
      <c r="AC953" s="2">
        <v>427140000</v>
      </c>
      <c r="AD953" s="1">
        <v>0</v>
      </c>
      <c r="AE953" s="1">
        <v>0</v>
      </c>
      <c r="AF953" s="1">
        <v>0</v>
      </c>
      <c r="AG953" s="1">
        <v>0</v>
      </c>
      <c r="AH953" s="2">
        <v>4244490</v>
      </c>
      <c r="AI953" s="1">
        <v>138354</v>
      </c>
      <c r="AJ953" s="1">
        <v>0</v>
      </c>
      <c r="AK953" s="8">
        <f t="shared" si="59"/>
        <v>16</v>
      </c>
      <c r="AL953" s="8">
        <f t="shared" si="58"/>
        <v>19</v>
      </c>
      <c r="AM953">
        <f t="shared" si="56"/>
        <v>0</v>
      </c>
      <c r="AN953">
        <f t="shared" si="57"/>
        <v>0</v>
      </c>
    </row>
    <row r="954" spans="1:40" x14ac:dyDescent="0.35">
      <c r="A954">
        <v>85.138999999999996</v>
      </c>
      <c r="B954">
        <v>85.138999999999996</v>
      </c>
      <c r="C954">
        <v>5.4547999999999996</v>
      </c>
      <c r="D954">
        <v>0</v>
      </c>
      <c r="E954">
        <v>0</v>
      </c>
      <c r="F954">
        <v>2.92774</v>
      </c>
      <c r="G954">
        <v>2.92774</v>
      </c>
      <c r="H954">
        <v>0</v>
      </c>
      <c r="I954">
        <v>0.52925500000000003</v>
      </c>
      <c r="J954">
        <v>5.3222399999999999</v>
      </c>
      <c r="K954" s="2">
        <v>125972000</v>
      </c>
      <c r="L954" s="1">
        <v>0</v>
      </c>
      <c r="M954" s="1">
        <v>0</v>
      </c>
      <c r="N954" s="1">
        <v>0</v>
      </c>
      <c r="O954" s="1">
        <v>0</v>
      </c>
      <c r="P954" s="2">
        <v>4376900</v>
      </c>
      <c r="Q954" s="1">
        <v>300977</v>
      </c>
      <c r="R954" s="1">
        <v>0</v>
      </c>
      <c r="S954">
        <v>99.302199999999999</v>
      </c>
      <c r="T954">
        <v>98.274000000000001</v>
      </c>
      <c r="U954">
        <v>6.8134300000000003</v>
      </c>
      <c r="V954">
        <v>0</v>
      </c>
      <c r="W954">
        <v>0</v>
      </c>
      <c r="X954">
        <v>1.7067300000000001</v>
      </c>
      <c r="Y954">
        <v>1.7067300000000001</v>
      </c>
      <c r="Z954">
        <v>0</v>
      </c>
      <c r="AA954">
        <v>1.26749</v>
      </c>
      <c r="AB954">
        <v>2.9635199999999999</v>
      </c>
      <c r="AC954" s="2">
        <v>427284000</v>
      </c>
      <c r="AD954" s="1">
        <v>0</v>
      </c>
      <c r="AE954" s="1">
        <v>0</v>
      </c>
      <c r="AF954" s="1">
        <v>0</v>
      </c>
      <c r="AG954" s="1">
        <v>0</v>
      </c>
      <c r="AH954" s="2">
        <v>4415720</v>
      </c>
      <c r="AI954" s="1">
        <v>143935</v>
      </c>
      <c r="AJ954" s="1">
        <v>0</v>
      </c>
      <c r="AK954" s="8">
        <f t="shared" si="59"/>
        <v>17</v>
      </c>
      <c r="AL954" s="8">
        <f t="shared" si="58"/>
        <v>19</v>
      </c>
      <c r="AM954">
        <f t="shared" si="56"/>
        <v>0</v>
      </c>
      <c r="AN954">
        <f t="shared" si="57"/>
        <v>0</v>
      </c>
    </row>
    <row r="955" spans="1:40" x14ac:dyDescent="0.35">
      <c r="A955">
        <v>85.138999999999996</v>
      </c>
      <c r="B955">
        <v>85.138999999999996</v>
      </c>
      <c r="C955">
        <v>4.7562600000000002</v>
      </c>
      <c r="D955">
        <v>0</v>
      </c>
      <c r="E955">
        <v>0</v>
      </c>
      <c r="F955">
        <v>2.9280900000000001</v>
      </c>
      <c r="G955">
        <v>2.9280900000000001</v>
      </c>
      <c r="H955">
        <v>0</v>
      </c>
      <c r="I955">
        <v>0.54865799999999998</v>
      </c>
      <c r="J955">
        <v>5.3222399999999999</v>
      </c>
      <c r="K955" s="2">
        <v>126273000</v>
      </c>
      <c r="L955" s="1">
        <v>0</v>
      </c>
      <c r="M955" s="1">
        <v>0</v>
      </c>
      <c r="N955" s="1">
        <v>0</v>
      </c>
      <c r="O955" s="1">
        <v>0</v>
      </c>
      <c r="P955" s="2">
        <v>4377410</v>
      </c>
      <c r="Q955" s="1">
        <v>301013</v>
      </c>
      <c r="R955" s="1">
        <v>0</v>
      </c>
      <c r="S955">
        <v>99.302199999999999</v>
      </c>
      <c r="T955">
        <v>98.274000000000001</v>
      </c>
      <c r="U955">
        <v>5.6339199999999998</v>
      </c>
      <c r="V955">
        <v>0</v>
      </c>
      <c r="W955">
        <v>0</v>
      </c>
      <c r="X955">
        <v>1.7069300000000001</v>
      </c>
      <c r="Y955">
        <v>1.7069300000000001</v>
      </c>
      <c r="Z955">
        <v>0</v>
      </c>
      <c r="AA955">
        <v>1.3186199999999999</v>
      </c>
      <c r="AB955">
        <v>2.9635199999999999</v>
      </c>
      <c r="AC955" s="2">
        <v>427428000</v>
      </c>
      <c r="AD955" s="1">
        <v>0</v>
      </c>
      <c r="AE955" s="1">
        <v>0</v>
      </c>
      <c r="AF955" s="1">
        <v>0</v>
      </c>
      <c r="AG955" s="1">
        <v>0</v>
      </c>
      <c r="AH955" s="2">
        <v>4416240</v>
      </c>
      <c r="AI955" s="1">
        <v>143952</v>
      </c>
      <c r="AJ955" s="1">
        <v>0</v>
      </c>
      <c r="AK955" s="8">
        <f t="shared" si="59"/>
        <v>18</v>
      </c>
      <c r="AL955" s="8">
        <f t="shared" si="58"/>
        <v>19</v>
      </c>
      <c r="AM955">
        <f t="shared" si="56"/>
        <v>0</v>
      </c>
      <c r="AN955">
        <f t="shared" si="57"/>
        <v>0</v>
      </c>
    </row>
    <row r="956" spans="1:40" x14ac:dyDescent="0.35">
      <c r="A956">
        <v>85.138999999999996</v>
      </c>
      <c r="B956">
        <v>85.138999999999996</v>
      </c>
      <c r="C956">
        <v>4.1082400000000003</v>
      </c>
      <c r="D956">
        <v>0</v>
      </c>
      <c r="E956">
        <v>0</v>
      </c>
      <c r="F956">
        <v>2.9284300000000001</v>
      </c>
      <c r="G956">
        <v>2.9284300000000001</v>
      </c>
      <c r="H956">
        <v>0</v>
      </c>
      <c r="I956">
        <v>0.54872299999999996</v>
      </c>
      <c r="J956">
        <v>5.3222399999999999</v>
      </c>
      <c r="K956" s="2">
        <v>126574000</v>
      </c>
      <c r="L956" s="1">
        <v>0</v>
      </c>
      <c r="M956" s="1">
        <v>0</v>
      </c>
      <c r="N956" s="1">
        <v>0</v>
      </c>
      <c r="O956" s="1">
        <v>0</v>
      </c>
      <c r="P956" s="2">
        <v>4377930</v>
      </c>
      <c r="Q956" s="1">
        <v>301049</v>
      </c>
      <c r="R956" s="1">
        <v>0</v>
      </c>
      <c r="S956">
        <v>99.302199999999999</v>
      </c>
      <c r="T956">
        <v>98.274000000000001</v>
      </c>
      <c r="U956">
        <v>5.5827400000000003</v>
      </c>
      <c r="V956">
        <v>0</v>
      </c>
      <c r="W956">
        <v>0</v>
      </c>
      <c r="X956">
        <v>1.7071400000000001</v>
      </c>
      <c r="Y956">
        <v>1.7071400000000001</v>
      </c>
      <c r="Z956">
        <v>0</v>
      </c>
      <c r="AA956">
        <v>1.3187800000000001</v>
      </c>
      <c r="AB956">
        <v>2.9635199999999999</v>
      </c>
      <c r="AC956" s="2">
        <v>427572000</v>
      </c>
      <c r="AD956" s="1">
        <v>0</v>
      </c>
      <c r="AE956" s="1">
        <v>0</v>
      </c>
      <c r="AF956" s="1">
        <v>0</v>
      </c>
      <c r="AG956" s="1">
        <v>0</v>
      </c>
      <c r="AH956" s="2">
        <v>4416770</v>
      </c>
      <c r="AI956" s="1">
        <v>143969</v>
      </c>
      <c r="AJ956" s="1">
        <v>0</v>
      </c>
      <c r="AK956" s="8">
        <f t="shared" si="59"/>
        <v>19</v>
      </c>
      <c r="AL956" s="8">
        <f t="shared" si="58"/>
        <v>19</v>
      </c>
      <c r="AM956">
        <f t="shared" si="56"/>
        <v>0</v>
      </c>
      <c r="AN956">
        <f t="shared" si="57"/>
        <v>0</v>
      </c>
    </row>
    <row r="957" spans="1:40" x14ac:dyDescent="0.35">
      <c r="A957">
        <v>85.138999999999996</v>
      </c>
      <c r="B957">
        <v>85.138999999999996</v>
      </c>
      <c r="C957">
        <v>4.6329200000000004</v>
      </c>
      <c r="D957">
        <v>0</v>
      </c>
      <c r="E957">
        <v>0</v>
      </c>
      <c r="F957">
        <v>2.9287800000000002</v>
      </c>
      <c r="G957">
        <v>2.9287800000000002</v>
      </c>
      <c r="H957">
        <v>0</v>
      </c>
      <c r="I957">
        <v>0.54878800000000005</v>
      </c>
      <c r="J957">
        <v>5.3222399999999999</v>
      </c>
      <c r="K957" s="2">
        <v>126875000</v>
      </c>
      <c r="L957" s="1">
        <v>0</v>
      </c>
      <c r="M957" s="1">
        <v>0</v>
      </c>
      <c r="N957" s="1">
        <v>0</v>
      </c>
      <c r="O957" s="1">
        <v>0</v>
      </c>
      <c r="P957" s="2">
        <v>4378450</v>
      </c>
      <c r="Q957" s="1">
        <v>301084</v>
      </c>
      <c r="R957" s="1">
        <v>0</v>
      </c>
      <c r="S957">
        <v>99.302199999999999</v>
      </c>
      <c r="T957">
        <v>98.274000000000001</v>
      </c>
      <c r="U957">
        <v>6.28728</v>
      </c>
      <c r="V957">
        <v>0</v>
      </c>
      <c r="W957">
        <v>0</v>
      </c>
      <c r="X957">
        <v>1.7073400000000001</v>
      </c>
      <c r="Y957">
        <v>1.7073400000000001</v>
      </c>
      <c r="Z957">
        <v>0</v>
      </c>
      <c r="AA957">
        <v>1.3189299999999999</v>
      </c>
      <c r="AB957">
        <v>2.9635199999999999</v>
      </c>
      <c r="AC957" s="2">
        <v>427716000</v>
      </c>
      <c r="AD957" s="1">
        <v>0</v>
      </c>
      <c r="AE957" s="1">
        <v>0</v>
      </c>
      <c r="AF957" s="1">
        <v>0</v>
      </c>
      <c r="AG957" s="1">
        <v>0</v>
      </c>
      <c r="AH957" s="2">
        <v>4417290</v>
      </c>
      <c r="AI957" s="1">
        <v>143987</v>
      </c>
      <c r="AJ957" s="1">
        <v>0</v>
      </c>
      <c r="AK957" s="8">
        <f t="shared" si="59"/>
        <v>20</v>
      </c>
      <c r="AL957" s="8">
        <f t="shared" si="58"/>
        <v>19</v>
      </c>
      <c r="AM957">
        <f t="shared" si="56"/>
        <v>0</v>
      </c>
      <c r="AN957">
        <f t="shared" si="57"/>
        <v>0</v>
      </c>
    </row>
    <row r="958" spans="1:40" x14ac:dyDescent="0.35">
      <c r="A958">
        <v>85.138999999999996</v>
      </c>
      <c r="B958">
        <v>85.138999999999996</v>
      </c>
      <c r="C958">
        <v>3.71889</v>
      </c>
      <c r="D958">
        <v>0</v>
      </c>
      <c r="E958">
        <v>0</v>
      </c>
      <c r="F958">
        <v>2.88876</v>
      </c>
      <c r="G958">
        <v>2.88876</v>
      </c>
      <c r="H958">
        <v>0</v>
      </c>
      <c r="I958">
        <v>0.54885300000000004</v>
      </c>
      <c r="J958">
        <v>5.3222399999999999</v>
      </c>
      <c r="K958" s="2">
        <v>127172000</v>
      </c>
      <c r="L958" s="1">
        <v>0</v>
      </c>
      <c r="M958" s="1">
        <v>0</v>
      </c>
      <c r="N958" s="1">
        <v>0</v>
      </c>
      <c r="O958" s="1">
        <v>0</v>
      </c>
      <c r="P958" s="2">
        <v>4318620</v>
      </c>
      <c r="Q958" s="1">
        <v>296970</v>
      </c>
      <c r="R958" s="1">
        <v>0</v>
      </c>
      <c r="S958">
        <v>99.302199999999999</v>
      </c>
      <c r="T958">
        <v>98.274000000000001</v>
      </c>
      <c r="U958">
        <v>5.9659800000000001</v>
      </c>
      <c r="V958">
        <v>0</v>
      </c>
      <c r="W958">
        <v>0</v>
      </c>
      <c r="X958">
        <v>1.6819</v>
      </c>
      <c r="Y958">
        <v>1.6819</v>
      </c>
      <c r="Z958">
        <v>0</v>
      </c>
      <c r="AA958">
        <v>1.3190900000000001</v>
      </c>
      <c r="AB958">
        <v>2.9635199999999999</v>
      </c>
      <c r="AC958" s="2">
        <v>427858000</v>
      </c>
      <c r="AD958" s="1">
        <v>0</v>
      </c>
      <c r="AE958" s="1">
        <v>0</v>
      </c>
      <c r="AF958" s="1">
        <v>0</v>
      </c>
      <c r="AG958" s="1">
        <v>0</v>
      </c>
      <c r="AH958" s="2">
        <v>4351470</v>
      </c>
      <c r="AI958" s="1">
        <v>141841</v>
      </c>
      <c r="AJ958" s="1">
        <v>0</v>
      </c>
      <c r="AK958" s="8">
        <f t="shared" si="59"/>
        <v>21</v>
      </c>
      <c r="AL958" s="8">
        <f t="shared" si="58"/>
        <v>19</v>
      </c>
      <c r="AM958">
        <f t="shared" si="56"/>
        <v>0</v>
      </c>
      <c r="AN958">
        <f t="shared" si="57"/>
        <v>0</v>
      </c>
    </row>
    <row r="959" spans="1:40" x14ac:dyDescent="0.35">
      <c r="A959">
        <v>85.138999999999996</v>
      </c>
      <c r="B959">
        <v>85.138999999999996</v>
      </c>
      <c r="C959">
        <v>3.7817500000000002</v>
      </c>
      <c r="D959">
        <v>0</v>
      </c>
      <c r="E959">
        <v>0</v>
      </c>
      <c r="F959">
        <v>2.8891</v>
      </c>
      <c r="G959">
        <v>2.8891</v>
      </c>
      <c r="H959">
        <v>0</v>
      </c>
      <c r="I959">
        <v>0.54135299999999997</v>
      </c>
      <c r="J959">
        <v>5.3222399999999999</v>
      </c>
      <c r="K959" s="2">
        <v>127469000</v>
      </c>
      <c r="L959" s="1">
        <v>0</v>
      </c>
      <c r="M959" s="1">
        <v>0</v>
      </c>
      <c r="N959" s="1">
        <v>0</v>
      </c>
      <c r="O959" s="1">
        <v>0</v>
      </c>
      <c r="P959" s="2">
        <v>4319130</v>
      </c>
      <c r="Q959" s="1">
        <v>297005</v>
      </c>
      <c r="R959" s="1">
        <v>0</v>
      </c>
      <c r="S959">
        <v>99.302199999999999</v>
      </c>
      <c r="T959">
        <v>98.274000000000001</v>
      </c>
      <c r="U959">
        <v>5.0893499999999996</v>
      </c>
      <c r="V959">
        <v>0</v>
      </c>
      <c r="W959">
        <v>0</v>
      </c>
      <c r="X959">
        <v>1.6820999999999999</v>
      </c>
      <c r="Y959">
        <v>1.6820999999999999</v>
      </c>
      <c r="Z959">
        <v>0</v>
      </c>
      <c r="AA959">
        <v>1.2994300000000001</v>
      </c>
      <c r="AB959">
        <v>2.9635199999999999</v>
      </c>
      <c r="AC959" s="2">
        <v>427999000</v>
      </c>
      <c r="AD959" s="1">
        <v>0</v>
      </c>
      <c r="AE959" s="1">
        <v>0</v>
      </c>
      <c r="AF959" s="1">
        <v>0</v>
      </c>
      <c r="AG959" s="1">
        <v>0</v>
      </c>
      <c r="AH959" s="2">
        <v>4351990</v>
      </c>
      <c r="AI959" s="1">
        <v>141858</v>
      </c>
      <c r="AJ959" s="1">
        <v>0</v>
      </c>
      <c r="AK959" s="8">
        <f t="shared" si="59"/>
        <v>22</v>
      </c>
      <c r="AL959" s="8">
        <f t="shared" si="58"/>
        <v>19</v>
      </c>
      <c r="AM959">
        <f t="shared" si="56"/>
        <v>0</v>
      </c>
      <c r="AN959">
        <f t="shared" si="57"/>
        <v>0</v>
      </c>
    </row>
    <row r="960" spans="1:40" x14ac:dyDescent="0.35">
      <c r="A960">
        <v>85.138999999999996</v>
      </c>
      <c r="B960">
        <v>85.138999999999996</v>
      </c>
      <c r="C960">
        <v>3.8711799999999998</v>
      </c>
      <c r="D960">
        <v>0</v>
      </c>
      <c r="E960">
        <v>0</v>
      </c>
      <c r="F960">
        <v>2.88944</v>
      </c>
      <c r="G960">
        <v>2.88944</v>
      </c>
      <c r="H960">
        <v>0</v>
      </c>
      <c r="I960">
        <v>0.54141700000000004</v>
      </c>
      <c r="J960">
        <v>5.3222399999999999</v>
      </c>
      <c r="K960" s="2">
        <v>127766000</v>
      </c>
      <c r="L960" s="1">
        <v>0</v>
      </c>
      <c r="M960" s="1">
        <v>0</v>
      </c>
      <c r="N960" s="1">
        <v>0</v>
      </c>
      <c r="O960" s="1">
        <v>0</v>
      </c>
      <c r="P960" s="2">
        <v>4319640</v>
      </c>
      <c r="Q960" s="1">
        <v>297040</v>
      </c>
      <c r="R960" s="1">
        <v>0</v>
      </c>
      <c r="S960">
        <v>99.302199999999999</v>
      </c>
      <c r="T960">
        <v>98.274000000000001</v>
      </c>
      <c r="U960">
        <v>5.3706800000000001</v>
      </c>
      <c r="V960">
        <v>0</v>
      </c>
      <c r="W960">
        <v>0</v>
      </c>
      <c r="X960">
        <v>1.6822999999999999</v>
      </c>
      <c r="Y960">
        <v>1.6822999999999999</v>
      </c>
      <c r="Z960">
        <v>0</v>
      </c>
      <c r="AA960">
        <v>1.29959</v>
      </c>
      <c r="AB960">
        <v>2.9635199999999999</v>
      </c>
      <c r="AC960" s="2">
        <v>428141000</v>
      </c>
      <c r="AD960" s="1">
        <v>0</v>
      </c>
      <c r="AE960" s="1">
        <v>0</v>
      </c>
      <c r="AF960" s="1">
        <v>0</v>
      </c>
      <c r="AG960" s="1">
        <v>0</v>
      </c>
      <c r="AH960" s="2">
        <v>4352500</v>
      </c>
      <c r="AI960" s="1">
        <v>141875</v>
      </c>
      <c r="AJ960" s="1">
        <v>0</v>
      </c>
      <c r="AK960" s="8">
        <f t="shared" si="59"/>
        <v>23</v>
      </c>
      <c r="AL960" s="8">
        <f t="shared" si="58"/>
        <v>19</v>
      </c>
      <c r="AM960">
        <f t="shared" si="56"/>
        <v>0</v>
      </c>
      <c r="AN960">
        <f t="shared" si="57"/>
        <v>0</v>
      </c>
    </row>
    <row r="961" spans="1:40" x14ac:dyDescent="0.35">
      <c r="A961">
        <v>85.135999999999996</v>
      </c>
      <c r="B961">
        <v>85.138999999999996</v>
      </c>
      <c r="C961">
        <v>3.0822799999999999</v>
      </c>
      <c r="D961">
        <v>0</v>
      </c>
      <c r="E961">
        <v>0</v>
      </c>
      <c r="F961">
        <v>2.88978</v>
      </c>
      <c r="G961">
        <v>2.88978</v>
      </c>
      <c r="H961">
        <v>0</v>
      </c>
      <c r="I961">
        <v>0.54148099999999999</v>
      </c>
      <c r="J961">
        <v>5.3222399999999999</v>
      </c>
      <c r="K961" s="2">
        <v>128063000</v>
      </c>
      <c r="L961" s="1">
        <v>0</v>
      </c>
      <c r="M961" s="1">
        <v>0</v>
      </c>
      <c r="N961" s="1">
        <v>0</v>
      </c>
      <c r="O961" s="1">
        <v>0</v>
      </c>
      <c r="P961" s="2">
        <v>4320150</v>
      </c>
      <c r="Q961" s="1">
        <v>297075</v>
      </c>
      <c r="R961" s="1">
        <v>0</v>
      </c>
      <c r="S961">
        <v>99.302199999999999</v>
      </c>
      <c r="T961">
        <v>98.274000000000001</v>
      </c>
      <c r="U961">
        <v>4.8753799999999998</v>
      </c>
      <c r="V961">
        <v>0</v>
      </c>
      <c r="W961">
        <v>0</v>
      </c>
      <c r="X961">
        <v>1.6825000000000001</v>
      </c>
      <c r="Y961">
        <v>1.6825000000000001</v>
      </c>
      <c r="Z961">
        <v>0</v>
      </c>
      <c r="AA961">
        <v>1.2997399999999999</v>
      </c>
      <c r="AB961">
        <v>2.9635199999999999</v>
      </c>
      <c r="AC961" s="2">
        <v>428283000</v>
      </c>
      <c r="AD961" s="1">
        <v>0</v>
      </c>
      <c r="AE961" s="1">
        <v>0</v>
      </c>
      <c r="AF961" s="1">
        <v>0</v>
      </c>
      <c r="AG961" s="1">
        <v>0</v>
      </c>
      <c r="AH961" s="2">
        <v>4353020</v>
      </c>
      <c r="AI961" s="1">
        <v>141892</v>
      </c>
      <c r="AJ961" s="1">
        <v>0</v>
      </c>
      <c r="AK961" s="8">
        <f t="shared" si="59"/>
        <v>24</v>
      </c>
      <c r="AL961" s="8">
        <f t="shared" si="58"/>
        <v>19</v>
      </c>
      <c r="AM961">
        <f t="shared" si="56"/>
        <v>0</v>
      </c>
      <c r="AN961">
        <f t="shared" si="57"/>
        <v>0</v>
      </c>
    </row>
    <row r="962" spans="1:40" x14ac:dyDescent="0.35">
      <c r="A962">
        <v>84.423400000000001</v>
      </c>
      <c r="B962">
        <v>85.138999999999996</v>
      </c>
      <c r="C962">
        <v>2.48943</v>
      </c>
      <c r="D962">
        <v>0</v>
      </c>
      <c r="E962">
        <v>0</v>
      </c>
      <c r="F962">
        <v>3.0272299999999999</v>
      </c>
      <c r="G962">
        <v>3.0272299999999999</v>
      </c>
      <c r="H962">
        <v>0</v>
      </c>
      <c r="I962">
        <v>0.54154599999999997</v>
      </c>
      <c r="J962">
        <v>5.3222399999999999</v>
      </c>
      <c r="K962" s="2">
        <v>128374000</v>
      </c>
      <c r="L962" s="1">
        <v>0</v>
      </c>
      <c r="M962" s="1">
        <v>0</v>
      </c>
      <c r="N962" s="1">
        <v>0</v>
      </c>
      <c r="O962" s="1">
        <v>0</v>
      </c>
      <c r="P962" s="2">
        <v>4525630</v>
      </c>
      <c r="Q962" s="1">
        <v>311205</v>
      </c>
      <c r="R962" s="1">
        <v>0</v>
      </c>
      <c r="S962">
        <v>99.302199999999999</v>
      </c>
      <c r="T962">
        <v>98.274000000000001</v>
      </c>
      <c r="U962">
        <v>4.1452400000000003</v>
      </c>
      <c r="V962">
        <v>0</v>
      </c>
      <c r="W962">
        <v>0</v>
      </c>
      <c r="X962">
        <v>1.7736700000000001</v>
      </c>
      <c r="Y962">
        <v>1.7736700000000001</v>
      </c>
      <c r="Z962">
        <v>0</v>
      </c>
      <c r="AA962">
        <v>1.2999000000000001</v>
      </c>
      <c r="AB962">
        <v>2.9635199999999999</v>
      </c>
      <c r="AC962" s="2">
        <v>428433000</v>
      </c>
      <c r="AD962" s="1">
        <v>0</v>
      </c>
      <c r="AE962" s="1">
        <v>0</v>
      </c>
      <c r="AF962" s="1">
        <v>0</v>
      </c>
      <c r="AG962" s="1">
        <v>0</v>
      </c>
      <c r="AH962" s="2">
        <v>4588910</v>
      </c>
      <c r="AI962" s="1">
        <v>149581</v>
      </c>
      <c r="AJ962" s="1">
        <v>0</v>
      </c>
      <c r="AK962" s="8">
        <f t="shared" si="59"/>
        <v>25</v>
      </c>
      <c r="AL962" s="8">
        <f t="shared" si="58"/>
        <v>19</v>
      </c>
      <c r="AM962">
        <f t="shared" si="56"/>
        <v>0</v>
      </c>
      <c r="AN962">
        <f t="shared" si="57"/>
        <v>0</v>
      </c>
    </row>
    <row r="963" spans="1:40" x14ac:dyDescent="0.35">
      <c r="A963">
        <v>83.583500000000001</v>
      </c>
      <c r="B963">
        <v>85.138999999999996</v>
      </c>
      <c r="C963">
        <v>2.35785</v>
      </c>
      <c r="D963">
        <v>0</v>
      </c>
      <c r="E963">
        <v>0</v>
      </c>
      <c r="F963">
        <v>3.0275799999999999</v>
      </c>
      <c r="G963">
        <v>3.0275799999999999</v>
      </c>
      <c r="H963">
        <v>0</v>
      </c>
      <c r="I963">
        <v>0.56730199999999997</v>
      </c>
      <c r="J963">
        <v>5.3222399999999999</v>
      </c>
      <c r="K963" s="2">
        <v>128685000</v>
      </c>
      <c r="L963" s="1">
        <v>0</v>
      </c>
      <c r="M963" s="1">
        <v>0</v>
      </c>
      <c r="N963" s="1">
        <v>0</v>
      </c>
      <c r="O963" s="1">
        <v>0</v>
      </c>
      <c r="P963" s="2">
        <v>4526160</v>
      </c>
      <c r="Q963" s="1">
        <v>311242</v>
      </c>
      <c r="R963" s="1">
        <v>0</v>
      </c>
      <c r="S963">
        <v>99.302199999999999</v>
      </c>
      <c r="T963">
        <v>98.274000000000001</v>
      </c>
      <c r="U963">
        <v>3.6983700000000002</v>
      </c>
      <c r="V963">
        <v>0</v>
      </c>
      <c r="W963">
        <v>0</v>
      </c>
      <c r="X963">
        <v>1.7738799999999999</v>
      </c>
      <c r="Y963">
        <v>1.7738799999999999</v>
      </c>
      <c r="Z963">
        <v>0</v>
      </c>
      <c r="AA963">
        <v>1.3703399999999999</v>
      </c>
      <c r="AB963">
        <v>2.9635199999999999</v>
      </c>
      <c r="AC963" s="2">
        <v>428582000</v>
      </c>
      <c r="AD963" s="1">
        <v>0</v>
      </c>
      <c r="AE963" s="1">
        <v>0</v>
      </c>
      <c r="AF963" s="1">
        <v>0</v>
      </c>
      <c r="AG963" s="1">
        <v>0</v>
      </c>
      <c r="AH963" s="2">
        <v>4589450</v>
      </c>
      <c r="AI963" s="1">
        <v>149598</v>
      </c>
      <c r="AJ963" s="1">
        <v>0</v>
      </c>
      <c r="AK963" s="8">
        <f t="shared" si="59"/>
        <v>26</v>
      </c>
      <c r="AL963" s="8">
        <f t="shared" si="58"/>
        <v>19</v>
      </c>
      <c r="AM963">
        <f t="shared" ref="AM963:AM1026" si="60">IF(AK963=52,AC963,0)</f>
        <v>0</v>
      </c>
      <c r="AN963">
        <f t="shared" ref="AN963:AN1026" si="61">IF(AK963=52,K963,0)</f>
        <v>0</v>
      </c>
    </row>
    <row r="964" spans="1:40" x14ac:dyDescent="0.35">
      <c r="A964">
        <v>82.529899999999998</v>
      </c>
      <c r="B964">
        <v>85.138999999999996</v>
      </c>
      <c r="C964">
        <v>2.0978599999999998</v>
      </c>
      <c r="D964">
        <v>0</v>
      </c>
      <c r="E964">
        <v>0</v>
      </c>
      <c r="F964">
        <v>3.0279400000000001</v>
      </c>
      <c r="G964">
        <v>3.0279400000000001</v>
      </c>
      <c r="H964">
        <v>0</v>
      </c>
      <c r="I964">
        <v>0.56736900000000001</v>
      </c>
      <c r="J964">
        <v>5.3222399999999999</v>
      </c>
      <c r="K964" s="2">
        <v>128997000</v>
      </c>
      <c r="L964" s="1">
        <v>0</v>
      </c>
      <c r="M964" s="1">
        <v>0</v>
      </c>
      <c r="N964" s="1">
        <v>0</v>
      </c>
      <c r="O964" s="1">
        <v>0</v>
      </c>
      <c r="P964" s="2">
        <v>4526700</v>
      </c>
      <c r="Q964" s="1">
        <v>311278</v>
      </c>
      <c r="R964" s="1">
        <v>0</v>
      </c>
      <c r="S964">
        <v>99.302199999999999</v>
      </c>
      <c r="T964">
        <v>98.274000000000001</v>
      </c>
      <c r="U964">
        <v>3.5426299999999999</v>
      </c>
      <c r="V964">
        <v>0</v>
      </c>
      <c r="W964">
        <v>0</v>
      </c>
      <c r="X964">
        <v>1.7740899999999999</v>
      </c>
      <c r="Y964">
        <v>1.7740899999999999</v>
      </c>
      <c r="Z964">
        <v>0</v>
      </c>
      <c r="AA964">
        <v>1.3705000000000001</v>
      </c>
      <c r="AB964">
        <v>2.9635199999999999</v>
      </c>
      <c r="AC964" s="2">
        <v>428732000</v>
      </c>
      <c r="AD964" s="1">
        <v>0</v>
      </c>
      <c r="AE964" s="1">
        <v>0</v>
      </c>
      <c r="AF964" s="1">
        <v>0</v>
      </c>
      <c r="AG964" s="1">
        <v>0</v>
      </c>
      <c r="AH964" s="2">
        <v>4590000</v>
      </c>
      <c r="AI964" s="1">
        <v>149616</v>
      </c>
      <c r="AJ964" s="1">
        <v>0</v>
      </c>
      <c r="AK964" s="8">
        <f t="shared" si="59"/>
        <v>27</v>
      </c>
      <c r="AL964" s="8">
        <f t="shared" ref="AL964:AL1027" si="62">IF(AK963=52,AL963+1,AL963)</f>
        <v>19</v>
      </c>
      <c r="AM964">
        <f t="shared" si="60"/>
        <v>0</v>
      </c>
      <c r="AN964">
        <f t="shared" si="61"/>
        <v>0</v>
      </c>
    </row>
    <row r="965" spans="1:40" x14ac:dyDescent="0.35">
      <c r="A965">
        <v>81.397599999999997</v>
      </c>
      <c r="B965">
        <v>85.138999999999996</v>
      </c>
      <c r="C965">
        <v>1.9867600000000001</v>
      </c>
      <c r="D965">
        <v>0</v>
      </c>
      <c r="E965">
        <v>0</v>
      </c>
      <c r="F965">
        <v>3.0283000000000002</v>
      </c>
      <c r="G965">
        <v>3.0283000000000002</v>
      </c>
      <c r="H965">
        <v>0</v>
      </c>
      <c r="I965">
        <v>0.56743699999999997</v>
      </c>
      <c r="J965">
        <v>5.3222399999999999</v>
      </c>
      <c r="K965" s="2">
        <v>129308000</v>
      </c>
      <c r="L965" s="1">
        <v>0</v>
      </c>
      <c r="M965" s="1">
        <v>0</v>
      </c>
      <c r="N965" s="1">
        <v>0</v>
      </c>
      <c r="O965" s="1">
        <v>0</v>
      </c>
      <c r="P965" s="2">
        <v>4527240</v>
      </c>
      <c r="Q965" s="1">
        <v>311315</v>
      </c>
      <c r="R965" s="1">
        <v>0</v>
      </c>
      <c r="S965">
        <v>99.302199999999999</v>
      </c>
      <c r="T965">
        <v>98.274000000000001</v>
      </c>
      <c r="U965">
        <v>3.3708900000000002</v>
      </c>
      <c r="V965">
        <v>0</v>
      </c>
      <c r="W965">
        <v>0</v>
      </c>
      <c r="X965">
        <v>1.7743</v>
      </c>
      <c r="Y965">
        <v>1.7743</v>
      </c>
      <c r="Z965">
        <v>0</v>
      </c>
      <c r="AA965">
        <v>1.37066</v>
      </c>
      <c r="AB965">
        <v>2.9635199999999999</v>
      </c>
      <c r="AC965" s="2">
        <v>428882000</v>
      </c>
      <c r="AD965" s="1">
        <v>0</v>
      </c>
      <c r="AE965" s="1">
        <v>0</v>
      </c>
      <c r="AF965" s="1">
        <v>0</v>
      </c>
      <c r="AG965" s="1">
        <v>0</v>
      </c>
      <c r="AH965" s="2">
        <v>4590540</v>
      </c>
      <c r="AI965" s="1">
        <v>149634</v>
      </c>
      <c r="AJ965" s="1">
        <v>0</v>
      </c>
      <c r="AK965" s="8">
        <f t="shared" si="59"/>
        <v>28</v>
      </c>
      <c r="AL965" s="8">
        <f t="shared" si="62"/>
        <v>19</v>
      </c>
      <c r="AM965">
        <f t="shared" si="60"/>
        <v>0</v>
      </c>
      <c r="AN965">
        <f t="shared" si="61"/>
        <v>0</v>
      </c>
    </row>
    <row r="966" spans="1:40" x14ac:dyDescent="0.35">
      <c r="A966">
        <v>80.211200000000005</v>
      </c>
      <c r="B966">
        <v>85.138999999999996</v>
      </c>
      <c r="C966">
        <v>1.92624</v>
      </c>
      <c r="D966">
        <v>0</v>
      </c>
      <c r="E966">
        <v>0</v>
      </c>
      <c r="F966">
        <v>3.0286599999999999</v>
      </c>
      <c r="G966">
        <v>3.0286599999999999</v>
      </c>
      <c r="H966">
        <v>0</v>
      </c>
      <c r="I966">
        <v>0.56750400000000001</v>
      </c>
      <c r="J966">
        <v>5.3222399999999999</v>
      </c>
      <c r="K966" s="2">
        <v>129619000</v>
      </c>
      <c r="L966" s="1">
        <v>0</v>
      </c>
      <c r="M966" s="1">
        <v>0</v>
      </c>
      <c r="N966" s="1">
        <v>0</v>
      </c>
      <c r="O966" s="1">
        <v>0</v>
      </c>
      <c r="P966" s="2">
        <v>4527770</v>
      </c>
      <c r="Q966" s="1">
        <v>311352</v>
      </c>
      <c r="R966" s="1">
        <v>0</v>
      </c>
      <c r="S966">
        <v>99.282200000000003</v>
      </c>
      <c r="T966">
        <v>98.274000000000001</v>
      </c>
      <c r="U966">
        <v>2.6644199999999998</v>
      </c>
      <c r="V966">
        <v>0</v>
      </c>
      <c r="W966">
        <v>0</v>
      </c>
      <c r="X966">
        <v>1.77451</v>
      </c>
      <c r="Y966">
        <v>1.77451</v>
      </c>
      <c r="Z966">
        <v>0</v>
      </c>
      <c r="AA966">
        <v>1.37083</v>
      </c>
      <c r="AB966">
        <v>2.9635199999999999</v>
      </c>
      <c r="AC966" s="2">
        <v>429031000</v>
      </c>
      <c r="AD966" s="1">
        <v>0</v>
      </c>
      <c r="AE966" s="1">
        <v>0</v>
      </c>
      <c r="AF966" s="1">
        <v>0</v>
      </c>
      <c r="AG966" s="1">
        <v>0</v>
      </c>
      <c r="AH966" s="2">
        <v>4591090</v>
      </c>
      <c r="AI966" s="1">
        <v>149652</v>
      </c>
      <c r="AJ966" s="1">
        <v>0</v>
      </c>
      <c r="AK966" s="8">
        <f t="shared" si="59"/>
        <v>29</v>
      </c>
      <c r="AL966" s="8">
        <f t="shared" si="62"/>
        <v>19</v>
      </c>
      <c r="AM966">
        <f t="shared" si="60"/>
        <v>0</v>
      </c>
      <c r="AN966">
        <f t="shared" si="61"/>
        <v>0</v>
      </c>
    </row>
    <row r="967" spans="1:40" x14ac:dyDescent="0.35">
      <c r="A967">
        <v>79.066199999999995</v>
      </c>
      <c r="B967">
        <v>85.138999999999996</v>
      </c>
      <c r="C967">
        <v>1.9337299999999999</v>
      </c>
      <c r="D967">
        <v>0</v>
      </c>
      <c r="E967">
        <v>0</v>
      </c>
      <c r="F967">
        <v>3.0018899999999999</v>
      </c>
      <c r="G967">
        <v>3.0018899999999999</v>
      </c>
      <c r="H967">
        <v>0</v>
      </c>
      <c r="I967">
        <v>0.56757100000000005</v>
      </c>
      <c r="J967">
        <v>5.3222399999999999</v>
      </c>
      <c r="K967" s="2">
        <v>129928000</v>
      </c>
      <c r="L967" s="1">
        <v>0</v>
      </c>
      <c r="M967" s="1">
        <v>0</v>
      </c>
      <c r="N967" s="1">
        <v>0</v>
      </c>
      <c r="O967" s="1">
        <v>0</v>
      </c>
      <c r="P967" s="2">
        <v>4487750</v>
      </c>
      <c r="Q967" s="1">
        <v>308600</v>
      </c>
      <c r="R967" s="1">
        <v>0</v>
      </c>
      <c r="S967">
        <v>99.202399999999997</v>
      </c>
      <c r="T967">
        <v>98.274000000000001</v>
      </c>
      <c r="U967">
        <v>2.3002699999999998</v>
      </c>
      <c r="V967">
        <v>0</v>
      </c>
      <c r="W967">
        <v>0</v>
      </c>
      <c r="X967">
        <v>1.8247500000000001</v>
      </c>
      <c r="Y967">
        <v>1.8247500000000001</v>
      </c>
      <c r="Z967">
        <v>0</v>
      </c>
      <c r="AA967">
        <v>1.3709899999999999</v>
      </c>
      <c r="AB967">
        <v>2.9635199999999999</v>
      </c>
      <c r="AC967" s="2">
        <v>429185000</v>
      </c>
      <c r="AD967" s="1">
        <v>0</v>
      </c>
      <c r="AE967" s="1">
        <v>0</v>
      </c>
      <c r="AF967" s="1">
        <v>0</v>
      </c>
      <c r="AG967" s="1">
        <v>0</v>
      </c>
      <c r="AH967" s="2">
        <v>4721070</v>
      </c>
      <c r="AI967" s="1">
        <v>153889</v>
      </c>
      <c r="AJ967" s="1">
        <v>0</v>
      </c>
      <c r="AK967" s="8">
        <f t="shared" si="59"/>
        <v>30</v>
      </c>
      <c r="AL967" s="8">
        <f t="shared" si="62"/>
        <v>19</v>
      </c>
      <c r="AM967">
        <f t="shared" si="60"/>
        <v>0</v>
      </c>
      <c r="AN967">
        <f t="shared" si="61"/>
        <v>0</v>
      </c>
    </row>
    <row r="968" spans="1:40" x14ac:dyDescent="0.35">
      <c r="A968">
        <v>77.885499999999993</v>
      </c>
      <c r="B968">
        <v>85.138999999999996</v>
      </c>
      <c r="C968">
        <v>1.8844099999999999</v>
      </c>
      <c r="D968">
        <v>0</v>
      </c>
      <c r="E968">
        <v>0</v>
      </c>
      <c r="F968">
        <v>3.0022500000000001</v>
      </c>
      <c r="G968">
        <v>3.0022500000000001</v>
      </c>
      <c r="H968">
        <v>0</v>
      </c>
      <c r="I968">
        <v>0.562554</v>
      </c>
      <c r="J968">
        <v>5.3222399999999999</v>
      </c>
      <c r="K968" s="2">
        <v>130236000</v>
      </c>
      <c r="L968" s="1">
        <v>0</v>
      </c>
      <c r="M968" s="1">
        <v>0</v>
      </c>
      <c r="N968" s="1">
        <v>0</v>
      </c>
      <c r="O968" s="1">
        <v>0</v>
      </c>
      <c r="P968" s="2">
        <v>4488280</v>
      </c>
      <c r="Q968" s="1">
        <v>308637</v>
      </c>
      <c r="R968" s="1">
        <v>0</v>
      </c>
      <c r="S968">
        <v>99.041799999999995</v>
      </c>
      <c r="T968">
        <v>98.274000000000001</v>
      </c>
      <c r="U968">
        <v>2.26552</v>
      </c>
      <c r="V968">
        <v>0</v>
      </c>
      <c r="W968">
        <v>0</v>
      </c>
      <c r="X968">
        <v>1.82497</v>
      </c>
      <c r="Y968">
        <v>1.82497</v>
      </c>
      <c r="Z968">
        <v>0</v>
      </c>
      <c r="AA968">
        <v>1.4097999999999999</v>
      </c>
      <c r="AB968">
        <v>2.9635199999999999</v>
      </c>
      <c r="AC968" s="2">
        <v>429339000</v>
      </c>
      <c r="AD968" s="1">
        <v>0</v>
      </c>
      <c r="AE968" s="1">
        <v>0</v>
      </c>
      <c r="AF968" s="1">
        <v>0</v>
      </c>
      <c r="AG968" s="1">
        <v>0</v>
      </c>
      <c r="AH968" s="2">
        <v>4721630</v>
      </c>
      <c r="AI968" s="1">
        <v>153907</v>
      </c>
      <c r="AJ968" s="1">
        <v>0</v>
      </c>
      <c r="AK968" s="8">
        <f t="shared" ref="AK968:AK1031" si="63">IF(AK967=52, 1, AK967+1)</f>
        <v>31</v>
      </c>
      <c r="AL968" s="8">
        <f t="shared" si="62"/>
        <v>19</v>
      </c>
      <c r="AM968">
        <f t="shared" si="60"/>
        <v>0</v>
      </c>
      <c r="AN968">
        <f t="shared" si="61"/>
        <v>0</v>
      </c>
    </row>
    <row r="969" spans="1:40" x14ac:dyDescent="0.35">
      <c r="A969">
        <v>76.612499999999997</v>
      </c>
      <c r="B969">
        <v>85.138999999999996</v>
      </c>
      <c r="C969">
        <v>1.7566299999999999</v>
      </c>
      <c r="D969">
        <v>0</v>
      </c>
      <c r="E969">
        <v>0</v>
      </c>
      <c r="F969">
        <v>3.0026000000000002</v>
      </c>
      <c r="G969">
        <v>3.0026000000000002</v>
      </c>
      <c r="H969">
        <v>0</v>
      </c>
      <c r="I969">
        <v>0.56262100000000004</v>
      </c>
      <c r="J969">
        <v>5.3222399999999999</v>
      </c>
      <c r="K969" s="2">
        <v>130545000</v>
      </c>
      <c r="L969" s="1">
        <v>0</v>
      </c>
      <c r="M969" s="1">
        <v>0</v>
      </c>
      <c r="N969" s="1">
        <v>0</v>
      </c>
      <c r="O969" s="1">
        <v>0</v>
      </c>
      <c r="P969" s="2">
        <v>4488820</v>
      </c>
      <c r="Q969" s="1">
        <v>308673</v>
      </c>
      <c r="R969" s="1">
        <v>0</v>
      </c>
      <c r="S969">
        <v>98.773200000000003</v>
      </c>
      <c r="T969">
        <v>98.274000000000001</v>
      </c>
      <c r="U969">
        <v>2.16628</v>
      </c>
      <c r="V969">
        <v>0</v>
      </c>
      <c r="W969">
        <v>0</v>
      </c>
      <c r="X969">
        <v>1.8251900000000001</v>
      </c>
      <c r="Y969">
        <v>1.8251900000000001</v>
      </c>
      <c r="Z969">
        <v>0</v>
      </c>
      <c r="AA969">
        <v>1.4099699999999999</v>
      </c>
      <c r="AB969">
        <v>2.9635199999999999</v>
      </c>
      <c r="AC969" s="2">
        <v>429493000</v>
      </c>
      <c r="AD969" s="1">
        <v>0</v>
      </c>
      <c r="AE969" s="1">
        <v>0</v>
      </c>
      <c r="AF969" s="1">
        <v>0</v>
      </c>
      <c r="AG969" s="1">
        <v>0</v>
      </c>
      <c r="AH969" s="2">
        <v>4722190</v>
      </c>
      <c r="AI969" s="1">
        <v>153925</v>
      </c>
      <c r="AJ969" s="1">
        <v>0</v>
      </c>
      <c r="AK969" s="8">
        <f t="shared" si="63"/>
        <v>32</v>
      </c>
      <c r="AL969" s="8">
        <f t="shared" si="62"/>
        <v>19</v>
      </c>
      <c r="AM969">
        <f t="shared" si="60"/>
        <v>0</v>
      </c>
      <c r="AN969">
        <f t="shared" si="61"/>
        <v>0</v>
      </c>
    </row>
    <row r="970" spans="1:40" x14ac:dyDescent="0.35">
      <c r="A970">
        <v>75.121799999999993</v>
      </c>
      <c r="B970">
        <v>85.138999999999996</v>
      </c>
      <c r="C970">
        <v>1.51206</v>
      </c>
      <c r="D970">
        <v>0</v>
      </c>
      <c r="E970">
        <v>0</v>
      </c>
      <c r="F970">
        <v>3.0029599999999999</v>
      </c>
      <c r="G970">
        <v>3.0029599999999999</v>
      </c>
      <c r="H970">
        <v>0</v>
      </c>
      <c r="I970">
        <v>0.56268799999999997</v>
      </c>
      <c r="J970">
        <v>5.3222399999999999</v>
      </c>
      <c r="K970" s="2">
        <v>130854000</v>
      </c>
      <c r="L970" s="1">
        <v>0</v>
      </c>
      <c r="M970" s="1">
        <v>0</v>
      </c>
      <c r="N970" s="1">
        <v>0</v>
      </c>
      <c r="O970" s="1">
        <v>0</v>
      </c>
      <c r="P970" s="2">
        <v>4489350</v>
      </c>
      <c r="Q970" s="1">
        <v>308710</v>
      </c>
      <c r="R970" s="1">
        <v>0</v>
      </c>
      <c r="S970">
        <v>98.215299999999999</v>
      </c>
      <c r="T970">
        <v>98.274000000000001</v>
      </c>
      <c r="U970">
        <v>2.0236999999999998</v>
      </c>
      <c r="V970">
        <v>0</v>
      </c>
      <c r="W970">
        <v>0</v>
      </c>
      <c r="X970">
        <v>1.8253999999999999</v>
      </c>
      <c r="Y970">
        <v>1.8253999999999999</v>
      </c>
      <c r="Z970">
        <v>0</v>
      </c>
      <c r="AA970">
        <v>1.4101399999999999</v>
      </c>
      <c r="AB970">
        <v>2.9635199999999999</v>
      </c>
      <c r="AC970" s="2">
        <v>429647000</v>
      </c>
      <c r="AD970" s="1">
        <v>0</v>
      </c>
      <c r="AE970" s="1">
        <v>0</v>
      </c>
      <c r="AF970" s="1">
        <v>0</v>
      </c>
      <c r="AG970" s="1">
        <v>0</v>
      </c>
      <c r="AH970" s="2">
        <v>4722750</v>
      </c>
      <c r="AI970" s="1">
        <v>153943</v>
      </c>
      <c r="AJ970" s="1">
        <v>0</v>
      </c>
      <c r="AK970" s="8">
        <f t="shared" si="63"/>
        <v>33</v>
      </c>
      <c r="AL970" s="8">
        <f t="shared" si="62"/>
        <v>19</v>
      </c>
      <c r="AM970">
        <f t="shared" si="60"/>
        <v>0</v>
      </c>
      <c r="AN970">
        <f t="shared" si="61"/>
        <v>0</v>
      </c>
    </row>
    <row r="971" spans="1:40" x14ac:dyDescent="0.35">
      <c r="A971">
        <v>73.483699999999999</v>
      </c>
      <c r="B971">
        <v>85.138999999999996</v>
      </c>
      <c r="C971">
        <v>1.41272</v>
      </c>
      <c r="D971">
        <v>0</v>
      </c>
      <c r="E971">
        <v>0</v>
      </c>
      <c r="F971">
        <v>3.07341</v>
      </c>
      <c r="G971">
        <v>3.07341</v>
      </c>
      <c r="H971">
        <v>0</v>
      </c>
      <c r="I971">
        <v>0.56275399999999998</v>
      </c>
      <c r="J971">
        <v>5.3222399999999999</v>
      </c>
      <c r="K971" s="2">
        <v>131170000</v>
      </c>
      <c r="L971" s="1">
        <v>0</v>
      </c>
      <c r="M971" s="1">
        <v>0</v>
      </c>
      <c r="N971" s="1">
        <v>0</v>
      </c>
      <c r="O971" s="1">
        <v>0</v>
      </c>
      <c r="P971" s="2">
        <v>4594660</v>
      </c>
      <c r="Q971" s="1">
        <v>315952</v>
      </c>
      <c r="R971" s="1">
        <v>0</v>
      </c>
      <c r="S971">
        <v>97.749099999999999</v>
      </c>
      <c r="T971">
        <v>98.274000000000001</v>
      </c>
      <c r="U971">
        <v>1.6926600000000001</v>
      </c>
      <c r="V971">
        <v>0</v>
      </c>
      <c r="W971">
        <v>0</v>
      </c>
      <c r="X971">
        <v>1.8702300000000001</v>
      </c>
      <c r="Y971">
        <v>1.8702300000000001</v>
      </c>
      <c r="Z971">
        <v>0</v>
      </c>
      <c r="AA971">
        <v>1.41031</v>
      </c>
      <c r="AB971">
        <v>2.9635199999999999</v>
      </c>
      <c r="AC971" s="2">
        <v>429805000</v>
      </c>
      <c r="AD971" s="1">
        <v>0</v>
      </c>
      <c r="AE971" s="1">
        <v>0</v>
      </c>
      <c r="AF971" s="1">
        <v>0</v>
      </c>
      <c r="AG971" s="1">
        <v>0</v>
      </c>
      <c r="AH971" s="2">
        <v>4838730</v>
      </c>
      <c r="AI971" s="1">
        <v>157724</v>
      </c>
      <c r="AJ971" s="1">
        <v>0</v>
      </c>
      <c r="AK971" s="8">
        <f t="shared" si="63"/>
        <v>34</v>
      </c>
      <c r="AL971" s="8">
        <f t="shared" si="62"/>
        <v>19</v>
      </c>
      <c r="AM971">
        <f t="shared" si="60"/>
        <v>0</v>
      </c>
      <c r="AN971">
        <f t="shared" si="61"/>
        <v>0</v>
      </c>
    </row>
    <row r="972" spans="1:40" x14ac:dyDescent="0.35">
      <c r="A972">
        <v>72.015799999999999</v>
      </c>
      <c r="B972">
        <v>85.138999999999996</v>
      </c>
      <c r="C972">
        <v>1.3082400000000001</v>
      </c>
      <c r="D972">
        <v>0.01</v>
      </c>
      <c r="E972">
        <v>0</v>
      </c>
      <c r="F972">
        <v>2.7713700000000001</v>
      </c>
      <c r="G972">
        <v>3.0737700000000001</v>
      </c>
      <c r="H972">
        <v>0</v>
      </c>
      <c r="I972">
        <v>0.57595600000000002</v>
      </c>
      <c r="J972">
        <v>5.3222399999999999</v>
      </c>
      <c r="K972" s="2">
        <v>131077000</v>
      </c>
      <c r="L972" s="1">
        <v>0</v>
      </c>
      <c r="M972" s="1">
        <v>0</v>
      </c>
      <c r="N972" s="1">
        <v>0</v>
      </c>
      <c r="O972" s="1">
        <v>0</v>
      </c>
      <c r="P972" s="2">
        <v>4143130</v>
      </c>
      <c r="Q972" s="1">
        <v>-92549</v>
      </c>
      <c r="R972" s="1">
        <v>408539</v>
      </c>
      <c r="S972">
        <v>96.912700000000001</v>
      </c>
      <c r="T972">
        <v>98.274000000000001</v>
      </c>
      <c r="U972">
        <v>1.70061</v>
      </c>
      <c r="V972">
        <v>0</v>
      </c>
      <c r="W972">
        <v>0</v>
      </c>
      <c r="X972">
        <v>2.1728499999999999</v>
      </c>
      <c r="Y972">
        <v>1.8704499999999999</v>
      </c>
      <c r="Z972">
        <v>0</v>
      </c>
      <c r="AA972">
        <v>1.4449399999999999</v>
      </c>
      <c r="AB972">
        <v>2.9635199999999999</v>
      </c>
      <c r="AC972" s="2">
        <v>430745000</v>
      </c>
      <c r="AD972" s="1">
        <v>0</v>
      </c>
      <c r="AE972" s="1">
        <v>0</v>
      </c>
      <c r="AF972" s="1">
        <v>0</v>
      </c>
      <c r="AG972" s="1">
        <v>0</v>
      </c>
      <c r="AH972" s="2">
        <v>5621680</v>
      </c>
      <c r="AI972" s="1">
        <v>940123</v>
      </c>
      <c r="AJ972" s="1">
        <v>0</v>
      </c>
      <c r="AK972" s="8">
        <f t="shared" si="63"/>
        <v>35</v>
      </c>
      <c r="AL972" s="8">
        <f t="shared" si="62"/>
        <v>19</v>
      </c>
      <c r="AM972">
        <f t="shared" si="60"/>
        <v>0</v>
      </c>
      <c r="AN972">
        <f t="shared" si="61"/>
        <v>0</v>
      </c>
    </row>
    <row r="973" spans="1:40" x14ac:dyDescent="0.35">
      <c r="A973">
        <v>70.465000000000003</v>
      </c>
      <c r="B973">
        <v>85.138999999999996</v>
      </c>
      <c r="C973">
        <v>1.2120200000000001</v>
      </c>
      <c r="D973">
        <v>0.01</v>
      </c>
      <c r="E973">
        <v>0</v>
      </c>
      <c r="F973">
        <v>2.7717299999999998</v>
      </c>
      <c r="G973">
        <v>3.0741299999999998</v>
      </c>
      <c r="H973">
        <v>0</v>
      </c>
      <c r="I973">
        <v>0.51935500000000001</v>
      </c>
      <c r="J973">
        <v>5.3222399999999999</v>
      </c>
      <c r="K973" s="2">
        <v>130985000</v>
      </c>
      <c r="L973" s="1">
        <v>0</v>
      </c>
      <c r="M973" s="1">
        <v>0</v>
      </c>
      <c r="N973" s="1">
        <v>0</v>
      </c>
      <c r="O973" s="1">
        <v>0</v>
      </c>
      <c r="P973" s="2">
        <v>4143670</v>
      </c>
      <c r="Q973" s="1">
        <v>-92511.5</v>
      </c>
      <c r="R973" s="1">
        <v>408539</v>
      </c>
      <c r="S973">
        <v>96.201899999999995</v>
      </c>
      <c r="T973">
        <v>98.274000000000001</v>
      </c>
      <c r="U973">
        <v>1.51386</v>
      </c>
      <c r="V973">
        <v>0</v>
      </c>
      <c r="W973">
        <v>0</v>
      </c>
      <c r="X973">
        <v>2.1730700000000001</v>
      </c>
      <c r="Y973">
        <v>1.8706700000000001</v>
      </c>
      <c r="Z973">
        <v>0</v>
      </c>
      <c r="AA973">
        <v>1.6787399999999999</v>
      </c>
      <c r="AB973">
        <v>2.9635199999999999</v>
      </c>
      <c r="AC973" s="2">
        <v>431685000</v>
      </c>
      <c r="AD973" s="1">
        <v>0</v>
      </c>
      <c r="AE973" s="1">
        <v>0</v>
      </c>
      <c r="AF973" s="1">
        <v>0</v>
      </c>
      <c r="AG973" s="1">
        <v>0</v>
      </c>
      <c r="AH973" s="2">
        <v>5622260</v>
      </c>
      <c r="AI973" s="1">
        <v>940142</v>
      </c>
      <c r="AJ973" s="1">
        <v>0</v>
      </c>
      <c r="AK973" s="8">
        <f t="shared" si="63"/>
        <v>36</v>
      </c>
      <c r="AL973" s="8">
        <f t="shared" si="62"/>
        <v>19</v>
      </c>
      <c r="AM973">
        <f t="shared" si="60"/>
        <v>0</v>
      </c>
      <c r="AN973">
        <f t="shared" si="61"/>
        <v>0</v>
      </c>
    </row>
    <row r="974" spans="1:40" x14ac:dyDescent="0.35">
      <c r="A974">
        <v>68.955299999999994</v>
      </c>
      <c r="B974">
        <v>85.138999999999996</v>
      </c>
      <c r="C974">
        <v>1.2340500000000001</v>
      </c>
      <c r="D974">
        <v>0.01</v>
      </c>
      <c r="E974">
        <v>0</v>
      </c>
      <c r="F974">
        <v>2.7721</v>
      </c>
      <c r="G974">
        <v>3.0745</v>
      </c>
      <c r="H974">
        <v>0</v>
      </c>
      <c r="I974">
        <v>0.51942299999999997</v>
      </c>
      <c r="J974">
        <v>5.3222399999999999</v>
      </c>
      <c r="K974" s="2">
        <v>130892000</v>
      </c>
      <c r="L974" s="1">
        <v>0</v>
      </c>
      <c r="M974" s="1">
        <v>0</v>
      </c>
      <c r="N974" s="1">
        <v>0</v>
      </c>
      <c r="O974" s="1">
        <v>0</v>
      </c>
      <c r="P974" s="2">
        <v>4144220</v>
      </c>
      <c r="Q974" s="1">
        <v>-92474.1</v>
      </c>
      <c r="R974" s="1">
        <v>408539</v>
      </c>
      <c r="S974">
        <v>95.104399999999998</v>
      </c>
      <c r="T974">
        <v>98.274000000000001</v>
      </c>
      <c r="U974">
        <v>1.72922</v>
      </c>
      <c r="V974">
        <v>0</v>
      </c>
      <c r="W974">
        <v>0</v>
      </c>
      <c r="X974">
        <v>2.1732900000000002</v>
      </c>
      <c r="Y974">
        <v>1.8708899999999999</v>
      </c>
      <c r="Z974">
        <v>0</v>
      </c>
      <c r="AA974">
        <v>1.67892</v>
      </c>
      <c r="AB974">
        <v>2.9635199999999999</v>
      </c>
      <c r="AC974" s="2">
        <v>432625000</v>
      </c>
      <c r="AD974" s="1">
        <v>0</v>
      </c>
      <c r="AE974" s="1">
        <v>0</v>
      </c>
      <c r="AF974" s="1">
        <v>0</v>
      </c>
      <c r="AG974" s="1">
        <v>0</v>
      </c>
      <c r="AH974" s="2">
        <v>5622830</v>
      </c>
      <c r="AI974" s="1">
        <v>940161</v>
      </c>
      <c r="AJ974" s="1">
        <v>0</v>
      </c>
      <c r="AK974" s="8">
        <f t="shared" si="63"/>
        <v>37</v>
      </c>
      <c r="AL974" s="8">
        <f t="shared" si="62"/>
        <v>19</v>
      </c>
      <c r="AM974">
        <f t="shared" si="60"/>
        <v>0</v>
      </c>
      <c r="AN974">
        <f t="shared" si="61"/>
        <v>0</v>
      </c>
    </row>
    <row r="975" spans="1:40" x14ac:dyDescent="0.35">
      <c r="A975">
        <v>67.097700000000003</v>
      </c>
      <c r="B975">
        <v>85.138999999999996</v>
      </c>
      <c r="C975">
        <v>1.02773</v>
      </c>
      <c r="D975">
        <v>0.02</v>
      </c>
      <c r="E975">
        <v>0</v>
      </c>
      <c r="F975">
        <v>2.9778199999999999</v>
      </c>
      <c r="G975">
        <v>3.2802199999999999</v>
      </c>
      <c r="H975">
        <v>0</v>
      </c>
      <c r="I975">
        <v>0.51949100000000004</v>
      </c>
      <c r="J975">
        <v>5.3222399999999999</v>
      </c>
      <c r="K975" s="2">
        <v>130821000</v>
      </c>
      <c r="L975" s="1">
        <v>0</v>
      </c>
      <c r="M975" s="1">
        <v>0</v>
      </c>
      <c r="N975" s="1">
        <v>0</v>
      </c>
      <c r="O975" s="1">
        <v>0</v>
      </c>
      <c r="P975" s="2">
        <v>4451770</v>
      </c>
      <c r="Q975" s="1">
        <v>-71325.5</v>
      </c>
      <c r="R975" s="1">
        <v>408539</v>
      </c>
      <c r="S975">
        <v>93.876800000000003</v>
      </c>
      <c r="T975">
        <v>98.274000000000001</v>
      </c>
      <c r="U975">
        <v>1.18214</v>
      </c>
      <c r="V975">
        <v>0</v>
      </c>
      <c r="W975">
        <v>0</v>
      </c>
      <c r="X975">
        <v>2.3346100000000001</v>
      </c>
      <c r="Y975">
        <v>2.0322100000000001</v>
      </c>
      <c r="Z975">
        <v>0</v>
      </c>
      <c r="AA975">
        <v>1.67909</v>
      </c>
      <c r="AB975">
        <v>2.9635199999999999</v>
      </c>
      <c r="AC975" s="2">
        <v>433579000</v>
      </c>
      <c r="AD975" s="1">
        <v>0</v>
      </c>
      <c r="AE975" s="1">
        <v>0</v>
      </c>
      <c r="AF975" s="1">
        <v>0</v>
      </c>
      <c r="AG975" s="1">
        <v>0</v>
      </c>
      <c r="AH975" s="2">
        <v>6040190</v>
      </c>
      <c r="AI975" s="1">
        <v>953765</v>
      </c>
      <c r="AJ975" s="1">
        <v>0</v>
      </c>
      <c r="AK975" s="8">
        <f t="shared" si="63"/>
        <v>38</v>
      </c>
      <c r="AL975" s="8">
        <f t="shared" si="62"/>
        <v>19</v>
      </c>
      <c r="AM975">
        <f t="shared" si="60"/>
        <v>0</v>
      </c>
      <c r="AN975">
        <f t="shared" si="61"/>
        <v>0</v>
      </c>
    </row>
    <row r="976" spans="1:40" x14ac:dyDescent="0.35">
      <c r="A976">
        <v>65.251900000000006</v>
      </c>
      <c r="B976">
        <v>85.138999999999996</v>
      </c>
      <c r="C976">
        <v>1.0265</v>
      </c>
      <c r="D976">
        <v>0.02</v>
      </c>
      <c r="E976">
        <v>0</v>
      </c>
      <c r="F976">
        <v>2.9782099999999998</v>
      </c>
      <c r="G976">
        <v>3.2806099999999998</v>
      </c>
      <c r="H976">
        <v>0</v>
      </c>
      <c r="I976">
        <v>0.55804399999999998</v>
      </c>
      <c r="J976">
        <v>5.3222399999999999</v>
      </c>
      <c r="K976" s="2">
        <v>130750000</v>
      </c>
      <c r="L976" s="1">
        <v>0</v>
      </c>
      <c r="M976" s="1">
        <v>0</v>
      </c>
      <c r="N976" s="1">
        <v>0</v>
      </c>
      <c r="O976" s="1">
        <v>0</v>
      </c>
      <c r="P976" s="2">
        <v>4452350</v>
      </c>
      <c r="Q976" s="1">
        <v>-71285.600000000006</v>
      </c>
      <c r="R976" s="1">
        <v>408539</v>
      </c>
      <c r="S976">
        <v>92.567800000000005</v>
      </c>
      <c r="T976">
        <v>98.274000000000001</v>
      </c>
      <c r="U976">
        <v>1.0893600000000001</v>
      </c>
      <c r="V976">
        <v>0</v>
      </c>
      <c r="W976">
        <v>0</v>
      </c>
      <c r="X976">
        <v>2.3348499999999999</v>
      </c>
      <c r="Y976">
        <v>2.0324499999999999</v>
      </c>
      <c r="Z976">
        <v>0</v>
      </c>
      <c r="AA976">
        <v>1.80372</v>
      </c>
      <c r="AB976">
        <v>2.9635199999999999</v>
      </c>
      <c r="AC976" s="2">
        <v>434533000</v>
      </c>
      <c r="AD976" s="1">
        <v>0</v>
      </c>
      <c r="AE976" s="1">
        <v>0</v>
      </c>
      <c r="AF976" s="1">
        <v>0</v>
      </c>
      <c r="AG976" s="1">
        <v>0</v>
      </c>
      <c r="AH976" s="2">
        <v>6040820</v>
      </c>
      <c r="AI976" s="1">
        <v>953786</v>
      </c>
      <c r="AJ976" s="1">
        <v>0</v>
      </c>
      <c r="AK976" s="8">
        <f t="shared" si="63"/>
        <v>39</v>
      </c>
      <c r="AL976" s="8">
        <f t="shared" si="62"/>
        <v>19</v>
      </c>
      <c r="AM976">
        <f t="shared" si="60"/>
        <v>0</v>
      </c>
      <c r="AN976">
        <f t="shared" si="61"/>
        <v>0</v>
      </c>
    </row>
    <row r="977" spans="1:40" x14ac:dyDescent="0.35">
      <c r="A977">
        <v>63.219799999999999</v>
      </c>
      <c r="B977">
        <v>85.138999999999996</v>
      </c>
      <c r="C977">
        <v>0.827874</v>
      </c>
      <c r="D977">
        <v>0.02</v>
      </c>
      <c r="E977">
        <v>0</v>
      </c>
      <c r="F977">
        <v>2.9786000000000001</v>
      </c>
      <c r="G977">
        <v>3.2810000000000001</v>
      </c>
      <c r="H977">
        <v>0</v>
      </c>
      <c r="I977">
        <v>0.55811599999999995</v>
      </c>
      <c r="J977">
        <v>5.3222399999999999</v>
      </c>
      <c r="K977" s="2">
        <v>130678000</v>
      </c>
      <c r="L977" s="1">
        <v>0</v>
      </c>
      <c r="M977" s="1">
        <v>0</v>
      </c>
      <c r="N977" s="1">
        <v>0</v>
      </c>
      <c r="O977" s="1">
        <v>0</v>
      </c>
      <c r="P977" s="2">
        <v>4452930</v>
      </c>
      <c r="Q977" s="1">
        <v>-71245.600000000006</v>
      </c>
      <c r="R977" s="1">
        <v>408539</v>
      </c>
      <c r="S977">
        <v>91.498699999999999</v>
      </c>
      <c r="T977">
        <v>98.274000000000001</v>
      </c>
      <c r="U977">
        <v>0.82832300000000003</v>
      </c>
      <c r="V977">
        <v>0</v>
      </c>
      <c r="W977">
        <v>0</v>
      </c>
      <c r="X977">
        <v>2.3350900000000001</v>
      </c>
      <c r="Y977">
        <v>2.0326900000000001</v>
      </c>
      <c r="Z977">
        <v>0</v>
      </c>
      <c r="AA977">
        <v>1.8039099999999999</v>
      </c>
      <c r="AB977">
        <v>2.9635199999999999</v>
      </c>
      <c r="AC977" s="2">
        <v>435486000</v>
      </c>
      <c r="AD977" s="1">
        <v>0</v>
      </c>
      <c r="AE977" s="1">
        <v>0</v>
      </c>
      <c r="AF977" s="1">
        <v>0</v>
      </c>
      <c r="AG977" s="1">
        <v>0</v>
      </c>
      <c r="AH977" s="2">
        <v>6041440</v>
      </c>
      <c r="AI977" s="1">
        <v>953806</v>
      </c>
      <c r="AJ977" s="1">
        <v>0</v>
      </c>
      <c r="AK977" s="8">
        <f t="shared" si="63"/>
        <v>40</v>
      </c>
      <c r="AL977" s="8">
        <f t="shared" si="62"/>
        <v>19</v>
      </c>
      <c r="AM977">
        <f t="shared" si="60"/>
        <v>0</v>
      </c>
      <c r="AN977">
        <f t="shared" si="61"/>
        <v>0</v>
      </c>
    </row>
    <row r="978" spans="1:40" x14ac:dyDescent="0.35">
      <c r="A978">
        <v>61.374899999999997</v>
      </c>
      <c r="B978">
        <v>85.138999999999996</v>
      </c>
      <c r="C978">
        <v>0.98897199999999996</v>
      </c>
      <c r="D978">
        <v>0.02</v>
      </c>
      <c r="E978">
        <v>0</v>
      </c>
      <c r="F978">
        <v>2.97899</v>
      </c>
      <c r="G978">
        <v>3.28139</v>
      </c>
      <c r="H978">
        <v>0</v>
      </c>
      <c r="I978">
        <v>0.55818900000000005</v>
      </c>
      <c r="J978">
        <v>5.3222399999999999</v>
      </c>
      <c r="K978" s="2">
        <v>130607000</v>
      </c>
      <c r="L978" s="1">
        <v>0</v>
      </c>
      <c r="M978" s="1">
        <v>0</v>
      </c>
      <c r="N978" s="1">
        <v>0</v>
      </c>
      <c r="O978" s="1">
        <v>0</v>
      </c>
      <c r="P978" s="2">
        <v>4453510</v>
      </c>
      <c r="Q978" s="1">
        <v>-71205.600000000006</v>
      </c>
      <c r="R978" s="1">
        <v>408539</v>
      </c>
      <c r="S978">
        <v>90.638300000000001</v>
      </c>
      <c r="T978">
        <v>98.274000000000001</v>
      </c>
      <c r="U978">
        <v>1.32558</v>
      </c>
      <c r="V978">
        <v>0</v>
      </c>
      <c r="W978">
        <v>0</v>
      </c>
      <c r="X978">
        <v>2.3353299999999999</v>
      </c>
      <c r="Y978">
        <v>2.0329299999999999</v>
      </c>
      <c r="Z978">
        <v>0</v>
      </c>
      <c r="AA978">
        <v>1.80409</v>
      </c>
      <c r="AB978">
        <v>2.9635199999999999</v>
      </c>
      <c r="AC978" s="2">
        <v>436440000</v>
      </c>
      <c r="AD978" s="1">
        <v>0</v>
      </c>
      <c r="AE978" s="1">
        <v>0</v>
      </c>
      <c r="AF978" s="1">
        <v>0</v>
      </c>
      <c r="AG978" s="1">
        <v>0</v>
      </c>
      <c r="AH978" s="2">
        <v>6042060</v>
      </c>
      <c r="AI978" s="1">
        <v>953826</v>
      </c>
      <c r="AJ978" s="1">
        <v>0</v>
      </c>
      <c r="AK978" s="8">
        <f t="shared" si="63"/>
        <v>41</v>
      </c>
      <c r="AL978" s="8">
        <f t="shared" si="62"/>
        <v>19</v>
      </c>
      <c r="AM978">
        <f t="shared" si="60"/>
        <v>0</v>
      </c>
      <c r="AN978">
        <f t="shared" si="61"/>
        <v>0</v>
      </c>
    </row>
    <row r="979" spans="1:40" x14ac:dyDescent="0.35">
      <c r="A979">
        <v>59.319000000000003</v>
      </c>
      <c r="B979">
        <v>85.138999999999996</v>
      </c>
      <c r="C979">
        <v>0.75924400000000003</v>
      </c>
      <c r="D979">
        <v>0.02</v>
      </c>
      <c r="E979">
        <v>0</v>
      </c>
      <c r="F979">
        <v>2.9793799999999999</v>
      </c>
      <c r="G979">
        <v>3.2817799999999999</v>
      </c>
      <c r="H979">
        <v>0</v>
      </c>
      <c r="I979">
        <v>0.55826200000000004</v>
      </c>
      <c r="J979">
        <v>5.3222399999999999</v>
      </c>
      <c r="K979" s="2">
        <v>130536000</v>
      </c>
      <c r="L979" s="1">
        <v>0</v>
      </c>
      <c r="M979" s="1">
        <v>0</v>
      </c>
      <c r="N979" s="1">
        <v>0</v>
      </c>
      <c r="O979" s="1">
        <v>0</v>
      </c>
      <c r="P979" s="2">
        <v>4454090</v>
      </c>
      <c r="Q979" s="1">
        <v>-71165.600000000006</v>
      </c>
      <c r="R979" s="1">
        <v>408539</v>
      </c>
      <c r="S979">
        <v>89.625100000000003</v>
      </c>
      <c r="T979">
        <v>98.274000000000001</v>
      </c>
      <c r="U979">
        <v>1.5276400000000001</v>
      </c>
      <c r="V979">
        <v>0</v>
      </c>
      <c r="W979">
        <v>0</v>
      </c>
      <c r="X979">
        <v>2.3355700000000001</v>
      </c>
      <c r="Y979">
        <v>2.0331700000000001</v>
      </c>
      <c r="Z979">
        <v>0</v>
      </c>
      <c r="AA979">
        <v>1.8042800000000001</v>
      </c>
      <c r="AB979">
        <v>2.9635199999999999</v>
      </c>
      <c r="AC979" s="2">
        <v>437394000</v>
      </c>
      <c r="AD979" s="1">
        <v>0</v>
      </c>
      <c r="AE979" s="1">
        <v>0</v>
      </c>
      <c r="AF979" s="1">
        <v>0</v>
      </c>
      <c r="AG979" s="1">
        <v>0</v>
      </c>
      <c r="AH979" s="2">
        <v>6042690</v>
      </c>
      <c r="AI979" s="1">
        <v>953847</v>
      </c>
      <c r="AJ979" s="1">
        <v>0</v>
      </c>
      <c r="AK979" s="8">
        <f t="shared" si="63"/>
        <v>42</v>
      </c>
      <c r="AL979" s="8">
        <f t="shared" si="62"/>
        <v>19</v>
      </c>
      <c r="AM979">
        <f t="shared" si="60"/>
        <v>0</v>
      </c>
      <c r="AN979">
        <f t="shared" si="61"/>
        <v>0</v>
      </c>
    </row>
    <row r="980" spans="1:40" x14ac:dyDescent="0.35">
      <c r="A980">
        <v>57.275599999999997</v>
      </c>
      <c r="B980">
        <v>85.138999999999996</v>
      </c>
      <c r="C980">
        <v>0.67221299999999995</v>
      </c>
      <c r="D980">
        <v>0.02</v>
      </c>
      <c r="E980">
        <v>0</v>
      </c>
      <c r="F980">
        <v>2.8796200000000001</v>
      </c>
      <c r="G980">
        <v>3.1820200000000001</v>
      </c>
      <c r="H980">
        <v>0</v>
      </c>
      <c r="I980">
        <v>0.55833500000000003</v>
      </c>
      <c r="J980">
        <v>5.3222399999999999</v>
      </c>
      <c r="K980" s="2">
        <v>130455000</v>
      </c>
      <c r="L980" s="1">
        <v>0</v>
      </c>
      <c r="M980" s="1">
        <v>0</v>
      </c>
      <c r="N980" s="1">
        <v>0</v>
      </c>
      <c r="O980" s="1">
        <v>0</v>
      </c>
      <c r="P980" s="2">
        <v>4304960</v>
      </c>
      <c r="Q980" s="1">
        <v>-81420.5</v>
      </c>
      <c r="R980" s="1">
        <v>408539</v>
      </c>
      <c r="S980">
        <v>88.478899999999996</v>
      </c>
      <c r="T980">
        <v>98.274000000000001</v>
      </c>
      <c r="U980">
        <v>1.06443</v>
      </c>
      <c r="V980">
        <v>0</v>
      </c>
      <c r="W980">
        <v>0</v>
      </c>
      <c r="X980">
        <v>2.2379799999999999</v>
      </c>
      <c r="Y980">
        <v>1.9355800000000001</v>
      </c>
      <c r="Z980">
        <v>0</v>
      </c>
      <c r="AA980">
        <v>1.80446</v>
      </c>
      <c r="AB980">
        <v>2.9635199999999999</v>
      </c>
      <c r="AC980" s="2">
        <v>438340000</v>
      </c>
      <c r="AD980" s="1">
        <v>0</v>
      </c>
      <c r="AE980" s="1">
        <v>0</v>
      </c>
      <c r="AF980" s="1">
        <v>0</v>
      </c>
      <c r="AG980" s="1">
        <v>0</v>
      </c>
      <c r="AH980" s="2">
        <v>5790180</v>
      </c>
      <c r="AI980" s="1">
        <v>945616</v>
      </c>
      <c r="AJ980" s="1">
        <v>0</v>
      </c>
      <c r="AK980" s="8">
        <f t="shared" si="63"/>
        <v>43</v>
      </c>
      <c r="AL980" s="8">
        <f t="shared" si="62"/>
        <v>19</v>
      </c>
      <c r="AM980">
        <f t="shared" si="60"/>
        <v>0</v>
      </c>
      <c r="AN980">
        <f t="shared" si="61"/>
        <v>0</v>
      </c>
    </row>
    <row r="981" spans="1:40" x14ac:dyDescent="0.35">
      <c r="A981">
        <v>55.136400000000002</v>
      </c>
      <c r="B981">
        <v>85.138999999999996</v>
      </c>
      <c r="C981">
        <v>0.550342</v>
      </c>
      <c r="D981">
        <v>0.03</v>
      </c>
      <c r="E981">
        <v>0</v>
      </c>
      <c r="F981">
        <v>2.88</v>
      </c>
      <c r="G981">
        <v>3.1823999999999999</v>
      </c>
      <c r="H981">
        <v>0</v>
      </c>
      <c r="I981">
        <v>0.53964100000000004</v>
      </c>
      <c r="J981">
        <v>5.3222399999999999</v>
      </c>
      <c r="K981" s="2">
        <v>130373000</v>
      </c>
      <c r="L981" s="1">
        <v>0</v>
      </c>
      <c r="M981" s="1">
        <v>0</v>
      </c>
      <c r="N981" s="1">
        <v>0</v>
      </c>
      <c r="O981" s="1">
        <v>0</v>
      </c>
      <c r="P981" s="2">
        <v>4305530</v>
      </c>
      <c r="Q981" s="1">
        <v>-81381.7</v>
      </c>
      <c r="R981" s="1">
        <v>408539</v>
      </c>
      <c r="S981">
        <v>87.473299999999995</v>
      </c>
      <c r="T981">
        <v>98.274000000000001</v>
      </c>
      <c r="U981">
        <v>0.86027200000000004</v>
      </c>
      <c r="V981">
        <v>0</v>
      </c>
      <c r="W981">
        <v>0</v>
      </c>
      <c r="X981">
        <v>2.23821</v>
      </c>
      <c r="Y981">
        <v>1.93581</v>
      </c>
      <c r="Z981">
        <v>0</v>
      </c>
      <c r="AA981">
        <v>1.72906</v>
      </c>
      <c r="AB981">
        <v>2.9635199999999999</v>
      </c>
      <c r="AC981" s="2">
        <v>439285000</v>
      </c>
      <c r="AD981" s="1">
        <v>0</v>
      </c>
      <c r="AE981" s="1">
        <v>0</v>
      </c>
      <c r="AF981" s="1">
        <v>0</v>
      </c>
      <c r="AG981" s="1">
        <v>0</v>
      </c>
      <c r="AH981" s="2">
        <v>5790780</v>
      </c>
      <c r="AI981" s="1">
        <v>945635</v>
      </c>
      <c r="AJ981" s="1">
        <v>0</v>
      </c>
      <c r="AK981" s="8">
        <f t="shared" si="63"/>
        <v>44</v>
      </c>
      <c r="AL981" s="8">
        <f t="shared" si="62"/>
        <v>19</v>
      </c>
      <c r="AM981">
        <f t="shared" si="60"/>
        <v>0</v>
      </c>
      <c r="AN981">
        <f t="shared" si="61"/>
        <v>0</v>
      </c>
    </row>
    <row r="982" spans="1:40" x14ac:dyDescent="0.35">
      <c r="A982">
        <v>53.303400000000003</v>
      </c>
      <c r="B982">
        <v>85.138999999999996</v>
      </c>
      <c r="C982">
        <v>0.90224700000000002</v>
      </c>
      <c r="D982">
        <v>0.03</v>
      </c>
      <c r="E982">
        <v>0</v>
      </c>
      <c r="F982">
        <v>2.8803800000000002</v>
      </c>
      <c r="G982">
        <v>3.1827800000000002</v>
      </c>
      <c r="H982">
        <v>0</v>
      </c>
      <c r="I982">
        <v>0.53971199999999997</v>
      </c>
      <c r="J982">
        <v>5.3222399999999999</v>
      </c>
      <c r="K982" s="2">
        <v>130292000</v>
      </c>
      <c r="L982" s="1">
        <v>0</v>
      </c>
      <c r="M982" s="1">
        <v>0</v>
      </c>
      <c r="N982" s="1">
        <v>0</v>
      </c>
      <c r="O982" s="1">
        <v>0</v>
      </c>
      <c r="P982" s="2">
        <v>4306090</v>
      </c>
      <c r="Q982" s="1">
        <v>-81342.899999999994</v>
      </c>
      <c r="R982" s="1">
        <v>408539</v>
      </c>
      <c r="S982">
        <v>86.858599999999996</v>
      </c>
      <c r="T982">
        <v>98.274000000000001</v>
      </c>
      <c r="U982">
        <v>1.1665000000000001</v>
      </c>
      <c r="V982">
        <v>0</v>
      </c>
      <c r="W982">
        <v>0</v>
      </c>
      <c r="X982">
        <v>2.2384400000000002</v>
      </c>
      <c r="Y982">
        <v>1.93604</v>
      </c>
      <c r="Z982">
        <v>0</v>
      </c>
      <c r="AA982">
        <v>1.7292400000000001</v>
      </c>
      <c r="AB982">
        <v>2.9635199999999999</v>
      </c>
      <c r="AC982" s="2">
        <v>440231000</v>
      </c>
      <c r="AD982" s="1">
        <v>0</v>
      </c>
      <c r="AE982" s="1">
        <v>0</v>
      </c>
      <c r="AF982" s="1">
        <v>0</v>
      </c>
      <c r="AG982" s="1">
        <v>0</v>
      </c>
      <c r="AH982" s="2">
        <v>5791370</v>
      </c>
      <c r="AI982" s="1">
        <v>945655</v>
      </c>
      <c r="AJ982" s="1">
        <v>0</v>
      </c>
      <c r="AK982" s="8">
        <f t="shared" si="63"/>
        <v>45</v>
      </c>
      <c r="AL982" s="8">
        <f t="shared" si="62"/>
        <v>19</v>
      </c>
      <c r="AM982">
        <f t="shared" si="60"/>
        <v>0</v>
      </c>
      <c r="AN982">
        <f t="shared" si="61"/>
        <v>0</v>
      </c>
    </row>
    <row r="983" spans="1:40" x14ac:dyDescent="0.35">
      <c r="A983">
        <v>52.508800000000001</v>
      </c>
      <c r="B983">
        <v>85.138999999999996</v>
      </c>
      <c r="C983">
        <v>2.0267499999999998</v>
      </c>
      <c r="D983">
        <v>0.05</v>
      </c>
      <c r="E983">
        <v>0</v>
      </c>
      <c r="F983">
        <v>2.8807499999999999</v>
      </c>
      <c r="G983">
        <v>3.1831499999999999</v>
      </c>
      <c r="H983">
        <v>0</v>
      </c>
      <c r="I983">
        <v>0.53978300000000001</v>
      </c>
      <c r="J983">
        <v>5.3222399999999999</v>
      </c>
      <c r="K983" s="2">
        <v>130211000</v>
      </c>
      <c r="L983" s="1">
        <v>0</v>
      </c>
      <c r="M983" s="1">
        <v>0</v>
      </c>
      <c r="N983" s="1">
        <v>0</v>
      </c>
      <c r="O983" s="1">
        <v>0</v>
      </c>
      <c r="P983" s="2">
        <v>4306650</v>
      </c>
      <c r="Q983" s="1">
        <v>-81304.100000000006</v>
      </c>
      <c r="R983" s="1">
        <v>408539</v>
      </c>
      <c r="S983">
        <v>86.127099999999999</v>
      </c>
      <c r="T983">
        <v>98.274000000000001</v>
      </c>
      <c r="U983">
        <v>1.81403</v>
      </c>
      <c r="V983">
        <v>0</v>
      </c>
      <c r="W983">
        <v>0</v>
      </c>
      <c r="X983">
        <v>2.2386699999999999</v>
      </c>
      <c r="Y983">
        <v>1.9362699999999999</v>
      </c>
      <c r="Z983">
        <v>0</v>
      </c>
      <c r="AA983">
        <v>1.72942</v>
      </c>
      <c r="AB983">
        <v>2.9635199999999999</v>
      </c>
      <c r="AC983" s="2">
        <v>441177000</v>
      </c>
      <c r="AD983" s="1">
        <v>0</v>
      </c>
      <c r="AE983" s="1">
        <v>0</v>
      </c>
      <c r="AF983" s="1">
        <v>0</v>
      </c>
      <c r="AG983" s="1">
        <v>0</v>
      </c>
      <c r="AH983" s="2">
        <v>5791970</v>
      </c>
      <c r="AI983" s="1">
        <v>945674</v>
      </c>
      <c r="AJ983" s="1">
        <v>0</v>
      </c>
      <c r="AK983" s="8">
        <f t="shared" si="63"/>
        <v>46</v>
      </c>
      <c r="AL983" s="8">
        <f t="shared" si="62"/>
        <v>19</v>
      </c>
      <c r="AM983">
        <f t="shared" si="60"/>
        <v>0</v>
      </c>
      <c r="AN983">
        <f t="shared" si="61"/>
        <v>0</v>
      </c>
    </row>
    <row r="984" spans="1:40" x14ac:dyDescent="0.35">
      <c r="A984">
        <v>50.650599999999997</v>
      </c>
      <c r="B984">
        <v>85.138999999999996</v>
      </c>
      <c r="C984">
        <v>0.83207100000000001</v>
      </c>
      <c r="D984">
        <v>0.05</v>
      </c>
      <c r="E984">
        <v>0</v>
      </c>
      <c r="F984">
        <v>2.7988900000000001</v>
      </c>
      <c r="G984">
        <v>3.1012900000000001</v>
      </c>
      <c r="H984">
        <v>0</v>
      </c>
      <c r="I984">
        <v>0.53985300000000003</v>
      </c>
      <c r="J984">
        <v>5.3222399999999999</v>
      </c>
      <c r="K984" s="2">
        <v>130121000</v>
      </c>
      <c r="L984" s="1">
        <v>0</v>
      </c>
      <c r="M984" s="1">
        <v>0</v>
      </c>
      <c r="N984" s="1">
        <v>0</v>
      </c>
      <c r="O984" s="1">
        <v>0</v>
      </c>
      <c r="P984" s="2">
        <v>4184270</v>
      </c>
      <c r="Q984" s="1">
        <v>-89719.6</v>
      </c>
      <c r="R984" s="1">
        <v>408539</v>
      </c>
      <c r="S984">
        <v>85.215500000000006</v>
      </c>
      <c r="T984">
        <v>98.274000000000001</v>
      </c>
      <c r="U984">
        <v>1.11914</v>
      </c>
      <c r="V984">
        <v>0</v>
      </c>
      <c r="W984">
        <v>0</v>
      </c>
      <c r="X984">
        <v>2.1497999999999999</v>
      </c>
      <c r="Y984">
        <v>1.8473999999999999</v>
      </c>
      <c r="Z984">
        <v>0</v>
      </c>
      <c r="AA984">
        <v>1.72959</v>
      </c>
      <c r="AB984">
        <v>2.9635199999999999</v>
      </c>
      <c r="AC984" s="2">
        <v>442115000</v>
      </c>
      <c r="AD984" s="1">
        <v>0</v>
      </c>
      <c r="AE984" s="1">
        <v>0</v>
      </c>
      <c r="AF984" s="1">
        <v>0</v>
      </c>
      <c r="AG984" s="1">
        <v>0</v>
      </c>
      <c r="AH984" s="2">
        <v>5562040</v>
      </c>
      <c r="AI984" s="1">
        <v>938179</v>
      </c>
      <c r="AJ984" s="1">
        <v>0</v>
      </c>
      <c r="AK984" s="8">
        <f t="shared" si="63"/>
        <v>47</v>
      </c>
      <c r="AL984" s="8">
        <f t="shared" si="62"/>
        <v>19</v>
      </c>
      <c r="AM984">
        <f t="shared" si="60"/>
        <v>0</v>
      </c>
      <c r="AN984">
        <f t="shared" si="61"/>
        <v>0</v>
      </c>
    </row>
    <row r="985" spans="1:40" x14ac:dyDescent="0.35">
      <c r="A985">
        <v>48.654499999999999</v>
      </c>
      <c r="B985">
        <v>85.138999999999996</v>
      </c>
      <c r="C985">
        <v>0.66781699999999999</v>
      </c>
      <c r="D985">
        <v>0.04</v>
      </c>
      <c r="E985">
        <v>0</v>
      </c>
      <c r="F985">
        <v>2.7992599999999999</v>
      </c>
      <c r="G985">
        <v>3.1016599999999999</v>
      </c>
      <c r="H985">
        <v>0</v>
      </c>
      <c r="I985">
        <v>0.52451300000000001</v>
      </c>
      <c r="J985">
        <v>5.3222399999999999</v>
      </c>
      <c r="K985" s="2">
        <v>130031000</v>
      </c>
      <c r="L985" s="1">
        <v>0</v>
      </c>
      <c r="M985" s="1">
        <v>0</v>
      </c>
      <c r="N985" s="1">
        <v>0</v>
      </c>
      <c r="O985" s="1">
        <v>0</v>
      </c>
      <c r="P985" s="2">
        <v>4184820</v>
      </c>
      <c r="Q985" s="1">
        <v>-89681.8</v>
      </c>
      <c r="R985" s="1">
        <v>408539</v>
      </c>
      <c r="S985">
        <v>85.0274</v>
      </c>
      <c r="T985">
        <v>98.274000000000001</v>
      </c>
      <c r="U985">
        <v>0.93883099999999997</v>
      </c>
      <c r="V985">
        <v>0</v>
      </c>
      <c r="W985">
        <v>0</v>
      </c>
      <c r="X985">
        <v>2.15002</v>
      </c>
      <c r="Y985">
        <v>1.84762</v>
      </c>
      <c r="Z985">
        <v>0</v>
      </c>
      <c r="AA985">
        <v>1.66093</v>
      </c>
      <c r="AB985">
        <v>2.9635199999999999</v>
      </c>
      <c r="AC985" s="2">
        <v>443053000</v>
      </c>
      <c r="AD985" s="1">
        <v>0</v>
      </c>
      <c r="AE985" s="1">
        <v>0</v>
      </c>
      <c r="AF985" s="1">
        <v>0</v>
      </c>
      <c r="AG985" s="1">
        <v>0</v>
      </c>
      <c r="AH985" s="2">
        <v>5562610</v>
      </c>
      <c r="AI985" s="1">
        <v>938198</v>
      </c>
      <c r="AJ985" s="1">
        <v>0</v>
      </c>
      <c r="AK985" s="8">
        <f t="shared" si="63"/>
        <v>48</v>
      </c>
      <c r="AL985" s="8">
        <f t="shared" si="62"/>
        <v>19</v>
      </c>
      <c r="AM985">
        <f t="shared" si="60"/>
        <v>0</v>
      </c>
      <c r="AN985">
        <f t="shared" si="61"/>
        <v>0</v>
      </c>
    </row>
    <row r="986" spans="1:40" x14ac:dyDescent="0.35">
      <c r="A986">
        <v>47.234999999999999</v>
      </c>
      <c r="B986">
        <v>85.138999999999996</v>
      </c>
      <c r="C986">
        <v>1.2529399999999999</v>
      </c>
      <c r="D986">
        <v>0.08</v>
      </c>
      <c r="E986">
        <v>0</v>
      </c>
      <c r="F986">
        <v>2.7996300000000001</v>
      </c>
      <c r="G986">
        <v>3.1020300000000001</v>
      </c>
      <c r="H986">
        <v>0</v>
      </c>
      <c r="I986">
        <v>0.52458099999999996</v>
      </c>
      <c r="J986">
        <v>5.3222399999999999</v>
      </c>
      <c r="K986" s="2">
        <v>129942000</v>
      </c>
      <c r="L986" s="1">
        <v>0</v>
      </c>
      <c r="M986" s="1">
        <v>0</v>
      </c>
      <c r="N986" s="1">
        <v>0</v>
      </c>
      <c r="O986" s="1">
        <v>0</v>
      </c>
      <c r="P986" s="2">
        <v>4185370</v>
      </c>
      <c r="Q986" s="1">
        <v>-89644</v>
      </c>
      <c r="R986" s="1">
        <v>408539</v>
      </c>
      <c r="S986">
        <v>85.004499999999993</v>
      </c>
      <c r="T986">
        <v>98.274000000000001</v>
      </c>
      <c r="U986">
        <v>2.62025</v>
      </c>
      <c r="V986">
        <v>0</v>
      </c>
      <c r="W986">
        <v>0</v>
      </c>
      <c r="X986">
        <v>2.1502400000000002</v>
      </c>
      <c r="Y986">
        <v>1.8478399999999999</v>
      </c>
      <c r="Z986">
        <v>0</v>
      </c>
      <c r="AA986">
        <v>1.6611</v>
      </c>
      <c r="AB986">
        <v>2.9635199999999999</v>
      </c>
      <c r="AC986" s="2">
        <v>443991000</v>
      </c>
      <c r="AD986" s="1">
        <v>0</v>
      </c>
      <c r="AE986" s="1">
        <v>0</v>
      </c>
      <c r="AF986" s="1">
        <v>0</v>
      </c>
      <c r="AG986" s="1">
        <v>0</v>
      </c>
      <c r="AH986" s="2">
        <v>5563170</v>
      </c>
      <c r="AI986" s="1">
        <v>938216</v>
      </c>
      <c r="AJ986" s="1">
        <v>0</v>
      </c>
      <c r="AK986" s="8">
        <f t="shared" si="63"/>
        <v>49</v>
      </c>
      <c r="AL986" s="8">
        <f t="shared" si="62"/>
        <v>19</v>
      </c>
      <c r="AM986">
        <f t="shared" si="60"/>
        <v>0</v>
      </c>
      <c r="AN986">
        <f t="shared" si="61"/>
        <v>0</v>
      </c>
    </row>
    <row r="987" spans="1:40" x14ac:dyDescent="0.35">
      <c r="A987">
        <v>46.810099999999998</v>
      </c>
      <c r="B987">
        <v>85.138999999999996</v>
      </c>
      <c r="C987">
        <v>2.3071199999999998</v>
      </c>
      <c r="D987">
        <v>7.0000000000000007E-2</v>
      </c>
      <c r="E987">
        <v>0</v>
      </c>
      <c r="F987">
        <v>2.8</v>
      </c>
      <c r="G987">
        <v>3.1023999999999998</v>
      </c>
      <c r="H987">
        <v>0</v>
      </c>
      <c r="I987">
        <v>0.52464999999999995</v>
      </c>
      <c r="J987">
        <v>5.3222399999999999</v>
      </c>
      <c r="K987" s="2">
        <v>129852000</v>
      </c>
      <c r="L987" s="1">
        <v>0</v>
      </c>
      <c r="M987" s="1">
        <v>0</v>
      </c>
      <c r="N987" s="1">
        <v>0</v>
      </c>
      <c r="O987" s="1">
        <v>0</v>
      </c>
      <c r="P987" s="2">
        <v>4185920</v>
      </c>
      <c r="Q987" s="1">
        <v>-89606.2</v>
      </c>
      <c r="R987" s="1">
        <v>408539</v>
      </c>
      <c r="S987">
        <v>85.064400000000006</v>
      </c>
      <c r="T987">
        <v>98.274000000000001</v>
      </c>
      <c r="U987">
        <v>3.3618399999999999</v>
      </c>
      <c r="V987">
        <v>0</v>
      </c>
      <c r="W987">
        <v>0</v>
      </c>
      <c r="X987">
        <v>2.1504599999999998</v>
      </c>
      <c r="Y987">
        <v>1.84806</v>
      </c>
      <c r="Z987">
        <v>0</v>
      </c>
      <c r="AA987">
        <v>1.66127</v>
      </c>
      <c r="AB987">
        <v>2.9635199999999999</v>
      </c>
      <c r="AC987" s="2">
        <v>444930000</v>
      </c>
      <c r="AD987" s="1">
        <v>0</v>
      </c>
      <c r="AE987" s="1">
        <v>0</v>
      </c>
      <c r="AF987" s="1">
        <v>0</v>
      </c>
      <c r="AG987" s="1">
        <v>0</v>
      </c>
      <c r="AH987" s="2">
        <v>5563740</v>
      </c>
      <c r="AI987" s="1">
        <v>938235</v>
      </c>
      <c r="AJ987" s="1">
        <v>0</v>
      </c>
      <c r="AK987" s="8">
        <f t="shared" si="63"/>
        <v>50</v>
      </c>
      <c r="AL987" s="8">
        <f t="shared" si="62"/>
        <v>19</v>
      </c>
      <c r="AM987">
        <f t="shared" si="60"/>
        <v>0</v>
      </c>
      <c r="AN987">
        <f t="shared" si="61"/>
        <v>0</v>
      </c>
    </row>
    <row r="988" spans="1:40" x14ac:dyDescent="0.35">
      <c r="A988">
        <v>45.9681</v>
      </c>
      <c r="B988">
        <v>85.138999999999996</v>
      </c>
      <c r="C988">
        <v>1.6925600000000001</v>
      </c>
      <c r="D988">
        <v>7.0000000000000007E-2</v>
      </c>
      <c r="E988">
        <v>0</v>
      </c>
      <c r="F988">
        <v>2.5666899999999999</v>
      </c>
      <c r="G988">
        <v>2.8690899999999999</v>
      </c>
      <c r="H988">
        <v>0</v>
      </c>
      <c r="I988">
        <v>0.52471900000000005</v>
      </c>
      <c r="J988">
        <v>5.3222399999999999</v>
      </c>
      <c r="K988" s="2">
        <v>129738000</v>
      </c>
      <c r="L988" s="1">
        <v>0</v>
      </c>
      <c r="M988" s="1">
        <v>0</v>
      </c>
      <c r="N988" s="1">
        <v>0</v>
      </c>
      <c r="O988" s="1">
        <v>0</v>
      </c>
      <c r="P988" s="2">
        <v>3837140</v>
      </c>
      <c r="Q988" s="1">
        <v>-113591</v>
      </c>
      <c r="R988" s="1">
        <v>408539</v>
      </c>
      <c r="S988">
        <v>85.024799999999999</v>
      </c>
      <c r="T988">
        <v>98.274000000000001</v>
      </c>
      <c r="U988">
        <v>1.5976399999999999</v>
      </c>
      <c r="V988">
        <v>0</v>
      </c>
      <c r="W988">
        <v>0</v>
      </c>
      <c r="X988">
        <v>1.96502</v>
      </c>
      <c r="Y988">
        <v>1.66262</v>
      </c>
      <c r="Z988">
        <v>0</v>
      </c>
      <c r="AA988">
        <v>1.66144</v>
      </c>
      <c r="AB988">
        <v>2.9635199999999999</v>
      </c>
      <c r="AC988" s="2">
        <v>445852000</v>
      </c>
      <c r="AD988" s="1">
        <v>0</v>
      </c>
      <c r="AE988" s="1">
        <v>0</v>
      </c>
      <c r="AF988" s="1">
        <v>0</v>
      </c>
      <c r="AG988" s="1">
        <v>0</v>
      </c>
      <c r="AH988" s="2">
        <v>5083980</v>
      </c>
      <c r="AI988" s="1">
        <v>922596</v>
      </c>
      <c r="AJ988" s="1">
        <v>0</v>
      </c>
      <c r="AK988" s="8">
        <f t="shared" si="63"/>
        <v>51</v>
      </c>
      <c r="AL988" s="8">
        <f t="shared" si="62"/>
        <v>19</v>
      </c>
      <c r="AM988">
        <f t="shared" si="60"/>
        <v>0</v>
      </c>
      <c r="AN988">
        <f t="shared" si="61"/>
        <v>0</v>
      </c>
    </row>
    <row r="989" spans="1:40" x14ac:dyDescent="0.35">
      <c r="A989">
        <v>45.257599999999996</v>
      </c>
      <c r="B989">
        <v>85.138999999999996</v>
      </c>
      <c r="C989">
        <v>1.81609</v>
      </c>
      <c r="D989">
        <v>7.0000000000000007E-2</v>
      </c>
      <c r="E989">
        <v>0</v>
      </c>
      <c r="F989">
        <v>2.5670299999999999</v>
      </c>
      <c r="G989">
        <v>2.8694299999999999</v>
      </c>
      <c r="H989">
        <v>0</v>
      </c>
      <c r="I989">
        <v>0.48099799999999998</v>
      </c>
      <c r="J989">
        <v>5.3222399999999999</v>
      </c>
      <c r="K989" s="2">
        <v>129625000</v>
      </c>
      <c r="L989" s="1">
        <v>0</v>
      </c>
      <c r="M989" s="1">
        <v>0</v>
      </c>
      <c r="N989" s="1">
        <v>0</v>
      </c>
      <c r="O989" s="1">
        <v>0</v>
      </c>
      <c r="P989" s="2">
        <v>3837640</v>
      </c>
      <c r="Q989" s="1">
        <v>-113556</v>
      </c>
      <c r="R989" s="1">
        <v>408539</v>
      </c>
      <c r="S989">
        <v>84.602000000000004</v>
      </c>
      <c r="T989">
        <v>98.274000000000001</v>
      </c>
      <c r="U989">
        <v>2.4513799999999999</v>
      </c>
      <c r="V989">
        <v>0</v>
      </c>
      <c r="W989">
        <v>0</v>
      </c>
      <c r="X989">
        <v>1.96522</v>
      </c>
      <c r="Y989">
        <v>1.66282</v>
      </c>
      <c r="Z989">
        <v>0</v>
      </c>
      <c r="AA989">
        <v>1.5181800000000001</v>
      </c>
      <c r="AB989">
        <v>2.9635199999999999</v>
      </c>
      <c r="AC989" s="2">
        <v>446775000</v>
      </c>
      <c r="AD989" s="1">
        <v>0</v>
      </c>
      <c r="AE989" s="1">
        <v>0</v>
      </c>
      <c r="AF989" s="1">
        <v>0</v>
      </c>
      <c r="AG989" s="1">
        <v>0</v>
      </c>
      <c r="AH989" s="2">
        <v>5084490</v>
      </c>
      <c r="AI989" s="1">
        <v>922613</v>
      </c>
      <c r="AJ989" s="1">
        <v>0</v>
      </c>
      <c r="AK989" s="8">
        <f t="shared" si="63"/>
        <v>52</v>
      </c>
      <c r="AL989" s="8">
        <f t="shared" si="62"/>
        <v>19</v>
      </c>
      <c r="AM989">
        <f t="shared" si="60"/>
        <v>446775000</v>
      </c>
      <c r="AN989">
        <f t="shared" si="61"/>
        <v>129625000</v>
      </c>
    </row>
    <row r="990" spans="1:40" x14ac:dyDescent="0.35">
      <c r="A990">
        <v>44.187100000000001</v>
      </c>
      <c r="B990">
        <v>85.138999999999996</v>
      </c>
      <c r="C990">
        <v>1.40686</v>
      </c>
      <c r="D990">
        <v>7.0000000000000007E-2</v>
      </c>
      <c r="E990">
        <v>0</v>
      </c>
      <c r="F990">
        <v>2.5673699999999999</v>
      </c>
      <c r="G990">
        <v>2.8697699999999999</v>
      </c>
      <c r="H990">
        <v>0</v>
      </c>
      <c r="I990">
        <v>0.48106100000000002</v>
      </c>
      <c r="J990">
        <v>5.3222399999999999</v>
      </c>
      <c r="K990" s="2">
        <v>129511000</v>
      </c>
      <c r="L990" s="1">
        <v>0</v>
      </c>
      <c r="M990" s="1">
        <v>0</v>
      </c>
      <c r="N990" s="1">
        <v>0</v>
      </c>
      <c r="O990" s="1">
        <v>0</v>
      </c>
      <c r="P990" s="2">
        <v>3838150</v>
      </c>
      <c r="Q990" s="1">
        <v>-113521</v>
      </c>
      <c r="R990" s="1">
        <v>408539</v>
      </c>
      <c r="S990">
        <v>83.895300000000006</v>
      </c>
      <c r="T990">
        <v>98.274000000000001</v>
      </c>
      <c r="U990">
        <v>1.6339900000000001</v>
      </c>
      <c r="V990">
        <v>0</v>
      </c>
      <c r="W990">
        <v>0</v>
      </c>
      <c r="X990">
        <v>1.9654199999999999</v>
      </c>
      <c r="Y990">
        <v>1.6630199999999999</v>
      </c>
      <c r="Z990">
        <v>0</v>
      </c>
      <c r="AA990">
        <v>1.51833</v>
      </c>
      <c r="AB990">
        <v>2.9635199999999999</v>
      </c>
      <c r="AC990" s="2">
        <v>447697000</v>
      </c>
      <c r="AD990" s="1">
        <v>0</v>
      </c>
      <c r="AE990" s="1">
        <v>0</v>
      </c>
      <c r="AF990" s="1">
        <v>0</v>
      </c>
      <c r="AG990" s="1">
        <v>0</v>
      </c>
      <c r="AH990" s="2">
        <v>5085000</v>
      </c>
      <c r="AI990" s="1">
        <v>922630</v>
      </c>
      <c r="AJ990" s="1">
        <v>0</v>
      </c>
      <c r="AK990" s="8">
        <f t="shared" si="63"/>
        <v>1</v>
      </c>
      <c r="AL990" s="8">
        <f t="shared" si="62"/>
        <v>20</v>
      </c>
      <c r="AM990">
        <f t="shared" si="60"/>
        <v>0</v>
      </c>
      <c r="AN990">
        <f t="shared" si="61"/>
        <v>0</v>
      </c>
    </row>
    <row r="991" spans="1:40" x14ac:dyDescent="0.35">
      <c r="A991">
        <v>43.356999999999999</v>
      </c>
      <c r="B991">
        <v>85.138999999999996</v>
      </c>
      <c r="C991">
        <v>1.6423399999999999</v>
      </c>
      <c r="D991">
        <v>0.1</v>
      </c>
      <c r="E991">
        <v>0</v>
      </c>
      <c r="F991">
        <v>2.5677099999999999</v>
      </c>
      <c r="G991">
        <v>2.8701099999999999</v>
      </c>
      <c r="H991">
        <v>0</v>
      </c>
      <c r="I991">
        <v>0.48112500000000002</v>
      </c>
      <c r="J991">
        <v>5.3222399999999999</v>
      </c>
      <c r="K991" s="2">
        <v>129398000</v>
      </c>
      <c r="L991" s="1">
        <v>0</v>
      </c>
      <c r="M991" s="1">
        <v>0</v>
      </c>
      <c r="N991" s="1">
        <v>0</v>
      </c>
      <c r="O991" s="1">
        <v>0</v>
      </c>
      <c r="P991" s="2">
        <v>3838660</v>
      </c>
      <c r="Q991" s="1">
        <v>-113486</v>
      </c>
      <c r="R991" s="1">
        <v>408539</v>
      </c>
      <c r="S991">
        <v>83.763099999999994</v>
      </c>
      <c r="T991">
        <v>98.274000000000001</v>
      </c>
      <c r="U991">
        <v>1.4830399999999999</v>
      </c>
      <c r="V991">
        <v>0</v>
      </c>
      <c r="W991">
        <v>0</v>
      </c>
      <c r="X991">
        <v>1.9656100000000001</v>
      </c>
      <c r="Y991">
        <v>1.6632100000000001</v>
      </c>
      <c r="Z991">
        <v>0</v>
      </c>
      <c r="AA991">
        <v>1.5184800000000001</v>
      </c>
      <c r="AB991">
        <v>2.9635199999999999</v>
      </c>
      <c r="AC991" s="2">
        <v>448620000</v>
      </c>
      <c r="AD991" s="1">
        <v>0</v>
      </c>
      <c r="AE991" s="1">
        <v>0</v>
      </c>
      <c r="AF991" s="1">
        <v>0</v>
      </c>
      <c r="AG991" s="1">
        <v>0</v>
      </c>
      <c r="AH991" s="2">
        <v>5085510</v>
      </c>
      <c r="AI991" s="1">
        <v>922646</v>
      </c>
      <c r="AJ991" s="1">
        <v>0</v>
      </c>
      <c r="AK991" s="8">
        <f t="shared" si="63"/>
        <v>2</v>
      </c>
      <c r="AL991" s="8">
        <f t="shared" si="62"/>
        <v>20</v>
      </c>
      <c r="AM991">
        <f t="shared" si="60"/>
        <v>0</v>
      </c>
      <c r="AN991">
        <f t="shared" si="61"/>
        <v>0</v>
      </c>
    </row>
    <row r="992" spans="1:40" x14ac:dyDescent="0.35">
      <c r="A992">
        <v>43.072299999999998</v>
      </c>
      <c r="B992">
        <v>85.138999999999996</v>
      </c>
      <c r="C992">
        <v>2.1969799999999999</v>
      </c>
      <c r="D992">
        <v>0.1</v>
      </c>
      <c r="E992">
        <v>0</v>
      </c>
      <c r="F992">
        <v>2.5680499999999999</v>
      </c>
      <c r="G992">
        <v>2.8704499999999999</v>
      </c>
      <c r="H992">
        <v>0</v>
      </c>
      <c r="I992">
        <v>0.48118899999999998</v>
      </c>
      <c r="J992">
        <v>5.3222399999999999</v>
      </c>
      <c r="K992" s="2">
        <v>129284000</v>
      </c>
      <c r="L992" s="1">
        <v>0</v>
      </c>
      <c r="M992" s="1">
        <v>0</v>
      </c>
      <c r="N992" s="1">
        <v>0</v>
      </c>
      <c r="O992" s="1">
        <v>0</v>
      </c>
      <c r="P992" s="2">
        <v>3839170</v>
      </c>
      <c r="Q992" s="1">
        <v>-113451</v>
      </c>
      <c r="R992" s="1">
        <v>408539</v>
      </c>
      <c r="S992">
        <v>83.770700000000005</v>
      </c>
      <c r="T992">
        <v>98.274000000000001</v>
      </c>
      <c r="U992">
        <v>2.6088200000000001</v>
      </c>
      <c r="V992">
        <v>0</v>
      </c>
      <c r="W992">
        <v>0</v>
      </c>
      <c r="X992">
        <v>1.9658100000000001</v>
      </c>
      <c r="Y992">
        <v>1.6634100000000001</v>
      </c>
      <c r="Z992">
        <v>0</v>
      </c>
      <c r="AA992">
        <v>1.5186299999999999</v>
      </c>
      <c r="AB992">
        <v>2.9635199999999999</v>
      </c>
      <c r="AC992" s="2">
        <v>449543000</v>
      </c>
      <c r="AD992" s="1">
        <v>0</v>
      </c>
      <c r="AE992" s="1">
        <v>0</v>
      </c>
      <c r="AF992" s="1">
        <v>0</v>
      </c>
      <c r="AG992" s="1">
        <v>0</v>
      </c>
      <c r="AH992" s="2">
        <v>5086020</v>
      </c>
      <c r="AI992" s="1">
        <v>922663</v>
      </c>
      <c r="AJ992" s="1">
        <v>0</v>
      </c>
      <c r="AK992" s="8">
        <f t="shared" si="63"/>
        <v>3</v>
      </c>
      <c r="AL992" s="8">
        <f t="shared" si="62"/>
        <v>20</v>
      </c>
      <c r="AM992">
        <f t="shared" si="60"/>
        <v>0</v>
      </c>
      <c r="AN992">
        <f t="shared" si="61"/>
        <v>0</v>
      </c>
    </row>
    <row r="993" spans="1:40" x14ac:dyDescent="0.35">
      <c r="A993">
        <v>44.279299999999999</v>
      </c>
      <c r="B993">
        <v>85.138999999999996</v>
      </c>
      <c r="C993">
        <v>3.8565999999999998</v>
      </c>
      <c r="D993">
        <v>0.12</v>
      </c>
      <c r="E993">
        <v>0</v>
      </c>
      <c r="F993">
        <v>2.6583199999999998</v>
      </c>
      <c r="G993">
        <v>2.9607199999999998</v>
      </c>
      <c r="H993">
        <v>0</v>
      </c>
      <c r="I993">
        <v>0.48125299999999999</v>
      </c>
      <c r="J993">
        <v>5.3222399999999999</v>
      </c>
      <c r="K993" s="2">
        <v>129180000</v>
      </c>
      <c r="L993" s="1">
        <v>0</v>
      </c>
      <c r="M993" s="1">
        <v>0</v>
      </c>
      <c r="N993" s="1">
        <v>0</v>
      </c>
      <c r="O993" s="2">
        <v>29016000</v>
      </c>
      <c r="P993" s="2">
        <v>3974120</v>
      </c>
      <c r="Q993" s="1">
        <v>-104171</v>
      </c>
      <c r="R993" s="1">
        <v>408539</v>
      </c>
      <c r="S993">
        <v>84.379900000000006</v>
      </c>
      <c r="T993">
        <v>98.274000000000001</v>
      </c>
      <c r="U993">
        <v>4.9543600000000003</v>
      </c>
      <c r="V993">
        <v>0</v>
      </c>
      <c r="W993">
        <v>0</v>
      </c>
      <c r="X993">
        <v>2.01979</v>
      </c>
      <c r="Y993">
        <v>1.71739</v>
      </c>
      <c r="Z993">
        <v>0</v>
      </c>
      <c r="AA993">
        <v>1.5187900000000001</v>
      </c>
      <c r="AB993">
        <v>2.9635199999999999</v>
      </c>
      <c r="AC993" s="2">
        <v>450470000</v>
      </c>
      <c r="AD993" s="1">
        <v>0</v>
      </c>
      <c r="AE993" s="1">
        <v>0</v>
      </c>
      <c r="AF993" s="1">
        <v>0</v>
      </c>
      <c r="AG993" s="2">
        <v>7883220</v>
      </c>
      <c r="AH993" s="2">
        <v>5225690</v>
      </c>
      <c r="AI993" s="1">
        <v>927215</v>
      </c>
      <c r="AJ993" s="1">
        <v>0</v>
      </c>
      <c r="AK993" s="8">
        <f t="shared" si="63"/>
        <v>4</v>
      </c>
      <c r="AL993" s="8">
        <f t="shared" si="62"/>
        <v>20</v>
      </c>
      <c r="AM993">
        <f t="shared" si="60"/>
        <v>0</v>
      </c>
      <c r="AN993">
        <f t="shared" si="61"/>
        <v>0</v>
      </c>
    </row>
    <row r="994" spans="1:40" x14ac:dyDescent="0.35">
      <c r="A994">
        <v>44.907200000000003</v>
      </c>
      <c r="B994">
        <v>85.138999999999996</v>
      </c>
      <c r="C994">
        <v>3.2614899999999998</v>
      </c>
      <c r="D994">
        <v>0.12</v>
      </c>
      <c r="E994">
        <v>0</v>
      </c>
      <c r="F994">
        <v>2.6586500000000002</v>
      </c>
      <c r="G994">
        <v>2.9610500000000002</v>
      </c>
      <c r="H994">
        <v>0</v>
      </c>
      <c r="I994">
        <v>0.49816899999999997</v>
      </c>
      <c r="J994">
        <v>5.3222399999999999</v>
      </c>
      <c r="K994" s="2">
        <v>129076000</v>
      </c>
      <c r="L994" s="1">
        <v>0</v>
      </c>
      <c r="M994" s="1">
        <v>0</v>
      </c>
      <c r="N994" s="1">
        <v>0</v>
      </c>
      <c r="O994" s="1">
        <v>0</v>
      </c>
      <c r="P994" s="2">
        <v>3974610</v>
      </c>
      <c r="Q994" s="1">
        <v>-104137</v>
      </c>
      <c r="R994" s="1">
        <v>408539</v>
      </c>
      <c r="S994">
        <v>84.866900000000001</v>
      </c>
      <c r="T994">
        <v>98.274000000000001</v>
      </c>
      <c r="U994">
        <v>4.3537800000000004</v>
      </c>
      <c r="V994">
        <v>0</v>
      </c>
      <c r="W994">
        <v>0</v>
      </c>
      <c r="X994">
        <v>2.01999</v>
      </c>
      <c r="Y994">
        <v>1.71759</v>
      </c>
      <c r="Z994">
        <v>0</v>
      </c>
      <c r="AA994">
        <v>1.5604899999999999</v>
      </c>
      <c r="AB994">
        <v>2.9635199999999999</v>
      </c>
      <c r="AC994" s="2">
        <v>451397000</v>
      </c>
      <c r="AD994" s="1">
        <v>0</v>
      </c>
      <c r="AE994" s="1">
        <v>0</v>
      </c>
      <c r="AF994" s="1">
        <v>0</v>
      </c>
      <c r="AG994" s="1">
        <v>0</v>
      </c>
      <c r="AH994" s="2">
        <v>5226180</v>
      </c>
      <c r="AI994" s="1">
        <v>927232</v>
      </c>
      <c r="AJ994" s="1">
        <v>0</v>
      </c>
      <c r="AK994" s="8">
        <f t="shared" si="63"/>
        <v>5</v>
      </c>
      <c r="AL994" s="8">
        <f t="shared" si="62"/>
        <v>20</v>
      </c>
      <c r="AM994">
        <f t="shared" si="60"/>
        <v>0</v>
      </c>
      <c r="AN994">
        <f t="shared" si="61"/>
        <v>0</v>
      </c>
    </row>
    <row r="995" spans="1:40" x14ac:dyDescent="0.35">
      <c r="A995">
        <v>46.060499999999998</v>
      </c>
      <c r="B995">
        <v>85.138999999999996</v>
      </c>
      <c r="C995">
        <v>3.85005</v>
      </c>
      <c r="D995">
        <v>0.09</v>
      </c>
      <c r="E995">
        <v>0</v>
      </c>
      <c r="F995">
        <v>2.6589800000000001</v>
      </c>
      <c r="G995">
        <v>2.9613800000000001</v>
      </c>
      <c r="H995">
        <v>0</v>
      </c>
      <c r="I995">
        <v>0.49823099999999998</v>
      </c>
      <c r="J995">
        <v>5.3222399999999999</v>
      </c>
      <c r="K995" s="2">
        <v>128972000</v>
      </c>
      <c r="L995" s="1">
        <v>0</v>
      </c>
      <c r="M995" s="1">
        <v>0</v>
      </c>
      <c r="N995" s="1">
        <v>0</v>
      </c>
      <c r="O995" s="1">
        <v>0</v>
      </c>
      <c r="P995" s="2">
        <v>3975110</v>
      </c>
      <c r="Q995" s="1">
        <v>-104103</v>
      </c>
      <c r="R995" s="1">
        <v>408539</v>
      </c>
      <c r="S995">
        <v>85.7239</v>
      </c>
      <c r="T995">
        <v>98.274000000000001</v>
      </c>
      <c r="U995">
        <v>5.3020199999999997</v>
      </c>
      <c r="V995">
        <v>0</v>
      </c>
      <c r="W995">
        <v>0</v>
      </c>
      <c r="X995">
        <v>2.0201799999999999</v>
      </c>
      <c r="Y995">
        <v>1.7177800000000001</v>
      </c>
      <c r="Z995">
        <v>0</v>
      </c>
      <c r="AA995">
        <v>1.56064</v>
      </c>
      <c r="AB995">
        <v>2.9635199999999999</v>
      </c>
      <c r="AC995" s="2">
        <v>452324000</v>
      </c>
      <c r="AD995" s="1">
        <v>0</v>
      </c>
      <c r="AE995" s="1">
        <v>0</v>
      </c>
      <c r="AF995" s="1">
        <v>0</v>
      </c>
      <c r="AG995" s="1">
        <v>0</v>
      </c>
      <c r="AH995" s="2">
        <v>5226680</v>
      </c>
      <c r="AI995" s="1">
        <v>927248</v>
      </c>
      <c r="AJ995" s="1">
        <v>0</v>
      </c>
      <c r="AK995" s="8">
        <f t="shared" si="63"/>
        <v>6</v>
      </c>
      <c r="AL995" s="8">
        <f t="shared" si="62"/>
        <v>20</v>
      </c>
      <c r="AM995">
        <f t="shared" si="60"/>
        <v>0</v>
      </c>
      <c r="AN995">
        <f t="shared" si="61"/>
        <v>0</v>
      </c>
    </row>
    <row r="996" spans="1:40" x14ac:dyDescent="0.35">
      <c r="A996">
        <v>47.463200000000001</v>
      </c>
      <c r="B996">
        <v>85.138999999999996</v>
      </c>
      <c r="C996">
        <v>4.1084199999999997</v>
      </c>
      <c r="D996">
        <v>0.09</v>
      </c>
      <c r="E996">
        <v>0</v>
      </c>
      <c r="F996">
        <v>2.6593100000000001</v>
      </c>
      <c r="G996">
        <v>2.9617100000000001</v>
      </c>
      <c r="H996">
        <v>0</v>
      </c>
      <c r="I996">
        <v>0.49829299999999999</v>
      </c>
      <c r="J996">
        <v>5.3222399999999999</v>
      </c>
      <c r="K996" s="2">
        <v>128868000</v>
      </c>
      <c r="L996" s="1">
        <v>0</v>
      </c>
      <c r="M996" s="1">
        <v>0</v>
      </c>
      <c r="N996" s="1">
        <v>0</v>
      </c>
      <c r="O996" s="1">
        <v>0</v>
      </c>
      <c r="P996" s="2">
        <v>3975600</v>
      </c>
      <c r="Q996" s="1">
        <v>-104069</v>
      </c>
      <c r="R996" s="1">
        <v>408539</v>
      </c>
      <c r="S996">
        <v>86.211299999999994</v>
      </c>
      <c r="T996">
        <v>98.274000000000001</v>
      </c>
      <c r="U996">
        <v>4.6660199999999996</v>
      </c>
      <c r="V996">
        <v>0</v>
      </c>
      <c r="W996">
        <v>0</v>
      </c>
      <c r="X996">
        <v>2.0203700000000002</v>
      </c>
      <c r="Y996">
        <v>1.71797</v>
      </c>
      <c r="Z996">
        <v>0</v>
      </c>
      <c r="AA996">
        <v>1.5607899999999999</v>
      </c>
      <c r="AB996">
        <v>2.9635199999999999</v>
      </c>
      <c r="AC996" s="2">
        <v>453252000</v>
      </c>
      <c r="AD996" s="1">
        <v>0</v>
      </c>
      <c r="AE996" s="1">
        <v>0</v>
      </c>
      <c r="AF996" s="1">
        <v>0</v>
      </c>
      <c r="AG996" s="1">
        <v>0</v>
      </c>
      <c r="AH996" s="2">
        <v>5227180</v>
      </c>
      <c r="AI996" s="1">
        <v>927264</v>
      </c>
      <c r="AJ996" s="1">
        <v>0</v>
      </c>
      <c r="AK996" s="8">
        <f t="shared" si="63"/>
        <v>7</v>
      </c>
      <c r="AL996" s="8">
        <f t="shared" si="62"/>
        <v>20</v>
      </c>
      <c r="AM996">
        <f t="shared" si="60"/>
        <v>0</v>
      </c>
      <c r="AN996">
        <f t="shared" si="61"/>
        <v>0</v>
      </c>
    </row>
    <row r="997" spans="1:40" x14ac:dyDescent="0.35">
      <c r="A997">
        <v>52.080300000000001</v>
      </c>
      <c r="B997">
        <v>85.138999999999996</v>
      </c>
      <c r="C997">
        <v>7.7917800000000002</v>
      </c>
      <c r="D997">
        <v>0.09</v>
      </c>
      <c r="E997">
        <v>0</v>
      </c>
      <c r="F997">
        <v>2.94855</v>
      </c>
      <c r="G997">
        <v>3.25095</v>
      </c>
      <c r="H997">
        <v>0</v>
      </c>
      <c r="I997">
        <v>0.49835499999999999</v>
      </c>
      <c r="J997">
        <v>5.3222399999999999</v>
      </c>
      <c r="K997" s="2">
        <v>128793000</v>
      </c>
      <c r="L997" s="1">
        <v>0</v>
      </c>
      <c r="M997" s="1">
        <v>0</v>
      </c>
      <c r="N997" s="1">
        <v>0</v>
      </c>
      <c r="O997" s="1">
        <v>0</v>
      </c>
      <c r="P997" s="2">
        <v>4408010</v>
      </c>
      <c r="Q997" s="1">
        <v>-74334.5</v>
      </c>
      <c r="R997" s="1">
        <v>408539</v>
      </c>
      <c r="S997">
        <v>87.156499999999994</v>
      </c>
      <c r="T997">
        <v>98.274000000000001</v>
      </c>
      <c r="U997">
        <v>7.8495900000000001</v>
      </c>
      <c r="V997">
        <v>0</v>
      </c>
      <c r="W997">
        <v>0</v>
      </c>
      <c r="X997">
        <v>2.2225799999999998</v>
      </c>
      <c r="Y997">
        <v>1.92018</v>
      </c>
      <c r="Z997">
        <v>0</v>
      </c>
      <c r="AA997">
        <v>1.56094</v>
      </c>
      <c r="AB997">
        <v>2.9635199999999999</v>
      </c>
      <c r="AC997" s="2">
        <v>454196000</v>
      </c>
      <c r="AD997" s="1">
        <v>0</v>
      </c>
      <c r="AE997" s="1">
        <v>0</v>
      </c>
      <c r="AF997" s="1">
        <v>0</v>
      </c>
      <c r="AG997" s="1">
        <v>0</v>
      </c>
      <c r="AH997" s="2">
        <v>5750350</v>
      </c>
      <c r="AI997" s="1">
        <v>944317</v>
      </c>
      <c r="AJ997" s="1">
        <v>0</v>
      </c>
      <c r="AK997" s="8">
        <f t="shared" si="63"/>
        <v>8</v>
      </c>
      <c r="AL997" s="8">
        <f t="shared" si="62"/>
        <v>20</v>
      </c>
      <c r="AM997">
        <f t="shared" si="60"/>
        <v>0</v>
      </c>
      <c r="AN997">
        <f t="shared" si="61"/>
        <v>0</v>
      </c>
    </row>
    <row r="998" spans="1:40" x14ac:dyDescent="0.35">
      <c r="A998">
        <v>56.848500000000001</v>
      </c>
      <c r="B998">
        <v>85.138999999999996</v>
      </c>
      <c r="C998">
        <v>8.2209699999999994</v>
      </c>
      <c r="D998">
        <v>0.06</v>
      </c>
      <c r="E998">
        <v>0</v>
      </c>
      <c r="F998">
        <v>2.9489100000000001</v>
      </c>
      <c r="G998">
        <v>3.2513100000000001</v>
      </c>
      <c r="H998">
        <v>0</v>
      </c>
      <c r="I998">
        <v>0.55255799999999999</v>
      </c>
      <c r="J998">
        <v>5.3222399999999999</v>
      </c>
      <c r="K998" s="2">
        <v>128719000</v>
      </c>
      <c r="L998" s="1">
        <v>0</v>
      </c>
      <c r="M998" s="1">
        <v>0</v>
      </c>
      <c r="N998" s="1">
        <v>0</v>
      </c>
      <c r="O998" s="1">
        <v>0</v>
      </c>
      <c r="P998" s="2">
        <v>4408550</v>
      </c>
      <c r="Q998" s="1">
        <v>-74297.2</v>
      </c>
      <c r="R998" s="1">
        <v>408539</v>
      </c>
      <c r="S998">
        <v>88.235699999999994</v>
      </c>
      <c r="T998">
        <v>98.274000000000001</v>
      </c>
      <c r="U998">
        <v>8.67014</v>
      </c>
      <c r="V998">
        <v>0</v>
      </c>
      <c r="W998">
        <v>0</v>
      </c>
      <c r="X998">
        <v>2.2227999999999999</v>
      </c>
      <c r="Y998">
        <v>1.9204000000000001</v>
      </c>
      <c r="Z998">
        <v>0</v>
      </c>
      <c r="AA998">
        <v>1.7171700000000001</v>
      </c>
      <c r="AB998">
        <v>2.9635199999999999</v>
      </c>
      <c r="AC998" s="2">
        <v>455140000</v>
      </c>
      <c r="AD998" s="1">
        <v>0</v>
      </c>
      <c r="AE998" s="1">
        <v>0</v>
      </c>
      <c r="AF998" s="1">
        <v>0</v>
      </c>
      <c r="AG998" s="1">
        <v>0</v>
      </c>
      <c r="AH998" s="2">
        <v>5750900</v>
      </c>
      <c r="AI998" s="1">
        <v>944335</v>
      </c>
      <c r="AJ998" s="1">
        <v>0</v>
      </c>
      <c r="AK998" s="8">
        <f t="shared" si="63"/>
        <v>9</v>
      </c>
      <c r="AL998" s="8">
        <f t="shared" si="62"/>
        <v>20</v>
      </c>
      <c r="AM998">
        <f t="shared" si="60"/>
        <v>0</v>
      </c>
      <c r="AN998">
        <f t="shared" si="61"/>
        <v>0</v>
      </c>
    </row>
    <row r="999" spans="1:40" x14ac:dyDescent="0.35">
      <c r="A999">
        <v>60.839399999999998</v>
      </c>
      <c r="B999">
        <v>85.138999999999996</v>
      </c>
      <c r="C999">
        <v>7.44109</v>
      </c>
      <c r="D999">
        <v>0.04</v>
      </c>
      <c r="E999">
        <v>0</v>
      </c>
      <c r="F999">
        <v>2.9492799999999999</v>
      </c>
      <c r="G999">
        <v>3.2516799999999999</v>
      </c>
      <c r="H999">
        <v>0</v>
      </c>
      <c r="I999">
        <v>0.55262599999999995</v>
      </c>
      <c r="J999">
        <v>5.3222399999999999</v>
      </c>
      <c r="K999" s="2">
        <v>128645000</v>
      </c>
      <c r="L999" s="1">
        <v>0</v>
      </c>
      <c r="M999" s="1">
        <v>0</v>
      </c>
      <c r="N999" s="1">
        <v>0</v>
      </c>
      <c r="O999" s="1">
        <v>0</v>
      </c>
      <c r="P999" s="2">
        <v>4409090</v>
      </c>
      <c r="Q999" s="1">
        <v>-74259.8</v>
      </c>
      <c r="R999" s="1">
        <v>408539</v>
      </c>
      <c r="S999">
        <v>89.381200000000007</v>
      </c>
      <c r="T999">
        <v>98.274000000000001</v>
      </c>
      <c r="U999">
        <v>8.8035599999999992</v>
      </c>
      <c r="V999">
        <v>0</v>
      </c>
      <c r="W999">
        <v>0</v>
      </c>
      <c r="X999">
        <v>2.2230099999999999</v>
      </c>
      <c r="Y999">
        <v>1.9206099999999999</v>
      </c>
      <c r="Z999">
        <v>0</v>
      </c>
      <c r="AA999">
        <v>1.71733</v>
      </c>
      <c r="AB999">
        <v>2.9635199999999999</v>
      </c>
      <c r="AC999" s="2">
        <v>456085000</v>
      </c>
      <c r="AD999" s="1">
        <v>0</v>
      </c>
      <c r="AE999" s="1">
        <v>0</v>
      </c>
      <c r="AF999" s="1">
        <v>0</v>
      </c>
      <c r="AG999" s="1">
        <v>0</v>
      </c>
      <c r="AH999" s="2">
        <v>5751460</v>
      </c>
      <c r="AI999" s="1">
        <v>944353</v>
      </c>
      <c r="AJ999" s="1">
        <v>0</v>
      </c>
      <c r="AK999" s="8">
        <f t="shared" si="63"/>
        <v>10</v>
      </c>
      <c r="AL999" s="8">
        <f t="shared" si="62"/>
        <v>20</v>
      </c>
      <c r="AM999">
        <f t="shared" si="60"/>
        <v>0</v>
      </c>
      <c r="AN999">
        <f t="shared" si="61"/>
        <v>0</v>
      </c>
    </row>
    <row r="1000" spans="1:40" x14ac:dyDescent="0.35">
      <c r="A1000">
        <v>65.001199999999997</v>
      </c>
      <c r="B1000">
        <v>85.138999999999996</v>
      </c>
      <c r="C1000">
        <v>7.7331599999999998</v>
      </c>
      <c r="D1000">
        <v>0.04</v>
      </c>
      <c r="E1000">
        <v>0</v>
      </c>
      <c r="F1000">
        <v>2.94964</v>
      </c>
      <c r="G1000">
        <v>3.25204</v>
      </c>
      <c r="H1000">
        <v>0</v>
      </c>
      <c r="I1000">
        <v>0.55269500000000005</v>
      </c>
      <c r="J1000">
        <v>5.3222399999999999</v>
      </c>
      <c r="K1000" s="2">
        <v>128571000</v>
      </c>
      <c r="L1000" s="1">
        <v>0</v>
      </c>
      <c r="M1000" s="1">
        <v>0</v>
      </c>
      <c r="N1000" s="1">
        <v>0</v>
      </c>
      <c r="O1000" s="1">
        <v>0</v>
      </c>
      <c r="P1000" s="2">
        <v>4409640</v>
      </c>
      <c r="Q1000" s="1">
        <v>-74222.5</v>
      </c>
      <c r="R1000" s="1">
        <v>408539</v>
      </c>
      <c r="S1000">
        <v>90.825699999999998</v>
      </c>
      <c r="T1000">
        <v>98.274000000000001</v>
      </c>
      <c r="U1000">
        <v>9.5847499999999997</v>
      </c>
      <c r="V1000">
        <v>0</v>
      </c>
      <c r="W1000">
        <v>0</v>
      </c>
      <c r="X1000">
        <v>2.22322</v>
      </c>
      <c r="Y1000">
        <v>1.92082</v>
      </c>
      <c r="Z1000">
        <v>0</v>
      </c>
      <c r="AA1000">
        <v>1.7175</v>
      </c>
      <c r="AB1000">
        <v>2.9635199999999999</v>
      </c>
      <c r="AC1000" s="2">
        <v>457029000</v>
      </c>
      <c r="AD1000" s="1">
        <v>0</v>
      </c>
      <c r="AE1000" s="1">
        <v>0</v>
      </c>
      <c r="AF1000" s="1">
        <v>0</v>
      </c>
      <c r="AG1000" s="1">
        <v>0</v>
      </c>
      <c r="AH1000" s="2">
        <v>5752010</v>
      </c>
      <c r="AI1000" s="1">
        <v>944372</v>
      </c>
      <c r="AJ1000" s="1">
        <v>0</v>
      </c>
      <c r="AK1000" s="8">
        <f t="shared" si="63"/>
        <v>11</v>
      </c>
      <c r="AL1000" s="8">
        <f t="shared" si="62"/>
        <v>20</v>
      </c>
      <c r="AM1000">
        <f t="shared" si="60"/>
        <v>0</v>
      </c>
      <c r="AN1000">
        <f t="shared" si="61"/>
        <v>0</v>
      </c>
    </row>
    <row r="1001" spans="1:40" x14ac:dyDescent="0.35">
      <c r="A1001">
        <v>66.815100000000001</v>
      </c>
      <c r="B1001">
        <v>85.138999999999996</v>
      </c>
      <c r="C1001">
        <v>4.8286499999999997</v>
      </c>
      <c r="D1001">
        <v>0.03</v>
      </c>
      <c r="E1001">
        <v>0</v>
      </c>
      <c r="F1001">
        <v>2.5377399999999999</v>
      </c>
      <c r="G1001">
        <v>2.8401399999999999</v>
      </c>
      <c r="H1001">
        <v>0</v>
      </c>
      <c r="I1001">
        <v>0.552763</v>
      </c>
      <c r="J1001">
        <v>5.3222399999999999</v>
      </c>
      <c r="K1001" s="2">
        <v>128454000</v>
      </c>
      <c r="L1001" s="1">
        <v>0</v>
      </c>
      <c r="M1001" s="1">
        <v>0</v>
      </c>
      <c r="N1001" s="1">
        <v>0</v>
      </c>
      <c r="O1001" s="1">
        <v>0</v>
      </c>
      <c r="P1001" s="2">
        <v>3793860</v>
      </c>
      <c r="Q1001" s="1">
        <v>-116567</v>
      </c>
      <c r="R1001" s="1">
        <v>408539</v>
      </c>
      <c r="S1001">
        <v>91.732799999999997</v>
      </c>
      <c r="T1001">
        <v>98.274000000000001</v>
      </c>
      <c r="U1001">
        <v>6.6991300000000003</v>
      </c>
      <c r="V1001">
        <v>0</v>
      </c>
      <c r="W1001">
        <v>0</v>
      </c>
      <c r="X1001">
        <v>1.95221</v>
      </c>
      <c r="Y1001">
        <v>1.64981</v>
      </c>
      <c r="Z1001">
        <v>0</v>
      </c>
      <c r="AA1001">
        <v>1.71766</v>
      </c>
      <c r="AB1001">
        <v>2.9635199999999999</v>
      </c>
      <c r="AC1001" s="2">
        <v>457951000</v>
      </c>
      <c r="AD1001" s="1">
        <v>0</v>
      </c>
      <c r="AE1001" s="1">
        <v>0</v>
      </c>
      <c r="AF1001" s="1">
        <v>0</v>
      </c>
      <c r="AG1001" s="1">
        <v>0</v>
      </c>
      <c r="AH1001" s="2">
        <v>5050820</v>
      </c>
      <c r="AI1001" s="1">
        <v>921515</v>
      </c>
      <c r="AJ1001" s="1">
        <v>0</v>
      </c>
      <c r="AK1001" s="8">
        <f t="shared" si="63"/>
        <v>12</v>
      </c>
      <c r="AL1001" s="8">
        <f t="shared" si="62"/>
        <v>20</v>
      </c>
      <c r="AM1001">
        <f t="shared" si="60"/>
        <v>0</v>
      </c>
      <c r="AN1001">
        <f t="shared" si="61"/>
        <v>0</v>
      </c>
    </row>
    <row r="1002" spans="1:40" x14ac:dyDescent="0.35">
      <c r="A1002">
        <v>69.058099999999996</v>
      </c>
      <c r="B1002">
        <v>85.138999999999996</v>
      </c>
      <c r="C1002">
        <v>5.3018599999999996</v>
      </c>
      <c r="D1002">
        <v>0.03</v>
      </c>
      <c r="E1002">
        <v>0</v>
      </c>
      <c r="F1002">
        <v>2.5380600000000002</v>
      </c>
      <c r="G1002">
        <v>2.8404600000000002</v>
      </c>
      <c r="H1002">
        <v>0</v>
      </c>
      <c r="I1002">
        <v>0.47557300000000002</v>
      </c>
      <c r="J1002">
        <v>5.3222399999999999</v>
      </c>
      <c r="K1002" s="2">
        <v>128338000</v>
      </c>
      <c r="L1002" s="1">
        <v>0</v>
      </c>
      <c r="M1002" s="1">
        <v>0</v>
      </c>
      <c r="N1002" s="1">
        <v>0</v>
      </c>
      <c r="O1002" s="1">
        <v>0</v>
      </c>
      <c r="P1002" s="2">
        <v>3794330</v>
      </c>
      <c r="Q1002" s="1">
        <v>-116534</v>
      </c>
      <c r="R1002" s="1">
        <v>408539</v>
      </c>
      <c r="S1002">
        <v>92.889200000000002</v>
      </c>
      <c r="T1002">
        <v>98.274000000000001</v>
      </c>
      <c r="U1002">
        <v>7.0808799999999996</v>
      </c>
      <c r="V1002">
        <v>0</v>
      </c>
      <c r="W1002">
        <v>0</v>
      </c>
      <c r="X1002">
        <v>1.9523900000000001</v>
      </c>
      <c r="Y1002">
        <v>1.6499900000000001</v>
      </c>
      <c r="Z1002">
        <v>0</v>
      </c>
      <c r="AA1002">
        <v>1.50827</v>
      </c>
      <c r="AB1002">
        <v>2.9635199999999999</v>
      </c>
      <c r="AC1002" s="2">
        <v>458872000</v>
      </c>
      <c r="AD1002" s="1">
        <v>0</v>
      </c>
      <c r="AE1002" s="1">
        <v>0</v>
      </c>
      <c r="AF1002" s="1">
        <v>0</v>
      </c>
      <c r="AG1002" s="1">
        <v>0</v>
      </c>
      <c r="AH1002" s="2">
        <v>5051300</v>
      </c>
      <c r="AI1002" s="1">
        <v>921531</v>
      </c>
      <c r="AJ1002" s="1">
        <v>0</v>
      </c>
      <c r="AK1002" s="8">
        <f t="shared" si="63"/>
        <v>13</v>
      </c>
      <c r="AL1002" s="8">
        <f t="shared" si="62"/>
        <v>20</v>
      </c>
      <c r="AM1002">
        <f t="shared" si="60"/>
        <v>0</v>
      </c>
      <c r="AN1002">
        <f t="shared" si="61"/>
        <v>0</v>
      </c>
    </row>
    <row r="1003" spans="1:40" x14ac:dyDescent="0.35">
      <c r="A1003">
        <v>71.792500000000004</v>
      </c>
      <c r="B1003">
        <v>85.138999999999996</v>
      </c>
      <c r="C1003">
        <v>5.8568600000000002</v>
      </c>
      <c r="D1003">
        <v>0.02</v>
      </c>
      <c r="E1003">
        <v>0</v>
      </c>
      <c r="F1003">
        <v>2.5383800000000001</v>
      </c>
      <c r="G1003">
        <v>2.8407800000000001</v>
      </c>
      <c r="H1003">
        <v>0</v>
      </c>
      <c r="I1003">
        <v>0.475632</v>
      </c>
      <c r="J1003">
        <v>5.3222399999999999</v>
      </c>
      <c r="K1003" s="2">
        <v>128221000</v>
      </c>
      <c r="L1003" s="1">
        <v>0</v>
      </c>
      <c r="M1003" s="1">
        <v>0</v>
      </c>
      <c r="N1003" s="1">
        <v>0</v>
      </c>
      <c r="O1003" s="1">
        <v>0</v>
      </c>
      <c r="P1003" s="2">
        <v>3794810</v>
      </c>
      <c r="Q1003" s="1">
        <v>-116501</v>
      </c>
      <c r="R1003" s="1">
        <v>408539</v>
      </c>
      <c r="S1003">
        <v>93.918000000000006</v>
      </c>
      <c r="T1003">
        <v>98.274000000000001</v>
      </c>
      <c r="U1003">
        <v>6.8820199999999998</v>
      </c>
      <c r="V1003">
        <v>0</v>
      </c>
      <c r="W1003">
        <v>0</v>
      </c>
      <c r="X1003">
        <v>1.9525699999999999</v>
      </c>
      <c r="Y1003">
        <v>1.6501699999999999</v>
      </c>
      <c r="Z1003">
        <v>0</v>
      </c>
      <c r="AA1003">
        <v>1.5084200000000001</v>
      </c>
      <c r="AB1003">
        <v>2.9635199999999999</v>
      </c>
      <c r="AC1003" s="2">
        <v>459794000</v>
      </c>
      <c r="AD1003" s="1">
        <v>0</v>
      </c>
      <c r="AE1003" s="1">
        <v>0</v>
      </c>
      <c r="AF1003" s="1">
        <v>0</v>
      </c>
      <c r="AG1003" s="1">
        <v>0</v>
      </c>
      <c r="AH1003" s="2">
        <v>5051770</v>
      </c>
      <c r="AI1003" s="1">
        <v>921547</v>
      </c>
      <c r="AJ1003" s="1">
        <v>0</v>
      </c>
      <c r="AK1003" s="8">
        <f t="shared" si="63"/>
        <v>14</v>
      </c>
      <c r="AL1003" s="8">
        <f t="shared" si="62"/>
        <v>20</v>
      </c>
      <c r="AM1003">
        <f t="shared" si="60"/>
        <v>0</v>
      </c>
      <c r="AN1003">
        <f t="shared" si="61"/>
        <v>0</v>
      </c>
    </row>
    <row r="1004" spans="1:40" x14ac:dyDescent="0.35">
      <c r="A1004">
        <v>73.854600000000005</v>
      </c>
      <c r="B1004">
        <v>85.138999999999996</v>
      </c>
      <c r="C1004">
        <v>5.1612999999999998</v>
      </c>
      <c r="D1004">
        <v>0.03</v>
      </c>
      <c r="E1004">
        <v>0</v>
      </c>
      <c r="F1004">
        <v>2.5386899999999999</v>
      </c>
      <c r="G1004">
        <v>2.8410899999999999</v>
      </c>
      <c r="H1004">
        <v>0</v>
      </c>
      <c r="I1004">
        <v>0.475692</v>
      </c>
      <c r="J1004">
        <v>5.3222399999999999</v>
      </c>
      <c r="K1004" s="2">
        <v>128105000</v>
      </c>
      <c r="L1004" s="1">
        <v>0</v>
      </c>
      <c r="M1004" s="1">
        <v>0</v>
      </c>
      <c r="N1004" s="1">
        <v>0</v>
      </c>
      <c r="O1004" s="1">
        <v>0</v>
      </c>
      <c r="P1004" s="2">
        <v>3795280</v>
      </c>
      <c r="Q1004" s="1">
        <v>-116469</v>
      </c>
      <c r="R1004" s="1">
        <v>408539</v>
      </c>
      <c r="S1004">
        <v>94.885900000000007</v>
      </c>
      <c r="T1004">
        <v>98.274000000000001</v>
      </c>
      <c r="U1004">
        <v>7.3797199999999998</v>
      </c>
      <c r="V1004">
        <v>0</v>
      </c>
      <c r="W1004">
        <v>0</v>
      </c>
      <c r="X1004">
        <v>1.9527600000000001</v>
      </c>
      <c r="Y1004">
        <v>1.65036</v>
      </c>
      <c r="Z1004">
        <v>0</v>
      </c>
      <c r="AA1004">
        <v>1.5085599999999999</v>
      </c>
      <c r="AB1004">
        <v>2.9635199999999999</v>
      </c>
      <c r="AC1004" s="2">
        <v>460715000</v>
      </c>
      <c r="AD1004" s="1">
        <v>0</v>
      </c>
      <c r="AE1004" s="1">
        <v>0</v>
      </c>
      <c r="AF1004" s="1">
        <v>0</v>
      </c>
      <c r="AG1004" s="1">
        <v>0</v>
      </c>
      <c r="AH1004" s="2">
        <v>5052250</v>
      </c>
      <c r="AI1004" s="1">
        <v>921562</v>
      </c>
      <c r="AJ1004" s="1">
        <v>0</v>
      </c>
      <c r="AK1004" s="8">
        <f t="shared" si="63"/>
        <v>15</v>
      </c>
      <c r="AL1004" s="8">
        <f t="shared" si="62"/>
        <v>20</v>
      </c>
      <c r="AM1004">
        <f t="shared" si="60"/>
        <v>0</v>
      </c>
      <c r="AN1004">
        <f t="shared" si="61"/>
        <v>0</v>
      </c>
    </row>
    <row r="1005" spans="1:40" x14ac:dyDescent="0.35">
      <c r="A1005">
        <v>76.433400000000006</v>
      </c>
      <c r="B1005">
        <v>85.138999999999996</v>
      </c>
      <c r="C1005">
        <v>5.6902499999999998</v>
      </c>
      <c r="D1005">
        <v>0.01</v>
      </c>
      <c r="E1005">
        <v>0</v>
      </c>
      <c r="F1005">
        <v>2.5390100000000002</v>
      </c>
      <c r="G1005">
        <v>2.8414100000000002</v>
      </c>
      <c r="H1005">
        <v>0</v>
      </c>
      <c r="I1005">
        <v>0.47575099999999998</v>
      </c>
      <c r="J1005">
        <v>5.3222399999999999</v>
      </c>
      <c r="K1005" s="2">
        <v>127988000</v>
      </c>
      <c r="L1005" s="1">
        <v>0</v>
      </c>
      <c r="M1005" s="1">
        <v>0</v>
      </c>
      <c r="N1005" s="1">
        <v>0</v>
      </c>
      <c r="O1005" s="1">
        <v>0</v>
      </c>
      <c r="P1005" s="2">
        <v>3795760</v>
      </c>
      <c r="Q1005" s="1">
        <v>-116436</v>
      </c>
      <c r="R1005" s="1">
        <v>408539</v>
      </c>
      <c r="S1005">
        <v>96.345100000000002</v>
      </c>
      <c r="T1005">
        <v>98.274000000000001</v>
      </c>
      <c r="U1005">
        <v>7.9965099999999998</v>
      </c>
      <c r="V1005">
        <v>0</v>
      </c>
      <c r="W1005">
        <v>0</v>
      </c>
      <c r="X1005">
        <v>1.9529399999999999</v>
      </c>
      <c r="Y1005">
        <v>1.6505399999999999</v>
      </c>
      <c r="Z1005">
        <v>0</v>
      </c>
      <c r="AA1005">
        <v>1.5086999999999999</v>
      </c>
      <c r="AB1005">
        <v>2.9635199999999999</v>
      </c>
      <c r="AC1005" s="2">
        <v>461637000</v>
      </c>
      <c r="AD1005" s="1">
        <v>0</v>
      </c>
      <c r="AE1005" s="1">
        <v>0</v>
      </c>
      <c r="AF1005" s="1">
        <v>0</v>
      </c>
      <c r="AG1005" s="1">
        <v>0</v>
      </c>
      <c r="AH1005" s="2">
        <v>5052730</v>
      </c>
      <c r="AI1005" s="1">
        <v>921578</v>
      </c>
      <c r="AJ1005" s="1">
        <v>0</v>
      </c>
      <c r="AK1005" s="8">
        <f t="shared" si="63"/>
        <v>16</v>
      </c>
      <c r="AL1005" s="8">
        <f t="shared" si="62"/>
        <v>20</v>
      </c>
      <c r="AM1005">
        <f t="shared" si="60"/>
        <v>0</v>
      </c>
      <c r="AN1005">
        <f t="shared" si="61"/>
        <v>0</v>
      </c>
    </row>
    <row r="1006" spans="1:40" x14ac:dyDescent="0.35">
      <c r="A1006">
        <v>77.410499999999999</v>
      </c>
      <c r="B1006">
        <v>85.138999999999996</v>
      </c>
      <c r="C1006">
        <v>4.4068399999999999</v>
      </c>
      <c r="D1006">
        <v>0</v>
      </c>
      <c r="E1006">
        <v>0</v>
      </c>
      <c r="F1006">
        <v>2.94556</v>
      </c>
      <c r="G1006">
        <v>2.94556</v>
      </c>
      <c r="H1006">
        <v>0</v>
      </c>
      <c r="I1006">
        <v>0.47581000000000001</v>
      </c>
      <c r="J1006">
        <v>5.3222399999999999</v>
      </c>
      <c r="K1006" s="2">
        <v>128291000</v>
      </c>
      <c r="L1006" s="1">
        <v>0</v>
      </c>
      <c r="M1006" s="1">
        <v>0</v>
      </c>
      <c r="N1006" s="1">
        <v>0</v>
      </c>
      <c r="O1006" s="1">
        <v>0</v>
      </c>
      <c r="P1006" s="2">
        <v>4403540</v>
      </c>
      <c r="Q1006" s="1">
        <v>302809</v>
      </c>
      <c r="R1006" s="1">
        <v>0</v>
      </c>
      <c r="S1006">
        <v>97.200699999999998</v>
      </c>
      <c r="T1006">
        <v>98.274000000000001</v>
      </c>
      <c r="U1006">
        <v>4.7304500000000003</v>
      </c>
      <c r="V1006">
        <v>0</v>
      </c>
      <c r="W1006">
        <v>0</v>
      </c>
      <c r="X1006">
        <v>1.71712</v>
      </c>
      <c r="Y1006">
        <v>1.71712</v>
      </c>
      <c r="Z1006">
        <v>0</v>
      </c>
      <c r="AA1006">
        <v>1.50884</v>
      </c>
      <c r="AB1006">
        <v>2.9635199999999999</v>
      </c>
      <c r="AC1006" s="2">
        <v>461782000</v>
      </c>
      <c r="AD1006" s="1">
        <v>0</v>
      </c>
      <c r="AE1006" s="1">
        <v>0</v>
      </c>
      <c r="AF1006" s="1">
        <v>0</v>
      </c>
      <c r="AG1006" s="1">
        <v>0</v>
      </c>
      <c r="AH1006" s="2">
        <v>4442590</v>
      </c>
      <c r="AI1006" s="1">
        <v>144811</v>
      </c>
      <c r="AJ1006" s="1">
        <v>0</v>
      </c>
      <c r="AK1006" s="8">
        <f t="shared" si="63"/>
        <v>17</v>
      </c>
      <c r="AL1006" s="8">
        <f t="shared" si="62"/>
        <v>20</v>
      </c>
      <c r="AM1006">
        <f t="shared" si="60"/>
        <v>0</v>
      </c>
      <c r="AN1006">
        <f t="shared" si="61"/>
        <v>0</v>
      </c>
    </row>
    <row r="1007" spans="1:40" x14ac:dyDescent="0.35">
      <c r="A1007">
        <v>77.710899999999995</v>
      </c>
      <c r="B1007">
        <v>85.138999999999996</v>
      </c>
      <c r="C1007">
        <v>3.70939</v>
      </c>
      <c r="D1007">
        <v>0</v>
      </c>
      <c r="E1007">
        <v>0</v>
      </c>
      <c r="F1007">
        <v>2.9458899999999999</v>
      </c>
      <c r="G1007">
        <v>2.9458899999999999</v>
      </c>
      <c r="H1007">
        <v>0</v>
      </c>
      <c r="I1007">
        <v>0.55199799999999999</v>
      </c>
      <c r="J1007">
        <v>5.3222399999999999</v>
      </c>
      <c r="K1007" s="2">
        <v>128594000</v>
      </c>
      <c r="L1007" s="1">
        <v>0</v>
      </c>
      <c r="M1007" s="1">
        <v>0</v>
      </c>
      <c r="N1007" s="1">
        <v>0</v>
      </c>
      <c r="O1007" s="1">
        <v>0</v>
      </c>
      <c r="P1007" s="2">
        <v>4404030</v>
      </c>
      <c r="Q1007" s="1">
        <v>302843</v>
      </c>
      <c r="R1007" s="1">
        <v>0</v>
      </c>
      <c r="S1007">
        <v>97.833399999999997</v>
      </c>
      <c r="T1007">
        <v>98.274000000000001</v>
      </c>
      <c r="U1007">
        <v>3.9018099999999998</v>
      </c>
      <c r="V1007">
        <v>0</v>
      </c>
      <c r="W1007">
        <v>0</v>
      </c>
      <c r="X1007">
        <v>1.7173099999999999</v>
      </c>
      <c r="Y1007">
        <v>1.7173099999999999</v>
      </c>
      <c r="Z1007">
        <v>0</v>
      </c>
      <c r="AA1007">
        <v>1.3266500000000001</v>
      </c>
      <c r="AB1007">
        <v>2.9635199999999999</v>
      </c>
      <c r="AC1007" s="2">
        <v>461926000</v>
      </c>
      <c r="AD1007" s="1">
        <v>0</v>
      </c>
      <c r="AE1007" s="1">
        <v>0</v>
      </c>
      <c r="AF1007" s="1">
        <v>0</v>
      </c>
      <c r="AG1007" s="1">
        <v>0</v>
      </c>
      <c r="AH1007" s="2">
        <v>4443090</v>
      </c>
      <c r="AI1007" s="1">
        <v>144828</v>
      </c>
      <c r="AJ1007" s="1">
        <v>0</v>
      </c>
      <c r="AK1007" s="8">
        <f t="shared" si="63"/>
        <v>18</v>
      </c>
      <c r="AL1007" s="8">
        <f t="shared" si="62"/>
        <v>20</v>
      </c>
      <c r="AM1007">
        <f t="shared" si="60"/>
        <v>0</v>
      </c>
      <c r="AN1007">
        <f t="shared" si="61"/>
        <v>0</v>
      </c>
    </row>
    <row r="1008" spans="1:40" x14ac:dyDescent="0.35">
      <c r="A1008">
        <v>77.456500000000005</v>
      </c>
      <c r="B1008">
        <v>85.138999999999996</v>
      </c>
      <c r="C1008">
        <v>3.0077600000000002</v>
      </c>
      <c r="D1008">
        <v>0</v>
      </c>
      <c r="E1008">
        <v>0</v>
      </c>
      <c r="F1008">
        <v>2.9462199999999998</v>
      </c>
      <c r="G1008">
        <v>2.9462199999999998</v>
      </c>
      <c r="H1008">
        <v>0</v>
      </c>
      <c r="I1008">
        <v>0.55205899999999997</v>
      </c>
      <c r="J1008">
        <v>5.3222399999999999</v>
      </c>
      <c r="K1008" s="2">
        <v>128897000</v>
      </c>
      <c r="L1008" s="1">
        <v>0</v>
      </c>
      <c r="M1008" s="1">
        <v>0</v>
      </c>
      <c r="N1008" s="1">
        <v>0</v>
      </c>
      <c r="O1008" s="1">
        <v>0</v>
      </c>
      <c r="P1008" s="2">
        <v>4404520</v>
      </c>
      <c r="Q1008" s="1">
        <v>302877</v>
      </c>
      <c r="R1008" s="1">
        <v>0</v>
      </c>
      <c r="S1008">
        <v>98.218199999999996</v>
      </c>
      <c r="T1008">
        <v>98.274000000000001</v>
      </c>
      <c r="U1008">
        <v>3.2559100000000001</v>
      </c>
      <c r="V1008">
        <v>0</v>
      </c>
      <c r="W1008">
        <v>0</v>
      </c>
      <c r="X1008">
        <v>1.7175</v>
      </c>
      <c r="Y1008">
        <v>1.7175</v>
      </c>
      <c r="Z1008">
        <v>0</v>
      </c>
      <c r="AA1008">
        <v>1.3267899999999999</v>
      </c>
      <c r="AB1008">
        <v>2.9635199999999999</v>
      </c>
      <c r="AC1008" s="2">
        <v>462071000</v>
      </c>
      <c r="AD1008" s="1">
        <v>0</v>
      </c>
      <c r="AE1008" s="1">
        <v>0</v>
      </c>
      <c r="AF1008" s="1">
        <v>0</v>
      </c>
      <c r="AG1008" s="1">
        <v>0</v>
      </c>
      <c r="AH1008" s="2">
        <v>4443590</v>
      </c>
      <c r="AI1008" s="1">
        <v>144844</v>
      </c>
      <c r="AJ1008" s="1">
        <v>0</v>
      </c>
      <c r="AK1008" s="8">
        <f t="shared" si="63"/>
        <v>19</v>
      </c>
      <c r="AL1008" s="8">
        <f t="shared" si="62"/>
        <v>20</v>
      </c>
      <c r="AM1008">
        <f t="shared" si="60"/>
        <v>0</v>
      </c>
      <c r="AN1008">
        <f t="shared" si="61"/>
        <v>0</v>
      </c>
    </row>
    <row r="1009" spans="1:40" x14ac:dyDescent="0.35">
      <c r="A1009">
        <v>76.662999999999997</v>
      </c>
      <c r="B1009">
        <v>85.138999999999996</v>
      </c>
      <c r="C1009">
        <v>2.4511099999999999</v>
      </c>
      <c r="D1009">
        <v>0</v>
      </c>
      <c r="E1009">
        <v>0</v>
      </c>
      <c r="F1009">
        <v>2.9465499999999998</v>
      </c>
      <c r="G1009">
        <v>2.9465499999999998</v>
      </c>
      <c r="H1009">
        <v>0</v>
      </c>
      <c r="I1009">
        <v>0.55212099999999997</v>
      </c>
      <c r="J1009">
        <v>5.3222399999999999</v>
      </c>
      <c r="K1009" s="2">
        <v>129200000</v>
      </c>
      <c r="L1009" s="1">
        <v>0</v>
      </c>
      <c r="M1009" s="1">
        <v>0</v>
      </c>
      <c r="N1009" s="1">
        <v>0</v>
      </c>
      <c r="O1009" s="1">
        <v>0</v>
      </c>
      <c r="P1009" s="2">
        <v>4405010</v>
      </c>
      <c r="Q1009" s="1">
        <v>302911</v>
      </c>
      <c r="R1009" s="1">
        <v>0</v>
      </c>
      <c r="S1009">
        <v>98.4255</v>
      </c>
      <c r="T1009">
        <v>98.274000000000001</v>
      </c>
      <c r="U1009">
        <v>2.8250600000000001</v>
      </c>
      <c r="V1009">
        <v>0</v>
      </c>
      <c r="W1009">
        <v>0</v>
      </c>
      <c r="X1009">
        <v>1.7176899999999999</v>
      </c>
      <c r="Y1009">
        <v>1.7176899999999999</v>
      </c>
      <c r="Z1009">
        <v>0</v>
      </c>
      <c r="AA1009">
        <v>1.32694</v>
      </c>
      <c r="AB1009">
        <v>2.9635199999999999</v>
      </c>
      <c r="AC1009" s="2">
        <v>462216000</v>
      </c>
      <c r="AD1009" s="1">
        <v>0</v>
      </c>
      <c r="AE1009" s="1">
        <v>0</v>
      </c>
      <c r="AF1009" s="1">
        <v>0</v>
      </c>
      <c r="AG1009" s="1">
        <v>0</v>
      </c>
      <c r="AH1009" s="2">
        <v>4444080</v>
      </c>
      <c r="AI1009" s="1">
        <v>144860</v>
      </c>
      <c r="AJ1009" s="1">
        <v>0</v>
      </c>
      <c r="AK1009" s="8">
        <f t="shared" si="63"/>
        <v>20</v>
      </c>
      <c r="AL1009" s="8">
        <f t="shared" si="62"/>
        <v>20</v>
      </c>
      <c r="AM1009">
        <f t="shared" si="60"/>
        <v>0</v>
      </c>
      <c r="AN1009">
        <f t="shared" si="61"/>
        <v>0</v>
      </c>
    </row>
    <row r="1010" spans="1:40" x14ac:dyDescent="0.35">
      <c r="A1010">
        <v>76.291600000000003</v>
      </c>
      <c r="B1010">
        <v>85.138999999999996</v>
      </c>
      <c r="C1010">
        <v>2.82342</v>
      </c>
      <c r="D1010">
        <v>0</v>
      </c>
      <c r="E1010">
        <v>0</v>
      </c>
      <c r="F1010">
        <v>2.9062600000000001</v>
      </c>
      <c r="G1010">
        <v>2.9062600000000001</v>
      </c>
      <c r="H1010">
        <v>0</v>
      </c>
      <c r="I1010">
        <v>0.55218299999999998</v>
      </c>
      <c r="J1010">
        <v>5.3222399999999999</v>
      </c>
      <c r="K1010" s="2">
        <v>129498000</v>
      </c>
      <c r="L1010" s="1">
        <v>0</v>
      </c>
      <c r="M1010" s="1">
        <v>0</v>
      </c>
      <c r="N1010" s="1">
        <v>0</v>
      </c>
      <c r="O1010" s="1">
        <v>0</v>
      </c>
      <c r="P1010" s="2">
        <v>4344780</v>
      </c>
      <c r="Q1010" s="1">
        <v>298769</v>
      </c>
      <c r="R1010" s="1">
        <v>0</v>
      </c>
      <c r="S1010">
        <v>98.801599999999993</v>
      </c>
      <c r="T1010">
        <v>98.274000000000001</v>
      </c>
      <c r="U1010">
        <v>3.1541800000000002</v>
      </c>
      <c r="V1010">
        <v>0</v>
      </c>
      <c r="W1010">
        <v>0</v>
      </c>
      <c r="X1010">
        <v>1.6920900000000001</v>
      </c>
      <c r="Y1010">
        <v>1.6920900000000001</v>
      </c>
      <c r="Z1010">
        <v>0</v>
      </c>
      <c r="AA1010">
        <v>1.3270900000000001</v>
      </c>
      <c r="AB1010">
        <v>2.9635199999999999</v>
      </c>
      <c r="AC1010" s="2">
        <v>462359000</v>
      </c>
      <c r="AD1010" s="1">
        <v>0</v>
      </c>
      <c r="AE1010" s="1">
        <v>0</v>
      </c>
      <c r="AF1010" s="1">
        <v>0</v>
      </c>
      <c r="AG1010" s="1">
        <v>0</v>
      </c>
      <c r="AH1010" s="2">
        <v>4377840</v>
      </c>
      <c r="AI1010" s="1">
        <v>142701</v>
      </c>
      <c r="AJ1010" s="1">
        <v>0</v>
      </c>
      <c r="AK1010" s="8">
        <f t="shared" si="63"/>
        <v>21</v>
      </c>
      <c r="AL1010" s="8">
        <f t="shared" si="62"/>
        <v>20</v>
      </c>
      <c r="AM1010">
        <f t="shared" si="60"/>
        <v>0</v>
      </c>
      <c r="AN1010">
        <f t="shared" si="61"/>
        <v>0</v>
      </c>
    </row>
    <row r="1011" spans="1:40" x14ac:dyDescent="0.35">
      <c r="A1011">
        <v>75.850999999999999</v>
      </c>
      <c r="B1011">
        <v>85.138999999999996</v>
      </c>
      <c r="C1011">
        <v>2.7456</v>
      </c>
      <c r="D1011">
        <v>0</v>
      </c>
      <c r="E1011">
        <v>0</v>
      </c>
      <c r="F1011">
        <v>2.9065799999999999</v>
      </c>
      <c r="G1011">
        <v>2.9065799999999999</v>
      </c>
      <c r="H1011">
        <v>0</v>
      </c>
      <c r="I1011">
        <v>0.54463300000000003</v>
      </c>
      <c r="J1011">
        <v>5.3222399999999999</v>
      </c>
      <c r="K1011" s="2">
        <v>129797000</v>
      </c>
      <c r="L1011" s="1">
        <v>0</v>
      </c>
      <c r="M1011" s="1">
        <v>0</v>
      </c>
      <c r="N1011" s="1">
        <v>0</v>
      </c>
      <c r="O1011" s="1">
        <v>0</v>
      </c>
      <c r="P1011" s="2">
        <v>4345270</v>
      </c>
      <c r="Q1011" s="1">
        <v>298802</v>
      </c>
      <c r="R1011" s="1">
        <v>0</v>
      </c>
      <c r="S1011">
        <v>99.275999999999996</v>
      </c>
      <c r="T1011">
        <v>98.274000000000001</v>
      </c>
      <c r="U1011">
        <v>3.5101499999999999</v>
      </c>
      <c r="V1011">
        <v>0</v>
      </c>
      <c r="W1011">
        <v>0</v>
      </c>
      <c r="X1011">
        <v>1.69228</v>
      </c>
      <c r="Y1011">
        <v>1.69228</v>
      </c>
      <c r="Z1011">
        <v>0</v>
      </c>
      <c r="AA1011">
        <v>1.30731</v>
      </c>
      <c r="AB1011">
        <v>2.9635199999999999</v>
      </c>
      <c r="AC1011" s="2">
        <v>462502000</v>
      </c>
      <c r="AD1011" s="1">
        <v>0</v>
      </c>
      <c r="AE1011" s="1">
        <v>0</v>
      </c>
      <c r="AF1011" s="1">
        <v>0</v>
      </c>
      <c r="AG1011" s="1">
        <v>0</v>
      </c>
      <c r="AH1011" s="2">
        <v>4378330</v>
      </c>
      <c r="AI1011" s="1">
        <v>142717</v>
      </c>
      <c r="AJ1011" s="1">
        <v>0</v>
      </c>
      <c r="AK1011" s="8">
        <f t="shared" si="63"/>
        <v>22</v>
      </c>
      <c r="AL1011" s="8">
        <f t="shared" si="62"/>
        <v>20</v>
      </c>
      <c r="AM1011">
        <f t="shared" si="60"/>
        <v>0</v>
      </c>
      <c r="AN1011">
        <f t="shared" si="61"/>
        <v>0</v>
      </c>
    </row>
    <row r="1012" spans="1:40" x14ac:dyDescent="0.35">
      <c r="A1012">
        <v>75.330100000000002</v>
      </c>
      <c r="B1012">
        <v>85.138999999999996</v>
      </c>
      <c r="C1012">
        <v>2.6532100000000001</v>
      </c>
      <c r="D1012">
        <v>0</v>
      </c>
      <c r="E1012">
        <v>0</v>
      </c>
      <c r="F1012">
        <v>2.9069099999999999</v>
      </c>
      <c r="G1012">
        <v>2.9069099999999999</v>
      </c>
      <c r="H1012">
        <v>0</v>
      </c>
      <c r="I1012">
        <v>0.54469400000000001</v>
      </c>
      <c r="J1012">
        <v>5.3222399999999999</v>
      </c>
      <c r="K1012" s="2">
        <v>130096000</v>
      </c>
      <c r="L1012" s="1">
        <v>0</v>
      </c>
      <c r="M1012" s="1">
        <v>0</v>
      </c>
      <c r="N1012" s="1">
        <v>0</v>
      </c>
      <c r="O1012" s="1">
        <v>0</v>
      </c>
      <c r="P1012" s="2">
        <v>4345760</v>
      </c>
      <c r="Q1012" s="1">
        <v>298836</v>
      </c>
      <c r="R1012" s="1">
        <v>0</v>
      </c>
      <c r="S1012">
        <v>99.302199999999999</v>
      </c>
      <c r="T1012">
        <v>98.274000000000001</v>
      </c>
      <c r="U1012">
        <v>3.2179000000000002</v>
      </c>
      <c r="V1012">
        <v>0</v>
      </c>
      <c r="W1012">
        <v>0</v>
      </c>
      <c r="X1012">
        <v>1.6924699999999999</v>
      </c>
      <c r="Y1012">
        <v>1.6924699999999999</v>
      </c>
      <c r="Z1012">
        <v>0</v>
      </c>
      <c r="AA1012">
        <v>1.30745</v>
      </c>
      <c r="AB1012">
        <v>2.9635199999999999</v>
      </c>
      <c r="AC1012" s="2">
        <v>462644000</v>
      </c>
      <c r="AD1012" s="1">
        <v>0</v>
      </c>
      <c r="AE1012" s="1">
        <v>0</v>
      </c>
      <c r="AF1012" s="1">
        <v>0</v>
      </c>
      <c r="AG1012" s="1">
        <v>0</v>
      </c>
      <c r="AH1012" s="2">
        <v>4378810</v>
      </c>
      <c r="AI1012" s="1">
        <v>142732</v>
      </c>
      <c r="AJ1012" s="1">
        <v>0</v>
      </c>
      <c r="AK1012" s="8">
        <f t="shared" si="63"/>
        <v>23</v>
      </c>
      <c r="AL1012" s="8">
        <f t="shared" si="62"/>
        <v>20</v>
      </c>
      <c r="AM1012">
        <f t="shared" si="60"/>
        <v>0</v>
      </c>
      <c r="AN1012">
        <f t="shared" si="61"/>
        <v>0</v>
      </c>
    </row>
    <row r="1013" spans="1:40" x14ac:dyDescent="0.35">
      <c r="A1013">
        <v>74.7119</v>
      </c>
      <c r="B1013">
        <v>85.138999999999996</v>
      </c>
      <c r="C1013">
        <v>2.52996</v>
      </c>
      <c r="D1013">
        <v>0</v>
      </c>
      <c r="E1013">
        <v>0</v>
      </c>
      <c r="F1013">
        <v>2.9072300000000002</v>
      </c>
      <c r="G1013">
        <v>2.9072300000000002</v>
      </c>
      <c r="H1013">
        <v>0</v>
      </c>
      <c r="I1013">
        <v>0.54475499999999999</v>
      </c>
      <c r="J1013">
        <v>5.3222399999999999</v>
      </c>
      <c r="K1013" s="2">
        <v>130395000</v>
      </c>
      <c r="L1013" s="1">
        <v>0</v>
      </c>
      <c r="M1013" s="1">
        <v>0</v>
      </c>
      <c r="N1013" s="1">
        <v>0</v>
      </c>
      <c r="O1013" s="1">
        <v>0</v>
      </c>
      <c r="P1013" s="2">
        <v>4346240</v>
      </c>
      <c r="Q1013" s="1">
        <v>298869</v>
      </c>
      <c r="R1013" s="1">
        <v>0</v>
      </c>
      <c r="S1013">
        <v>99.302199999999999</v>
      </c>
      <c r="T1013">
        <v>98.274000000000001</v>
      </c>
      <c r="U1013">
        <v>2.9347300000000001</v>
      </c>
      <c r="V1013">
        <v>0</v>
      </c>
      <c r="W1013">
        <v>0</v>
      </c>
      <c r="X1013">
        <v>1.6926600000000001</v>
      </c>
      <c r="Y1013">
        <v>1.6926600000000001</v>
      </c>
      <c r="Z1013">
        <v>0</v>
      </c>
      <c r="AA1013">
        <v>1.3076000000000001</v>
      </c>
      <c r="AB1013">
        <v>2.9635199999999999</v>
      </c>
      <c r="AC1013" s="2">
        <v>462787000</v>
      </c>
      <c r="AD1013" s="1">
        <v>0</v>
      </c>
      <c r="AE1013" s="1">
        <v>0</v>
      </c>
      <c r="AF1013" s="1">
        <v>0</v>
      </c>
      <c r="AG1013" s="1">
        <v>0</v>
      </c>
      <c r="AH1013" s="2">
        <v>4379300</v>
      </c>
      <c r="AI1013" s="1">
        <v>142748</v>
      </c>
      <c r="AJ1013" s="1">
        <v>0</v>
      </c>
      <c r="AK1013" s="8">
        <f t="shared" si="63"/>
        <v>24</v>
      </c>
      <c r="AL1013" s="8">
        <f t="shared" si="62"/>
        <v>20</v>
      </c>
      <c r="AM1013">
        <f t="shared" si="60"/>
        <v>0</v>
      </c>
      <c r="AN1013">
        <f t="shared" si="61"/>
        <v>0</v>
      </c>
    </row>
    <row r="1014" spans="1:40" x14ac:dyDescent="0.35">
      <c r="A1014">
        <v>73.742599999999996</v>
      </c>
      <c r="B1014">
        <v>85.138999999999996</v>
      </c>
      <c r="C1014">
        <v>2.2353499999999999</v>
      </c>
      <c r="D1014">
        <v>0</v>
      </c>
      <c r="E1014">
        <v>0</v>
      </c>
      <c r="F1014">
        <v>3.04548</v>
      </c>
      <c r="G1014">
        <v>3.04548</v>
      </c>
      <c r="H1014">
        <v>0</v>
      </c>
      <c r="I1014">
        <v>0.54481599999999997</v>
      </c>
      <c r="J1014">
        <v>5.3222399999999999</v>
      </c>
      <c r="K1014" s="2">
        <v>130708000</v>
      </c>
      <c r="L1014" s="1">
        <v>0</v>
      </c>
      <c r="M1014" s="1">
        <v>0</v>
      </c>
      <c r="N1014" s="1">
        <v>0</v>
      </c>
      <c r="O1014" s="1">
        <v>0</v>
      </c>
      <c r="P1014" s="2">
        <v>4552920</v>
      </c>
      <c r="Q1014" s="1">
        <v>313082</v>
      </c>
      <c r="R1014" s="1">
        <v>0</v>
      </c>
      <c r="S1014">
        <v>99.302199999999999</v>
      </c>
      <c r="T1014">
        <v>98.274000000000001</v>
      </c>
      <c r="U1014">
        <v>2.63429</v>
      </c>
      <c r="V1014">
        <v>0</v>
      </c>
      <c r="W1014">
        <v>0</v>
      </c>
      <c r="X1014">
        <v>1.78437</v>
      </c>
      <c r="Y1014">
        <v>1.78437</v>
      </c>
      <c r="Z1014">
        <v>0</v>
      </c>
      <c r="AA1014">
        <v>1.30775</v>
      </c>
      <c r="AB1014">
        <v>2.9635199999999999</v>
      </c>
      <c r="AC1014" s="2">
        <v>462937000</v>
      </c>
      <c r="AD1014" s="1">
        <v>0</v>
      </c>
      <c r="AE1014" s="1">
        <v>0</v>
      </c>
      <c r="AF1014" s="1">
        <v>0</v>
      </c>
      <c r="AG1014" s="1">
        <v>0</v>
      </c>
      <c r="AH1014" s="2">
        <v>4616590</v>
      </c>
      <c r="AI1014" s="1">
        <v>150483</v>
      </c>
      <c r="AJ1014" s="1">
        <v>0</v>
      </c>
      <c r="AK1014" s="8">
        <f t="shared" si="63"/>
        <v>25</v>
      </c>
      <c r="AL1014" s="8">
        <f t="shared" si="62"/>
        <v>20</v>
      </c>
      <c r="AM1014">
        <f t="shared" si="60"/>
        <v>0</v>
      </c>
      <c r="AN1014">
        <f t="shared" si="61"/>
        <v>0</v>
      </c>
    </row>
    <row r="1015" spans="1:40" x14ac:dyDescent="0.35">
      <c r="A1015">
        <v>72.851200000000006</v>
      </c>
      <c r="B1015">
        <v>85.138999999999996</v>
      </c>
      <c r="C1015">
        <v>1.99169</v>
      </c>
      <c r="D1015">
        <v>0.01</v>
      </c>
      <c r="E1015">
        <v>0</v>
      </c>
      <c r="F1015">
        <v>2.74342</v>
      </c>
      <c r="G1015">
        <v>3.04582</v>
      </c>
      <c r="H1015">
        <v>0</v>
      </c>
      <c r="I1015">
        <v>0.57072400000000001</v>
      </c>
      <c r="J1015">
        <v>5.3222399999999999</v>
      </c>
      <c r="K1015" s="2">
        <v>130613000</v>
      </c>
      <c r="L1015" s="1">
        <v>0</v>
      </c>
      <c r="M1015" s="1">
        <v>0</v>
      </c>
      <c r="N1015" s="1">
        <v>0</v>
      </c>
      <c r="O1015" s="1">
        <v>0</v>
      </c>
      <c r="P1015" s="2">
        <v>4101350</v>
      </c>
      <c r="Q1015" s="1">
        <v>-95421.9</v>
      </c>
      <c r="R1015" s="1">
        <v>408539</v>
      </c>
      <c r="S1015">
        <v>99.161900000000003</v>
      </c>
      <c r="T1015">
        <v>98.274000000000001</v>
      </c>
      <c r="U1015">
        <v>2.49078</v>
      </c>
      <c r="V1015">
        <v>0</v>
      </c>
      <c r="W1015">
        <v>0</v>
      </c>
      <c r="X1015">
        <v>2.08697</v>
      </c>
      <c r="Y1015">
        <v>1.78457</v>
      </c>
      <c r="Z1015">
        <v>0</v>
      </c>
      <c r="AA1015">
        <v>1.3786</v>
      </c>
      <c r="AB1015">
        <v>2.9635199999999999</v>
      </c>
      <c r="AC1015" s="2">
        <v>463870000</v>
      </c>
      <c r="AD1015" s="1">
        <v>0</v>
      </c>
      <c r="AE1015" s="1">
        <v>0</v>
      </c>
      <c r="AF1015" s="1">
        <v>0</v>
      </c>
      <c r="AG1015" s="1">
        <v>0</v>
      </c>
      <c r="AH1015" s="2">
        <v>5399480</v>
      </c>
      <c r="AI1015" s="1">
        <v>932881</v>
      </c>
      <c r="AJ1015" s="1">
        <v>0</v>
      </c>
      <c r="AK1015" s="8">
        <f t="shared" si="63"/>
        <v>26</v>
      </c>
      <c r="AL1015" s="8">
        <f t="shared" si="62"/>
        <v>20</v>
      </c>
      <c r="AM1015">
        <f t="shared" si="60"/>
        <v>0</v>
      </c>
      <c r="AN1015">
        <f t="shared" si="61"/>
        <v>0</v>
      </c>
    </row>
    <row r="1016" spans="1:40" x14ac:dyDescent="0.35">
      <c r="A1016">
        <v>71.911299999999997</v>
      </c>
      <c r="B1016">
        <v>85.138999999999996</v>
      </c>
      <c r="C1016">
        <v>1.9314</v>
      </c>
      <c r="D1016">
        <v>0.01</v>
      </c>
      <c r="E1016">
        <v>0</v>
      </c>
      <c r="F1016">
        <v>2.74376</v>
      </c>
      <c r="G1016">
        <v>3.04616</v>
      </c>
      <c r="H1016">
        <v>0</v>
      </c>
      <c r="I1016">
        <v>0.51411799999999996</v>
      </c>
      <c r="J1016">
        <v>5.3222399999999999</v>
      </c>
      <c r="K1016" s="2">
        <v>130517000</v>
      </c>
      <c r="L1016" s="1">
        <v>0</v>
      </c>
      <c r="M1016" s="1">
        <v>0</v>
      </c>
      <c r="N1016" s="1">
        <v>0</v>
      </c>
      <c r="O1016" s="1">
        <v>0</v>
      </c>
      <c r="P1016" s="2">
        <v>4101860</v>
      </c>
      <c r="Q1016" s="1">
        <v>-95386.9</v>
      </c>
      <c r="R1016" s="1">
        <v>408539</v>
      </c>
      <c r="S1016">
        <v>99.067899999999995</v>
      </c>
      <c r="T1016">
        <v>98.274000000000001</v>
      </c>
      <c r="U1016">
        <v>2.5366499999999998</v>
      </c>
      <c r="V1016">
        <v>0</v>
      </c>
      <c r="W1016">
        <v>0</v>
      </c>
      <c r="X1016">
        <v>2.08717</v>
      </c>
      <c r="Y1016">
        <v>1.78477</v>
      </c>
      <c r="Z1016">
        <v>0</v>
      </c>
      <c r="AA1016">
        <v>1.61239</v>
      </c>
      <c r="AB1016">
        <v>2.9635199999999999</v>
      </c>
      <c r="AC1016" s="2">
        <v>464803000</v>
      </c>
      <c r="AD1016" s="1">
        <v>0</v>
      </c>
      <c r="AE1016" s="1">
        <v>0</v>
      </c>
      <c r="AF1016" s="1">
        <v>0</v>
      </c>
      <c r="AG1016" s="1">
        <v>0</v>
      </c>
      <c r="AH1016" s="2">
        <v>5400000</v>
      </c>
      <c r="AI1016" s="1">
        <v>932897</v>
      </c>
      <c r="AJ1016" s="1">
        <v>0</v>
      </c>
      <c r="AK1016" s="8">
        <f t="shared" si="63"/>
        <v>27</v>
      </c>
      <c r="AL1016" s="8">
        <f t="shared" si="62"/>
        <v>20</v>
      </c>
      <c r="AM1016">
        <f t="shared" si="60"/>
        <v>0</v>
      </c>
      <c r="AN1016">
        <f t="shared" si="61"/>
        <v>0</v>
      </c>
    </row>
    <row r="1017" spans="1:40" x14ac:dyDescent="0.35">
      <c r="A1017">
        <v>70.884699999999995</v>
      </c>
      <c r="B1017">
        <v>85.138999999999996</v>
      </c>
      <c r="C1017">
        <v>1.8313699999999999</v>
      </c>
      <c r="D1017">
        <v>0.01</v>
      </c>
      <c r="E1017">
        <v>0</v>
      </c>
      <c r="F1017">
        <v>2.7441</v>
      </c>
      <c r="G1017">
        <v>3.0465</v>
      </c>
      <c r="H1017">
        <v>0</v>
      </c>
      <c r="I1017">
        <v>0.51418200000000003</v>
      </c>
      <c r="J1017">
        <v>5.3222399999999999</v>
      </c>
      <c r="K1017" s="2">
        <v>130422000</v>
      </c>
      <c r="L1017" s="1">
        <v>0</v>
      </c>
      <c r="M1017" s="1">
        <v>0</v>
      </c>
      <c r="N1017" s="1">
        <v>0</v>
      </c>
      <c r="O1017" s="1">
        <v>0</v>
      </c>
      <c r="P1017" s="2">
        <v>4102370</v>
      </c>
      <c r="Q1017" s="1">
        <v>-95351.9</v>
      </c>
      <c r="R1017" s="1">
        <v>408539</v>
      </c>
      <c r="S1017">
        <v>98.952200000000005</v>
      </c>
      <c r="T1017">
        <v>98.274000000000001</v>
      </c>
      <c r="U1017">
        <v>2.4304700000000001</v>
      </c>
      <c r="V1017">
        <v>0</v>
      </c>
      <c r="W1017">
        <v>0</v>
      </c>
      <c r="X1017">
        <v>2.0873699999999999</v>
      </c>
      <c r="Y1017">
        <v>1.7849699999999999</v>
      </c>
      <c r="Z1017">
        <v>0</v>
      </c>
      <c r="AA1017">
        <v>1.6125499999999999</v>
      </c>
      <c r="AB1017">
        <v>2.9635199999999999</v>
      </c>
      <c r="AC1017" s="2">
        <v>465736000</v>
      </c>
      <c r="AD1017" s="1">
        <v>0</v>
      </c>
      <c r="AE1017" s="1">
        <v>0</v>
      </c>
      <c r="AF1017" s="1">
        <v>0</v>
      </c>
      <c r="AG1017" s="1">
        <v>0</v>
      </c>
      <c r="AH1017" s="2">
        <v>5400520</v>
      </c>
      <c r="AI1017" s="1">
        <v>932914</v>
      </c>
      <c r="AJ1017" s="1">
        <v>0</v>
      </c>
      <c r="AK1017" s="8">
        <f t="shared" si="63"/>
        <v>28</v>
      </c>
      <c r="AL1017" s="8">
        <f t="shared" si="62"/>
        <v>20</v>
      </c>
      <c r="AM1017">
        <f t="shared" si="60"/>
        <v>0</v>
      </c>
      <c r="AN1017">
        <f t="shared" si="61"/>
        <v>0</v>
      </c>
    </row>
    <row r="1018" spans="1:40" x14ac:dyDescent="0.35">
      <c r="A1018">
        <v>69.761200000000002</v>
      </c>
      <c r="B1018">
        <v>85.138999999999996</v>
      </c>
      <c r="C1018">
        <v>1.71563</v>
      </c>
      <c r="D1018">
        <v>0.01</v>
      </c>
      <c r="E1018">
        <v>0</v>
      </c>
      <c r="F1018">
        <v>2.7444500000000001</v>
      </c>
      <c r="G1018">
        <v>3.0468500000000001</v>
      </c>
      <c r="H1018">
        <v>0</v>
      </c>
      <c r="I1018">
        <v>0.51424499999999995</v>
      </c>
      <c r="J1018">
        <v>5.3222399999999999</v>
      </c>
      <c r="K1018" s="2">
        <v>130327000</v>
      </c>
      <c r="L1018" s="1">
        <v>0</v>
      </c>
      <c r="M1018" s="1">
        <v>0</v>
      </c>
      <c r="N1018" s="1">
        <v>0</v>
      </c>
      <c r="O1018" s="1">
        <v>0</v>
      </c>
      <c r="P1018" s="2">
        <v>4102880</v>
      </c>
      <c r="Q1018" s="1">
        <v>-95316.9</v>
      </c>
      <c r="R1018" s="1">
        <v>408539</v>
      </c>
      <c r="S1018">
        <v>98.711600000000004</v>
      </c>
      <c r="T1018">
        <v>98.274000000000001</v>
      </c>
      <c r="U1018">
        <v>2.2728700000000002</v>
      </c>
      <c r="V1018">
        <v>0</v>
      </c>
      <c r="W1018">
        <v>0</v>
      </c>
      <c r="X1018">
        <v>2.0875699999999999</v>
      </c>
      <c r="Y1018">
        <v>1.7851699999999999</v>
      </c>
      <c r="Z1018">
        <v>0</v>
      </c>
      <c r="AA1018">
        <v>1.6127</v>
      </c>
      <c r="AB1018">
        <v>2.9635199999999999</v>
      </c>
      <c r="AC1018" s="2">
        <v>466669000</v>
      </c>
      <c r="AD1018" s="1">
        <v>0</v>
      </c>
      <c r="AE1018" s="1">
        <v>0</v>
      </c>
      <c r="AF1018" s="1">
        <v>0</v>
      </c>
      <c r="AG1018" s="1">
        <v>0</v>
      </c>
      <c r="AH1018" s="2">
        <v>5401030</v>
      </c>
      <c r="AI1018" s="1">
        <v>932931</v>
      </c>
      <c r="AJ1018" s="1">
        <v>0</v>
      </c>
      <c r="AK1018" s="8">
        <f t="shared" si="63"/>
        <v>29</v>
      </c>
      <c r="AL1018" s="8">
        <f t="shared" si="62"/>
        <v>20</v>
      </c>
      <c r="AM1018">
        <f t="shared" si="60"/>
        <v>0</v>
      </c>
      <c r="AN1018">
        <f t="shared" si="61"/>
        <v>0</v>
      </c>
    </row>
    <row r="1019" spans="1:40" x14ac:dyDescent="0.35">
      <c r="A1019">
        <v>68.660600000000002</v>
      </c>
      <c r="B1019">
        <v>85.138999999999996</v>
      </c>
      <c r="C1019">
        <v>1.69868</v>
      </c>
      <c r="D1019">
        <v>0.01</v>
      </c>
      <c r="E1019">
        <v>0</v>
      </c>
      <c r="F1019">
        <v>2.7174900000000002</v>
      </c>
      <c r="G1019">
        <v>3.0198900000000002</v>
      </c>
      <c r="H1019">
        <v>0</v>
      </c>
      <c r="I1019">
        <v>0.51430900000000002</v>
      </c>
      <c r="J1019">
        <v>5.3222399999999999</v>
      </c>
      <c r="K1019" s="2">
        <v>130228000</v>
      </c>
      <c r="L1019" s="1">
        <v>0</v>
      </c>
      <c r="M1019" s="1">
        <v>0</v>
      </c>
      <c r="N1019" s="1">
        <v>0</v>
      </c>
      <c r="O1019" s="1">
        <v>0</v>
      </c>
      <c r="P1019" s="2">
        <v>4062580</v>
      </c>
      <c r="Q1019" s="1">
        <v>-98087.6</v>
      </c>
      <c r="R1019" s="1">
        <v>408539</v>
      </c>
      <c r="S1019">
        <v>98.343199999999996</v>
      </c>
      <c r="T1019">
        <v>98.274000000000001</v>
      </c>
      <c r="U1019">
        <v>2.3649100000000001</v>
      </c>
      <c r="V1019">
        <v>0</v>
      </c>
      <c r="W1019">
        <v>0</v>
      </c>
      <c r="X1019">
        <v>2.1381000000000001</v>
      </c>
      <c r="Y1019">
        <v>1.8357000000000001</v>
      </c>
      <c r="Z1019">
        <v>0</v>
      </c>
      <c r="AA1019">
        <v>1.6128499999999999</v>
      </c>
      <c r="AB1019">
        <v>2.9635199999999999</v>
      </c>
      <c r="AC1019" s="2">
        <v>467606000</v>
      </c>
      <c r="AD1019" s="1">
        <v>0</v>
      </c>
      <c r="AE1019" s="1">
        <v>0</v>
      </c>
      <c r="AF1019" s="1">
        <v>0</v>
      </c>
      <c r="AG1019" s="1">
        <v>0</v>
      </c>
      <c r="AH1019" s="2">
        <v>5531770</v>
      </c>
      <c r="AI1019" s="1">
        <v>937192</v>
      </c>
      <c r="AJ1019" s="1">
        <v>0</v>
      </c>
      <c r="AK1019" s="8">
        <f t="shared" si="63"/>
        <v>30</v>
      </c>
      <c r="AL1019" s="8">
        <f t="shared" si="62"/>
        <v>20</v>
      </c>
      <c r="AM1019">
        <f t="shared" si="60"/>
        <v>0</v>
      </c>
      <c r="AN1019">
        <f t="shared" si="61"/>
        <v>0</v>
      </c>
    </row>
    <row r="1020" spans="1:40" x14ac:dyDescent="0.35">
      <c r="A1020">
        <v>67.518199999999993</v>
      </c>
      <c r="B1020">
        <v>85.138999999999996</v>
      </c>
      <c r="C1020">
        <v>1.64174</v>
      </c>
      <c r="D1020">
        <v>0.02</v>
      </c>
      <c r="E1020">
        <v>0</v>
      </c>
      <c r="F1020">
        <v>2.7178300000000002</v>
      </c>
      <c r="G1020">
        <v>3.0202300000000002</v>
      </c>
      <c r="H1020">
        <v>0</v>
      </c>
      <c r="I1020">
        <v>0.50925799999999999</v>
      </c>
      <c r="J1020">
        <v>5.3222399999999999</v>
      </c>
      <c r="K1020" s="2">
        <v>130130000</v>
      </c>
      <c r="L1020" s="1">
        <v>0</v>
      </c>
      <c r="M1020" s="1">
        <v>0</v>
      </c>
      <c r="N1020" s="1">
        <v>0</v>
      </c>
      <c r="O1020" s="1">
        <v>0</v>
      </c>
      <c r="P1020" s="2">
        <v>4063090</v>
      </c>
      <c r="Q1020" s="1">
        <v>-98052.9</v>
      </c>
      <c r="R1020" s="1">
        <v>408539</v>
      </c>
      <c r="S1020">
        <v>97.947199999999995</v>
      </c>
      <c r="T1020">
        <v>98.274000000000001</v>
      </c>
      <c r="U1020">
        <v>2.3374600000000001</v>
      </c>
      <c r="V1020">
        <v>0</v>
      </c>
      <c r="W1020">
        <v>0</v>
      </c>
      <c r="X1020">
        <v>2.1383000000000001</v>
      </c>
      <c r="Y1020">
        <v>1.8359000000000001</v>
      </c>
      <c r="Z1020">
        <v>0</v>
      </c>
      <c r="AA1020">
        <v>1.6518900000000001</v>
      </c>
      <c r="AB1020">
        <v>2.9635199999999999</v>
      </c>
      <c r="AC1020" s="2">
        <v>468543000</v>
      </c>
      <c r="AD1020" s="1">
        <v>0</v>
      </c>
      <c r="AE1020" s="1">
        <v>0</v>
      </c>
      <c r="AF1020" s="1">
        <v>0</v>
      </c>
      <c r="AG1020" s="1">
        <v>0</v>
      </c>
      <c r="AH1020" s="2">
        <v>5532300</v>
      </c>
      <c r="AI1020" s="1">
        <v>937210</v>
      </c>
      <c r="AJ1020" s="1">
        <v>0</v>
      </c>
      <c r="AK1020" s="8">
        <f t="shared" si="63"/>
        <v>31</v>
      </c>
      <c r="AL1020" s="8">
        <f t="shared" si="62"/>
        <v>20</v>
      </c>
      <c r="AM1020">
        <f t="shared" si="60"/>
        <v>0</v>
      </c>
      <c r="AN1020">
        <f t="shared" si="61"/>
        <v>0</v>
      </c>
    </row>
    <row r="1021" spans="1:40" x14ac:dyDescent="0.35">
      <c r="A1021">
        <v>66.245199999999997</v>
      </c>
      <c r="B1021">
        <v>85.138999999999996</v>
      </c>
      <c r="C1021">
        <v>1.4680200000000001</v>
      </c>
      <c r="D1021">
        <v>0.02</v>
      </c>
      <c r="E1021">
        <v>0</v>
      </c>
      <c r="F1021">
        <v>2.7181700000000002</v>
      </c>
      <c r="G1021">
        <v>3.0205700000000002</v>
      </c>
      <c r="H1021">
        <v>0</v>
      </c>
      <c r="I1021">
        <v>0.50932200000000005</v>
      </c>
      <c r="J1021">
        <v>5.3222399999999999</v>
      </c>
      <c r="K1021" s="2">
        <v>130032000</v>
      </c>
      <c r="L1021" s="1">
        <v>0</v>
      </c>
      <c r="M1021" s="1">
        <v>0</v>
      </c>
      <c r="N1021" s="1">
        <v>0</v>
      </c>
      <c r="O1021" s="1">
        <v>0</v>
      </c>
      <c r="P1021" s="2">
        <v>4063590</v>
      </c>
      <c r="Q1021" s="1">
        <v>-98018.2</v>
      </c>
      <c r="R1021" s="1">
        <v>408539</v>
      </c>
      <c r="S1021">
        <v>97.483599999999996</v>
      </c>
      <c r="T1021">
        <v>98.274000000000001</v>
      </c>
      <c r="U1021">
        <v>2.1572499999999999</v>
      </c>
      <c r="V1021">
        <v>0</v>
      </c>
      <c r="W1021">
        <v>0</v>
      </c>
      <c r="X1021">
        <v>2.1385100000000001</v>
      </c>
      <c r="Y1021">
        <v>1.8361099999999999</v>
      </c>
      <c r="Z1021">
        <v>0</v>
      </c>
      <c r="AA1021">
        <v>1.65205</v>
      </c>
      <c r="AB1021">
        <v>2.9635199999999999</v>
      </c>
      <c r="AC1021" s="2">
        <v>469481000</v>
      </c>
      <c r="AD1021" s="1">
        <v>0</v>
      </c>
      <c r="AE1021" s="1">
        <v>0</v>
      </c>
      <c r="AF1021" s="1">
        <v>0</v>
      </c>
      <c r="AG1021" s="1">
        <v>0</v>
      </c>
      <c r="AH1021" s="2">
        <v>5532830</v>
      </c>
      <c r="AI1021" s="1">
        <v>937227</v>
      </c>
      <c r="AJ1021" s="1">
        <v>0</v>
      </c>
      <c r="AK1021" s="8">
        <f t="shared" si="63"/>
        <v>32</v>
      </c>
      <c r="AL1021" s="8">
        <f t="shared" si="62"/>
        <v>20</v>
      </c>
      <c r="AM1021">
        <f t="shared" si="60"/>
        <v>0</v>
      </c>
      <c r="AN1021">
        <f t="shared" si="61"/>
        <v>0</v>
      </c>
    </row>
    <row r="1022" spans="1:40" x14ac:dyDescent="0.35">
      <c r="A1022">
        <v>64.896799999999999</v>
      </c>
      <c r="B1022">
        <v>85.138999999999996</v>
      </c>
      <c r="C1022">
        <v>1.3748400000000001</v>
      </c>
      <c r="D1022">
        <v>0.02</v>
      </c>
      <c r="E1022">
        <v>0</v>
      </c>
      <c r="F1022">
        <v>2.7185100000000002</v>
      </c>
      <c r="G1022">
        <v>3.0209100000000002</v>
      </c>
      <c r="H1022">
        <v>0</v>
      </c>
      <c r="I1022">
        <v>0.50938499999999998</v>
      </c>
      <c r="J1022">
        <v>5.3222399999999999</v>
      </c>
      <c r="K1022" s="2">
        <v>129934000</v>
      </c>
      <c r="L1022" s="1">
        <v>0</v>
      </c>
      <c r="M1022" s="1">
        <v>0</v>
      </c>
      <c r="N1022" s="1">
        <v>0</v>
      </c>
      <c r="O1022" s="1">
        <v>0</v>
      </c>
      <c r="P1022" s="2">
        <v>4064100</v>
      </c>
      <c r="Q1022" s="1">
        <v>-97983.5</v>
      </c>
      <c r="R1022" s="1">
        <v>408539</v>
      </c>
      <c r="S1022">
        <v>96.744799999999998</v>
      </c>
      <c r="T1022">
        <v>98.274000000000001</v>
      </c>
      <c r="U1022">
        <v>2.1975500000000001</v>
      </c>
      <c r="V1022">
        <v>0</v>
      </c>
      <c r="W1022">
        <v>0</v>
      </c>
      <c r="X1022">
        <v>2.1387100000000001</v>
      </c>
      <c r="Y1022">
        <v>1.8363100000000001</v>
      </c>
      <c r="Z1022">
        <v>0</v>
      </c>
      <c r="AA1022">
        <v>1.65221</v>
      </c>
      <c r="AB1022">
        <v>2.9635199999999999</v>
      </c>
      <c r="AC1022" s="2">
        <v>470418000</v>
      </c>
      <c r="AD1022" s="1">
        <v>0</v>
      </c>
      <c r="AE1022" s="1">
        <v>0</v>
      </c>
      <c r="AF1022" s="1">
        <v>0</v>
      </c>
      <c r="AG1022" s="1">
        <v>0</v>
      </c>
      <c r="AH1022" s="2">
        <v>5533360</v>
      </c>
      <c r="AI1022" s="1">
        <v>937244</v>
      </c>
      <c r="AJ1022" s="1">
        <v>0</v>
      </c>
      <c r="AK1022" s="8">
        <f t="shared" si="63"/>
        <v>33</v>
      </c>
      <c r="AL1022" s="8">
        <f t="shared" si="62"/>
        <v>20</v>
      </c>
      <c r="AM1022">
        <f t="shared" si="60"/>
        <v>0</v>
      </c>
      <c r="AN1022">
        <f t="shared" si="61"/>
        <v>0</v>
      </c>
    </row>
    <row r="1023" spans="1:40" x14ac:dyDescent="0.35">
      <c r="A1023">
        <v>63.432000000000002</v>
      </c>
      <c r="B1023">
        <v>85.138999999999996</v>
      </c>
      <c r="C1023">
        <v>1.2923100000000001</v>
      </c>
      <c r="D1023">
        <v>0.02</v>
      </c>
      <c r="E1023">
        <v>0</v>
      </c>
      <c r="F1023">
        <v>2.7893500000000002</v>
      </c>
      <c r="G1023">
        <v>3.0917500000000002</v>
      </c>
      <c r="H1023">
        <v>0</v>
      </c>
      <c r="I1023">
        <v>0.50944800000000001</v>
      </c>
      <c r="J1023">
        <v>5.3222399999999999</v>
      </c>
      <c r="K1023" s="2">
        <v>129844000</v>
      </c>
      <c r="L1023" s="1">
        <v>0</v>
      </c>
      <c r="M1023" s="1">
        <v>0</v>
      </c>
      <c r="N1023" s="1">
        <v>0</v>
      </c>
      <c r="O1023" s="1">
        <v>0</v>
      </c>
      <c r="P1023" s="2">
        <v>4170010</v>
      </c>
      <c r="Q1023" s="1">
        <v>-90700.3</v>
      </c>
      <c r="R1023" s="1">
        <v>408539</v>
      </c>
      <c r="S1023">
        <v>96.077500000000001</v>
      </c>
      <c r="T1023">
        <v>98.274000000000001</v>
      </c>
      <c r="U1023">
        <v>1.6393800000000001</v>
      </c>
      <c r="V1023">
        <v>0</v>
      </c>
      <c r="W1023">
        <v>0</v>
      </c>
      <c r="X1023">
        <v>2.1837900000000001</v>
      </c>
      <c r="Y1023">
        <v>1.8813899999999999</v>
      </c>
      <c r="Z1023">
        <v>0</v>
      </c>
      <c r="AA1023">
        <v>1.6523699999999999</v>
      </c>
      <c r="AB1023">
        <v>2.9635199999999999</v>
      </c>
      <c r="AC1023" s="2">
        <v>471359000</v>
      </c>
      <c r="AD1023" s="1">
        <v>0</v>
      </c>
      <c r="AE1023" s="1">
        <v>0</v>
      </c>
      <c r="AF1023" s="1">
        <v>0</v>
      </c>
      <c r="AG1023" s="1">
        <v>0</v>
      </c>
      <c r="AH1023" s="2">
        <v>5649990</v>
      </c>
      <c r="AI1023" s="1">
        <v>941046</v>
      </c>
      <c r="AJ1023" s="1">
        <v>0</v>
      </c>
      <c r="AK1023" s="8">
        <f t="shared" si="63"/>
        <v>34</v>
      </c>
      <c r="AL1023" s="8">
        <f t="shared" si="62"/>
        <v>20</v>
      </c>
      <c r="AM1023">
        <f t="shared" si="60"/>
        <v>0</v>
      </c>
      <c r="AN1023">
        <f t="shared" si="61"/>
        <v>0</v>
      </c>
    </row>
    <row r="1024" spans="1:40" x14ac:dyDescent="0.35">
      <c r="A1024">
        <v>61.917700000000004</v>
      </c>
      <c r="B1024">
        <v>85.138999999999996</v>
      </c>
      <c r="C1024">
        <v>1.21946</v>
      </c>
      <c r="D1024">
        <v>0.02</v>
      </c>
      <c r="E1024">
        <v>0</v>
      </c>
      <c r="F1024">
        <v>2.7896999999999998</v>
      </c>
      <c r="G1024">
        <v>3.0920999999999998</v>
      </c>
      <c r="H1024">
        <v>0</v>
      </c>
      <c r="I1024">
        <v>0.522725</v>
      </c>
      <c r="J1024">
        <v>5.3222399999999999</v>
      </c>
      <c r="K1024" s="2">
        <v>129753000</v>
      </c>
      <c r="L1024" s="1">
        <v>0</v>
      </c>
      <c r="M1024" s="1">
        <v>0</v>
      </c>
      <c r="N1024" s="1">
        <v>0</v>
      </c>
      <c r="O1024" s="1">
        <v>0</v>
      </c>
      <c r="P1024" s="2">
        <v>4170530</v>
      </c>
      <c r="Q1024" s="1">
        <v>-90664.8</v>
      </c>
      <c r="R1024" s="1">
        <v>408539</v>
      </c>
      <c r="S1024">
        <v>95.269599999999997</v>
      </c>
      <c r="T1024">
        <v>98.274000000000001</v>
      </c>
      <c r="U1024">
        <v>1.7046300000000001</v>
      </c>
      <c r="V1024">
        <v>0</v>
      </c>
      <c r="W1024">
        <v>0</v>
      </c>
      <c r="X1024">
        <v>2.1840000000000002</v>
      </c>
      <c r="Y1024">
        <v>1.8815999999999999</v>
      </c>
      <c r="Z1024">
        <v>0</v>
      </c>
      <c r="AA1024">
        <v>1.6872</v>
      </c>
      <c r="AB1024">
        <v>2.9635199999999999</v>
      </c>
      <c r="AC1024" s="2">
        <v>472300000</v>
      </c>
      <c r="AD1024" s="1">
        <v>0</v>
      </c>
      <c r="AE1024" s="1">
        <v>0</v>
      </c>
      <c r="AF1024" s="1">
        <v>0</v>
      </c>
      <c r="AG1024" s="1">
        <v>0</v>
      </c>
      <c r="AH1024" s="2">
        <v>5650540</v>
      </c>
      <c r="AI1024" s="1">
        <v>941064</v>
      </c>
      <c r="AJ1024" s="1">
        <v>0</v>
      </c>
      <c r="AK1024" s="8">
        <f t="shared" si="63"/>
        <v>35</v>
      </c>
      <c r="AL1024" s="8">
        <f t="shared" si="62"/>
        <v>20</v>
      </c>
      <c r="AM1024">
        <f t="shared" si="60"/>
        <v>0</v>
      </c>
      <c r="AN1024">
        <f t="shared" si="61"/>
        <v>0</v>
      </c>
    </row>
    <row r="1025" spans="1:40" x14ac:dyDescent="0.35">
      <c r="A1025">
        <v>60.343299999999999</v>
      </c>
      <c r="B1025">
        <v>85.138999999999996</v>
      </c>
      <c r="C1025">
        <v>1.1411500000000001</v>
      </c>
      <c r="D1025">
        <v>0.02</v>
      </c>
      <c r="E1025">
        <v>0</v>
      </c>
      <c r="F1025">
        <v>2.7900399999999999</v>
      </c>
      <c r="G1025">
        <v>3.0924399999999999</v>
      </c>
      <c r="H1025">
        <v>0</v>
      </c>
      <c r="I1025">
        <v>0.52278999999999998</v>
      </c>
      <c r="J1025">
        <v>5.3222399999999999</v>
      </c>
      <c r="K1025" s="2">
        <v>129662000</v>
      </c>
      <c r="L1025" s="1">
        <v>0</v>
      </c>
      <c r="M1025" s="1">
        <v>0</v>
      </c>
      <c r="N1025" s="1">
        <v>0</v>
      </c>
      <c r="O1025" s="1">
        <v>0</v>
      </c>
      <c r="P1025" s="2">
        <v>4171050</v>
      </c>
      <c r="Q1025" s="1">
        <v>-90629.3</v>
      </c>
      <c r="R1025" s="1">
        <v>408539</v>
      </c>
      <c r="S1025">
        <v>94.533799999999999</v>
      </c>
      <c r="T1025">
        <v>98.274000000000001</v>
      </c>
      <c r="U1025">
        <v>1.55484</v>
      </c>
      <c r="V1025">
        <v>0</v>
      </c>
      <c r="W1025">
        <v>0</v>
      </c>
      <c r="X1025">
        <v>2.1842100000000002</v>
      </c>
      <c r="Y1025">
        <v>1.88181</v>
      </c>
      <c r="Z1025">
        <v>0</v>
      </c>
      <c r="AA1025">
        <v>1.68736</v>
      </c>
      <c r="AB1025">
        <v>2.9635199999999999</v>
      </c>
      <c r="AC1025" s="2">
        <v>473241000</v>
      </c>
      <c r="AD1025" s="1">
        <v>0</v>
      </c>
      <c r="AE1025" s="1">
        <v>0</v>
      </c>
      <c r="AF1025" s="1">
        <v>0</v>
      </c>
      <c r="AG1025" s="1">
        <v>0</v>
      </c>
      <c r="AH1025" s="2">
        <v>5651080</v>
      </c>
      <c r="AI1025" s="1">
        <v>941082</v>
      </c>
      <c r="AJ1025" s="1">
        <v>0</v>
      </c>
      <c r="AK1025" s="8">
        <f t="shared" si="63"/>
        <v>36</v>
      </c>
      <c r="AL1025" s="8">
        <f t="shared" si="62"/>
        <v>20</v>
      </c>
      <c r="AM1025">
        <f t="shared" si="60"/>
        <v>0</v>
      </c>
      <c r="AN1025">
        <f t="shared" si="61"/>
        <v>0</v>
      </c>
    </row>
    <row r="1026" spans="1:40" x14ac:dyDescent="0.35">
      <c r="A1026">
        <v>58.770600000000002</v>
      </c>
      <c r="B1026">
        <v>85.138999999999996</v>
      </c>
      <c r="C1026">
        <v>1.1217299999999999</v>
      </c>
      <c r="D1026">
        <v>0.02</v>
      </c>
      <c r="E1026">
        <v>0</v>
      </c>
      <c r="F1026">
        <v>2.7903899999999999</v>
      </c>
      <c r="G1026">
        <v>3.0927899999999999</v>
      </c>
      <c r="H1026">
        <v>0</v>
      </c>
      <c r="I1026">
        <v>0.52285400000000004</v>
      </c>
      <c r="J1026">
        <v>5.3222399999999999</v>
      </c>
      <c r="K1026" s="2">
        <v>129572000</v>
      </c>
      <c r="L1026" s="1">
        <v>0</v>
      </c>
      <c r="M1026" s="1">
        <v>0</v>
      </c>
      <c r="N1026" s="1">
        <v>0</v>
      </c>
      <c r="O1026" s="1">
        <v>0</v>
      </c>
      <c r="P1026" s="2">
        <v>4171560</v>
      </c>
      <c r="Q1026" s="1">
        <v>-90593.7</v>
      </c>
      <c r="R1026" s="1">
        <v>408539</v>
      </c>
      <c r="S1026">
        <v>93.902900000000002</v>
      </c>
      <c r="T1026">
        <v>98.274000000000001</v>
      </c>
      <c r="U1026">
        <v>1.6757500000000001</v>
      </c>
      <c r="V1026">
        <v>0</v>
      </c>
      <c r="W1026">
        <v>0</v>
      </c>
      <c r="X1026">
        <v>2.1844199999999998</v>
      </c>
      <c r="Y1026">
        <v>1.88202</v>
      </c>
      <c r="Z1026">
        <v>0</v>
      </c>
      <c r="AA1026">
        <v>1.6875199999999999</v>
      </c>
      <c r="AB1026">
        <v>2.9635199999999999</v>
      </c>
      <c r="AC1026" s="2">
        <v>474182000</v>
      </c>
      <c r="AD1026" s="1">
        <v>0</v>
      </c>
      <c r="AE1026" s="1">
        <v>0</v>
      </c>
      <c r="AF1026" s="1">
        <v>0</v>
      </c>
      <c r="AG1026" s="1">
        <v>0</v>
      </c>
      <c r="AH1026" s="2">
        <v>5651630</v>
      </c>
      <c r="AI1026" s="1">
        <v>941099</v>
      </c>
      <c r="AJ1026" s="1">
        <v>0</v>
      </c>
      <c r="AK1026" s="8">
        <f t="shared" si="63"/>
        <v>37</v>
      </c>
      <c r="AL1026" s="8">
        <f t="shared" si="62"/>
        <v>20</v>
      </c>
      <c r="AM1026">
        <f t="shared" si="60"/>
        <v>0</v>
      </c>
      <c r="AN1026">
        <f t="shared" si="61"/>
        <v>0</v>
      </c>
    </row>
    <row r="1027" spans="1:40" x14ac:dyDescent="0.35">
      <c r="A1027">
        <v>57.131500000000003</v>
      </c>
      <c r="B1027">
        <v>85.138999999999996</v>
      </c>
      <c r="C1027">
        <v>1.18123</v>
      </c>
      <c r="D1027">
        <v>0.02</v>
      </c>
      <c r="E1027">
        <v>0</v>
      </c>
      <c r="F1027">
        <v>2.9973100000000001</v>
      </c>
      <c r="G1027">
        <v>3.2997100000000001</v>
      </c>
      <c r="H1027">
        <v>0</v>
      </c>
      <c r="I1027">
        <v>0.52291900000000002</v>
      </c>
      <c r="J1027">
        <v>5.3222399999999999</v>
      </c>
      <c r="K1027" s="2">
        <v>129502000</v>
      </c>
      <c r="L1027" s="1">
        <v>0</v>
      </c>
      <c r="M1027" s="1">
        <v>0</v>
      </c>
      <c r="N1027" s="1">
        <v>0</v>
      </c>
      <c r="O1027" s="1">
        <v>0</v>
      </c>
      <c r="P1027" s="2">
        <v>4480910</v>
      </c>
      <c r="Q1027" s="1">
        <v>-69321.7</v>
      </c>
      <c r="R1027" s="1">
        <v>408539</v>
      </c>
      <c r="S1027">
        <v>93.317300000000003</v>
      </c>
      <c r="T1027">
        <v>98.274000000000001</v>
      </c>
      <c r="U1027">
        <v>1.87944</v>
      </c>
      <c r="V1027">
        <v>0</v>
      </c>
      <c r="W1027">
        <v>0</v>
      </c>
      <c r="X1027">
        <v>2.3466900000000002</v>
      </c>
      <c r="Y1027">
        <v>2.0442900000000002</v>
      </c>
      <c r="Z1027">
        <v>0</v>
      </c>
      <c r="AA1027">
        <v>1.6876899999999999</v>
      </c>
      <c r="AB1027">
        <v>2.9635199999999999</v>
      </c>
      <c r="AC1027" s="2">
        <v>475137000</v>
      </c>
      <c r="AD1027" s="1">
        <v>0</v>
      </c>
      <c r="AE1027" s="1">
        <v>0</v>
      </c>
      <c r="AF1027" s="1">
        <v>0</v>
      </c>
      <c r="AG1027" s="1">
        <v>0</v>
      </c>
      <c r="AH1027" s="2">
        <v>6071440</v>
      </c>
      <c r="AI1027" s="1">
        <v>954784</v>
      </c>
      <c r="AJ1027" s="1">
        <v>0</v>
      </c>
      <c r="AK1027" s="8">
        <f t="shared" si="63"/>
        <v>38</v>
      </c>
      <c r="AL1027" s="8">
        <f t="shared" si="62"/>
        <v>20</v>
      </c>
      <c r="AM1027">
        <f t="shared" ref="AM1027:AM1090" si="64">IF(AK1027=52,AC1027,0)</f>
        <v>0</v>
      </c>
      <c r="AN1027">
        <f t="shared" ref="AN1027:AN1090" si="65">IF(AK1027=52,K1027,0)</f>
        <v>0</v>
      </c>
    </row>
    <row r="1028" spans="1:40" x14ac:dyDescent="0.35">
      <c r="A1028">
        <v>55.698399999999999</v>
      </c>
      <c r="B1028">
        <v>85.138999999999996</v>
      </c>
      <c r="C1028">
        <v>1.3894899999999999</v>
      </c>
      <c r="D1028">
        <v>0.02</v>
      </c>
      <c r="E1028">
        <v>0</v>
      </c>
      <c r="F1028">
        <v>2.9976799999999999</v>
      </c>
      <c r="G1028">
        <v>3.3000799999999999</v>
      </c>
      <c r="H1028">
        <v>0</v>
      </c>
      <c r="I1028">
        <v>0.56169599999999997</v>
      </c>
      <c r="J1028">
        <v>5.3222399999999999</v>
      </c>
      <c r="K1028" s="2">
        <v>129433000</v>
      </c>
      <c r="L1028" s="1">
        <v>0</v>
      </c>
      <c r="M1028" s="1">
        <v>0</v>
      </c>
      <c r="N1028" s="1">
        <v>0</v>
      </c>
      <c r="O1028" s="1">
        <v>0</v>
      </c>
      <c r="P1028" s="2">
        <v>4481460</v>
      </c>
      <c r="Q1028" s="1">
        <v>-69283.8</v>
      </c>
      <c r="R1028" s="1">
        <v>408539</v>
      </c>
      <c r="S1028">
        <v>92.719200000000001</v>
      </c>
      <c r="T1028">
        <v>98.274000000000001</v>
      </c>
      <c r="U1028">
        <v>2.1082299999999998</v>
      </c>
      <c r="V1028">
        <v>0</v>
      </c>
      <c r="W1028">
        <v>0</v>
      </c>
      <c r="X1028">
        <v>2.3469199999999999</v>
      </c>
      <c r="Y1028">
        <v>2.0445199999999999</v>
      </c>
      <c r="Z1028">
        <v>0</v>
      </c>
      <c r="AA1028">
        <v>1.8130500000000001</v>
      </c>
      <c r="AB1028">
        <v>2.9635199999999999</v>
      </c>
      <c r="AC1028" s="2">
        <v>476092000</v>
      </c>
      <c r="AD1028" s="1">
        <v>0</v>
      </c>
      <c r="AE1028" s="1">
        <v>0</v>
      </c>
      <c r="AF1028" s="1">
        <v>0</v>
      </c>
      <c r="AG1028" s="1">
        <v>0</v>
      </c>
      <c r="AH1028" s="2">
        <v>6072030</v>
      </c>
      <c r="AI1028" s="1">
        <v>954803</v>
      </c>
      <c r="AJ1028" s="1">
        <v>0</v>
      </c>
      <c r="AK1028" s="8">
        <f t="shared" si="63"/>
        <v>39</v>
      </c>
      <c r="AL1028" s="8">
        <f t="shared" ref="AL1028:AL1091" si="66">IF(AK1027=52,AL1027+1,AL1027)</f>
        <v>20</v>
      </c>
      <c r="AM1028">
        <f t="shared" si="64"/>
        <v>0</v>
      </c>
      <c r="AN1028">
        <f t="shared" si="65"/>
        <v>0</v>
      </c>
    </row>
    <row r="1029" spans="1:40" x14ac:dyDescent="0.35">
      <c r="A1029">
        <v>54.247999999999998</v>
      </c>
      <c r="B1029">
        <v>85.138999999999996</v>
      </c>
      <c r="C1029">
        <v>1.3455999999999999</v>
      </c>
      <c r="D1029">
        <v>0.02</v>
      </c>
      <c r="E1029">
        <v>0</v>
      </c>
      <c r="F1029">
        <v>2.9980500000000001</v>
      </c>
      <c r="G1029">
        <v>3.3004500000000001</v>
      </c>
      <c r="H1029">
        <v>0</v>
      </c>
      <c r="I1029">
        <v>0.56176499999999996</v>
      </c>
      <c r="J1029">
        <v>5.3222399999999999</v>
      </c>
      <c r="K1029" s="2">
        <v>129364000</v>
      </c>
      <c r="L1029" s="1">
        <v>0</v>
      </c>
      <c r="M1029" s="1">
        <v>0</v>
      </c>
      <c r="N1029" s="1">
        <v>0</v>
      </c>
      <c r="O1029" s="1">
        <v>0</v>
      </c>
      <c r="P1029" s="2">
        <v>4482010</v>
      </c>
      <c r="Q1029" s="1">
        <v>-69245.899999999994</v>
      </c>
      <c r="R1029" s="1">
        <v>408539</v>
      </c>
      <c r="S1029">
        <v>91.869100000000003</v>
      </c>
      <c r="T1029">
        <v>98.274000000000001</v>
      </c>
      <c r="U1029">
        <v>1.72766</v>
      </c>
      <c r="V1029">
        <v>0</v>
      </c>
      <c r="W1029">
        <v>0</v>
      </c>
      <c r="X1029">
        <v>2.34714</v>
      </c>
      <c r="Y1029">
        <v>2.04474</v>
      </c>
      <c r="Z1029">
        <v>0</v>
      </c>
      <c r="AA1029">
        <v>1.8132299999999999</v>
      </c>
      <c r="AB1029">
        <v>2.9635199999999999</v>
      </c>
      <c r="AC1029" s="2">
        <v>477047000</v>
      </c>
      <c r="AD1029" s="1">
        <v>0</v>
      </c>
      <c r="AE1029" s="1">
        <v>0</v>
      </c>
      <c r="AF1029" s="1">
        <v>0</v>
      </c>
      <c r="AG1029" s="1">
        <v>0</v>
      </c>
      <c r="AH1029" s="2">
        <v>6072620</v>
      </c>
      <c r="AI1029" s="1">
        <v>954822</v>
      </c>
      <c r="AJ1029" s="1">
        <v>0</v>
      </c>
      <c r="AK1029" s="8">
        <f t="shared" si="63"/>
        <v>40</v>
      </c>
      <c r="AL1029" s="8">
        <f t="shared" si="66"/>
        <v>20</v>
      </c>
      <c r="AM1029">
        <f t="shared" si="64"/>
        <v>0</v>
      </c>
      <c r="AN1029">
        <f t="shared" si="65"/>
        <v>0</v>
      </c>
    </row>
    <row r="1030" spans="1:40" x14ac:dyDescent="0.35">
      <c r="A1030">
        <v>52.375399999999999</v>
      </c>
      <c r="B1030">
        <v>85.138999999999996</v>
      </c>
      <c r="C1030">
        <v>0.920099</v>
      </c>
      <c r="D1030">
        <v>0.05</v>
      </c>
      <c r="E1030">
        <v>0</v>
      </c>
      <c r="F1030">
        <v>2.9984199999999999</v>
      </c>
      <c r="G1030">
        <v>3.3008199999999999</v>
      </c>
      <c r="H1030">
        <v>0</v>
      </c>
      <c r="I1030">
        <v>0.56183499999999997</v>
      </c>
      <c r="J1030">
        <v>5.3222399999999999</v>
      </c>
      <c r="K1030" s="2">
        <v>129295000</v>
      </c>
      <c r="L1030" s="1">
        <v>0</v>
      </c>
      <c r="M1030" s="1">
        <v>0</v>
      </c>
      <c r="N1030" s="1">
        <v>0</v>
      </c>
      <c r="O1030" s="1">
        <v>0</v>
      </c>
      <c r="P1030" s="2">
        <v>4482560</v>
      </c>
      <c r="Q1030" s="1">
        <v>-69208</v>
      </c>
      <c r="R1030" s="1">
        <v>408539</v>
      </c>
      <c r="S1030">
        <v>91.119399999999999</v>
      </c>
      <c r="T1030">
        <v>98.274000000000001</v>
      </c>
      <c r="U1030">
        <v>1.4746300000000001</v>
      </c>
      <c r="V1030">
        <v>0</v>
      </c>
      <c r="W1030">
        <v>0</v>
      </c>
      <c r="X1030">
        <v>2.3473700000000002</v>
      </c>
      <c r="Y1030">
        <v>2.0449700000000002</v>
      </c>
      <c r="Z1030">
        <v>0</v>
      </c>
      <c r="AA1030">
        <v>1.8133999999999999</v>
      </c>
      <c r="AB1030">
        <v>2.9635199999999999</v>
      </c>
      <c r="AC1030" s="2">
        <v>478002000</v>
      </c>
      <c r="AD1030" s="1">
        <v>0</v>
      </c>
      <c r="AE1030" s="1">
        <v>0</v>
      </c>
      <c r="AF1030" s="1">
        <v>0</v>
      </c>
      <c r="AG1030" s="1">
        <v>0</v>
      </c>
      <c r="AH1030" s="2">
        <v>6073210</v>
      </c>
      <c r="AI1030" s="1">
        <v>954841</v>
      </c>
      <c r="AJ1030" s="1">
        <v>0</v>
      </c>
      <c r="AK1030" s="8">
        <f t="shared" si="63"/>
        <v>41</v>
      </c>
      <c r="AL1030" s="8">
        <f t="shared" si="66"/>
        <v>20</v>
      </c>
      <c r="AM1030">
        <f t="shared" si="64"/>
        <v>0</v>
      </c>
      <c r="AN1030">
        <f t="shared" si="65"/>
        <v>0</v>
      </c>
    </row>
    <row r="1031" spans="1:40" x14ac:dyDescent="0.35">
      <c r="A1031">
        <v>50.425800000000002</v>
      </c>
      <c r="B1031">
        <v>85.138999999999996</v>
      </c>
      <c r="C1031">
        <v>0.82877699999999999</v>
      </c>
      <c r="D1031">
        <v>0.05</v>
      </c>
      <c r="E1031">
        <v>0</v>
      </c>
      <c r="F1031">
        <v>2.9987900000000001</v>
      </c>
      <c r="G1031">
        <v>3.3011900000000001</v>
      </c>
      <c r="H1031">
        <v>0</v>
      </c>
      <c r="I1031">
        <v>0.56190399999999996</v>
      </c>
      <c r="J1031">
        <v>5.3222399999999999</v>
      </c>
      <c r="K1031" s="2">
        <v>129226000</v>
      </c>
      <c r="L1031" s="1">
        <v>0</v>
      </c>
      <c r="M1031" s="1">
        <v>0</v>
      </c>
      <c r="N1031" s="1">
        <v>0</v>
      </c>
      <c r="O1031" s="1">
        <v>0</v>
      </c>
      <c r="P1031" s="2">
        <v>4483110</v>
      </c>
      <c r="Q1031" s="1">
        <v>-69170.100000000006</v>
      </c>
      <c r="R1031" s="1">
        <v>408539</v>
      </c>
      <c r="S1031">
        <v>90.413399999999996</v>
      </c>
      <c r="T1031">
        <v>98.274000000000001</v>
      </c>
      <c r="U1031">
        <v>1.6169800000000001</v>
      </c>
      <c r="V1031">
        <v>0</v>
      </c>
      <c r="W1031">
        <v>0</v>
      </c>
      <c r="X1031">
        <v>2.3475999999999999</v>
      </c>
      <c r="Y1031">
        <v>2.0451999999999999</v>
      </c>
      <c r="Z1031">
        <v>0</v>
      </c>
      <c r="AA1031">
        <v>1.81358</v>
      </c>
      <c r="AB1031">
        <v>2.9635199999999999</v>
      </c>
      <c r="AC1031" s="2">
        <v>478956000</v>
      </c>
      <c r="AD1031" s="1">
        <v>0</v>
      </c>
      <c r="AE1031" s="1">
        <v>0</v>
      </c>
      <c r="AF1031" s="1">
        <v>0</v>
      </c>
      <c r="AG1031" s="1">
        <v>0</v>
      </c>
      <c r="AH1031" s="2">
        <v>6073800</v>
      </c>
      <c r="AI1031" s="1">
        <v>954861</v>
      </c>
      <c r="AJ1031" s="1">
        <v>0</v>
      </c>
      <c r="AK1031" s="8">
        <f t="shared" si="63"/>
        <v>42</v>
      </c>
      <c r="AL1031" s="8">
        <f t="shared" si="66"/>
        <v>20</v>
      </c>
      <c r="AM1031">
        <f t="shared" si="64"/>
        <v>0</v>
      </c>
      <c r="AN1031">
        <f t="shared" si="65"/>
        <v>0</v>
      </c>
    </row>
    <row r="1032" spans="1:40" x14ac:dyDescent="0.35">
      <c r="A1032">
        <v>48.5779</v>
      </c>
      <c r="B1032">
        <v>85.138999999999996</v>
      </c>
      <c r="C1032">
        <v>0.79668700000000003</v>
      </c>
      <c r="D1032">
        <v>0.05</v>
      </c>
      <c r="E1032">
        <v>0</v>
      </c>
      <c r="F1032">
        <v>2.8984200000000002</v>
      </c>
      <c r="G1032">
        <v>3.2008200000000002</v>
      </c>
      <c r="H1032">
        <v>0</v>
      </c>
      <c r="I1032">
        <v>0.56197299999999994</v>
      </c>
      <c r="J1032">
        <v>5.3222399999999999</v>
      </c>
      <c r="K1032" s="2">
        <v>129146000</v>
      </c>
      <c r="L1032" s="1">
        <v>0</v>
      </c>
      <c r="M1032" s="1">
        <v>0</v>
      </c>
      <c r="N1032" s="1">
        <v>0</v>
      </c>
      <c r="O1032" s="1">
        <v>0</v>
      </c>
      <c r="P1032" s="2">
        <v>4333070</v>
      </c>
      <c r="Q1032" s="1">
        <v>-79487.8</v>
      </c>
      <c r="R1032" s="1">
        <v>408539</v>
      </c>
      <c r="S1032">
        <v>89.692899999999995</v>
      </c>
      <c r="T1032">
        <v>98.274000000000001</v>
      </c>
      <c r="U1032">
        <v>1.8592</v>
      </c>
      <c r="V1032">
        <v>0</v>
      </c>
      <c r="W1032">
        <v>0</v>
      </c>
      <c r="X1032">
        <v>2.2494100000000001</v>
      </c>
      <c r="Y1032">
        <v>1.9470099999999999</v>
      </c>
      <c r="Z1032">
        <v>0</v>
      </c>
      <c r="AA1032">
        <v>1.81376</v>
      </c>
      <c r="AB1032">
        <v>2.9635199999999999</v>
      </c>
      <c r="AC1032" s="2">
        <v>479903000</v>
      </c>
      <c r="AD1032" s="1">
        <v>0</v>
      </c>
      <c r="AE1032" s="1">
        <v>0</v>
      </c>
      <c r="AF1032" s="1">
        <v>0</v>
      </c>
      <c r="AG1032" s="1">
        <v>0</v>
      </c>
      <c r="AH1032" s="2">
        <v>5819770</v>
      </c>
      <c r="AI1032" s="1">
        <v>946580</v>
      </c>
      <c r="AJ1032" s="1">
        <v>0</v>
      </c>
      <c r="AK1032" s="8">
        <f t="shared" ref="AK1032:AK1095" si="67">IF(AK1031=52, 1, AK1031+1)</f>
        <v>43</v>
      </c>
      <c r="AL1032" s="8">
        <f t="shared" si="66"/>
        <v>20</v>
      </c>
      <c r="AM1032">
        <f t="shared" si="64"/>
        <v>0</v>
      </c>
      <c r="AN1032">
        <f t="shared" si="65"/>
        <v>0</v>
      </c>
    </row>
    <row r="1033" spans="1:40" x14ac:dyDescent="0.35">
      <c r="A1033">
        <v>46.828699999999998</v>
      </c>
      <c r="B1033">
        <v>85.138999999999996</v>
      </c>
      <c r="C1033">
        <v>0.90101100000000001</v>
      </c>
      <c r="D1033">
        <v>7.0000000000000007E-2</v>
      </c>
      <c r="E1033">
        <v>0</v>
      </c>
      <c r="F1033">
        <v>2.8987799999999999</v>
      </c>
      <c r="G1033">
        <v>3.2011799999999999</v>
      </c>
      <c r="H1033">
        <v>0</v>
      </c>
      <c r="I1033">
        <v>0.54316399999999998</v>
      </c>
      <c r="J1033">
        <v>5.3222399999999999</v>
      </c>
      <c r="K1033" s="2">
        <v>129067000</v>
      </c>
      <c r="L1033" s="1">
        <v>0</v>
      </c>
      <c r="M1033" s="1">
        <v>0</v>
      </c>
      <c r="N1033" s="1">
        <v>0</v>
      </c>
      <c r="O1033" s="1">
        <v>0</v>
      </c>
      <c r="P1033" s="2">
        <v>4333600</v>
      </c>
      <c r="Q1033" s="1">
        <v>-79451.100000000006</v>
      </c>
      <c r="R1033" s="1">
        <v>408539</v>
      </c>
      <c r="S1033">
        <v>89.005200000000002</v>
      </c>
      <c r="T1033">
        <v>98.274000000000001</v>
      </c>
      <c r="U1033">
        <v>1.7538199999999999</v>
      </c>
      <c r="V1033">
        <v>0</v>
      </c>
      <c r="W1033">
        <v>0</v>
      </c>
      <c r="X1033">
        <v>2.2496299999999998</v>
      </c>
      <c r="Y1033">
        <v>1.94723</v>
      </c>
      <c r="Z1033">
        <v>0</v>
      </c>
      <c r="AA1033">
        <v>1.7379</v>
      </c>
      <c r="AB1033">
        <v>2.9635199999999999</v>
      </c>
      <c r="AC1033" s="2">
        <v>480850000</v>
      </c>
      <c r="AD1033" s="1">
        <v>0</v>
      </c>
      <c r="AE1033" s="1">
        <v>0</v>
      </c>
      <c r="AF1033" s="1">
        <v>0</v>
      </c>
      <c r="AG1033" s="1">
        <v>0</v>
      </c>
      <c r="AH1033" s="2">
        <v>5820330</v>
      </c>
      <c r="AI1033" s="1">
        <v>946599</v>
      </c>
      <c r="AJ1033" s="1">
        <v>0</v>
      </c>
      <c r="AK1033" s="8">
        <f t="shared" si="67"/>
        <v>44</v>
      </c>
      <c r="AL1033" s="8">
        <f t="shared" si="66"/>
        <v>20</v>
      </c>
      <c r="AM1033">
        <f t="shared" si="64"/>
        <v>0</v>
      </c>
      <c r="AN1033">
        <f t="shared" si="65"/>
        <v>0</v>
      </c>
    </row>
    <row r="1034" spans="1:40" x14ac:dyDescent="0.35">
      <c r="A1034">
        <v>45.589700000000001</v>
      </c>
      <c r="B1034">
        <v>85.138999999999996</v>
      </c>
      <c r="C1034">
        <v>1.4049799999999999</v>
      </c>
      <c r="D1034">
        <v>7.0000000000000007E-2</v>
      </c>
      <c r="E1034">
        <v>0</v>
      </c>
      <c r="F1034">
        <v>2.8991400000000001</v>
      </c>
      <c r="G1034">
        <v>3.2015400000000001</v>
      </c>
      <c r="H1034">
        <v>0</v>
      </c>
      <c r="I1034">
        <v>0.54323100000000002</v>
      </c>
      <c r="J1034">
        <v>5.3222399999999999</v>
      </c>
      <c r="K1034" s="2">
        <v>128987000</v>
      </c>
      <c r="L1034" s="1">
        <v>0</v>
      </c>
      <c r="M1034" s="1">
        <v>0</v>
      </c>
      <c r="N1034" s="1">
        <v>0</v>
      </c>
      <c r="O1034" s="1">
        <v>0</v>
      </c>
      <c r="P1034" s="2">
        <v>4334140</v>
      </c>
      <c r="Q1034" s="1">
        <v>-79414.3</v>
      </c>
      <c r="R1034" s="1">
        <v>408539</v>
      </c>
      <c r="S1034">
        <v>88.490300000000005</v>
      </c>
      <c r="T1034">
        <v>98.274000000000001</v>
      </c>
      <c r="U1034">
        <v>3.0112800000000002</v>
      </c>
      <c r="V1034">
        <v>0</v>
      </c>
      <c r="W1034">
        <v>0</v>
      </c>
      <c r="X1034">
        <v>2.2498499999999999</v>
      </c>
      <c r="Y1034">
        <v>1.9474499999999999</v>
      </c>
      <c r="Z1034">
        <v>0</v>
      </c>
      <c r="AA1034">
        <v>1.73807</v>
      </c>
      <c r="AB1034">
        <v>2.9635199999999999</v>
      </c>
      <c r="AC1034" s="2">
        <v>481796000</v>
      </c>
      <c r="AD1034" s="1">
        <v>0</v>
      </c>
      <c r="AE1034" s="1">
        <v>0</v>
      </c>
      <c r="AF1034" s="1">
        <v>0</v>
      </c>
      <c r="AG1034" s="1">
        <v>0</v>
      </c>
      <c r="AH1034" s="2">
        <v>5820900</v>
      </c>
      <c r="AI1034" s="1">
        <v>946617</v>
      </c>
      <c r="AJ1034" s="1">
        <v>0</v>
      </c>
      <c r="AK1034" s="8">
        <f t="shared" si="67"/>
        <v>45</v>
      </c>
      <c r="AL1034" s="8">
        <f t="shared" si="66"/>
        <v>20</v>
      </c>
      <c r="AM1034">
        <f t="shared" si="64"/>
        <v>0</v>
      </c>
      <c r="AN1034">
        <f t="shared" si="65"/>
        <v>0</v>
      </c>
    </row>
    <row r="1035" spans="1:40" x14ac:dyDescent="0.35">
      <c r="A1035">
        <v>44.266399999999997</v>
      </c>
      <c r="B1035">
        <v>85.138999999999996</v>
      </c>
      <c r="C1035">
        <v>1.3492999999999999</v>
      </c>
      <c r="D1035">
        <v>0.09</v>
      </c>
      <c r="E1035">
        <v>0</v>
      </c>
      <c r="F1035">
        <v>2.8994900000000001</v>
      </c>
      <c r="G1035">
        <v>3.2018900000000001</v>
      </c>
      <c r="H1035">
        <v>0</v>
      </c>
      <c r="I1035">
        <v>0.54329799999999995</v>
      </c>
      <c r="J1035">
        <v>5.3222399999999999</v>
      </c>
      <c r="K1035" s="2">
        <v>128908000</v>
      </c>
      <c r="L1035" s="1">
        <v>0</v>
      </c>
      <c r="M1035" s="1">
        <v>0</v>
      </c>
      <c r="N1035" s="1">
        <v>0</v>
      </c>
      <c r="O1035" s="1">
        <v>0</v>
      </c>
      <c r="P1035" s="2">
        <v>4334670</v>
      </c>
      <c r="Q1035" s="1">
        <v>-79377.5</v>
      </c>
      <c r="R1035" s="1">
        <v>408539</v>
      </c>
      <c r="S1035">
        <v>87.941900000000004</v>
      </c>
      <c r="T1035">
        <v>98.274000000000001</v>
      </c>
      <c r="U1035">
        <v>2.7279599999999999</v>
      </c>
      <c r="V1035">
        <v>0</v>
      </c>
      <c r="W1035">
        <v>0</v>
      </c>
      <c r="X1035">
        <v>2.25007</v>
      </c>
      <c r="Y1035">
        <v>1.94767</v>
      </c>
      <c r="Z1035">
        <v>0</v>
      </c>
      <c r="AA1035">
        <v>1.7382299999999999</v>
      </c>
      <c r="AB1035">
        <v>2.9635199999999999</v>
      </c>
      <c r="AC1035" s="2">
        <v>482743000</v>
      </c>
      <c r="AD1035" s="1">
        <v>0</v>
      </c>
      <c r="AE1035" s="1">
        <v>0</v>
      </c>
      <c r="AF1035" s="1">
        <v>0</v>
      </c>
      <c r="AG1035" s="1">
        <v>0</v>
      </c>
      <c r="AH1035" s="2">
        <v>5821460</v>
      </c>
      <c r="AI1035" s="1">
        <v>946635</v>
      </c>
      <c r="AJ1035" s="1">
        <v>0</v>
      </c>
      <c r="AK1035" s="8">
        <f t="shared" si="67"/>
        <v>46</v>
      </c>
      <c r="AL1035" s="8">
        <f t="shared" si="66"/>
        <v>20</v>
      </c>
      <c r="AM1035">
        <f t="shared" si="64"/>
        <v>0</v>
      </c>
      <c r="AN1035">
        <f t="shared" si="65"/>
        <v>0</v>
      </c>
    </row>
    <row r="1036" spans="1:40" x14ac:dyDescent="0.35">
      <c r="A1036">
        <v>43.450800000000001</v>
      </c>
      <c r="B1036">
        <v>85.138999999999996</v>
      </c>
      <c r="C1036">
        <v>1.7783800000000001</v>
      </c>
      <c r="D1036">
        <v>0.1</v>
      </c>
      <c r="E1036">
        <v>0</v>
      </c>
      <c r="F1036">
        <v>2.8171300000000001</v>
      </c>
      <c r="G1036">
        <v>3.1195300000000001</v>
      </c>
      <c r="H1036">
        <v>0</v>
      </c>
      <c r="I1036">
        <v>0.54336499999999999</v>
      </c>
      <c r="J1036">
        <v>5.3222399999999999</v>
      </c>
      <c r="K1036" s="2">
        <v>128820000</v>
      </c>
      <c r="L1036" s="1">
        <v>0</v>
      </c>
      <c r="M1036" s="1">
        <v>0</v>
      </c>
      <c r="N1036" s="1">
        <v>0</v>
      </c>
      <c r="O1036" s="1">
        <v>0</v>
      </c>
      <c r="P1036" s="2">
        <v>4211540</v>
      </c>
      <c r="Q1036" s="1">
        <v>-87844.800000000003</v>
      </c>
      <c r="R1036" s="1">
        <v>408539</v>
      </c>
      <c r="S1036">
        <v>87.317300000000003</v>
      </c>
      <c r="T1036">
        <v>98.274000000000001</v>
      </c>
      <c r="U1036">
        <v>1.83748</v>
      </c>
      <c r="V1036">
        <v>0</v>
      </c>
      <c r="W1036">
        <v>0</v>
      </c>
      <c r="X1036">
        <v>2.16066</v>
      </c>
      <c r="Y1036">
        <v>1.85826</v>
      </c>
      <c r="Z1036">
        <v>0</v>
      </c>
      <c r="AA1036">
        <v>1.7383999999999999</v>
      </c>
      <c r="AB1036">
        <v>2.9635199999999999</v>
      </c>
      <c r="AC1036" s="2">
        <v>483682000</v>
      </c>
      <c r="AD1036" s="1">
        <v>0</v>
      </c>
      <c r="AE1036" s="1">
        <v>0</v>
      </c>
      <c r="AF1036" s="1">
        <v>0</v>
      </c>
      <c r="AG1036" s="1">
        <v>0</v>
      </c>
      <c r="AH1036" s="2">
        <v>5590150</v>
      </c>
      <c r="AI1036" s="1">
        <v>939096</v>
      </c>
      <c r="AJ1036" s="1">
        <v>0</v>
      </c>
      <c r="AK1036" s="8">
        <f t="shared" si="67"/>
        <v>47</v>
      </c>
      <c r="AL1036" s="8">
        <f t="shared" si="66"/>
        <v>20</v>
      </c>
      <c r="AM1036">
        <f t="shared" si="64"/>
        <v>0</v>
      </c>
      <c r="AN1036">
        <f t="shared" si="65"/>
        <v>0</v>
      </c>
    </row>
    <row r="1037" spans="1:40" x14ac:dyDescent="0.35">
      <c r="A1037">
        <v>42.437899999999999</v>
      </c>
      <c r="B1037">
        <v>85.138999999999996</v>
      </c>
      <c r="C1037">
        <v>1.5529900000000001</v>
      </c>
      <c r="D1037">
        <v>0.1</v>
      </c>
      <c r="E1037">
        <v>0</v>
      </c>
      <c r="F1037">
        <v>2.8174800000000002</v>
      </c>
      <c r="G1037">
        <v>3.1198800000000002</v>
      </c>
      <c r="H1037">
        <v>0</v>
      </c>
      <c r="I1037">
        <v>0.52793000000000001</v>
      </c>
      <c r="J1037">
        <v>5.3222399999999999</v>
      </c>
      <c r="K1037" s="2">
        <v>128732000</v>
      </c>
      <c r="L1037" s="1">
        <v>0</v>
      </c>
      <c r="M1037" s="1">
        <v>0</v>
      </c>
      <c r="N1037" s="1">
        <v>0</v>
      </c>
      <c r="O1037" s="1">
        <v>0</v>
      </c>
      <c r="P1037" s="2">
        <v>4212060</v>
      </c>
      <c r="Q1037" s="1">
        <v>-87808.9</v>
      </c>
      <c r="R1037" s="1">
        <v>408539</v>
      </c>
      <c r="S1037">
        <v>86.736599999999996</v>
      </c>
      <c r="T1037">
        <v>98.274000000000001</v>
      </c>
      <c r="U1037">
        <v>1.58656</v>
      </c>
      <c r="V1037">
        <v>0</v>
      </c>
      <c r="W1037">
        <v>0</v>
      </c>
      <c r="X1037">
        <v>2.1608700000000001</v>
      </c>
      <c r="Y1037">
        <v>1.8584700000000001</v>
      </c>
      <c r="Z1037">
        <v>0</v>
      </c>
      <c r="AA1037">
        <v>1.66933</v>
      </c>
      <c r="AB1037">
        <v>2.9635199999999999</v>
      </c>
      <c r="AC1037" s="2">
        <v>484621000</v>
      </c>
      <c r="AD1037" s="1">
        <v>0</v>
      </c>
      <c r="AE1037" s="1">
        <v>0</v>
      </c>
      <c r="AF1037" s="1">
        <v>0</v>
      </c>
      <c r="AG1037" s="1">
        <v>0</v>
      </c>
      <c r="AH1037" s="2">
        <v>5590690</v>
      </c>
      <c r="AI1037" s="1">
        <v>939113</v>
      </c>
      <c r="AJ1037" s="1">
        <v>0</v>
      </c>
      <c r="AK1037" s="8">
        <f t="shared" si="67"/>
        <v>48</v>
      </c>
      <c r="AL1037" s="8">
        <f t="shared" si="66"/>
        <v>20</v>
      </c>
      <c r="AM1037">
        <f t="shared" si="64"/>
        <v>0</v>
      </c>
      <c r="AN1037">
        <f t="shared" si="65"/>
        <v>0</v>
      </c>
    </row>
    <row r="1038" spans="1:40" x14ac:dyDescent="0.35">
      <c r="A1038">
        <v>42.741799999999998</v>
      </c>
      <c r="B1038">
        <v>85.138999999999996</v>
      </c>
      <c r="C1038">
        <v>2.90937</v>
      </c>
      <c r="D1038">
        <v>0.1</v>
      </c>
      <c r="E1038">
        <v>0</v>
      </c>
      <c r="F1038">
        <v>2.8178299999999998</v>
      </c>
      <c r="G1038">
        <v>3.1202299999999998</v>
      </c>
      <c r="H1038">
        <v>0</v>
      </c>
      <c r="I1038">
        <v>0.52799600000000002</v>
      </c>
      <c r="J1038">
        <v>5.3222399999999999</v>
      </c>
      <c r="K1038" s="2">
        <v>128644000</v>
      </c>
      <c r="L1038" s="1">
        <v>0</v>
      </c>
      <c r="M1038" s="1">
        <v>0</v>
      </c>
      <c r="N1038" s="1">
        <v>0</v>
      </c>
      <c r="O1038" s="1">
        <v>0</v>
      </c>
      <c r="P1038" s="2">
        <v>4212580</v>
      </c>
      <c r="Q1038" s="1">
        <v>-87773.1</v>
      </c>
      <c r="R1038" s="1">
        <v>408539</v>
      </c>
      <c r="S1038">
        <v>86.5685</v>
      </c>
      <c r="T1038">
        <v>98.274000000000001</v>
      </c>
      <c r="U1038">
        <v>4.6404500000000004</v>
      </c>
      <c r="V1038">
        <v>0</v>
      </c>
      <c r="W1038">
        <v>0</v>
      </c>
      <c r="X1038">
        <v>2.1610800000000001</v>
      </c>
      <c r="Y1038">
        <v>1.8586800000000001</v>
      </c>
      <c r="Z1038">
        <v>0</v>
      </c>
      <c r="AA1038">
        <v>1.6694899999999999</v>
      </c>
      <c r="AB1038">
        <v>2.9635199999999999</v>
      </c>
      <c r="AC1038" s="2">
        <v>485560000</v>
      </c>
      <c r="AD1038" s="1">
        <v>0</v>
      </c>
      <c r="AE1038" s="1">
        <v>0</v>
      </c>
      <c r="AF1038" s="1">
        <v>0</v>
      </c>
      <c r="AG1038" s="1">
        <v>0</v>
      </c>
      <c r="AH1038" s="2">
        <v>5591220</v>
      </c>
      <c r="AI1038" s="1">
        <v>939131</v>
      </c>
      <c r="AJ1038" s="1">
        <v>0</v>
      </c>
      <c r="AK1038" s="8">
        <f t="shared" si="67"/>
        <v>49</v>
      </c>
      <c r="AL1038" s="8">
        <f t="shared" si="66"/>
        <v>20</v>
      </c>
      <c r="AM1038">
        <f t="shared" si="64"/>
        <v>0</v>
      </c>
      <c r="AN1038">
        <f t="shared" si="65"/>
        <v>0</v>
      </c>
    </row>
    <row r="1039" spans="1:40" x14ac:dyDescent="0.35">
      <c r="A1039">
        <v>45.359699999999997</v>
      </c>
      <c r="B1039">
        <v>85.138999999999996</v>
      </c>
      <c r="C1039">
        <v>5.3511300000000004</v>
      </c>
      <c r="D1039">
        <v>0.1</v>
      </c>
      <c r="E1039">
        <v>0</v>
      </c>
      <c r="F1039">
        <v>2.8181799999999999</v>
      </c>
      <c r="G1039">
        <v>3.1205799999999999</v>
      </c>
      <c r="H1039">
        <v>0</v>
      </c>
      <c r="I1039">
        <v>0.528061</v>
      </c>
      <c r="J1039">
        <v>5.3222399999999999</v>
      </c>
      <c r="K1039" s="2">
        <v>128557000</v>
      </c>
      <c r="L1039" s="1">
        <v>0</v>
      </c>
      <c r="M1039" s="1">
        <v>0</v>
      </c>
      <c r="N1039" s="1">
        <v>0</v>
      </c>
      <c r="O1039" s="1">
        <v>0</v>
      </c>
      <c r="P1039" s="2">
        <v>4213100</v>
      </c>
      <c r="Q1039" s="1">
        <v>-87737.3</v>
      </c>
      <c r="R1039" s="1">
        <v>408539</v>
      </c>
      <c r="S1039">
        <v>86.968199999999996</v>
      </c>
      <c r="T1039">
        <v>98.274000000000001</v>
      </c>
      <c r="U1039">
        <v>5.2526200000000003</v>
      </c>
      <c r="V1039">
        <v>0</v>
      </c>
      <c r="W1039">
        <v>0</v>
      </c>
      <c r="X1039">
        <v>2.1612900000000002</v>
      </c>
      <c r="Y1039">
        <v>1.8588899999999999</v>
      </c>
      <c r="Z1039">
        <v>0</v>
      </c>
      <c r="AA1039">
        <v>1.6696500000000001</v>
      </c>
      <c r="AB1039">
        <v>2.9635199999999999</v>
      </c>
      <c r="AC1039" s="2">
        <v>486499000</v>
      </c>
      <c r="AD1039" s="1">
        <v>0</v>
      </c>
      <c r="AE1039" s="1">
        <v>0</v>
      </c>
      <c r="AF1039" s="1">
        <v>0</v>
      </c>
      <c r="AG1039" s="1">
        <v>0</v>
      </c>
      <c r="AH1039" s="2">
        <v>5591760</v>
      </c>
      <c r="AI1039" s="1">
        <v>939148</v>
      </c>
      <c r="AJ1039" s="1">
        <v>0</v>
      </c>
      <c r="AK1039" s="8">
        <f t="shared" si="67"/>
        <v>50</v>
      </c>
      <c r="AL1039" s="8">
        <f t="shared" si="66"/>
        <v>20</v>
      </c>
      <c r="AM1039">
        <f t="shared" si="64"/>
        <v>0</v>
      </c>
      <c r="AN1039">
        <f t="shared" si="65"/>
        <v>0</v>
      </c>
    </row>
    <row r="1040" spans="1:40" x14ac:dyDescent="0.35">
      <c r="A1040">
        <v>47.558199999999999</v>
      </c>
      <c r="B1040">
        <v>85.138999999999996</v>
      </c>
      <c r="C1040">
        <v>4.8400100000000004</v>
      </c>
      <c r="D1040">
        <v>7.0000000000000007E-2</v>
      </c>
      <c r="E1040">
        <v>0</v>
      </c>
      <c r="F1040">
        <v>2.5834800000000002</v>
      </c>
      <c r="G1040">
        <v>2.8858799999999998</v>
      </c>
      <c r="H1040">
        <v>0</v>
      </c>
      <c r="I1040">
        <v>0.52812599999999998</v>
      </c>
      <c r="J1040">
        <v>5.3222399999999999</v>
      </c>
      <c r="K1040" s="2">
        <v>128445000</v>
      </c>
      <c r="L1040" s="1">
        <v>0</v>
      </c>
      <c r="M1040" s="1">
        <v>0</v>
      </c>
      <c r="N1040" s="1">
        <v>0</v>
      </c>
      <c r="O1040" s="1">
        <v>0</v>
      </c>
      <c r="P1040" s="2">
        <v>3862240</v>
      </c>
      <c r="Q1040" s="1">
        <v>-111864</v>
      </c>
      <c r="R1040" s="1">
        <v>408539</v>
      </c>
      <c r="S1040">
        <v>87.491100000000003</v>
      </c>
      <c r="T1040">
        <v>98.274000000000001</v>
      </c>
      <c r="U1040">
        <v>4.5848000000000004</v>
      </c>
      <c r="V1040">
        <v>0</v>
      </c>
      <c r="W1040">
        <v>0</v>
      </c>
      <c r="X1040">
        <v>1.97475</v>
      </c>
      <c r="Y1040">
        <v>1.67235</v>
      </c>
      <c r="Z1040">
        <v>0</v>
      </c>
      <c r="AA1040">
        <v>1.66981</v>
      </c>
      <c r="AB1040">
        <v>2.9635199999999999</v>
      </c>
      <c r="AC1040" s="2">
        <v>487423000</v>
      </c>
      <c r="AD1040" s="1">
        <v>0</v>
      </c>
      <c r="AE1040" s="1">
        <v>0</v>
      </c>
      <c r="AF1040" s="1">
        <v>0</v>
      </c>
      <c r="AG1040" s="1">
        <v>0</v>
      </c>
      <c r="AH1040" s="2">
        <v>5109160</v>
      </c>
      <c r="AI1040" s="1">
        <v>923417</v>
      </c>
      <c r="AJ1040" s="1">
        <v>0</v>
      </c>
      <c r="AK1040" s="8">
        <f t="shared" si="67"/>
        <v>51</v>
      </c>
      <c r="AL1040" s="8">
        <f t="shared" si="66"/>
        <v>20</v>
      </c>
      <c r="AM1040">
        <f t="shared" si="64"/>
        <v>0</v>
      </c>
      <c r="AN1040">
        <f t="shared" si="65"/>
        <v>0</v>
      </c>
    </row>
    <row r="1041" spans="1:40" x14ac:dyDescent="0.35">
      <c r="A1041">
        <v>54.2166</v>
      </c>
      <c r="B1041">
        <v>85.138999999999996</v>
      </c>
      <c r="C1041">
        <v>9.4172399999999996</v>
      </c>
      <c r="D1041">
        <v>7.0000000000000007E-2</v>
      </c>
      <c r="E1041">
        <v>0</v>
      </c>
      <c r="F1041">
        <v>2.5838100000000002</v>
      </c>
      <c r="G1041">
        <v>2.8862100000000002</v>
      </c>
      <c r="H1041">
        <v>0</v>
      </c>
      <c r="I1041">
        <v>0.48414499999999999</v>
      </c>
      <c r="J1041">
        <v>5.3222399999999999</v>
      </c>
      <c r="K1041" s="2">
        <v>128333000</v>
      </c>
      <c r="L1041" s="1">
        <v>0</v>
      </c>
      <c r="M1041" s="1">
        <v>0</v>
      </c>
      <c r="N1041" s="1">
        <v>0</v>
      </c>
      <c r="O1041" s="1">
        <v>0</v>
      </c>
      <c r="P1041" s="2">
        <v>3862720</v>
      </c>
      <c r="Q1041" s="1">
        <v>-111831</v>
      </c>
      <c r="R1041" s="1">
        <v>408539</v>
      </c>
      <c r="S1041">
        <v>89.340400000000002</v>
      </c>
      <c r="T1041">
        <v>98.274000000000001</v>
      </c>
      <c r="U1041">
        <v>8.4802</v>
      </c>
      <c r="V1041">
        <v>0</v>
      </c>
      <c r="W1041">
        <v>0</v>
      </c>
      <c r="X1041">
        <v>1.9749399999999999</v>
      </c>
      <c r="Y1041">
        <v>1.6725399999999999</v>
      </c>
      <c r="Z1041">
        <v>0</v>
      </c>
      <c r="AA1041">
        <v>1.52569</v>
      </c>
      <c r="AB1041">
        <v>2.9635199999999999</v>
      </c>
      <c r="AC1041" s="2">
        <v>488346000</v>
      </c>
      <c r="AD1041" s="1">
        <v>0</v>
      </c>
      <c r="AE1041" s="1">
        <v>0</v>
      </c>
      <c r="AF1041" s="1">
        <v>0</v>
      </c>
      <c r="AG1041" s="1">
        <v>0</v>
      </c>
      <c r="AH1041" s="2">
        <v>5109640</v>
      </c>
      <c r="AI1041" s="1">
        <v>923433</v>
      </c>
      <c r="AJ1041" s="1">
        <v>0</v>
      </c>
      <c r="AK1041" s="8">
        <f t="shared" si="67"/>
        <v>52</v>
      </c>
      <c r="AL1041" s="8">
        <f t="shared" si="66"/>
        <v>20</v>
      </c>
      <c r="AM1041">
        <f t="shared" si="64"/>
        <v>488346000</v>
      </c>
      <c r="AN1041">
        <f t="shared" si="65"/>
        <v>128333000</v>
      </c>
    </row>
    <row r="1042" spans="1:40" x14ac:dyDescent="0.35">
      <c r="A1042">
        <v>58.261600000000001</v>
      </c>
      <c r="B1042">
        <v>85.138999999999996</v>
      </c>
      <c r="C1042">
        <v>6.7859600000000002</v>
      </c>
      <c r="D1042">
        <v>0.05</v>
      </c>
      <c r="E1042">
        <v>0</v>
      </c>
      <c r="F1042">
        <v>2.58413</v>
      </c>
      <c r="G1042">
        <v>2.88653</v>
      </c>
      <c r="H1042">
        <v>0</v>
      </c>
      <c r="I1042">
        <v>0.484205</v>
      </c>
      <c r="J1042">
        <v>5.3222399999999999</v>
      </c>
      <c r="K1042" s="2">
        <v>128221000</v>
      </c>
      <c r="L1042" s="1">
        <v>0</v>
      </c>
      <c r="M1042" s="1">
        <v>0</v>
      </c>
      <c r="N1042" s="1">
        <v>0</v>
      </c>
      <c r="O1042" s="1">
        <v>0</v>
      </c>
      <c r="P1042" s="2">
        <v>3863210</v>
      </c>
      <c r="Q1042" s="1">
        <v>-111798</v>
      </c>
      <c r="R1042" s="1">
        <v>408539</v>
      </c>
      <c r="S1042">
        <v>89.706999999999994</v>
      </c>
      <c r="T1042">
        <v>98.274000000000001</v>
      </c>
      <c r="U1042">
        <v>4.8951399999999996</v>
      </c>
      <c r="V1042">
        <v>0</v>
      </c>
      <c r="W1042">
        <v>0</v>
      </c>
      <c r="X1042">
        <v>1.9751300000000001</v>
      </c>
      <c r="Y1042">
        <v>1.6727300000000001</v>
      </c>
      <c r="Z1042">
        <v>0</v>
      </c>
      <c r="AA1042">
        <v>1.5258400000000001</v>
      </c>
      <c r="AB1042">
        <v>2.9635199999999999</v>
      </c>
      <c r="AC1042" s="2">
        <v>489270000</v>
      </c>
      <c r="AD1042" s="1">
        <v>0</v>
      </c>
      <c r="AE1042" s="1">
        <v>0</v>
      </c>
      <c r="AF1042" s="1">
        <v>0</v>
      </c>
      <c r="AG1042" s="1">
        <v>0</v>
      </c>
      <c r="AH1042" s="2">
        <v>5110120</v>
      </c>
      <c r="AI1042" s="1">
        <v>923449</v>
      </c>
      <c r="AJ1042" s="1">
        <v>0</v>
      </c>
      <c r="AK1042" s="8">
        <f t="shared" si="67"/>
        <v>1</v>
      </c>
      <c r="AL1042" s="8">
        <f t="shared" si="66"/>
        <v>21</v>
      </c>
      <c r="AM1042">
        <f t="shared" si="64"/>
        <v>0</v>
      </c>
      <c r="AN1042">
        <f t="shared" si="65"/>
        <v>0</v>
      </c>
    </row>
    <row r="1043" spans="1:40" x14ac:dyDescent="0.35">
      <c r="A1043">
        <v>61.222299999999997</v>
      </c>
      <c r="B1043">
        <v>85.138999999999996</v>
      </c>
      <c r="C1043">
        <v>5.8930600000000002</v>
      </c>
      <c r="D1043">
        <v>0.03</v>
      </c>
      <c r="E1043">
        <v>0</v>
      </c>
      <c r="F1043">
        <v>2.5844499999999999</v>
      </c>
      <c r="G1043">
        <v>2.8868499999999999</v>
      </c>
      <c r="H1043">
        <v>0</v>
      </c>
      <c r="I1043">
        <v>0.48426599999999997</v>
      </c>
      <c r="J1043">
        <v>5.3222399999999999</v>
      </c>
      <c r="K1043" s="2">
        <v>128109000</v>
      </c>
      <c r="L1043" s="1">
        <v>0</v>
      </c>
      <c r="M1043" s="1">
        <v>0</v>
      </c>
      <c r="N1043" s="1">
        <v>0</v>
      </c>
      <c r="O1043" s="1">
        <v>0</v>
      </c>
      <c r="P1043" s="2">
        <v>3863690</v>
      </c>
      <c r="Q1043" s="1">
        <v>-111765</v>
      </c>
      <c r="R1043" s="1">
        <v>408539</v>
      </c>
      <c r="S1043">
        <v>89.734099999999998</v>
      </c>
      <c r="T1043">
        <v>98.274000000000001</v>
      </c>
      <c r="U1043">
        <v>4.1351599999999999</v>
      </c>
      <c r="V1043">
        <v>0</v>
      </c>
      <c r="W1043">
        <v>0</v>
      </c>
      <c r="X1043">
        <v>1.9753099999999999</v>
      </c>
      <c r="Y1043">
        <v>1.6729099999999999</v>
      </c>
      <c r="Z1043">
        <v>0</v>
      </c>
      <c r="AA1043">
        <v>1.5259799999999999</v>
      </c>
      <c r="AB1043">
        <v>2.9635199999999999</v>
      </c>
      <c r="AC1043" s="2">
        <v>490193000</v>
      </c>
      <c r="AD1043" s="1">
        <v>0</v>
      </c>
      <c r="AE1043" s="1">
        <v>0</v>
      </c>
      <c r="AF1043" s="1">
        <v>0</v>
      </c>
      <c r="AG1043" s="1">
        <v>0</v>
      </c>
      <c r="AH1043" s="2">
        <v>5110610</v>
      </c>
      <c r="AI1043" s="1">
        <v>923464</v>
      </c>
      <c r="AJ1043" s="1">
        <v>0</v>
      </c>
      <c r="AK1043" s="8">
        <f t="shared" si="67"/>
        <v>2</v>
      </c>
      <c r="AL1043" s="8">
        <f t="shared" si="66"/>
        <v>21</v>
      </c>
      <c r="AM1043">
        <f t="shared" si="64"/>
        <v>0</v>
      </c>
      <c r="AN1043">
        <f t="shared" si="65"/>
        <v>0</v>
      </c>
    </row>
    <row r="1044" spans="1:40" x14ac:dyDescent="0.35">
      <c r="A1044">
        <v>63.989199999999997</v>
      </c>
      <c r="B1044">
        <v>85.138999999999996</v>
      </c>
      <c r="C1044">
        <v>5.7371100000000004</v>
      </c>
      <c r="D1044">
        <v>0.02</v>
      </c>
      <c r="E1044">
        <v>0</v>
      </c>
      <c r="F1044">
        <v>2.5847699999999998</v>
      </c>
      <c r="G1044">
        <v>2.8871699999999998</v>
      </c>
      <c r="H1044">
        <v>0</v>
      </c>
      <c r="I1044">
        <v>0.48432599999999998</v>
      </c>
      <c r="J1044">
        <v>5.3222399999999999</v>
      </c>
      <c r="K1044" s="2">
        <v>127998000</v>
      </c>
      <c r="L1044" s="1">
        <v>0</v>
      </c>
      <c r="M1044" s="1">
        <v>0</v>
      </c>
      <c r="N1044" s="1">
        <v>0</v>
      </c>
      <c r="O1044" s="1">
        <v>0</v>
      </c>
      <c r="P1044" s="2">
        <v>3864170</v>
      </c>
      <c r="Q1044" s="1">
        <v>-111732</v>
      </c>
      <c r="R1044" s="1">
        <v>408539</v>
      </c>
      <c r="S1044">
        <v>89.7714</v>
      </c>
      <c r="T1044">
        <v>98.274000000000001</v>
      </c>
      <c r="U1044">
        <v>3.6828699999999999</v>
      </c>
      <c r="V1044">
        <v>0</v>
      </c>
      <c r="W1044">
        <v>0</v>
      </c>
      <c r="X1044">
        <v>1.9755</v>
      </c>
      <c r="Y1044">
        <v>1.6731</v>
      </c>
      <c r="Z1044">
        <v>0</v>
      </c>
      <c r="AA1044">
        <v>1.52613</v>
      </c>
      <c r="AB1044">
        <v>2.9635199999999999</v>
      </c>
      <c r="AC1044" s="2">
        <v>491117000</v>
      </c>
      <c r="AD1044" s="1">
        <v>0</v>
      </c>
      <c r="AE1044" s="1">
        <v>0</v>
      </c>
      <c r="AF1044" s="1">
        <v>0</v>
      </c>
      <c r="AG1044" s="1">
        <v>0</v>
      </c>
      <c r="AH1044" s="2">
        <v>5111090</v>
      </c>
      <c r="AI1044" s="1">
        <v>923480</v>
      </c>
      <c r="AJ1044" s="1">
        <v>0</v>
      </c>
      <c r="AK1044" s="8">
        <f t="shared" si="67"/>
        <v>3</v>
      </c>
      <c r="AL1044" s="8">
        <f t="shared" si="66"/>
        <v>21</v>
      </c>
      <c r="AM1044">
        <f t="shared" si="64"/>
        <v>0</v>
      </c>
      <c r="AN1044">
        <f t="shared" si="65"/>
        <v>0</v>
      </c>
    </row>
    <row r="1045" spans="1:40" x14ac:dyDescent="0.35">
      <c r="A1045">
        <v>67.574600000000004</v>
      </c>
      <c r="B1045">
        <v>85.138999999999996</v>
      </c>
      <c r="C1045">
        <v>6.6194899999999999</v>
      </c>
      <c r="D1045">
        <v>0.03</v>
      </c>
      <c r="E1045">
        <v>0</v>
      </c>
      <c r="F1045">
        <v>2.6755499999999999</v>
      </c>
      <c r="G1045">
        <v>2.9779499999999999</v>
      </c>
      <c r="H1045">
        <v>0</v>
      </c>
      <c r="I1045">
        <v>0.48438599999999998</v>
      </c>
      <c r="J1045">
        <v>5.3222399999999999</v>
      </c>
      <c r="K1045" s="2">
        <v>127895000</v>
      </c>
      <c r="L1045" s="1">
        <v>0</v>
      </c>
      <c r="M1045" s="1">
        <v>0</v>
      </c>
      <c r="N1045" s="1">
        <v>0</v>
      </c>
      <c r="O1045" s="2">
        <v>29016000</v>
      </c>
      <c r="P1045" s="2">
        <v>3999870</v>
      </c>
      <c r="Q1045" s="1">
        <v>-102400</v>
      </c>
      <c r="R1045" s="1">
        <v>408539</v>
      </c>
      <c r="S1045">
        <v>91.473200000000006</v>
      </c>
      <c r="T1045">
        <v>98.274000000000001</v>
      </c>
      <c r="U1045">
        <v>6.5799399999999997</v>
      </c>
      <c r="V1045">
        <v>0</v>
      </c>
      <c r="W1045">
        <v>0</v>
      </c>
      <c r="X1045">
        <v>2.0297900000000002</v>
      </c>
      <c r="Y1045">
        <v>1.72739</v>
      </c>
      <c r="Z1045">
        <v>0</v>
      </c>
      <c r="AA1045">
        <v>1.52627</v>
      </c>
      <c r="AB1045">
        <v>2.9635199999999999</v>
      </c>
      <c r="AC1045" s="2">
        <v>492045000</v>
      </c>
      <c r="AD1045" s="1">
        <v>0</v>
      </c>
      <c r="AE1045" s="1">
        <v>0</v>
      </c>
      <c r="AF1045" s="1">
        <v>0</v>
      </c>
      <c r="AG1045" s="2">
        <v>7883220</v>
      </c>
      <c r="AH1045" s="2">
        <v>5251540</v>
      </c>
      <c r="AI1045" s="1">
        <v>928058</v>
      </c>
      <c r="AJ1045" s="1">
        <v>0</v>
      </c>
      <c r="AK1045" s="8">
        <f t="shared" si="67"/>
        <v>4</v>
      </c>
      <c r="AL1045" s="8">
        <f t="shared" si="66"/>
        <v>21</v>
      </c>
      <c r="AM1045">
        <f t="shared" si="64"/>
        <v>0</v>
      </c>
      <c r="AN1045">
        <f t="shared" si="65"/>
        <v>0</v>
      </c>
    </row>
    <row r="1046" spans="1:40" x14ac:dyDescent="0.35">
      <c r="A1046">
        <v>68.363399999999999</v>
      </c>
      <c r="B1046">
        <v>85.138999999999996</v>
      </c>
      <c r="C1046">
        <v>3.9211399999999998</v>
      </c>
      <c r="D1046">
        <v>0.02</v>
      </c>
      <c r="E1046">
        <v>0</v>
      </c>
      <c r="F1046">
        <v>2.6758600000000001</v>
      </c>
      <c r="G1046">
        <v>2.9782600000000001</v>
      </c>
      <c r="H1046">
        <v>0</v>
      </c>
      <c r="I1046">
        <v>0.50139699999999998</v>
      </c>
      <c r="J1046">
        <v>5.3222399999999999</v>
      </c>
      <c r="K1046" s="2">
        <v>127793000</v>
      </c>
      <c r="L1046" s="1">
        <v>0</v>
      </c>
      <c r="M1046" s="1">
        <v>0</v>
      </c>
      <c r="N1046" s="1">
        <v>0</v>
      </c>
      <c r="O1046" s="1">
        <v>0</v>
      </c>
      <c r="P1046" s="2">
        <v>4000340</v>
      </c>
      <c r="Q1046" s="1">
        <v>-102368</v>
      </c>
      <c r="R1046" s="1">
        <v>408539</v>
      </c>
      <c r="S1046">
        <v>92.125900000000001</v>
      </c>
      <c r="T1046">
        <v>98.274000000000001</v>
      </c>
      <c r="U1046">
        <v>5.2520499999999997</v>
      </c>
      <c r="V1046">
        <v>0</v>
      </c>
      <c r="W1046">
        <v>0</v>
      </c>
      <c r="X1046">
        <v>2.0299700000000001</v>
      </c>
      <c r="Y1046">
        <v>1.7275700000000001</v>
      </c>
      <c r="Z1046">
        <v>0</v>
      </c>
      <c r="AA1046">
        <v>1.5682100000000001</v>
      </c>
      <c r="AB1046">
        <v>2.9635199999999999</v>
      </c>
      <c r="AC1046" s="2">
        <v>492973000</v>
      </c>
      <c r="AD1046" s="1">
        <v>0</v>
      </c>
      <c r="AE1046" s="1">
        <v>0</v>
      </c>
      <c r="AF1046" s="1">
        <v>0</v>
      </c>
      <c r="AG1046" s="1">
        <v>0</v>
      </c>
      <c r="AH1046" s="2">
        <v>5252010</v>
      </c>
      <c r="AI1046" s="1">
        <v>928074</v>
      </c>
      <c r="AJ1046" s="1">
        <v>0</v>
      </c>
      <c r="AK1046" s="8">
        <f t="shared" si="67"/>
        <v>5</v>
      </c>
      <c r="AL1046" s="8">
        <f t="shared" si="66"/>
        <v>21</v>
      </c>
      <c r="AM1046">
        <f t="shared" si="64"/>
        <v>0</v>
      </c>
      <c r="AN1046">
        <f t="shared" si="65"/>
        <v>0</v>
      </c>
    </row>
    <row r="1047" spans="1:40" x14ac:dyDescent="0.35">
      <c r="A1047">
        <v>68.4619</v>
      </c>
      <c r="B1047">
        <v>85.138999999999996</v>
      </c>
      <c r="C1047">
        <v>3.1426699999999999</v>
      </c>
      <c r="D1047">
        <v>0.03</v>
      </c>
      <c r="E1047">
        <v>0</v>
      </c>
      <c r="F1047">
        <v>2.6761699999999999</v>
      </c>
      <c r="G1047">
        <v>2.9785699999999999</v>
      </c>
      <c r="H1047">
        <v>0</v>
      </c>
      <c r="I1047">
        <v>0.50145600000000001</v>
      </c>
      <c r="J1047">
        <v>5.3222399999999999</v>
      </c>
      <c r="K1047" s="2">
        <v>127691000</v>
      </c>
      <c r="L1047" s="1">
        <v>0</v>
      </c>
      <c r="M1047" s="1">
        <v>0</v>
      </c>
      <c r="N1047" s="1">
        <v>0</v>
      </c>
      <c r="O1047" s="1">
        <v>0</v>
      </c>
      <c r="P1047" s="2">
        <v>4000810</v>
      </c>
      <c r="Q1047" s="1">
        <v>-102336</v>
      </c>
      <c r="R1047" s="1">
        <v>408539</v>
      </c>
      <c r="S1047">
        <v>92.500500000000002</v>
      </c>
      <c r="T1047">
        <v>98.274000000000001</v>
      </c>
      <c r="U1047">
        <v>4.36029</v>
      </c>
      <c r="V1047">
        <v>0</v>
      </c>
      <c r="W1047">
        <v>0</v>
      </c>
      <c r="X1047">
        <v>2.0301499999999999</v>
      </c>
      <c r="Y1047">
        <v>1.7277499999999999</v>
      </c>
      <c r="Z1047">
        <v>0</v>
      </c>
      <c r="AA1047">
        <v>1.5683499999999999</v>
      </c>
      <c r="AB1047">
        <v>2.9635199999999999</v>
      </c>
      <c r="AC1047" s="2">
        <v>493901000</v>
      </c>
      <c r="AD1047" s="1">
        <v>0</v>
      </c>
      <c r="AE1047" s="1">
        <v>0</v>
      </c>
      <c r="AF1047" s="1">
        <v>0</v>
      </c>
      <c r="AG1047" s="1">
        <v>0</v>
      </c>
      <c r="AH1047" s="2">
        <v>5252480</v>
      </c>
      <c r="AI1047" s="1">
        <v>928089</v>
      </c>
      <c r="AJ1047" s="1">
        <v>0</v>
      </c>
      <c r="AK1047" s="8">
        <f t="shared" si="67"/>
        <v>6</v>
      </c>
      <c r="AL1047" s="8">
        <f t="shared" si="66"/>
        <v>21</v>
      </c>
      <c r="AM1047">
        <f t="shared" si="64"/>
        <v>0</v>
      </c>
      <c r="AN1047">
        <f t="shared" si="65"/>
        <v>0</v>
      </c>
    </row>
    <row r="1048" spans="1:40" x14ac:dyDescent="0.35">
      <c r="A1048">
        <v>68.288200000000003</v>
      </c>
      <c r="B1048">
        <v>85.138999999999996</v>
      </c>
      <c r="C1048">
        <v>2.8626200000000002</v>
      </c>
      <c r="D1048">
        <v>0.04</v>
      </c>
      <c r="E1048">
        <v>0</v>
      </c>
      <c r="F1048">
        <v>2.6764800000000002</v>
      </c>
      <c r="G1048">
        <v>2.9788800000000002</v>
      </c>
      <c r="H1048">
        <v>0</v>
      </c>
      <c r="I1048">
        <v>0.50151400000000002</v>
      </c>
      <c r="J1048">
        <v>5.3222399999999999</v>
      </c>
      <c r="K1048" s="2">
        <v>127588000</v>
      </c>
      <c r="L1048" s="1">
        <v>0</v>
      </c>
      <c r="M1048" s="1">
        <v>0</v>
      </c>
      <c r="N1048" s="1">
        <v>0</v>
      </c>
      <c r="O1048" s="1">
        <v>0</v>
      </c>
      <c r="P1048" s="2">
        <v>4001270</v>
      </c>
      <c r="Q1048" s="1">
        <v>-102304</v>
      </c>
      <c r="R1048" s="1">
        <v>408539</v>
      </c>
      <c r="S1048">
        <v>92.961100000000002</v>
      </c>
      <c r="T1048">
        <v>98.274000000000001</v>
      </c>
      <c r="U1048">
        <v>4.1618199999999996</v>
      </c>
      <c r="V1048">
        <v>0</v>
      </c>
      <c r="W1048">
        <v>0</v>
      </c>
      <c r="X1048">
        <v>2.0303300000000002</v>
      </c>
      <c r="Y1048">
        <v>1.72793</v>
      </c>
      <c r="Z1048">
        <v>0</v>
      </c>
      <c r="AA1048">
        <v>1.5684899999999999</v>
      </c>
      <c r="AB1048">
        <v>2.9635199999999999</v>
      </c>
      <c r="AC1048" s="2">
        <v>494829000</v>
      </c>
      <c r="AD1048" s="1">
        <v>0</v>
      </c>
      <c r="AE1048" s="1">
        <v>0</v>
      </c>
      <c r="AF1048" s="1">
        <v>0</v>
      </c>
      <c r="AG1048" s="1">
        <v>0</v>
      </c>
      <c r="AH1048" s="2">
        <v>5252950</v>
      </c>
      <c r="AI1048" s="1">
        <v>928104</v>
      </c>
      <c r="AJ1048" s="1">
        <v>0</v>
      </c>
      <c r="AK1048" s="8">
        <f t="shared" si="67"/>
        <v>7</v>
      </c>
      <c r="AL1048" s="8">
        <f t="shared" si="66"/>
        <v>21</v>
      </c>
      <c r="AM1048">
        <f t="shared" si="64"/>
        <v>0</v>
      </c>
      <c r="AN1048">
        <f t="shared" si="65"/>
        <v>0</v>
      </c>
    </row>
    <row r="1049" spans="1:40" x14ac:dyDescent="0.35">
      <c r="A1049">
        <v>67.155000000000001</v>
      </c>
      <c r="B1049">
        <v>85.138999999999996</v>
      </c>
      <c r="C1049">
        <v>2.10331</v>
      </c>
      <c r="D1049">
        <v>0.04</v>
      </c>
      <c r="E1049">
        <v>0</v>
      </c>
      <c r="F1049">
        <v>2.9673799999999999</v>
      </c>
      <c r="G1049">
        <v>3.2697799999999999</v>
      </c>
      <c r="H1049">
        <v>0</v>
      </c>
      <c r="I1049">
        <v>0.50157300000000005</v>
      </c>
      <c r="J1049">
        <v>5.3222399999999999</v>
      </c>
      <c r="K1049" s="2">
        <v>127516000</v>
      </c>
      <c r="L1049" s="1">
        <v>0</v>
      </c>
      <c r="M1049" s="1">
        <v>0</v>
      </c>
      <c r="N1049" s="1">
        <v>0</v>
      </c>
      <c r="O1049" s="1">
        <v>0</v>
      </c>
      <c r="P1049" s="2">
        <v>4436150</v>
      </c>
      <c r="Q1049" s="1">
        <v>-72399.100000000006</v>
      </c>
      <c r="R1049" s="1">
        <v>408539</v>
      </c>
      <c r="S1049">
        <v>93.568600000000004</v>
      </c>
      <c r="T1049">
        <v>98.274000000000001</v>
      </c>
      <c r="U1049">
        <v>4.1749299999999998</v>
      </c>
      <c r="V1049">
        <v>0</v>
      </c>
      <c r="W1049">
        <v>0</v>
      </c>
      <c r="X1049">
        <v>2.2336999999999998</v>
      </c>
      <c r="Y1049">
        <v>1.9313</v>
      </c>
      <c r="Z1049">
        <v>0</v>
      </c>
      <c r="AA1049">
        <v>1.56863</v>
      </c>
      <c r="AB1049">
        <v>2.9635199999999999</v>
      </c>
      <c r="AC1049" s="2">
        <v>495774000</v>
      </c>
      <c r="AD1049" s="1">
        <v>0</v>
      </c>
      <c r="AE1049" s="1">
        <v>0</v>
      </c>
      <c r="AF1049" s="1">
        <v>0</v>
      </c>
      <c r="AG1049" s="1">
        <v>0</v>
      </c>
      <c r="AH1049" s="2">
        <v>5779120</v>
      </c>
      <c r="AI1049" s="1">
        <v>945255</v>
      </c>
      <c r="AJ1049" s="1">
        <v>0</v>
      </c>
      <c r="AK1049" s="8">
        <f t="shared" si="67"/>
        <v>8</v>
      </c>
      <c r="AL1049" s="8">
        <f t="shared" si="66"/>
        <v>21</v>
      </c>
      <c r="AM1049">
        <f t="shared" si="64"/>
        <v>0</v>
      </c>
      <c r="AN1049">
        <f t="shared" si="65"/>
        <v>0</v>
      </c>
    </row>
    <row r="1050" spans="1:40" x14ac:dyDescent="0.35">
      <c r="A1050">
        <v>68.255399999999995</v>
      </c>
      <c r="B1050">
        <v>85.138999999999996</v>
      </c>
      <c r="C1050">
        <v>4.4566699999999999</v>
      </c>
      <c r="D1050">
        <v>0.04</v>
      </c>
      <c r="E1050">
        <v>0</v>
      </c>
      <c r="F1050">
        <v>2.9677199999999999</v>
      </c>
      <c r="G1050">
        <v>3.2701199999999999</v>
      </c>
      <c r="H1050">
        <v>0</v>
      </c>
      <c r="I1050">
        <v>0.556087</v>
      </c>
      <c r="J1050">
        <v>5.3222399999999999</v>
      </c>
      <c r="K1050" s="2">
        <v>127444000</v>
      </c>
      <c r="L1050" s="1">
        <v>0</v>
      </c>
      <c r="M1050" s="1">
        <v>0</v>
      </c>
      <c r="N1050" s="1">
        <v>0</v>
      </c>
      <c r="O1050" s="1">
        <v>0</v>
      </c>
      <c r="P1050" s="2">
        <v>4436670</v>
      </c>
      <c r="Q1050" s="1">
        <v>-72363.8</v>
      </c>
      <c r="R1050" s="1">
        <v>408539</v>
      </c>
      <c r="S1050">
        <v>94.343000000000004</v>
      </c>
      <c r="T1050">
        <v>98.274000000000001</v>
      </c>
      <c r="U1050">
        <v>4.8273799999999998</v>
      </c>
      <c r="V1050">
        <v>0</v>
      </c>
      <c r="W1050">
        <v>0</v>
      </c>
      <c r="X1050">
        <v>2.2339000000000002</v>
      </c>
      <c r="Y1050">
        <v>1.9315</v>
      </c>
      <c r="Z1050">
        <v>0</v>
      </c>
      <c r="AA1050">
        <v>1.72576</v>
      </c>
      <c r="AB1050">
        <v>2.9635199999999999</v>
      </c>
      <c r="AC1050" s="2">
        <v>496719000</v>
      </c>
      <c r="AD1050" s="1">
        <v>0</v>
      </c>
      <c r="AE1050" s="1">
        <v>0</v>
      </c>
      <c r="AF1050" s="1">
        <v>0</v>
      </c>
      <c r="AG1050" s="1">
        <v>0</v>
      </c>
      <c r="AH1050" s="2">
        <v>5779640</v>
      </c>
      <c r="AI1050" s="1">
        <v>945272</v>
      </c>
      <c r="AJ1050" s="1">
        <v>0</v>
      </c>
      <c r="AK1050" s="8">
        <f t="shared" si="67"/>
        <v>9</v>
      </c>
      <c r="AL1050" s="8">
        <f t="shared" si="66"/>
        <v>21</v>
      </c>
      <c r="AM1050">
        <f t="shared" si="64"/>
        <v>0</v>
      </c>
      <c r="AN1050">
        <f t="shared" si="65"/>
        <v>0</v>
      </c>
    </row>
    <row r="1051" spans="1:40" x14ac:dyDescent="0.35">
      <c r="A1051">
        <v>67.295100000000005</v>
      </c>
      <c r="B1051">
        <v>85.138999999999996</v>
      </c>
      <c r="C1051">
        <v>2.2839200000000002</v>
      </c>
      <c r="D1051">
        <v>0.04</v>
      </c>
      <c r="E1051">
        <v>0</v>
      </c>
      <c r="F1051">
        <v>2.9680599999999999</v>
      </c>
      <c r="G1051">
        <v>3.2704599999999999</v>
      </c>
      <c r="H1051">
        <v>0</v>
      </c>
      <c r="I1051">
        <v>0.55615099999999995</v>
      </c>
      <c r="J1051">
        <v>5.3222399999999999</v>
      </c>
      <c r="K1051" s="2">
        <v>127371000</v>
      </c>
      <c r="L1051" s="1">
        <v>0</v>
      </c>
      <c r="M1051" s="1">
        <v>0</v>
      </c>
      <c r="N1051" s="1">
        <v>0</v>
      </c>
      <c r="O1051" s="1">
        <v>0</v>
      </c>
      <c r="P1051" s="2">
        <v>4437180</v>
      </c>
      <c r="Q1051" s="1">
        <v>-72328.600000000006</v>
      </c>
      <c r="R1051" s="1">
        <v>408539</v>
      </c>
      <c r="S1051">
        <v>94.116500000000002</v>
      </c>
      <c r="T1051">
        <v>98.274000000000001</v>
      </c>
      <c r="U1051">
        <v>2.8834200000000001</v>
      </c>
      <c r="V1051">
        <v>0</v>
      </c>
      <c r="W1051">
        <v>0</v>
      </c>
      <c r="X1051">
        <v>2.2341099999999998</v>
      </c>
      <c r="Y1051">
        <v>1.93171</v>
      </c>
      <c r="Z1051">
        <v>0</v>
      </c>
      <c r="AA1051">
        <v>1.7259100000000001</v>
      </c>
      <c r="AB1051">
        <v>2.9635199999999999</v>
      </c>
      <c r="AC1051" s="2">
        <v>497665000</v>
      </c>
      <c r="AD1051" s="1">
        <v>0</v>
      </c>
      <c r="AE1051" s="1">
        <v>0</v>
      </c>
      <c r="AF1051" s="1">
        <v>0</v>
      </c>
      <c r="AG1051" s="1">
        <v>0</v>
      </c>
      <c r="AH1051" s="2">
        <v>5780160</v>
      </c>
      <c r="AI1051" s="1">
        <v>945289</v>
      </c>
      <c r="AJ1051" s="1">
        <v>0</v>
      </c>
      <c r="AK1051" s="8">
        <f t="shared" si="67"/>
        <v>10</v>
      </c>
      <c r="AL1051" s="8">
        <f t="shared" si="66"/>
        <v>21</v>
      </c>
      <c r="AM1051">
        <f t="shared" si="64"/>
        <v>0</v>
      </c>
      <c r="AN1051">
        <f t="shared" si="65"/>
        <v>0</v>
      </c>
    </row>
    <row r="1052" spans="1:40" x14ac:dyDescent="0.35">
      <c r="A1052">
        <v>66.068600000000004</v>
      </c>
      <c r="B1052">
        <v>85.138999999999996</v>
      </c>
      <c r="C1052">
        <v>1.9239999999999999</v>
      </c>
      <c r="D1052">
        <v>0.04</v>
      </c>
      <c r="E1052">
        <v>0</v>
      </c>
      <c r="F1052">
        <v>2.96841</v>
      </c>
      <c r="G1052">
        <v>3.27081</v>
      </c>
      <c r="H1052">
        <v>0</v>
      </c>
      <c r="I1052">
        <v>0.55621500000000001</v>
      </c>
      <c r="J1052">
        <v>5.3222399999999999</v>
      </c>
      <c r="K1052" s="2">
        <v>127299000</v>
      </c>
      <c r="L1052" s="1">
        <v>0</v>
      </c>
      <c r="M1052" s="1">
        <v>0</v>
      </c>
      <c r="N1052" s="1">
        <v>0</v>
      </c>
      <c r="O1052" s="1">
        <v>0</v>
      </c>
      <c r="P1052" s="2">
        <v>4437690</v>
      </c>
      <c r="Q1052" s="1">
        <v>-72293.3</v>
      </c>
      <c r="R1052" s="1">
        <v>408539</v>
      </c>
      <c r="S1052">
        <v>94.107100000000003</v>
      </c>
      <c r="T1052">
        <v>98.274000000000001</v>
      </c>
      <c r="U1052">
        <v>2.40856</v>
      </c>
      <c r="V1052">
        <v>0</v>
      </c>
      <c r="W1052">
        <v>0</v>
      </c>
      <c r="X1052">
        <v>2.2343099999999998</v>
      </c>
      <c r="Y1052">
        <v>1.93191</v>
      </c>
      <c r="Z1052">
        <v>0</v>
      </c>
      <c r="AA1052">
        <v>1.72607</v>
      </c>
      <c r="AB1052">
        <v>2.9635199999999999</v>
      </c>
      <c r="AC1052" s="2">
        <v>498610000</v>
      </c>
      <c r="AD1052" s="1">
        <v>0</v>
      </c>
      <c r="AE1052" s="1">
        <v>0</v>
      </c>
      <c r="AF1052" s="1">
        <v>0</v>
      </c>
      <c r="AG1052" s="1">
        <v>0</v>
      </c>
      <c r="AH1052" s="2">
        <v>5780690</v>
      </c>
      <c r="AI1052" s="1">
        <v>945306</v>
      </c>
      <c r="AJ1052" s="1">
        <v>0</v>
      </c>
      <c r="AK1052" s="8">
        <f t="shared" si="67"/>
        <v>11</v>
      </c>
      <c r="AL1052" s="8">
        <f t="shared" si="66"/>
        <v>21</v>
      </c>
      <c r="AM1052">
        <f t="shared" si="64"/>
        <v>0</v>
      </c>
      <c r="AN1052">
        <f t="shared" si="65"/>
        <v>0</v>
      </c>
    </row>
    <row r="1053" spans="1:40" x14ac:dyDescent="0.35">
      <c r="A1053">
        <v>70.517099999999999</v>
      </c>
      <c r="B1053">
        <v>85.138999999999996</v>
      </c>
      <c r="C1053">
        <v>7.5459199999999997</v>
      </c>
      <c r="D1053">
        <v>0.03</v>
      </c>
      <c r="E1053">
        <v>0</v>
      </c>
      <c r="F1053">
        <v>2.5541100000000001</v>
      </c>
      <c r="G1053">
        <v>2.8565100000000001</v>
      </c>
      <c r="H1053">
        <v>0</v>
      </c>
      <c r="I1053">
        <v>0.55627899999999997</v>
      </c>
      <c r="J1053">
        <v>5.3222399999999999</v>
      </c>
      <c r="K1053" s="2">
        <v>127184000</v>
      </c>
      <c r="L1053" s="1">
        <v>0</v>
      </c>
      <c r="M1053" s="1">
        <v>0</v>
      </c>
      <c r="N1053" s="1">
        <v>0</v>
      </c>
      <c r="O1053" s="1">
        <v>0</v>
      </c>
      <c r="P1053" s="2">
        <v>3818330</v>
      </c>
      <c r="Q1053" s="1">
        <v>-114884</v>
      </c>
      <c r="R1053" s="1">
        <v>408539</v>
      </c>
      <c r="S1053">
        <v>95.046300000000002</v>
      </c>
      <c r="T1053">
        <v>98.274000000000001</v>
      </c>
      <c r="U1053">
        <v>6.1024900000000004</v>
      </c>
      <c r="V1053">
        <v>0</v>
      </c>
      <c r="W1053">
        <v>0</v>
      </c>
      <c r="X1053">
        <v>1.9617100000000001</v>
      </c>
      <c r="Y1053">
        <v>1.6593100000000001</v>
      </c>
      <c r="Z1053">
        <v>0</v>
      </c>
      <c r="AA1053">
        <v>1.7262299999999999</v>
      </c>
      <c r="AB1053">
        <v>2.9635199999999999</v>
      </c>
      <c r="AC1053" s="2">
        <v>499532000</v>
      </c>
      <c r="AD1053" s="1">
        <v>0</v>
      </c>
      <c r="AE1053" s="1">
        <v>0</v>
      </c>
      <c r="AF1053" s="1">
        <v>0</v>
      </c>
      <c r="AG1053" s="1">
        <v>0</v>
      </c>
      <c r="AH1053" s="2">
        <v>5075420</v>
      </c>
      <c r="AI1053" s="1">
        <v>922317</v>
      </c>
      <c r="AJ1053" s="1">
        <v>0</v>
      </c>
      <c r="AK1053" s="8">
        <f t="shared" si="67"/>
        <v>12</v>
      </c>
      <c r="AL1053" s="8">
        <f t="shared" si="66"/>
        <v>21</v>
      </c>
      <c r="AM1053">
        <f t="shared" si="64"/>
        <v>0</v>
      </c>
      <c r="AN1053">
        <f t="shared" si="65"/>
        <v>0</v>
      </c>
    </row>
    <row r="1054" spans="1:40" x14ac:dyDescent="0.35">
      <c r="A1054">
        <v>72.531700000000001</v>
      </c>
      <c r="B1054">
        <v>85.138999999999996</v>
      </c>
      <c r="C1054">
        <v>5.0833500000000003</v>
      </c>
      <c r="D1054">
        <v>0.02</v>
      </c>
      <c r="E1054">
        <v>0</v>
      </c>
      <c r="F1054">
        <v>2.5544099999999998</v>
      </c>
      <c r="G1054">
        <v>2.8568099999999998</v>
      </c>
      <c r="H1054">
        <v>0</v>
      </c>
      <c r="I1054">
        <v>0.47864000000000001</v>
      </c>
      <c r="J1054">
        <v>5.3222399999999999</v>
      </c>
      <c r="K1054" s="2">
        <v>127069000</v>
      </c>
      <c r="L1054" s="1">
        <v>0</v>
      </c>
      <c r="M1054" s="1">
        <v>0</v>
      </c>
      <c r="N1054" s="1">
        <v>0</v>
      </c>
      <c r="O1054" s="1">
        <v>0</v>
      </c>
      <c r="P1054" s="2">
        <v>3818780</v>
      </c>
      <c r="Q1054" s="1">
        <v>-114853</v>
      </c>
      <c r="R1054" s="1">
        <v>408539</v>
      </c>
      <c r="S1054">
        <v>96.104699999999994</v>
      </c>
      <c r="T1054">
        <v>98.274000000000001</v>
      </c>
      <c r="U1054">
        <v>5.73353</v>
      </c>
      <c r="V1054">
        <v>0</v>
      </c>
      <c r="W1054">
        <v>0</v>
      </c>
      <c r="X1054">
        <v>1.9618899999999999</v>
      </c>
      <c r="Y1054">
        <v>1.6594899999999999</v>
      </c>
      <c r="Z1054">
        <v>0</v>
      </c>
      <c r="AA1054">
        <v>1.51562</v>
      </c>
      <c r="AB1054">
        <v>2.9635199999999999</v>
      </c>
      <c r="AC1054" s="2">
        <v>500455000</v>
      </c>
      <c r="AD1054" s="1">
        <v>0</v>
      </c>
      <c r="AE1054" s="1">
        <v>0</v>
      </c>
      <c r="AF1054" s="1">
        <v>0</v>
      </c>
      <c r="AG1054" s="1">
        <v>0</v>
      </c>
      <c r="AH1054" s="2">
        <v>5075870</v>
      </c>
      <c r="AI1054" s="1">
        <v>922332</v>
      </c>
      <c r="AJ1054" s="1">
        <v>0</v>
      </c>
      <c r="AK1054" s="8">
        <f t="shared" si="67"/>
        <v>13</v>
      </c>
      <c r="AL1054" s="8">
        <f t="shared" si="66"/>
        <v>21</v>
      </c>
      <c r="AM1054">
        <f t="shared" si="64"/>
        <v>0</v>
      </c>
      <c r="AN1054">
        <f t="shared" si="65"/>
        <v>0</v>
      </c>
    </row>
    <row r="1055" spans="1:40" x14ac:dyDescent="0.35">
      <c r="A1055">
        <v>73.463499999999996</v>
      </c>
      <c r="B1055">
        <v>85.138999999999996</v>
      </c>
      <c r="C1055">
        <v>3.9908000000000001</v>
      </c>
      <c r="D1055">
        <v>0.03</v>
      </c>
      <c r="E1055">
        <v>0</v>
      </c>
      <c r="F1055">
        <v>2.55471</v>
      </c>
      <c r="G1055">
        <v>2.85711</v>
      </c>
      <c r="H1055">
        <v>0</v>
      </c>
      <c r="I1055">
        <v>0.47869600000000001</v>
      </c>
      <c r="J1055">
        <v>5.3222399999999999</v>
      </c>
      <c r="K1055" s="2">
        <v>126954000</v>
      </c>
      <c r="L1055" s="1">
        <v>0</v>
      </c>
      <c r="M1055" s="1">
        <v>0</v>
      </c>
      <c r="N1055" s="1">
        <v>0</v>
      </c>
      <c r="O1055" s="1">
        <v>0</v>
      </c>
      <c r="P1055" s="2">
        <v>3819230</v>
      </c>
      <c r="Q1055" s="1">
        <v>-114822</v>
      </c>
      <c r="R1055" s="1">
        <v>408539</v>
      </c>
      <c r="S1055">
        <v>96.995999999999995</v>
      </c>
      <c r="T1055">
        <v>98.274000000000001</v>
      </c>
      <c r="U1055">
        <v>5.5108800000000002</v>
      </c>
      <c r="V1055">
        <v>0</v>
      </c>
      <c r="W1055">
        <v>0</v>
      </c>
      <c r="X1055">
        <v>1.9620599999999999</v>
      </c>
      <c r="Y1055">
        <v>1.6596599999999999</v>
      </c>
      <c r="Z1055">
        <v>0</v>
      </c>
      <c r="AA1055">
        <v>1.5157499999999999</v>
      </c>
      <c r="AB1055">
        <v>2.9635199999999999</v>
      </c>
      <c r="AC1055" s="2">
        <v>501377000</v>
      </c>
      <c r="AD1055" s="1">
        <v>0</v>
      </c>
      <c r="AE1055" s="1">
        <v>0</v>
      </c>
      <c r="AF1055" s="1">
        <v>0</v>
      </c>
      <c r="AG1055" s="1">
        <v>0</v>
      </c>
      <c r="AH1055" s="2">
        <v>5076320</v>
      </c>
      <c r="AI1055" s="1">
        <v>922347</v>
      </c>
      <c r="AJ1055" s="1">
        <v>0</v>
      </c>
      <c r="AK1055" s="8">
        <f t="shared" si="67"/>
        <v>14</v>
      </c>
      <c r="AL1055" s="8">
        <f t="shared" si="66"/>
        <v>21</v>
      </c>
      <c r="AM1055">
        <f t="shared" si="64"/>
        <v>0</v>
      </c>
      <c r="AN1055">
        <f t="shared" si="65"/>
        <v>0</v>
      </c>
    </row>
    <row r="1056" spans="1:40" x14ac:dyDescent="0.35">
      <c r="A1056">
        <v>75.145799999999994</v>
      </c>
      <c r="B1056">
        <v>85.138999999999996</v>
      </c>
      <c r="C1056">
        <v>4.7612100000000002</v>
      </c>
      <c r="D1056">
        <v>0.03</v>
      </c>
      <c r="E1056">
        <v>0</v>
      </c>
      <c r="F1056">
        <v>2.5550099999999998</v>
      </c>
      <c r="G1056">
        <v>2.8574099999999998</v>
      </c>
      <c r="H1056">
        <v>0</v>
      </c>
      <c r="I1056">
        <v>0.47875200000000001</v>
      </c>
      <c r="J1056">
        <v>5.3222399999999999</v>
      </c>
      <c r="K1056" s="2">
        <v>126840000</v>
      </c>
      <c r="L1056" s="1">
        <v>0</v>
      </c>
      <c r="M1056" s="1">
        <v>0</v>
      </c>
      <c r="N1056" s="1">
        <v>0</v>
      </c>
      <c r="O1056" s="1">
        <v>0</v>
      </c>
      <c r="P1056" s="2">
        <v>3819670</v>
      </c>
      <c r="Q1056" s="1">
        <v>-114791</v>
      </c>
      <c r="R1056" s="1">
        <v>408539</v>
      </c>
      <c r="S1056">
        <v>97.820899999999995</v>
      </c>
      <c r="T1056">
        <v>98.274000000000001</v>
      </c>
      <c r="U1056">
        <v>5.0541400000000003</v>
      </c>
      <c r="V1056">
        <v>0</v>
      </c>
      <c r="W1056">
        <v>0</v>
      </c>
      <c r="X1056">
        <v>1.96224</v>
      </c>
      <c r="Y1056">
        <v>1.65984</v>
      </c>
      <c r="Z1056">
        <v>0</v>
      </c>
      <c r="AA1056">
        <v>1.51589</v>
      </c>
      <c r="AB1056">
        <v>2.9635199999999999</v>
      </c>
      <c r="AC1056" s="2">
        <v>502299000</v>
      </c>
      <c r="AD1056" s="1">
        <v>0</v>
      </c>
      <c r="AE1056" s="1">
        <v>0</v>
      </c>
      <c r="AF1056" s="1">
        <v>0</v>
      </c>
      <c r="AG1056" s="1">
        <v>0</v>
      </c>
      <c r="AH1056" s="2">
        <v>5076770</v>
      </c>
      <c r="AI1056" s="1">
        <v>922361</v>
      </c>
      <c r="AJ1056" s="1">
        <v>0</v>
      </c>
      <c r="AK1056" s="8">
        <f t="shared" si="67"/>
        <v>15</v>
      </c>
      <c r="AL1056" s="8">
        <f t="shared" si="66"/>
        <v>21</v>
      </c>
      <c r="AM1056">
        <f t="shared" si="64"/>
        <v>0</v>
      </c>
      <c r="AN1056">
        <f t="shared" si="65"/>
        <v>0</v>
      </c>
    </row>
    <row r="1057" spans="1:40" x14ac:dyDescent="0.35">
      <c r="A1057">
        <v>77.163399999999996</v>
      </c>
      <c r="B1057">
        <v>85.138999999999996</v>
      </c>
      <c r="C1057">
        <v>5.1455000000000002</v>
      </c>
      <c r="D1057">
        <v>0.01</v>
      </c>
      <c r="E1057">
        <v>0</v>
      </c>
      <c r="F1057">
        <v>2.55531</v>
      </c>
      <c r="G1057">
        <v>2.85771</v>
      </c>
      <c r="H1057">
        <v>0</v>
      </c>
      <c r="I1057">
        <v>0.47880899999999998</v>
      </c>
      <c r="J1057">
        <v>5.3222399999999999</v>
      </c>
      <c r="K1057" s="2">
        <v>126725000</v>
      </c>
      <c r="L1057" s="1">
        <v>0</v>
      </c>
      <c r="M1057" s="1">
        <v>0</v>
      </c>
      <c r="N1057" s="1">
        <v>0</v>
      </c>
      <c r="O1057" s="1">
        <v>0</v>
      </c>
      <c r="P1057" s="2">
        <v>3820120</v>
      </c>
      <c r="Q1057" s="1">
        <v>-114761</v>
      </c>
      <c r="R1057" s="1">
        <v>408539</v>
      </c>
      <c r="S1057">
        <v>98.703100000000006</v>
      </c>
      <c r="T1057">
        <v>98.274000000000001</v>
      </c>
      <c r="U1057">
        <v>5.6117800000000004</v>
      </c>
      <c r="V1057">
        <v>0</v>
      </c>
      <c r="W1057">
        <v>0</v>
      </c>
      <c r="X1057">
        <v>1.96241</v>
      </c>
      <c r="Y1057">
        <v>1.66001</v>
      </c>
      <c r="Z1057">
        <v>0</v>
      </c>
      <c r="AA1057">
        <v>1.5160199999999999</v>
      </c>
      <c r="AB1057">
        <v>2.9635199999999999</v>
      </c>
      <c r="AC1057" s="2">
        <v>503222000</v>
      </c>
      <c r="AD1057" s="1">
        <v>0</v>
      </c>
      <c r="AE1057" s="1">
        <v>0</v>
      </c>
      <c r="AF1057" s="1">
        <v>0</v>
      </c>
      <c r="AG1057" s="1">
        <v>0</v>
      </c>
      <c r="AH1057" s="2">
        <v>5077220</v>
      </c>
      <c r="AI1057" s="1">
        <v>922376</v>
      </c>
      <c r="AJ1057" s="1">
        <v>0</v>
      </c>
      <c r="AK1057" s="8">
        <f t="shared" si="67"/>
        <v>16</v>
      </c>
      <c r="AL1057" s="8">
        <f t="shared" si="66"/>
        <v>21</v>
      </c>
      <c r="AM1057">
        <f t="shared" si="64"/>
        <v>0</v>
      </c>
      <c r="AN1057">
        <f t="shared" si="65"/>
        <v>0</v>
      </c>
    </row>
    <row r="1058" spans="1:40" x14ac:dyDescent="0.35">
      <c r="A1058">
        <v>80.394300000000001</v>
      </c>
      <c r="B1058">
        <v>85.138999999999996</v>
      </c>
      <c r="C1058">
        <v>6.8143099999999999</v>
      </c>
      <c r="D1058">
        <v>0</v>
      </c>
      <c r="E1058">
        <v>0</v>
      </c>
      <c r="F1058">
        <v>2.9624299999999999</v>
      </c>
      <c r="G1058">
        <v>2.9624299999999999</v>
      </c>
      <c r="H1058">
        <v>0</v>
      </c>
      <c r="I1058">
        <v>0.47886499999999999</v>
      </c>
      <c r="J1058">
        <v>5.3222399999999999</v>
      </c>
      <c r="K1058" s="2">
        <v>127029000</v>
      </c>
      <c r="L1058" s="1">
        <v>0</v>
      </c>
      <c r="M1058" s="1">
        <v>0</v>
      </c>
      <c r="N1058" s="1">
        <v>0</v>
      </c>
      <c r="O1058" s="1">
        <v>0</v>
      </c>
      <c r="P1058" s="2">
        <v>4428760</v>
      </c>
      <c r="Q1058" s="1">
        <v>304544</v>
      </c>
      <c r="R1058" s="1">
        <v>0</v>
      </c>
      <c r="S1058">
        <v>99.302199999999999</v>
      </c>
      <c r="T1058">
        <v>98.274000000000001</v>
      </c>
      <c r="U1058">
        <v>7.6069500000000003</v>
      </c>
      <c r="V1058">
        <v>0</v>
      </c>
      <c r="W1058">
        <v>0</v>
      </c>
      <c r="X1058">
        <v>1.7269600000000001</v>
      </c>
      <c r="Y1058">
        <v>1.7269600000000001</v>
      </c>
      <c r="Z1058">
        <v>0</v>
      </c>
      <c r="AA1058">
        <v>1.51616</v>
      </c>
      <c r="AB1058">
        <v>2.9635199999999999</v>
      </c>
      <c r="AC1058" s="2">
        <v>503367000</v>
      </c>
      <c r="AD1058" s="1">
        <v>0</v>
      </c>
      <c r="AE1058" s="1">
        <v>0</v>
      </c>
      <c r="AF1058" s="1">
        <v>0</v>
      </c>
      <c r="AG1058" s="1">
        <v>0</v>
      </c>
      <c r="AH1058" s="2">
        <v>4468040</v>
      </c>
      <c r="AI1058" s="1">
        <v>145641</v>
      </c>
      <c r="AJ1058" s="1">
        <v>0</v>
      </c>
      <c r="AK1058" s="8">
        <f t="shared" si="67"/>
        <v>17</v>
      </c>
      <c r="AL1058" s="8">
        <f t="shared" si="66"/>
        <v>21</v>
      </c>
      <c r="AM1058">
        <f t="shared" si="64"/>
        <v>0</v>
      </c>
      <c r="AN1058">
        <f t="shared" si="65"/>
        <v>0</v>
      </c>
    </row>
    <row r="1059" spans="1:40" x14ac:dyDescent="0.35">
      <c r="A1059">
        <v>81.877300000000005</v>
      </c>
      <c r="B1059">
        <v>85.138999999999996</v>
      </c>
      <c r="C1059">
        <v>4.9496799999999999</v>
      </c>
      <c r="D1059">
        <v>0</v>
      </c>
      <c r="E1059">
        <v>0</v>
      </c>
      <c r="F1059">
        <v>2.9627400000000002</v>
      </c>
      <c r="G1059">
        <v>2.9627400000000002</v>
      </c>
      <c r="H1059">
        <v>0</v>
      </c>
      <c r="I1059">
        <v>0.55515999999999999</v>
      </c>
      <c r="J1059">
        <v>5.3222399999999999</v>
      </c>
      <c r="K1059" s="2">
        <v>127334000</v>
      </c>
      <c r="L1059" s="1">
        <v>0</v>
      </c>
      <c r="M1059" s="1">
        <v>0</v>
      </c>
      <c r="N1059" s="1">
        <v>0</v>
      </c>
      <c r="O1059" s="1">
        <v>0</v>
      </c>
      <c r="P1059" s="2">
        <v>4429230</v>
      </c>
      <c r="Q1059" s="1">
        <v>304576</v>
      </c>
      <c r="R1059" s="1">
        <v>0</v>
      </c>
      <c r="S1059">
        <v>99.302199999999999</v>
      </c>
      <c r="T1059">
        <v>98.274000000000001</v>
      </c>
      <c r="U1059">
        <v>5.4459999999999997</v>
      </c>
      <c r="V1059">
        <v>0</v>
      </c>
      <c r="W1059">
        <v>0</v>
      </c>
      <c r="X1059">
        <v>1.7271399999999999</v>
      </c>
      <c r="Y1059">
        <v>1.7271399999999999</v>
      </c>
      <c r="Z1059">
        <v>0</v>
      </c>
      <c r="AA1059">
        <v>1.3342499999999999</v>
      </c>
      <c r="AB1059">
        <v>2.9635199999999999</v>
      </c>
      <c r="AC1059" s="2">
        <v>503513000</v>
      </c>
      <c r="AD1059" s="1">
        <v>0</v>
      </c>
      <c r="AE1059" s="1">
        <v>0</v>
      </c>
      <c r="AF1059" s="1">
        <v>0</v>
      </c>
      <c r="AG1059" s="1">
        <v>0</v>
      </c>
      <c r="AH1059" s="2">
        <v>4468510</v>
      </c>
      <c r="AI1059" s="1">
        <v>145656</v>
      </c>
      <c r="AJ1059" s="1">
        <v>0</v>
      </c>
      <c r="AK1059" s="8">
        <f t="shared" si="67"/>
        <v>18</v>
      </c>
      <c r="AL1059" s="8">
        <f t="shared" si="66"/>
        <v>21</v>
      </c>
      <c r="AM1059">
        <f t="shared" si="64"/>
        <v>0</v>
      </c>
      <c r="AN1059">
        <f t="shared" si="65"/>
        <v>0</v>
      </c>
    </row>
    <row r="1060" spans="1:40" x14ac:dyDescent="0.35">
      <c r="A1060">
        <v>82.664299999999997</v>
      </c>
      <c r="B1060">
        <v>85.138999999999996</v>
      </c>
      <c r="C1060">
        <v>4.1930500000000004</v>
      </c>
      <c r="D1060">
        <v>0</v>
      </c>
      <c r="E1060">
        <v>0</v>
      </c>
      <c r="F1060">
        <v>2.96305</v>
      </c>
      <c r="G1060">
        <v>2.96305</v>
      </c>
      <c r="H1060">
        <v>0</v>
      </c>
      <c r="I1060">
        <v>0.55521799999999999</v>
      </c>
      <c r="J1060">
        <v>5.3222399999999999</v>
      </c>
      <c r="K1060" s="2">
        <v>127638000</v>
      </c>
      <c r="L1060" s="1">
        <v>0</v>
      </c>
      <c r="M1060" s="1">
        <v>0</v>
      </c>
      <c r="N1060" s="1">
        <v>0</v>
      </c>
      <c r="O1060" s="1">
        <v>0</v>
      </c>
      <c r="P1060" s="2">
        <v>4429690</v>
      </c>
      <c r="Q1060" s="1">
        <v>304608</v>
      </c>
      <c r="R1060" s="1">
        <v>0</v>
      </c>
      <c r="S1060">
        <v>99.302199999999999</v>
      </c>
      <c r="T1060">
        <v>98.274000000000001</v>
      </c>
      <c r="U1060">
        <v>4.5250399999999997</v>
      </c>
      <c r="V1060">
        <v>0</v>
      </c>
      <c r="W1060">
        <v>0</v>
      </c>
      <c r="X1060">
        <v>1.72732</v>
      </c>
      <c r="Y1060">
        <v>1.72732</v>
      </c>
      <c r="Z1060">
        <v>0</v>
      </c>
      <c r="AA1060">
        <v>1.33439</v>
      </c>
      <c r="AB1060">
        <v>2.9635199999999999</v>
      </c>
      <c r="AC1060" s="2">
        <v>503659000</v>
      </c>
      <c r="AD1060" s="1">
        <v>0</v>
      </c>
      <c r="AE1060" s="1">
        <v>0</v>
      </c>
      <c r="AF1060" s="1">
        <v>0</v>
      </c>
      <c r="AG1060" s="1">
        <v>0</v>
      </c>
      <c r="AH1060" s="2">
        <v>4468980</v>
      </c>
      <c r="AI1060" s="1">
        <v>145672</v>
      </c>
      <c r="AJ1060" s="1">
        <v>0</v>
      </c>
      <c r="AK1060" s="8">
        <f t="shared" si="67"/>
        <v>19</v>
      </c>
      <c r="AL1060" s="8">
        <f t="shared" si="66"/>
        <v>21</v>
      </c>
      <c r="AM1060">
        <f t="shared" si="64"/>
        <v>0</v>
      </c>
      <c r="AN1060">
        <f t="shared" si="65"/>
        <v>0</v>
      </c>
    </row>
    <row r="1061" spans="1:40" x14ac:dyDescent="0.35">
      <c r="A1061">
        <v>83.0822</v>
      </c>
      <c r="B1061">
        <v>85.138999999999996</v>
      </c>
      <c r="C1061">
        <v>3.8053300000000001</v>
      </c>
      <c r="D1061">
        <v>0</v>
      </c>
      <c r="E1061">
        <v>0</v>
      </c>
      <c r="F1061">
        <v>2.9633600000000002</v>
      </c>
      <c r="G1061">
        <v>2.9633600000000002</v>
      </c>
      <c r="H1061">
        <v>0</v>
      </c>
      <c r="I1061">
        <v>0.55527599999999999</v>
      </c>
      <c r="J1061">
        <v>5.3222399999999999</v>
      </c>
      <c r="K1061" s="2">
        <v>127943000</v>
      </c>
      <c r="L1061" s="1">
        <v>0</v>
      </c>
      <c r="M1061" s="1">
        <v>0</v>
      </c>
      <c r="N1061" s="1">
        <v>0</v>
      </c>
      <c r="O1061" s="1">
        <v>0</v>
      </c>
      <c r="P1061" s="2">
        <v>4430160</v>
      </c>
      <c r="Q1061" s="1">
        <v>304640</v>
      </c>
      <c r="R1061" s="1">
        <v>0</v>
      </c>
      <c r="S1061">
        <v>99.302199999999999</v>
      </c>
      <c r="T1061">
        <v>98.274000000000001</v>
      </c>
      <c r="U1061">
        <v>4.1104000000000003</v>
      </c>
      <c r="V1061">
        <v>0</v>
      </c>
      <c r="W1061">
        <v>0</v>
      </c>
      <c r="X1061">
        <v>1.7275</v>
      </c>
      <c r="Y1061">
        <v>1.7275</v>
      </c>
      <c r="Z1061">
        <v>0</v>
      </c>
      <c r="AA1061">
        <v>1.33453</v>
      </c>
      <c r="AB1061">
        <v>2.9635199999999999</v>
      </c>
      <c r="AC1061" s="2">
        <v>503804000</v>
      </c>
      <c r="AD1061" s="1">
        <v>0</v>
      </c>
      <c r="AE1061" s="1">
        <v>0</v>
      </c>
      <c r="AF1061" s="1">
        <v>0</v>
      </c>
      <c r="AG1061" s="1">
        <v>0</v>
      </c>
      <c r="AH1061" s="2">
        <v>4469450</v>
      </c>
      <c r="AI1061" s="1">
        <v>145687</v>
      </c>
      <c r="AJ1061" s="1">
        <v>0</v>
      </c>
      <c r="AK1061" s="8">
        <f t="shared" si="67"/>
        <v>20</v>
      </c>
      <c r="AL1061" s="8">
        <f t="shared" si="66"/>
        <v>21</v>
      </c>
      <c r="AM1061">
        <f t="shared" si="64"/>
        <v>0</v>
      </c>
      <c r="AN1061">
        <f t="shared" si="65"/>
        <v>0</v>
      </c>
    </row>
    <row r="1062" spans="1:40" x14ac:dyDescent="0.35">
      <c r="A1062">
        <v>83.408500000000004</v>
      </c>
      <c r="B1062">
        <v>85.138999999999996</v>
      </c>
      <c r="C1062">
        <v>3.60012</v>
      </c>
      <c r="D1062">
        <v>0</v>
      </c>
      <c r="E1062">
        <v>0</v>
      </c>
      <c r="F1062">
        <v>2.9228299999999998</v>
      </c>
      <c r="G1062">
        <v>2.9228299999999998</v>
      </c>
      <c r="H1062">
        <v>0</v>
      </c>
      <c r="I1062">
        <v>0.55533500000000002</v>
      </c>
      <c r="J1062">
        <v>5.3222399999999999</v>
      </c>
      <c r="K1062" s="2">
        <v>128244000</v>
      </c>
      <c r="L1062" s="1">
        <v>0</v>
      </c>
      <c r="M1062" s="1">
        <v>0</v>
      </c>
      <c r="N1062" s="1">
        <v>0</v>
      </c>
      <c r="O1062" s="1">
        <v>0</v>
      </c>
      <c r="P1062" s="2">
        <v>4369550</v>
      </c>
      <c r="Q1062" s="1">
        <v>300472</v>
      </c>
      <c r="R1062" s="1">
        <v>0</v>
      </c>
      <c r="S1062">
        <v>99.302199999999999</v>
      </c>
      <c r="T1062">
        <v>98.274000000000001</v>
      </c>
      <c r="U1062">
        <v>4.8254299999999999</v>
      </c>
      <c r="V1062">
        <v>0</v>
      </c>
      <c r="W1062">
        <v>0</v>
      </c>
      <c r="X1062">
        <v>1.70174</v>
      </c>
      <c r="Y1062">
        <v>1.70174</v>
      </c>
      <c r="Z1062">
        <v>0</v>
      </c>
      <c r="AA1062">
        <v>1.33467</v>
      </c>
      <c r="AB1062">
        <v>2.9635199999999999</v>
      </c>
      <c r="AC1062" s="2">
        <v>503948000</v>
      </c>
      <c r="AD1062" s="1">
        <v>0</v>
      </c>
      <c r="AE1062" s="1">
        <v>0</v>
      </c>
      <c r="AF1062" s="1">
        <v>0</v>
      </c>
      <c r="AG1062" s="1">
        <v>0</v>
      </c>
      <c r="AH1062" s="2">
        <v>4402790</v>
      </c>
      <c r="AI1062" s="1">
        <v>143514</v>
      </c>
      <c r="AJ1062" s="1">
        <v>0</v>
      </c>
      <c r="AK1062" s="8">
        <f t="shared" si="67"/>
        <v>21</v>
      </c>
      <c r="AL1062" s="8">
        <f t="shared" si="66"/>
        <v>21</v>
      </c>
      <c r="AM1062">
        <f t="shared" si="64"/>
        <v>0</v>
      </c>
      <c r="AN1062">
        <f t="shared" si="65"/>
        <v>0</v>
      </c>
    </row>
    <row r="1063" spans="1:40" x14ac:dyDescent="0.35">
      <c r="A1063">
        <v>83.407899999999998</v>
      </c>
      <c r="B1063">
        <v>85.138999999999996</v>
      </c>
      <c r="C1063">
        <v>3.2589299999999999</v>
      </c>
      <c r="D1063">
        <v>0</v>
      </c>
      <c r="E1063">
        <v>0</v>
      </c>
      <c r="F1063">
        <v>2.92313</v>
      </c>
      <c r="G1063">
        <v>2.92313</v>
      </c>
      <c r="H1063">
        <v>0</v>
      </c>
      <c r="I1063">
        <v>0.54773799999999995</v>
      </c>
      <c r="J1063">
        <v>5.3222399999999999</v>
      </c>
      <c r="K1063" s="2">
        <v>128544000</v>
      </c>
      <c r="L1063" s="1">
        <v>0</v>
      </c>
      <c r="M1063" s="1">
        <v>0</v>
      </c>
      <c r="N1063" s="1">
        <v>0</v>
      </c>
      <c r="O1063" s="1">
        <v>0</v>
      </c>
      <c r="P1063" s="2">
        <v>4370010</v>
      </c>
      <c r="Q1063" s="1">
        <v>300504</v>
      </c>
      <c r="R1063" s="1">
        <v>0</v>
      </c>
      <c r="S1063">
        <v>99.302199999999999</v>
      </c>
      <c r="T1063">
        <v>98.274000000000001</v>
      </c>
      <c r="U1063">
        <v>4.0959599999999998</v>
      </c>
      <c r="V1063">
        <v>0</v>
      </c>
      <c r="W1063">
        <v>0</v>
      </c>
      <c r="X1063">
        <v>1.70191</v>
      </c>
      <c r="Y1063">
        <v>1.70191</v>
      </c>
      <c r="Z1063">
        <v>0</v>
      </c>
      <c r="AA1063">
        <v>1.3147599999999999</v>
      </c>
      <c r="AB1063">
        <v>2.9635199999999999</v>
      </c>
      <c r="AC1063" s="2">
        <v>504091000</v>
      </c>
      <c r="AD1063" s="1">
        <v>0</v>
      </c>
      <c r="AE1063" s="1">
        <v>0</v>
      </c>
      <c r="AF1063" s="1">
        <v>0</v>
      </c>
      <c r="AG1063" s="1">
        <v>0</v>
      </c>
      <c r="AH1063" s="2">
        <v>4403260</v>
      </c>
      <c r="AI1063" s="1">
        <v>143529</v>
      </c>
      <c r="AJ1063" s="1">
        <v>0</v>
      </c>
      <c r="AK1063" s="8">
        <f t="shared" si="67"/>
        <v>22</v>
      </c>
      <c r="AL1063" s="8">
        <f t="shared" si="66"/>
        <v>21</v>
      </c>
      <c r="AM1063">
        <f t="shared" si="64"/>
        <v>0</v>
      </c>
      <c r="AN1063">
        <f t="shared" si="65"/>
        <v>0</v>
      </c>
    </row>
    <row r="1064" spans="1:40" x14ac:dyDescent="0.35">
      <c r="A1064">
        <v>84.035499999999999</v>
      </c>
      <c r="B1064">
        <v>85.138999999999996</v>
      </c>
      <c r="C1064">
        <v>3.8871000000000002</v>
      </c>
      <c r="D1064">
        <v>0</v>
      </c>
      <c r="E1064">
        <v>0</v>
      </c>
      <c r="F1064">
        <v>2.9234399999999998</v>
      </c>
      <c r="G1064">
        <v>2.9234399999999998</v>
      </c>
      <c r="H1064">
        <v>0</v>
      </c>
      <c r="I1064">
        <v>0.54779500000000003</v>
      </c>
      <c r="J1064">
        <v>5.3222399999999999</v>
      </c>
      <c r="K1064" s="2">
        <v>128845000</v>
      </c>
      <c r="L1064" s="1">
        <v>0</v>
      </c>
      <c r="M1064" s="1">
        <v>0</v>
      </c>
      <c r="N1064" s="1">
        <v>0</v>
      </c>
      <c r="O1064" s="1">
        <v>0</v>
      </c>
      <c r="P1064" s="2">
        <v>4370470</v>
      </c>
      <c r="Q1064" s="1">
        <v>300535</v>
      </c>
      <c r="R1064" s="1">
        <v>0</v>
      </c>
      <c r="S1064">
        <v>99.302199999999999</v>
      </c>
      <c r="T1064">
        <v>98.274000000000001</v>
      </c>
      <c r="U1064">
        <v>4.2847799999999996</v>
      </c>
      <c r="V1064">
        <v>0</v>
      </c>
      <c r="W1064">
        <v>0</v>
      </c>
      <c r="X1064">
        <v>1.7020900000000001</v>
      </c>
      <c r="Y1064">
        <v>1.7020900000000001</v>
      </c>
      <c r="Z1064">
        <v>0</v>
      </c>
      <c r="AA1064">
        <v>1.3149</v>
      </c>
      <c r="AB1064">
        <v>2.9635199999999999</v>
      </c>
      <c r="AC1064" s="2">
        <v>504235000</v>
      </c>
      <c r="AD1064" s="1">
        <v>0</v>
      </c>
      <c r="AE1064" s="1">
        <v>0</v>
      </c>
      <c r="AF1064" s="1">
        <v>0</v>
      </c>
      <c r="AG1064" s="1">
        <v>0</v>
      </c>
      <c r="AH1064" s="2">
        <v>4403720</v>
      </c>
      <c r="AI1064" s="1">
        <v>143544</v>
      </c>
      <c r="AJ1064" s="1">
        <v>0</v>
      </c>
      <c r="AK1064" s="8">
        <f t="shared" si="67"/>
        <v>23</v>
      </c>
      <c r="AL1064" s="8">
        <f t="shared" si="66"/>
        <v>21</v>
      </c>
      <c r="AM1064">
        <f t="shared" si="64"/>
        <v>0</v>
      </c>
      <c r="AN1064">
        <f t="shared" si="65"/>
        <v>0</v>
      </c>
    </row>
    <row r="1065" spans="1:40" x14ac:dyDescent="0.35">
      <c r="A1065">
        <v>83.867599999999996</v>
      </c>
      <c r="B1065">
        <v>85.138999999999996</v>
      </c>
      <c r="C1065">
        <v>2.9790000000000001</v>
      </c>
      <c r="D1065">
        <v>0</v>
      </c>
      <c r="E1065">
        <v>0</v>
      </c>
      <c r="F1065">
        <v>2.9237500000000001</v>
      </c>
      <c r="G1065">
        <v>2.9237500000000001</v>
      </c>
      <c r="H1065">
        <v>0</v>
      </c>
      <c r="I1065">
        <v>0.54785300000000003</v>
      </c>
      <c r="J1065">
        <v>5.3222399999999999</v>
      </c>
      <c r="K1065" s="2">
        <v>129145000</v>
      </c>
      <c r="L1065" s="1">
        <v>0</v>
      </c>
      <c r="M1065" s="1">
        <v>0</v>
      </c>
      <c r="N1065" s="1">
        <v>0</v>
      </c>
      <c r="O1065" s="1">
        <v>0</v>
      </c>
      <c r="P1065" s="2">
        <v>4370930</v>
      </c>
      <c r="Q1065" s="1">
        <v>300567</v>
      </c>
      <c r="R1065" s="1">
        <v>0</v>
      </c>
      <c r="S1065">
        <v>99.302199999999999</v>
      </c>
      <c r="T1065">
        <v>98.274000000000001</v>
      </c>
      <c r="U1065">
        <v>4.02895</v>
      </c>
      <c r="V1065">
        <v>0</v>
      </c>
      <c r="W1065">
        <v>0</v>
      </c>
      <c r="X1065">
        <v>1.7022699999999999</v>
      </c>
      <c r="Y1065">
        <v>1.7022699999999999</v>
      </c>
      <c r="Z1065">
        <v>0</v>
      </c>
      <c r="AA1065">
        <v>1.31504</v>
      </c>
      <c r="AB1065">
        <v>2.9635199999999999</v>
      </c>
      <c r="AC1065" s="2">
        <v>504379000</v>
      </c>
      <c r="AD1065" s="1">
        <v>0</v>
      </c>
      <c r="AE1065" s="1">
        <v>0</v>
      </c>
      <c r="AF1065" s="1">
        <v>0</v>
      </c>
      <c r="AG1065" s="1">
        <v>0</v>
      </c>
      <c r="AH1065" s="2">
        <v>4404180</v>
      </c>
      <c r="AI1065" s="1">
        <v>143559</v>
      </c>
      <c r="AJ1065" s="1">
        <v>0</v>
      </c>
      <c r="AK1065" s="8">
        <f t="shared" si="67"/>
        <v>24</v>
      </c>
      <c r="AL1065" s="8">
        <f t="shared" si="66"/>
        <v>21</v>
      </c>
      <c r="AM1065">
        <f t="shared" si="64"/>
        <v>0</v>
      </c>
      <c r="AN1065">
        <f t="shared" si="65"/>
        <v>0</v>
      </c>
    </row>
    <row r="1066" spans="1:40" x14ac:dyDescent="0.35">
      <c r="A1066">
        <v>83.446899999999999</v>
      </c>
      <c r="B1066">
        <v>85.138999999999996</v>
      </c>
      <c r="C1066">
        <v>2.78729</v>
      </c>
      <c r="D1066">
        <v>0</v>
      </c>
      <c r="E1066">
        <v>0</v>
      </c>
      <c r="F1066">
        <v>3.0627599999999999</v>
      </c>
      <c r="G1066">
        <v>3.0627599999999999</v>
      </c>
      <c r="H1066">
        <v>0</v>
      </c>
      <c r="I1066">
        <v>0.54791000000000001</v>
      </c>
      <c r="J1066">
        <v>5.3222399999999999</v>
      </c>
      <c r="K1066" s="2">
        <v>129460000</v>
      </c>
      <c r="L1066" s="1">
        <v>0</v>
      </c>
      <c r="M1066" s="1">
        <v>0</v>
      </c>
      <c r="N1066" s="1">
        <v>0</v>
      </c>
      <c r="O1066" s="1">
        <v>0</v>
      </c>
      <c r="P1066" s="2">
        <v>4578750</v>
      </c>
      <c r="Q1066" s="1">
        <v>314858</v>
      </c>
      <c r="R1066" s="1">
        <v>0</v>
      </c>
      <c r="S1066">
        <v>99.302199999999999</v>
      </c>
      <c r="T1066">
        <v>98.274000000000001</v>
      </c>
      <c r="U1066">
        <v>3.61117</v>
      </c>
      <c r="V1066">
        <v>0</v>
      </c>
      <c r="W1066">
        <v>0</v>
      </c>
      <c r="X1066">
        <v>1.7944899999999999</v>
      </c>
      <c r="Y1066">
        <v>1.7944899999999999</v>
      </c>
      <c r="Z1066">
        <v>0</v>
      </c>
      <c r="AA1066">
        <v>1.31517</v>
      </c>
      <c r="AB1066">
        <v>2.9635199999999999</v>
      </c>
      <c r="AC1066" s="2">
        <v>504530000</v>
      </c>
      <c r="AD1066" s="1">
        <v>0</v>
      </c>
      <c r="AE1066" s="1">
        <v>0</v>
      </c>
      <c r="AF1066" s="1">
        <v>0</v>
      </c>
      <c r="AG1066" s="1">
        <v>0</v>
      </c>
      <c r="AH1066" s="2">
        <v>4642780</v>
      </c>
      <c r="AI1066" s="1">
        <v>151337</v>
      </c>
      <c r="AJ1066" s="1">
        <v>0</v>
      </c>
      <c r="AK1066" s="8">
        <f t="shared" si="67"/>
        <v>25</v>
      </c>
      <c r="AL1066" s="8">
        <f t="shared" si="66"/>
        <v>21</v>
      </c>
      <c r="AM1066">
        <f t="shared" si="64"/>
        <v>0</v>
      </c>
      <c r="AN1066">
        <f t="shared" si="65"/>
        <v>0</v>
      </c>
    </row>
    <row r="1067" spans="1:40" x14ac:dyDescent="0.35">
      <c r="A1067">
        <v>82.930499999999995</v>
      </c>
      <c r="B1067">
        <v>85.138999999999996</v>
      </c>
      <c r="C1067">
        <v>2.7089400000000001</v>
      </c>
      <c r="D1067">
        <v>0</v>
      </c>
      <c r="E1067">
        <v>0</v>
      </c>
      <c r="F1067">
        <v>3.0630799999999998</v>
      </c>
      <c r="G1067">
        <v>3.0630799999999998</v>
      </c>
      <c r="H1067">
        <v>0</v>
      </c>
      <c r="I1067">
        <v>0.57396199999999997</v>
      </c>
      <c r="J1067">
        <v>5.3222399999999999</v>
      </c>
      <c r="K1067" s="2">
        <v>129775000</v>
      </c>
      <c r="L1067" s="1">
        <v>0</v>
      </c>
      <c r="M1067" s="1">
        <v>0</v>
      </c>
      <c r="N1067" s="1">
        <v>0</v>
      </c>
      <c r="O1067" s="1">
        <v>0</v>
      </c>
      <c r="P1067" s="2">
        <v>4579230</v>
      </c>
      <c r="Q1067" s="1">
        <v>314891</v>
      </c>
      <c r="R1067" s="1">
        <v>0</v>
      </c>
      <c r="S1067">
        <v>99.302199999999999</v>
      </c>
      <c r="T1067">
        <v>98.274000000000001</v>
      </c>
      <c r="U1067">
        <v>3.5976599999999999</v>
      </c>
      <c r="V1067">
        <v>0</v>
      </c>
      <c r="W1067">
        <v>0</v>
      </c>
      <c r="X1067">
        <v>1.7946800000000001</v>
      </c>
      <c r="Y1067">
        <v>1.7946800000000001</v>
      </c>
      <c r="Z1067">
        <v>0</v>
      </c>
      <c r="AA1067">
        <v>1.38642</v>
      </c>
      <c r="AB1067">
        <v>2.9635199999999999</v>
      </c>
      <c r="AC1067" s="2">
        <v>504681000</v>
      </c>
      <c r="AD1067" s="1">
        <v>0</v>
      </c>
      <c r="AE1067" s="1">
        <v>0</v>
      </c>
      <c r="AF1067" s="1">
        <v>0</v>
      </c>
      <c r="AG1067" s="1">
        <v>0</v>
      </c>
      <c r="AH1067" s="2">
        <v>4643270</v>
      </c>
      <c r="AI1067" s="1">
        <v>151353</v>
      </c>
      <c r="AJ1067" s="1">
        <v>0</v>
      </c>
      <c r="AK1067" s="8">
        <f t="shared" si="67"/>
        <v>26</v>
      </c>
      <c r="AL1067" s="8">
        <f t="shared" si="66"/>
        <v>21</v>
      </c>
      <c r="AM1067">
        <f t="shared" si="64"/>
        <v>0</v>
      </c>
      <c r="AN1067">
        <f t="shared" si="65"/>
        <v>0</v>
      </c>
    </row>
    <row r="1068" spans="1:40" x14ac:dyDescent="0.35">
      <c r="A1068">
        <v>82.283000000000001</v>
      </c>
      <c r="B1068">
        <v>85.138999999999996</v>
      </c>
      <c r="C1068">
        <v>2.5724</v>
      </c>
      <c r="D1068">
        <v>0</v>
      </c>
      <c r="E1068">
        <v>0</v>
      </c>
      <c r="F1068">
        <v>3.0634000000000001</v>
      </c>
      <c r="G1068">
        <v>3.0634000000000001</v>
      </c>
      <c r="H1068">
        <v>0</v>
      </c>
      <c r="I1068">
        <v>0.57402200000000003</v>
      </c>
      <c r="J1068">
        <v>5.3222399999999999</v>
      </c>
      <c r="K1068" s="2">
        <v>130090000</v>
      </c>
      <c r="L1068" s="1">
        <v>0</v>
      </c>
      <c r="M1068" s="1">
        <v>0</v>
      </c>
      <c r="N1068" s="1">
        <v>0</v>
      </c>
      <c r="O1068" s="1">
        <v>0</v>
      </c>
      <c r="P1068" s="2">
        <v>4579710</v>
      </c>
      <c r="Q1068" s="1">
        <v>314924</v>
      </c>
      <c r="R1068" s="1">
        <v>0</v>
      </c>
      <c r="S1068">
        <v>99.302199999999999</v>
      </c>
      <c r="T1068">
        <v>98.274000000000001</v>
      </c>
      <c r="U1068">
        <v>3.7054999999999998</v>
      </c>
      <c r="V1068">
        <v>0</v>
      </c>
      <c r="W1068">
        <v>0</v>
      </c>
      <c r="X1068">
        <v>1.79487</v>
      </c>
      <c r="Y1068">
        <v>1.79487</v>
      </c>
      <c r="Z1068">
        <v>0</v>
      </c>
      <c r="AA1068">
        <v>1.3865700000000001</v>
      </c>
      <c r="AB1068">
        <v>2.9635199999999999</v>
      </c>
      <c r="AC1068" s="2">
        <v>504833000</v>
      </c>
      <c r="AD1068" s="1">
        <v>0</v>
      </c>
      <c r="AE1068" s="1">
        <v>0</v>
      </c>
      <c r="AF1068" s="1">
        <v>0</v>
      </c>
      <c r="AG1068" s="1">
        <v>0</v>
      </c>
      <c r="AH1068" s="2">
        <v>4643750</v>
      </c>
      <c r="AI1068" s="1">
        <v>151368</v>
      </c>
      <c r="AJ1068" s="1">
        <v>0</v>
      </c>
      <c r="AK1068" s="8">
        <f t="shared" si="67"/>
        <v>27</v>
      </c>
      <c r="AL1068" s="8">
        <f t="shared" si="66"/>
        <v>21</v>
      </c>
      <c r="AM1068">
        <f t="shared" si="64"/>
        <v>0</v>
      </c>
      <c r="AN1068">
        <f t="shared" si="65"/>
        <v>0</v>
      </c>
    </row>
    <row r="1069" spans="1:40" x14ac:dyDescent="0.35">
      <c r="A1069">
        <v>81.448700000000002</v>
      </c>
      <c r="B1069">
        <v>85.138999999999996</v>
      </c>
      <c r="C1069">
        <v>2.3874</v>
      </c>
      <c r="D1069">
        <v>0</v>
      </c>
      <c r="E1069">
        <v>0</v>
      </c>
      <c r="F1069">
        <v>3.0637300000000001</v>
      </c>
      <c r="G1069">
        <v>3.0637300000000001</v>
      </c>
      <c r="H1069">
        <v>0</v>
      </c>
      <c r="I1069">
        <v>0.57408199999999998</v>
      </c>
      <c r="J1069">
        <v>5.3222399999999999</v>
      </c>
      <c r="K1069" s="2">
        <v>130405000</v>
      </c>
      <c r="L1069" s="1">
        <v>0</v>
      </c>
      <c r="M1069" s="1">
        <v>0</v>
      </c>
      <c r="N1069" s="1">
        <v>0</v>
      </c>
      <c r="O1069" s="1">
        <v>0</v>
      </c>
      <c r="P1069" s="2">
        <v>4580190</v>
      </c>
      <c r="Q1069" s="1">
        <v>314957</v>
      </c>
      <c r="R1069" s="1">
        <v>0</v>
      </c>
      <c r="S1069">
        <v>99.302199999999999</v>
      </c>
      <c r="T1069">
        <v>98.274000000000001</v>
      </c>
      <c r="U1069">
        <v>3.56053</v>
      </c>
      <c r="V1069">
        <v>0</v>
      </c>
      <c r="W1069">
        <v>0</v>
      </c>
      <c r="X1069">
        <v>1.7950600000000001</v>
      </c>
      <c r="Y1069">
        <v>1.7950600000000001</v>
      </c>
      <c r="Z1069">
        <v>0</v>
      </c>
      <c r="AA1069">
        <v>1.38672</v>
      </c>
      <c r="AB1069">
        <v>2.9635199999999999</v>
      </c>
      <c r="AC1069" s="2">
        <v>504984000</v>
      </c>
      <c r="AD1069" s="1">
        <v>0</v>
      </c>
      <c r="AE1069" s="1">
        <v>0</v>
      </c>
      <c r="AF1069" s="1">
        <v>0</v>
      </c>
      <c r="AG1069" s="1">
        <v>0</v>
      </c>
      <c r="AH1069" s="2">
        <v>4644240</v>
      </c>
      <c r="AI1069" s="1">
        <v>151384</v>
      </c>
      <c r="AJ1069" s="1">
        <v>0</v>
      </c>
      <c r="AK1069" s="8">
        <f t="shared" si="67"/>
        <v>28</v>
      </c>
      <c r="AL1069" s="8">
        <f t="shared" si="66"/>
        <v>21</v>
      </c>
      <c r="AM1069">
        <f t="shared" si="64"/>
        <v>0</v>
      </c>
      <c r="AN1069">
        <f t="shared" si="65"/>
        <v>0</v>
      </c>
    </row>
    <row r="1070" spans="1:40" x14ac:dyDescent="0.35">
      <c r="A1070">
        <v>80.703500000000005</v>
      </c>
      <c r="B1070">
        <v>85.138999999999996</v>
      </c>
      <c r="C1070">
        <v>2.4098700000000002</v>
      </c>
      <c r="D1070">
        <v>0</v>
      </c>
      <c r="E1070">
        <v>0</v>
      </c>
      <c r="F1070">
        <v>3.0640499999999999</v>
      </c>
      <c r="G1070">
        <v>3.0640499999999999</v>
      </c>
      <c r="H1070">
        <v>0</v>
      </c>
      <c r="I1070">
        <v>0.57414200000000004</v>
      </c>
      <c r="J1070">
        <v>5.3222399999999999</v>
      </c>
      <c r="K1070" s="2">
        <v>130720000</v>
      </c>
      <c r="L1070" s="1">
        <v>0</v>
      </c>
      <c r="M1070" s="1">
        <v>0</v>
      </c>
      <c r="N1070" s="1">
        <v>0</v>
      </c>
      <c r="O1070" s="1">
        <v>0</v>
      </c>
      <c r="P1070" s="2">
        <v>4580670</v>
      </c>
      <c r="Q1070" s="1">
        <v>314990</v>
      </c>
      <c r="R1070" s="1">
        <v>0</v>
      </c>
      <c r="S1070">
        <v>99.302199999999999</v>
      </c>
      <c r="T1070">
        <v>98.274000000000001</v>
      </c>
      <c r="U1070">
        <v>3.5339</v>
      </c>
      <c r="V1070">
        <v>0</v>
      </c>
      <c r="W1070">
        <v>0</v>
      </c>
      <c r="X1070">
        <v>1.7952399999999999</v>
      </c>
      <c r="Y1070">
        <v>1.7952399999999999</v>
      </c>
      <c r="Z1070">
        <v>0</v>
      </c>
      <c r="AA1070">
        <v>1.38686</v>
      </c>
      <c r="AB1070">
        <v>2.9635199999999999</v>
      </c>
      <c r="AC1070" s="2">
        <v>505135000</v>
      </c>
      <c r="AD1070" s="1">
        <v>0</v>
      </c>
      <c r="AE1070" s="1">
        <v>0</v>
      </c>
      <c r="AF1070" s="1">
        <v>0</v>
      </c>
      <c r="AG1070" s="1">
        <v>0</v>
      </c>
      <c r="AH1070" s="2">
        <v>4644730</v>
      </c>
      <c r="AI1070" s="1">
        <v>151400</v>
      </c>
      <c r="AJ1070" s="1">
        <v>0</v>
      </c>
      <c r="AK1070" s="8">
        <f t="shared" si="67"/>
        <v>29</v>
      </c>
      <c r="AL1070" s="8">
        <f t="shared" si="66"/>
        <v>21</v>
      </c>
      <c r="AM1070">
        <f t="shared" si="64"/>
        <v>0</v>
      </c>
      <c r="AN1070">
        <f t="shared" si="65"/>
        <v>0</v>
      </c>
    </row>
    <row r="1071" spans="1:40" x14ac:dyDescent="0.35">
      <c r="A1071">
        <v>80.3</v>
      </c>
      <c r="B1071">
        <v>85.138999999999996</v>
      </c>
      <c r="C1071">
        <v>2.7507299999999999</v>
      </c>
      <c r="D1071">
        <v>0</v>
      </c>
      <c r="E1071">
        <v>0</v>
      </c>
      <c r="F1071">
        <v>3.0369199999999998</v>
      </c>
      <c r="G1071">
        <v>3.0369199999999998</v>
      </c>
      <c r="H1071">
        <v>0</v>
      </c>
      <c r="I1071">
        <v>0.57420199999999999</v>
      </c>
      <c r="J1071">
        <v>5.3222399999999999</v>
      </c>
      <c r="K1071" s="2">
        <v>131032000</v>
      </c>
      <c r="L1071" s="1">
        <v>0</v>
      </c>
      <c r="M1071" s="1">
        <v>0</v>
      </c>
      <c r="N1071" s="1">
        <v>0</v>
      </c>
      <c r="O1071" s="1">
        <v>0</v>
      </c>
      <c r="P1071" s="2">
        <v>4540120</v>
      </c>
      <c r="Q1071" s="1">
        <v>312202</v>
      </c>
      <c r="R1071" s="1">
        <v>0</v>
      </c>
      <c r="S1071">
        <v>99.302199999999999</v>
      </c>
      <c r="T1071">
        <v>98.274000000000001</v>
      </c>
      <c r="U1071">
        <v>3.4238900000000001</v>
      </c>
      <c r="V1071">
        <v>0</v>
      </c>
      <c r="W1071">
        <v>0</v>
      </c>
      <c r="X1071">
        <v>1.84605</v>
      </c>
      <c r="Y1071">
        <v>1.84605</v>
      </c>
      <c r="Z1071">
        <v>0</v>
      </c>
      <c r="AA1071">
        <v>1.3870100000000001</v>
      </c>
      <c r="AB1071">
        <v>2.9635199999999999</v>
      </c>
      <c r="AC1071" s="2">
        <v>505291000</v>
      </c>
      <c r="AD1071" s="1">
        <v>0</v>
      </c>
      <c r="AE1071" s="1">
        <v>0</v>
      </c>
      <c r="AF1071" s="1">
        <v>0</v>
      </c>
      <c r="AG1071" s="1">
        <v>0</v>
      </c>
      <c r="AH1071" s="2">
        <v>4776170</v>
      </c>
      <c r="AI1071" s="1">
        <v>155685</v>
      </c>
      <c r="AJ1071" s="1">
        <v>0</v>
      </c>
      <c r="AK1071" s="8">
        <f t="shared" si="67"/>
        <v>30</v>
      </c>
      <c r="AL1071" s="8">
        <f t="shared" si="66"/>
        <v>21</v>
      </c>
      <c r="AM1071">
        <f t="shared" si="64"/>
        <v>0</v>
      </c>
      <c r="AN1071">
        <f t="shared" si="65"/>
        <v>0</v>
      </c>
    </row>
    <row r="1072" spans="1:40" x14ac:dyDescent="0.35">
      <c r="A1072">
        <v>79.733500000000006</v>
      </c>
      <c r="B1072">
        <v>85.138999999999996</v>
      </c>
      <c r="C1072">
        <v>2.5851600000000001</v>
      </c>
      <c r="D1072">
        <v>0</v>
      </c>
      <c r="E1072">
        <v>0</v>
      </c>
      <c r="F1072">
        <v>3.0372400000000002</v>
      </c>
      <c r="G1072">
        <v>3.0372400000000002</v>
      </c>
      <c r="H1072">
        <v>0</v>
      </c>
      <c r="I1072">
        <v>0.56911900000000004</v>
      </c>
      <c r="J1072">
        <v>5.3222399999999999</v>
      </c>
      <c r="K1072" s="2">
        <v>131344000</v>
      </c>
      <c r="L1072" s="1">
        <v>0</v>
      </c>
      <c r="M1072" s="1">
        <v>0</v>
      </c>
      <c r="N1072" s="1">
        <v>0</v>
      </c>
      <c r="O1072" s="1">
        <v>0</v>
      </c>
      <c r="P1072" s="2">
        <v>4540600</v>
      </c>
      <c r="Q1072" s="1">
        <v>312234</v>
      </c>
      <c r="R1072" s="1">
        <v>0</v>
      </c>
      <c r="S1072">
        <v>99.302199999999999</v>
      </c>
      <c r="T1072">
        <v>98.274000000000001</v>
      </c>
      <c r="U1072">
        <v>3.2622</v>
      </c>
      <c r="V1072">
        <v>0</v>
      </c>
      <c r="W1072">
        <v>0</v>
      </c>
      <c r="X1072">
        <v>1.8462400000000001</v>
      </c>
      <c r="Y1072">
        <v>1.8462400000000001</v>
      </c>
      <c r="Z1072">
        <v>0</v>
      </c>
      <c r="AA1072">
        <v>1.4262600000000001</v>
      </c>
      <c r="AB1072">
        <v>2.9635199999999999</v>
      </c>
      <c r="AC1072" s="2">
        <v>505447000</v>
      </c>
      <c r="AD1072" s="1">
        <v>0</v>
      </c>
      <c r="AE1072" s="1">
        <v>0</v>
      </c>
      <c r="AF1072" s="1">
        <v>0</v>
      </c>
      <c r="AG1072" s="1">
        <v>0</v>
      </c>
      <c r="AH1072" s="2">
        <v>4776670</v>
      </c>
      <c r="AI1072" s="1">
        <v>155701</v>
      </c>
      <c r="AJ1072" s="1">
        <v>0</v>
      </c>
      <c r="AK1072" s="8">
        <f t="shared" si="67"/>
        <v>31</v>
      </c>
      <c r="AL1072" s="8">
        <f t="shared" si="66"/>
        <v>21</v>
      </c>
      <c r="AM1072">
        <f t="shared" si="64"/>
        <v>0</v>
      </c>
      <c r="AN1072">
        <f t="shared" si="65"/>
        <v>0</v>
      </c>
    </row>
    <row r="1073" spans="1:40" x14ac:dyDescent="0.35">
      <c r="A1073">
        <v>78.95</v>
      </c>
      <c r="B1073">
        <v>85.138999999999996</v>
      </c>
      <c r="C1073">
        <v>2.3616999999999999</v>
      </c>
      <c r="D1073">
        <v>0</v>
      </c>
      <c r="E1073">
        <v>0</v>
      </c>
      <c r="F1073">
        <v>3.03756</v>
      </c>
      <c r="G1073">
        <v>3.03756</v>
      </c>
      <c r="H1073">
        <v>0</v>
      </c>
      <c r="I1073">
        <v>0.56917899999999999</v>
      </c>
      <c r="J1073">
        <v>5.3222399999999999</v>
      </c>
      <c r="K1073" s="2">
        <v>131657000</v>
      </c>
      <c r="L1073" s="1">
        <v>0</v>
      </c>
      <c r="M1073" s="1">
        <v>0</v>
      </c>
      <c r="N1073" s="1">
        <v>0</v>
      </c>
      <c r="O1073" s="1">
        <v>0</v>
      </c>
      <c r="P1073" s="2">
        <v>4541070</v>
      </c>
      <c r="Q1073" s="1">
        <v>312267</v>
      </c>
      <c r="R1073" s="1">
        <v>0</v>
      </c>
      <c r="S1073">
        <v>99.302199999999999</v>
      </c>
      <c r="T1073">
        <v>98.274000000000001</v>
      </c>
      <c r="U1073">
        <v>3.19678</v>
      </c>
      <c r="V1073">
        <v>0</v>
      </c>
      <c r="W1073">
        <v>0</v>
      </c>
      <c r="X1073">
        <v>1.8464400000000001</v>
      </c>
      <c r="Y1073">
        <v>1.8464400000000001</v>
      </c>
      <c r="Z1073">
        <v>0</v>
      </c>
      <c r="AA1073">
        <v>1.42641</v>
      </c>
      <c r="AB1073">
        <v>2.9635199999999999</v>
      </c>
      <c r="AC1073" s="2">
        <v>505602000</v>
      </c>
      <c r="AD1073" s="1">
        <v>0</v>
      </c>
      <c r="AE1073" s="1">
        <v>0</v>
      </c>
      <c r="AF1073" s="1">
        <v>0</v>
      </c>
      <c r="AG1073" s="1">
        <v>0</v>
      </c>
      <c r="AH1073" s="2">
        <v>4777170</v>
      </c>
      <c r="AI1073" s="1">
        <v>155717</v>
      </c>
      <c r="AJ1073" s="1">
        <v>0</v>
      </c>
      <c r="AK1073" s="8">
        <f t="shared" si="67"/>
        <v>32</v>
      </c>
      <c r="AL1073" s="8">
        <f t="shared" si="66"/>
        <v>21</v>
      </c>
      <c r="AM1073">
        <f t="shared" si="64"/>
        <v>0</v>
      </c>
      <c r="AN1073">
        <f t="shared" si="65"/>
        <v>0</v>
      </c>
    </row>
    <row r="1074" spans="1:40" x14ac:dyDescent="0.35">
      <c r="A1074">
        <v>77.967200000000005</v>
      </c>
      <c r="B1074">
        <v>85.138999999999996</v>
      </c>
      <c r="C1074">
        <v>2.1411600000000002</v>
      </c>
      <c r="D1074">
        <v>0</v>
      </c>
      <c r="E1074">
        <v>0</v>
      </c>
      <c r="F1074">
        <v>3.0378799999999999</v>
      </c>
      <c r="G1074">
        <v>3.0378799999999999</v>
      </c>
      <c r="H1074">
        <v>0</v>
      </c>
      <c r="I1074">
        <v>0.56923900000000005</v>
      </c>
      <c r="J1074">
        <v>5.3222399999999999</v>
      </c>
      <c r="K1074" s="2">
        <v>131969000</v>
      </c>
      <c r="L1074" s="1">
        <v>0</v>
      </c>
      <c r="M1074" s="1">
        <v>0</v>
      </c>
      <c r="N1074" s="1">
        <v>0</v>
      </c>
      <c r="O1074" s="1">
        <v>0</v>
      </c>
      <c r="P1074" s="2">
        <v>4541550</v>
      </c>
      <c r="Q1074" s="1">
        <v>312300</v>
      </c>
      <c r="R1074" s="1">
        <v>0</v>
      </c>
      <c r="S1074">
        <v>99.302199999999999</v>
      </c>
      <c r="T1074">
        <v>98.274000000000001</v>
      </c>
      <c r="U1074">
        <v>2.9157099999999998</v>
      </c>
      <c r="V1074">
        <v>0</v>
      </c>
      <c r="W1074">
        <v>0</v>
      </c>
      <c r="X1074">
        <v>1.84663</v>
      </c>
      <c r="Y1074">
        <v>1.84663</v>
      </c>
      <c r="Z1074">
        <v>0</v>
      </c>
      <c r="AA1074">
        <v>1.4265600000000001</v>
      </c>
      <c r="AB1074">
        <v>2.9635199999999999</v>
      </c>
      <c r="AC1074" s="2">
        <v>505758000</v>
      </c>
      <c r="AD1074" s="1">
        <v>0</v>
      </c>
      <c r="AE1074" s="1">
        <v>0</v>
      </c>
      <c r="AF1074" s="1">
        <v>0</v>
      </c>
      <c r="AG1074" s="1">
        <v>0</v>
      </c>
      <c r="AH1074" s="2">
        <v>4777670</v>
      </c>
      <c r="AI1074" s="1">
        <v>155734</v>
      </c>
      <c r="AJ1074" s="1">
        <v>0</v>
      </c>
      <c r="AK1074" s="8">
        <f t="shared" si="67"/>
        <v>33</v>
      </c>
      <c r="AL1074" s="8">
        <f t="shared" si="66"/>
        <v>21</v>
      </c>
      <c r="AM1074">
        <f t="shared" si="64"/>
        <v>0</v>
      </c>
      <c r="AN1074">
        <f t="shared" si="65"/>
        <v>0</v>
      </c>
    </row>
    <row r="1075" spans="1:40" x14ac:dyDescent="0.35">
      <c r="A1075">
        <v>77.114000000000004</v>
      </c>
      <c r="B1075">
        <v>85.138999999999996</v>
      </c>
      <c r="C1075">
        <v>2.2944200000000001</v>
      </c>
      <c r="D1075">
        <v>0</v>
      </c>
      <c r="E1075">
        <v>0</v>
      </c>
      <c r="F1075">
        <v>3.1091000000000002</v>
      </c>
      <c r="G1075">
        <v>3.1091000000000002</v>
      </c>
      <c r="H1075">
        <v>0</v>
      </c>
      <c r="I1075">
        <v>0.56929799999999997</v>
      </c>
      <c r="J1075">
        <v>5.3222399999999999</v>
      </c>
      <c r="K1075" s="2">
        <v>132288000</v>
      </c>
      <c r="L1075" s="1">
        <v>0</v>
      </c>
      <c r="M1075" s="1">
        <v>0</v>
      </c>
      <c r="N1075" s="1">
        <v>0</v>
      </c>
      <c r="O1075" s="1">
        <v>0</v>
      </c>
      <c r="P1075" s="2">
        <v>4648030</v>
      </c>
      <c r="Q1075" s="1">
        <v>319622</v>
      </c>
      <c r="R1075" s="1">
        <v>0</v>
      </c>
      <c r="S1075">
        <v>99.263800000000003</v>
      </c>
      <c r="T1075">
        <v>98.274000000000001</v>
      </c>
      <c r="U1075">
        <v>3.02264</v>
      </c>
      <c r="V1075">
        <v>0</v>
      </c>
      <c r="W1075">
        <v>0</v>
      </c>
      <c r="X1075">
        <v>1.89195</v>
      </c>
      <c r="Y1075">
        <v>1.89195</v>
      </c>
      <c r="Z1075">
        <v>0</v>
      </c>
      <c r="AA1075">
        <v>1.4267099999999999</v>
      </c>
      <c r="AB1075">
        <v>2.9635199999999999</v>
      </c>
      <c r="AC1075" s="2">
        <v>505918000</v>
      </c>
      <c r="AD1075" s="1">
        <v>0</v>
      </c>
      <c r="AE1075" s="1">
        <v>0</v>
      </c>
      <c r="AF1075" s="1">
        <v>0</v>
      </c>
      <c r="AG1075" s="1">
        <v>0</v>
      </c>
      <c r="AH1075" s="2">
        <v>4894930</v>
      </c>
      <c r="AI1075" s="1">
        <v>159556</v>
      </c>
      <c r="AJ1075" s="1">
        <v>0</v>
      </c>
      <c r="AK1075" s="8">
        <f t="shared" si="67"/>
        <v>34</v>
      </c>
      <c r="AL1075" s="8">
        <f t="shared" si="66"/>
        <v>21</v>
      </c>
      <c r="AM1075">
        <f t="shared" si="64"/>
        <v>0</v>
      </c>
      <c r="AN1075">
        <f t="shared" si="65"/>
        <v>0</v>
      </c>
    </row>
    <row r="1076" spans="1:40" x14ac:dyDescent="0.35">
      <c r="A1076">
        <v>76.049700000000001</v>
      </c>
      <c r="B1076">
        <v>85.138999999999996</v>
      </c>
      <c r="C1076">
        <v>2.07362</v>
      </c>
      <c r="D1076">
        <v>0</v>
      </c>
      <c r="E1076">
        <v>0</v>
      </c>
      <c r="F1076">
        <v>3.1094300000000001</v>
      </c>
      <c r="G1076">
        <v>3.1094300000000001</v>
      </c>
      <c r="H1076">
        <v>0</v>
      </c>
      <c r="I1076">
        <v>0.582646</v>
      </c>
      <c r="J1076">
        <v>5.3222399999999999</v>
      </c>
      <c r="K1076" s="2">
        <v>132608000</v>
      </c>
      <c r="L1076" s="1">
        <v>0</v>
      </c>
      <c r="M1076" s="1">
        <v>0</v>
      </c>
      <c r="N1076" s="1">
        <v>0</v>
      </c>
      <c r="O1076" s="1">
        <v>0</v>
      </c>
      <c r="P1076" s="2">
        <v>4648520</v>
      </c>
      <c r="Q1076" s="1">
        <v>319655</v>
      </c>
      <c r="R1076" s="1">
        <v>0</v>
      </c>
      <c r="S1076">
        <v>99.190299999999993</v>
      </c>
      <c r="T1076">
        <v>98.274000000000001</v>
      </c>
      <c r="U1076">
        <v>2.8613200000000001</v>
      </c>
      <c r="V1076">
        <v>0</v>
      </c>
      <c r="W1076">
        <v>0</v>
      </c>
      <c r="X1076">
        <v>1.89215</v>
      </c>
      <c r="Y1076">
        <v>1.89215</v>
      </c>
      <c r="Z1076">
        <v>0</v>
      </c>
      <c r="AA1076">
        <v>1.4617199999999999</v>
      </c>
      <c r="AB1076">
        <v>2.9635199999999999</v>
      </c>
      <c r="AC1076" s="2">
        <v>506077000</v>
      </c>
      <c r="AD1076" s="1">
        <v>0</v>
      </c>
      <c r="AE1076" s="1">
        <v>0</v>
      </c>
      <c r="AF1076" s="1">
        <v>0</v>
      </c>
      <c r="AG1076" s="1">
        <v>0</v>
      </c>
      <c r="AH1076" s="2">
        <v>4895440</v>
      </c>
      <c r="AI1076" s="1">
        <v>159572</v>
      </c>
      <c r="AJ1076" s="1">
        <v>0</v>
      </c>
      <c r="AK1076" s="8">
        <f t="shared" si="67"/>
        <v>35</v>
      </c>
      <c r="AL1076" s="8">
        <f t="shared" si="66"/>
        <v>21</v>
      </c>
      <c r="AM1076">
        <f t="shared" si="64"/>
        <v>0</v>
      </c>
      <c r="AN1076">
        <f t="shared" si="65"/>
        <v>0</v>
      </c>
    </row>
    <row r="1077" spans="1:40" x14ac:dyDescent="0.35">
      <c r="A1077">
        <v>74.844999999999999</v>
      </c>
      <c r="B1077">
        <v>85.138999999999996</v>
      </c>
      <c r="C1077">
        <v>1.91472</v>
      </c>
      <c r="D1077">
        <v>0</v>
      </c>
      <c r="E1077">
        <v>0</v>
      </c>
      <c r="F1077">
        <v>3.10975</v>
      </c>
      <c r="G1077">
        <v>3.10975</v>
      </c>
      <c r="H1077">
        <v>0</v>
      </c>
      <c r="I1077">
        <v>0.58270699999999997</v>
      </c>
      <c r="J1077">
        <v>5.3222399999999999</v>
      </c>
      <c r="K1077" s="2">
        <v>132928000</v>
      </c>
      <c r="L1077" s="1">
        <v>0</v>
      </c>
      <c r="M1077" s="1">
        <v>0</v>
      </c>
      <c r="N1077" s="1">
        <v>0</v>
      </c>
      <c r="O1077" s="1">
        <v>0</v>
      </c>
      <c r="P1077" s="2">
        <v>4649000</v>
      </c>
      <c r="Q1077" s="1">
        <v>319689</v>
      </c>
      <c r="R1077" s="1">
        <v>0</v>
      </c>
      <c r="S1077">
        <v>99.101100000000002</v>
      </c>
      <c r="T1077">
        <v>98.274000000000001</v>
      </c>
      <c r="U1077">
        <v>2.76634</v>
      </c>
      <c r="V1077">
        <v>0</v>
      </c>
      <c r="W1077">
        <v>0</v>
      </c>
      <c r="X1077">
        <v>1.89235</v>
      </c>
      <c r="Y1077">
        <v>1.89235</v>
      </c>
      <c r="Z1077">
        <v>0</v>
      </c>
      <c r="AA1077">
        <v>1.46187</v>
      </c>
      <c r="AB1077">
        <v>2.9635199999999999</v>
      </c>
      <c r="AC1077" s="2">
        <v>506237000</v>
      </c>
      <c r="AD1077" s="1">
        <v>0</v>
      </c>
      <c r="AE1077" s="1">
        <v>0</v>
      </c>
      <c r="AF1077" s="1">
        <v>0</v>
      </c>
      <c r="AG1077" s="1">
        <v>0</v>
      </c>
      <c r="AH1077" s="2">
        <v>4895950</v>
      </c>
      <c r="AI1077" s="1">
        <v>159589</v>
      </c>
      <c r="AJ1077" s="1">
        <v>0</v>
      </c>
      <c r="AK1077" s="8">
        <f t="shared" si="67"/>
        <v>36</v>
      </c>
      <c r="AL1077" s="8">
        <f t="shared" si="66"/>
        <v>21</v>
      </c>
      <c r="AM1077">
        <f t="shared" si="64"/>
        <v>0</v>
      </c>
      <c r="AN1077">
        <f t="shared" si="65"/>
        <v>0</v>
      </c>
    </row>
    <row r="1078" spans="1:40" x14ac:dyDescent="0.35">
      <c r="A1078">
        <v>73.3245</v>
      </c>
      <c r="B1078">
        <v>85.138999999999996</v>
      </c>
      <c r="C1078">
        <v>1.5759799999999999</v>
      </c>
      <c r="D1078">
        <v>0</v>
      </c>
      <c r="E1078">
        <v>0</v>
      </c>
      <c r="F1078">
        <v>3.11008</v>
      </c>
      <c r="G1078">
        <v>3.11008</v>
      </c>
      <c r="H1078">
        <v>0</v>
      </c>
      <c r="I1078">
        <v>0.58276799999999995</v>
      </c>
      <c r="J1078">
        <v>5.3222399999999999</v>
      </c>
      <c r="K1078" s="2">
        <v>133248000</v>
      </c>
      <c r="L1078" s="1">
        <v>0</v>
      </c>
      <c r="M1078" s="1">
        <v>0</v>
      </c>
      <c r="N1078" s="1">
        <v>0</v>
      </c>
      <c r="O1078" s="1">
        <v>0</v>
      </c>
      <c r="P1078" s="2">
        <v>4649490</v>
      </c>
      <c r="Q1078" s="1">
        <v>319722</v>
      </c>
      <c r="R1078" s="1">
        <v>0</v>
      </c>
      <c r="S1078">
        <v>99.009900000000002</v>
      </c>
      <c r="T1078">
        <v>98.274000000000001</v>
      </c>
      <c r="U1078">
        <v>2.7523</v>
      </c>
      <c r="V1078">
        <v>0</v>
      </c>
      <c r="W1078">
        <v>0</v>
      </c>
      <c r="X1078">
        <v>1.89255</v>
      </c>
      <c r="Y1078">
        <v>1.89255</v>
      </c>
      <c r="Z1078">
        <v>0</v>
      </c>
      <c r="AA1078">
        <v>1.4620299999999999</v>
      </c>
      <c r="AB1078">
        <v>2.9635199999999999</v>
      </c>
      <c r="AC1078" s="2">
        <v>506397000</v>
      </c>
      <c r="AD1078" s="1">
        <v>0</v>
      </c>
      <c r="AE1078" s="1">
        <v>0</v>
      </c>
      <c r="AF1078" s="1">
        <v>0</v>
      </c>
      <c r="AG1078" s="1">
        <v>0</v>
      </c>
      <c r="AH1078" s="2">
        <v>4896470</v>
      </c>
      <c r="AI1078" s="1">
        <v>159606</v>
      </c>
      <c r="AJ1078" s="1">
        <v>0</v>
      </c>
      <c r="AK1078" s="8">
        <f t="shared" si="67"/>
        <v>37</v>
      </c>
      <c r="AL1078" s="8">
        <f t="shared" si="66"/>
        <v>21</v>
      </c>
      <c r="AM1078">
        <f t="shared" si="64"/>
        <v>0</v>
      </c>
      <c r="AN1078">
        <f t="shared" si="65"/>
        <v>0</v>
      </c>
    </row>
    <row r="1079" spans="1:40" x14ac:dyDescent="0.35">
      <c r="A1079">
        <v>71.800600000000003</v>
      </c>
      <c r="B1079">
        <v>85.138999999999996</v>
      </c>
      <c r="C1079">
        <v>1.4921899999999999</v>
      </c>
      <c r="D1079">
        <v>0.01</v>
      </c>
      <c r="E1079">
        <v>0</v>
      </c>
      <c r="F1079">
        <v>3.0157400000000001</v>
      </c>
      <c r="G1079">
        <v>3.3181400000000001</v>
      </c>
      <c r="H1079">
        <v>0</v>
      </c>
      <c r="I1079">
        <v>0.58282900000000004</v>
      </c>
      <c r="J1079">
        <v>5.3222399999999999</v>
      </c>
      <c r="K1079" s="2">
        <v>133180000</v>
      </c>
      <c r="L1079" s="1">
        <v>0</v>
      </c>
      <c r="M1079" s="1">
        <v>0</v>
      </c>
      <c r="N1079" s="1">
        <v>0</v>
      </c>
      <c r="O1079" s="1">
        <v>0</v>
      </c>
      <c r="P1079" s="2">
        <v>4508450</v>
      </c>
      <c r="Q1079" s="1">
        <v>-67427.7</v>
      </c>
      <c r="R1079" s="1">
        <v>408539</v>
      </c>
      <c r="S1079">
        <v>98.721100000000007</v>
      </c>
      <c r="T1079">
        <v>98.274000000000001</v>
      </c>
      <c r="U1079">
        <v>2.5294500000000002</v>
      </c>
      <c r="V1079">
        <v>0</v>
      </c>
      <c r="W1079">
        <v>0</v>
      </c>
      <c r="X1079">
        <v>2.3580999999999999</v>
      </c>
      <c r="Y1079">
        <v>2.0556999999999999</v>
      </c>
      <c r="Z1079">
        <v>0</v>
      </c>
      <c r="AA1079">
        <v>1.46218</v>
      </c>
      <c r="AB1079">
        <v>2.9635199999999999</v>
      </c>
      <c r="AC1079" s="2">
        <v>507352000</v>
      </c>
      <c r="AD1079" s="1">
        <v>0</v>
      </c>
      <c r="AE1079" s="1">
        <v>0</v>
      </c>
      <c r="AF1079" s="1">
        <v>0</v>
      </c>
      <c r="AG1079" s="1">
        <v>0</v>
      </c>
      <c r="AH1079" s="2">
        <v>6100970</v>
      </c>
      <c r="AI1079" s="1">
        <v>955746</v>
      </c>
      <c r="AJ1079" s="1">
        <v>0</v>
      </c>
      <c r="AK1079" s="8">
        <f t="shared" si="67"/>
        <v>38</v>
      </c>
      <c r="AL1079" s="8">
        <f t="shared" si="66"/>
        <v>21</v>
      </c>
      <c r="AM1079">
        <f t="shared" si="64"/>
        <v>0</v>
      </c>
      <c r="AN1079">
        <f t="shared" si="65"/>
        <v>0</v>
      </c>
    </row>
    <row r="1080" spans="1:40" x14ac:dyDescent="0.35">
      <c r="A1080">
        <v>70.197599999999994</v>
      </c>
      <c r="B1080">
        <v>85.138999999999996</v>
      </c>
      <c r="C1080">
        <v>1.40516</v>
      </c>
      <c r="D1080">
        <v>0.01</v>
      </c>
      <c r="E1080">
        <v>0</v>
      </c>
      <c r="F1080">
        <v>3.0160800000000001</v>
      </c>
      <c r="G1080">
        <v>3.3184800000000001</v>
      </c>
      <c r="H1080">
        <v>0</v>
      </c>
      <c r="I1080">
        <v>0.56514900000000001</v>
      </c>
      <c r="J1080">
        <v>5.3222399999999999</v>
      </c>
      <c r="K1080" s="2">
        <v>133113000</v>
      </c>
      <c r="L1080" s="1">
        <v>0</v>
      </c>
      <c r="M1080" s="1">
        <v>0</v>
      </c>
      <c r="N1080" s="1">
        <v>0</v>
      </c>
      <c r="O1080" s="1">
        <v>0</v>
      </c>
      <c r="P1080" s="2">
        <v>4508970</v>
      </c>
      <c r="Q1080" s="1">
        <v>-67391.899999999994</v>
      </c>
      <c r="R1080" s="1">
        <v>408539</v>
      </c>
      <c r="S1080">
        <v>98.353800000000007</v>
      </c>
      <c r="T1080">
        <v>98.274000000000001</v>
      </c>
      <c r="U1080">
        <v>2.2881999999999998</v>
      </c>
      <c r="V1080">
        <v>0</v>
      </c>
      <c r="W1080">
        <v>0</v>
      </c>
      <c r="X1080">
        <v>2.35832</v>
      </c>
      <c r="Y1080">
        <v>2.05592</v>
      </c>
      <c r="Z1080">
        <v>0</v>
      </c>
      <c r="AA1080">
        <v>1.8218700000000001</v>
      </c>
      <c r="AB1080">
        <v>2.9635199999999999</v>
      </c>
      <c r="AC1080" s="2">
        <v>508308000</v>
      </c>
      <c r="AD1080" s="1">
        <v>0</v>
      </c>
      <c r="AE1080" s="1">
        <v>0</v>
      </c>
      <c r="AF1080" s="1">
        <v>0</v>
      </c>
      <c r="AG1080" s="1">
        <v>0</v>
      </c>
      <c r="AH1080" s="2">
        <v>6101530</v>
      </c>
      <c r="AI1080" s="1">
        <v>955764</v>
      </c>
      <c r="AJ1080" s="1">
        <v>0</v>
      </c>
      <c r="AK1080" s="8">
        <f t="shared" si="67"/>
        <v>39</v>
      </c>
      <c r="AL1080" s="8">
        <f t="shared" si="66"/>
        <v>21</v>
      </c>
      <c r="AM1080">
        <f t="shared" si="64"/>
        <v>0</v>
      </c>
      <c r="AN1080">
        <f t="shared" si="65"/>
        <v>0</v>
      </c>
    </row>
    <row r="1081" spans="1:40" x14ac:dyDescent="0.35">
      <c r="A1081">
        <v>68.635199999999998</v>
      </c>
      <c r="B1081">
        <v>85.138999999999996</v>
      </c>
      <c r="C1081">
        <v>1.42564</v>
      </c>
      <c r="D1081">
        <v>0.02</v>
      </c>
      <c r="E1081">
        <v>0</v>
      </c>
      <c r="F1081">
        <v>3.0164300000000002</v>
      </c>
      <c r="G1081">
        <v>3.3188300000000002</v>
      </c>
      <c r="H1081">
        <v>0</v>
      </c>
      <c r="I1081">
        <v>0.56521399999999999</v>
      </c>
      <c r="J1081">
        <v>5.3222399999999999</v>
      </c>
      <c r="K1081" s="2">
        <v>133045000</v>
      </c>
      <c r="L1081" s="1">
        <v>0</v>
      </c>
      <c r="M1081" s="1">
        <v>0</v>
      </c>
      <c r="N1081" s="1">
        <v>0</v>
      </c>
      <c r="O1081" s="1">
        <v>0</v>
      </c>
      <c r="P1081" s="2">
        <v>4509490</v>
      </c>
      <c r="Q1081" s="1">
        <v>-67356.2</v>
      </c>
      <c r="R1081" s="1">
        <v>408539</v>
      </c>
      <c r="S1081">
        <v>97.960800000000006</v>
      </c>
      <c r="T1081">
        <v>98.274000000000001</v>
      </c>
      <c r="U1081">
        <v>2.20831</v>
      </c>
      <c r="V1081">
        <v>0</v>
      </c>
      <c r="W1081">
        <v>0</v>
      </c>
      <c r="X1081">
        <v>2.35853</v>
      </c>
      <c r="Y1081">
        <v>2.05613</v>
      </c>
      <c r="Z1081">
        <v>0</v>
      </c>
      <c r="AA1081">
        <v>1.8220400000000001</v>
      </c>
      <c r="AB1081">
        <v>2.9635199999999999</v>
      </c>
      <c r="AC1081" s="2">
        <v>509264000</v>
      </c>
      <c r="AD1081" s="1">
        <v>0</v>
      </c>
      <c r="AE1081" s="1">
        <v>0</v>
      </c>
      <c r="AF1081" s="1">
        <v>0</v>
      </c>
      <c r="AG1081" s="1">
        <v>0</v>
      </c>
      <c r="AH1081" s="2">
        <v>6102080</v>
      </c>
      <c r="AI1081" s="1">
        <v>955783</v>
      </c>
      <c r="AJ1081" s="1">
        <v>0</v>
      </c>
      <c r="AK1081" s="8">
        <f t="shared" si="67"/>
        <v>40</v>
      </c>
      <c r="AL1081" s="8">
        <f t="shared" si="66"/>
        <v>21</v>
      </c>
      <c r="AM1081">
        <f t="shared" si="64"/>
        <v>0</v>
      </c>
      <c r="AN1081">
        <f t="shared" si="65"/>
        <v>0</v>
      </c>
    </row>
    <row r="1082" spans="1:40" x14ac:dyDescent="0.35">
      <c r="A1082">
        <v>67.739999999999995</v>
      </c>
      <c r="B1082">
        <v>85.138999999999996</v>
      </c>
      <c r="C1082">
        <v>2.1076800000000002</v>
      </c>
      <c r="D1082">
        <v>0.02</v>
      </c>
      <c r="E1082">
        <v>0</v>
      </c>
      <c r="F1082">
        <v>3.0167799999999998</v>
      </c>
      <c r="G1082">
        <v>3.3191799999999998</v>
      </c>
      <c r="H1082">
        <v>0</v>
      </c>
      <c r="I1082">
        <v>0.56527899999999998</v>
      </c>
      <c r="J1082">
        <v>5.3222399999999999</v>
      </c>
      <c r="K1082" s="2">
        <v>132978000</v>
      </c>
      <c r="L1082" s="1">
        <v>0</v>
      </c>
      <c r="M1082" s="1">
        <v>0</v>
      </c>
      <c r="N1082" s="1">
        <v>0</v>
      </c>
      <c r="O1082" s="1">
        <v>0</v>
      </c>
      <c r="P1082" s="2">
        <v>4510010</v>
      </c>
      <c r="Q1082" s="1">
        <v>-67320.399999999994</v>
      </c>
      <c r="R1082" s="1">
        <v>408539</v>
      </c>
      <c r="S1082">
        <v>97.679599999999994</v>
      </c>
      <c r="T1082">
        <v>98.274000000000001</v>
      </c>
      <c r="U1082">
        <v>2.6238700000000001</v>
      </c>
      <c r="V1082">
        <v>0</v>
      </c>
      <c r="W1082">
        <v>0</v>
      </c>
      <c r="X1082">
        <v>2.3587500000000001</v>
      </c>
      <c r="Y1082">
        <v>2.0563500000000001</v>
      </c>
      <c r="Z1082">
        <v>0</v>
      </c>
      <c r="AA1082">
        <v>1.8222</v>
      </c>
      <c r="AB1082">
        <v>2.9635199999999999</v>
      </c>
      <c r="AC1082" s="2">
        <v>510220000</v>
      </c>
      <c r="AD1082" s="1">
        <v>0</v>
      </c>
      <c r="AE1082" s="1">
        <v>0</v>
      </c>
      <c r="AF1082" s="1">
        <v>0</v>
      </c>
      <c r="AG1082" s="1">
        <v>0</v>
      </c>
      <c r="AH1082" s="2">
        <v>6102640</v>
      </c>
      <c r="AI1082" s="1">
        <v>955801</v>
      </c>
      <c r="AJ1082" s="1">
        <v>0</v>
      </c>
      <c r="AK1082" s="8">
        <f t="shared" si="67"/>
        <v>41</v>
      </c>
      <c r="AL1082" s="8">
        <f t="shared" si="66"/>
        <v>21</v>
      </c>
      <c r="AM1082">
        <f t="shared" si="64"/>
        <v>0</v>
      </c>
      <c r="AN1082">
        <f t="shared" si="65"/>
        <v>0</v>
      </c>
    </row>
    <row r="1083" spans="1:40" x14ac:dyDescent="0.35">
      <c r="A1083">
        <v>67.572900000000004</v>
      </c>
      <c r="B1083">
        <v>85.138999999999996</v>
      </c>
      <c r="C1083">
        <v>2.89947</v>
      </c>
      <c r="D1083">
        <v>0.02</v>
      </c>
      <c r="E1083">
        <v>0</v>
      </c>
      <c r="F1083">
        <v>3.0171299999999999</v>
      </c>
      <c r="G1083">
        <v>3.3195299999999999</v>
      </c>
      <c r="H1083">
        <v>0</v>
      </c>
      <c r="I1083">
        <v>0.56534499999999999</v>
      </c>
      <c r="J1083">
        <v>5.3222399999999999</v>
      </c>
      <c r="K1083" s="2">
        <v>132911000</v>
      </c>
      <c r="L1083" s="1">
        <v>0</v>
      </c>
      <c r="M1083" s="1">
        <v>0</v>
      </c>
      <c r="N1083" s="1">
        <v>0</v>
      </c>
      <c r="O1083" s="1">
        <v>0</v>
      </c>
      <c r="P1083" s="2">
        <v>4510530</v>
      </c>
      <c r="Q1083" s="1">
        <v>-67284.7</v>
      </c>
      <c r="R1083" s="1">
        <v>408539</v>
      </c>
      <c r="S1083">
        <v>97.476900000000001</v>
      </c>
      <c r="T1083">
        <v>98.274000000000001</v>
      </c>
      <c r="U1083">
        <v>2.8587199999999999</v>
      </c>
      <c r="V1083">
        <v>0</v>
      </c>
      <c r="W1083">
        <v>0</v>
      </c>
      <c r="X1083">
        <v>2.3589600000000002</v>
      </c>
      <c r="Y1083">
        <v>2.0565600000000002</v>
      </c>
      <c r="Z1083">
        <v>0</v>
      </c>
      <c r="AA1083">
        <v>1.82237</v>
      </c>
      <c r="AB1083">
        <v>2.9635199999999999</v>
      </c>
      <c r="AC1083" s="2">
        <v>511175000</v>
      </c>
      <c r="AD1083" s="1">
        <v>0</v>
      </c>
      <c r="AE1083" s="1">
        <v>0</v>
      </c>
      <c r="AF1083" s="1">
        <v>0</v>
      </c>
      <c r="AG1083" s="1">
        <v>0</v>
      </c>
      <c r="AH1083" s="2">
        <v>6103200</v>
      </c>
      <c r="AI1083" s="1">
        <v>955819</v>
      </c>
      <c r="AJ1083" s="1">
        <v>0</v>
      </c>
      <c r="AK1083" s="8">
        <f t="shared" si="67"/>
        <v>42</v>
      </c>
      <c r="AL1083" s="8">
        <f t="shared" si="66"/>
        <v>21</v>
      </c>
      <c r="AM1083">
        <f t="shared" si="64"/>
        <v>0</v>
      </c>
      <c r="AN1083">
        <f t="shared" si="65"/>
        <v>0</v>
      </c>
    </row>
    <row r="1084" spans="1:40" x14ac:dyDescent="0.35">
      <c r="A1084">
        <v>66.752099999999999</v>
      </c>
      <c r="B1084">
        <v>85.138999999999996</v>
      </c>
      <c r="C1084">
        <v>2.1768299999999998</v>
      </c>
      <c r="D1084">
        <v>0.02</v>
      </c>
      <c r="E1084">
        <v>0</v>
      </c>
      <c r="F1084">
        <v>2.9161800000000002</v>
      </c>
      <c r="G1084">
        <v>3.2185800000000002</v>
      </c>
      <c r="H1084">
        <v>0</v>
      </c>
      <c r="I1084">
        <v>0.56540999999999997</v>
      </c>
      <c r="J1084">
        <v>5.3222399999999999</v>
      </c>
      <c r="K1084" s="2">
        <v>132833000</v>
      </c>
      <c r="L1084" s="1">
        <v>0</v>
      </c>
      <c r="M1084" s="1">
        <v>0</v>
      </c>
      <c r="N1084" s="1">
        <v>0</v>
      </c>
      <c r="O1084" s="1">
        <v>0</v>
      </c>
      <c r="P1084" s="2">
        <v>4359620</v>
      </c>
      <c r="Q1084" s="1">
        <v>-77662</v>
      </c>
      <c r="R1084" s="1">
        <v>408539</v>
      </c>
      <c r="S1084">
        <v>97.367400000000004</v>
      </c>
      <c r="T1084">
        <v>98.274000000000001</v>
      </c>
      <c r="U1084">
        <v>2.2566299999999999</v>
      </c>
      <c r="V1084">
        <v>0</v>
      </c>
      <c r="W1084">
        <v>0</v>
      </c>
      <c r="X1084">
        <v>2.2602199999999999</v>
      </c>
      <c r="Y1084">
        <v>1.9578199999999999</v>
      </c>
      <c r="Z1084">
        <v>0</v>
      </c>
      <c r="AA1084">
        <v>1.82253</v>
      </c>
      <c r="AB1084">
        <v>2.9635199999999999</v>
      </c>
      <c r="AC1084" s="2">
        <v>512123000</v>
      </c>
      <c r="AD1084" s="1">
        <v>0</v>
      </c>
      <c r="AE1084" s="1">
        <v>0</v>
      </c>
      <c r="AF1084" s="1">
        <v>0</v>
      </c>
      <c r="AG1084" s="1">
        <v>0</v>
      </c>
      <c r="AH1084" s="2">
        <v>5847720</v>
      </c>
      <c r="AI1084" s="1">
        <v>947491</v>
      </c>
      <c r="AJ1084" s="1">
        <v>0</v>
      </c>
      <c r="AK1084" s="8">
        <f t="shared" si="67"/>
        <v>43</v>
      </c>
      <c r="AL1084" s="8">
        <f t="shared" si="66"/>
        <v>21</v>
      </c>
      <c r="AM1084">
        <f t="shared" si="64"/>
        <v>0</v>
      </c>
      <c r="AN1084">
        <f t="shared" si="65"/>
        <v>0</v>
      </c>
    </row>
    <row r="1085" spans="1:40" x14ac:dyDescent="0.35">
      <c r="A1085">
        <v>65.657499999999999</v>
      </c>
      <c r="B1085">
        <v>85.138999999999996</v>
      </c>
      <c r="C1085">
        <v>1.87965</v>
      </c>
      <c r="D1085">
        <v>0.02</v>
      </c>
      <c r="E1085">
        <v>0</v>
      </c>
      <c r="F1085">
        <v>2.9165199999999998</v>
      </c>
      <c r="G1085">
        <v>3.2189199999999998</v>
      </c>
      <c r="H1085">
        <v>0</v>
      </c>
      <c r="I1085">
        <v>0.54649300000000001</v>
      </c>
      <c r="J1085">
        <v>5.3222399999999999</v>
      </c>
      <c r="K1085" s="2">
        <v>132755000</v>
      </c>
      <c r="L1085" s="1">
        <v>0</v>
      </c>
      <c r="M1085" s="1">
        <v>0</v>
      </c>
      <c r="N1085" s="1">
        <v>0</v>
      </c>
      <c r="O1085" s="1">
        <v>0</v>
      </c>
      <c r="P1085" s="2">
        <v>4360120</v>
      </c>
      <c r="Q1085" s="1">
        <v>-77627.3</v>
      </c>
      <c r="R1085" s="1">
        <v>408539</v>
      </c>
      <c r="S1085">
        <v>97.505300000000005</v>
      </c>
      <c r="T1085">
        <v>98.274000000000001</v>
      </c>
      <c r="U1085">
        <v>3.4794999999999998</v>
      </c>
      <c r="V1085">
        <v>0</v>
      </c>
      <c r="W1085">
        <v>0</v>
      </c>
      <c r="X1085">
        <v>2.2604199999999999</v>
      </c>
      <c r="Y1085">
        <v>1.9580200000000001</v>
      </c>
      <c r="Z1085">
        <v>0</v>
      </c>
      <c r="AA1085">
        <v>1.74624</v>
      </c>
      <c r="AB1085">
        <v>2.9635199999999999</v>
      </c>
      <c r="AC1085" s="2">
        <v>513070000</v>
      </c>
      <c r="AD1085" s="1">
        <v>0</v>
      </c>
      <c r="AE1085" s="1">
        <v>0</v>
      </c>
      <c r="AF1085" s="1">
        <v>0</v>
      </c>
      <c r="AG1085" s="1">
        <v>0</v>
      </c>
      <c r="AH1085" s="2">
        <v>5848250</v>
      </c>
      <c r="AI1085" s="1">
        <v>947509</v>
      </c>
      <c r="AJ1085" s="1">
        <v>0</v>
      </c>
      <c r="AK1085" s="8">
        <f t="shared" si="67"/>
        <v>44</v>
      </c>
      <c r="AL1085" s="8">
        <f t="shared" si="66"/>
        <v>21</v>
      </c>
      <c r="AM1085">
        <f t="shared" si="64"/>
        <v>0</v>
      </c>
      <c r="AN1085">
        <f t="shared" si="65"/>
        <v>0</v>
      </c>
    </row>
    <row r="1086" spans="1:40" x14ac:dyDescent="0.35">
      <c r="A1086">
        <v>64.3386</v>
      </c>
      <c r="B1086">
        <v>85.138999999999996</v>
      </c>
      <c r="C1086">
        <v>1.6471499999999999</v>
      </c>
      <c r="D1086">
        <v>0.02</v>
      </c>
      <c r="E1086">
        <v>0</v>
      </c>
      <c r="F1086">
        <v>2.9168599999999998</v>
      </c>
      <c r="G1086">
        <v>3.2192599999999998</v>
      </c>
      <c r="H1086">
        <v>0</v>
      </c>
      <c r="I1086">
        <v>0.54655600000000004</v>
      </c>
      <c r="J1086">
        <v>5.3222399999999999</v>
      </c>
      <c r="K1086" s="2">
        <v>132678000</v>
      </c>
      <c r="L1086" s="1">
        <v>0</v>
      </c>
      <c r="M1086" s="1">
        <v>0</v>
      </c>
      <c r="N1086" s="1">
        <v>0</v>
      </c>
      <c r="O1086" s="1">
        <v>0</v>
      </c>
      <c r="P1086" s="2">
        <v>4360630</v>
      </c>
      <c r="Q1086" s="1">
        <v>-77592.600000000006</v>
      </c>
      <c r="R1086" s="1">
        <v>408539</v>
      </c>
      <c r="S1086">
        <v>96.992500000000007</v>
      </c>
      <c r="T1086">
        <v>98.274000000000001</v>
      </c>
      <c r="U1086">
        <v>2.0440800000000001</v>
      </c>
      <c r="V1086">
        <v>0</v>
      </c>
      <c r="W1086">
        <v>0</v>
      </c>
      <c r="X1086">
        <v>2.2606299999999999</v>
      </c>
      <c r="Y1086">
        <v>1.9582299999999999</v>
      </c>
      <c r="Z1086">
        <v>0</v>
      </c>
      <c r="AA1086">
        <v>1.7464</v>
      </c>
      <c r="AB1086">
        <v>2.9635199999999999</v>
      </c>
      <c r="AC1086" s="2">
        <v>514018000</v>
      </c>
      <c r="AD1086" s="1">
        <v>0</v>
      </c>
      <c r="AE1086" s="1">
        <v>0</v>
      </c>
      <c r="AF1086" s="1">
        <v>0</v>
      </c>
      <c r="AG1086" s="1">
        <v>0</v>
      </c>
      <c r="AH1086" s="2">
        <v>5848780</v>
      </c>
      <c r="AI1086" s="1">
        <v>947526</v>
      </c>
      <c r="AJ1086" s="1">
        <v>0</v>
      </c>
      <c r="AK1086" s="8">
        <f t="shared" si="67"/>
        <v>45</v>
      </c>
      <c r="AL1086" s="8">
        <f t="shared" si="66"/>
        <v>21</v>
      </c>
      <c r="AM1086">
        <f t="shared" si="64"/>
        <v>0</v>
      </c>
      <c r="AN1086">
        <f t="shared" si="65"/>
        <v>0</v>
      </c>
    </row>
    <row r="1087" spans="1:40" x14ac:dyDescent="0.35">
      <c r="A1087">
        <v>62.991199999999999</v>
      </c>
      <c r="B1087">
        <v>85.138999999999996</v>
      </c>
      <c r="C1087">
        <v>1.59616</v>
      </c>
      <c r="D1087">
        <v>0.02</v>
      </c>
      <c r="E1087">
        <v>0</v>
      </c>
      <c r="F1087">
        <v>2.9171900000000002</v>
      </c>
      <c r="G1087">
        <v>3.2195900000000002</v>
      </c>
      <c r="H1087">
        <v>0</v>
      </c>
      <c r="I1087">
        <v>0.54661899999999997</v>
      </c>
      <c r="J1087">
        <v>5.3222399999999999</v>
      </c>
      <c r="K1087" s="2">
        <v>132600000</v>
      </c>
      <c r="L1087" s="1">
        <v>0</v>
      </c>
      <c r="M1087" s="1">
        <v>0</v>
      </c>
      <c r="N1087" s="1">
        <v>0</v>
      </c>
      <c r="O1087" s="1">
        <v>0</v>
      </c>
      <c r="P1087" s="2">
        <v>4361130</v>
      </c>
      <c r="Q1087" s="1">
        <v>-77558</v>
      </c>
      <c r="R1087" s="1">
        <v>408539</v>
      </c>
      <c r="S1087">
        <v>96.6614</v>
      </c>
      <c r="T1087">
        <v>98.274000000000001</v>
      </c>
      <c r="U1087">
        <v>1.8934800000000001</v>
      </c>
      <c r="V1087">
        <v>0</v>
      </c>
      <c r="W1087">
        <v>0</v>
      </c>
      <c r="X1087">
        <v>2.2608299999999999</v>
      </c>
      <c r="Y1087">
        <v>1.9584299999999999</v>
      </c>
      <c r="Z1087">
        <v>0</v>
      </c>
      <c r="AA1087">
        <v>1.7465599999999999</v>
      </c>
      <c r="AB1087">
        <v>2.9635199999999999</v>
      </c>
      <c r="AC1087" s="2">
        <v>514966000</v>
      </c>
      <c r="AD1087" s="1">
        <v>0</v>
      </c>
      <c r="AE1087" s="1">
        <v>0</v>
      </c>
      <c r="AF1087" s="1">
        <v>0</v>
      </c>
      <c r="AG1087" s="1">
        <v>0</v>
      </c>
      <c r="AH1087" s="2">
        <v>5849320</v>
      </c>
      <c r="AI1087" s="1">
        <v>947543</v>
      </c>
      <c r="AJ1087" s="1">
        <v>0</v>
      </c>
      <c r="AK1087" s="8">
        <f t="shared" si="67"/>
        <v>46</v>
      </c>
      <c r="AL1087" s="8">
        <f t="shared" si="66"/>
        <v>21</v>
      </c>
      <c r="AM1087">
        <f t="shared" si="64"/>
        <v>0</v>
      </c>
      <c r="AN1087">
        <f t="shared" si="65"/>
        <v>0</v>
      </c>
    </row>
    <row r="1088" spans="1:40" x14ac:dyDescent="0.35">
      <c r="A1088">
        <v>62.615900000000003</v>
      </c>
      <c r="B1088">
        <v>85.138999999999996</v>
      </c>
      <c r="C1088">
        <v>2.61334</v>
      </c>
      <c r="D1088">
        <v>0.02</v>
      </c>
      <c r="E1088">
        <v>0</v>
      </c>
      <c r="F1088">
        <v>2.8343500000000001</v>
      </c>
      <c r="G1088">
        <v>3.1367500000000001</v>
      </c>
      <c r="H1088">
        <v>0</v>
      </c>
      <c r="I1088">
        <v>0.546682</v>
      </c>
      <c r="J1088">
        <v>5.3222399999999999</v>
      </c>
      <c r="K1088" s="2">
        <v>132514000</v>
      </c>
      <c r="L1088" s="1">
        <v>0</v>
      </c>
      <c r="M1088" s="1">
        <v>0</v>
      </c>
      <c r="N1088" s="1">
        <v>0</v>
      </c>
      <c r="O1088" s="1">
        <v>0</v>
      </c>
      <c r="P1088" s="2">
        <v>4237290</v>
      </c>
      <c r="Q1088" s="1">
        <v>-86074.2</v>
      </c>
      <c r="R1088" s="1">
        <v>408539</v>
      </c>
      <c r="S1088">
        <v>96.740200000000002</v>
      </c>
      <c r="T1088">
        <v>98.274000000000001</v>
      </c>
      <c r="U1088">
        <v>2.71637</v>
      </c>
      <c r="V1088">
        <v>0</v>
      </c>
      <c r="W1088">
        <v>0</v>
      </c>
      <c r="X1088">
        <v>2.1709200000000002</v>
      </c>
      <c r="Y1088">
        <v>1.86852</v>
      </c>
      <c r="Z1088">
        <v>0</v>
      </c>
      <c r="AA1088">
        <v>1.7467200000000001</v>
      </c>
      <c r="AB1088">
        <v>2.9635199999999999</v>
      </c>
      <c r="AC1088" s="2">
        <v>515905000</v>
      </c>
      <c r="AD1088" s="1">
        <v>0</v>
      </c>
      <c r="AE1088" s="1">
        <v>0</v>
      </c>
      <c r="AF1088" s="1">
        <v>0</v>
      </c>
      <c r="AG1088" s="1">
        <v>0</v>
      </c>
      <c r="AH1088" s="2">
        <v>5616690</v>
      </c>
      <c r="AI1088" s="1">
        <v>939961</v>
      </c>
      <c r="AJ1088" s="1">
        <v>0</v>
      </c>
      <c r="AK1088" s="8">
        <f t="shared" si="67"/>
        <v>47</v>
      </c>
      <c r="AL1088" s="8">
        <f t="shared" si="66"/>
        <v>21</v>
      </c>
      <c r="AM1088">
        <f t="shared" si="64"/>
        <v>0</v>
      </c>
      <c r="AN1088">
        <f t="shared" si="65"/>
        <v>0</v>
      </c>
    </row>
    <row r="1089" spans="1:40" x14ac:dyDescent="0.35">
      <c r="A1089">
        <v>62.498800000000003</v>
      </c>
      <c r="B1089">
        <v>85.138999999999996</v>
      </c>
      <c r="C1089">
        <v>2.8714499999999998</v>
      </c>
      <c r="D1089">
        <v>0.02</v>
      </c>
      <c r="E1089">
        <v>0</v>
      </c>
      <c r="F1089">
        <v>2.8346800000000001</v>
      </c>
      <c r="G1089">
        <v>3.1370800000000001</v>
      </c>
      <c r="H1089">
        <v>0</v>
      </c>
      <c r="I1089">
        <v>0.53115800000000002</v>
      </c>
      <c r="J1089">
        <v>5.3222399999999999</v>
      </c>
      <c r="K1089" s="2">
        <v>132428000</v>
      </c>
      <c r="L1089" s="1">
        <v>0</v>
      </c>
      <c r="M1089" s="1">
        <v>0</v>
      </c>
      <c r="N1089" s="1">
        <v>0</v>
      </c>
      <c r="O1089" s="1">
        <v>0</v>
      </c>
      <c r="P1089" s="2">
        <v>4237780</v>
      </c>
      <c r="Q1089" s="1">
        <v>-86040.4</v>
      </c>
      <c r="R1089" s="1">
        <v>408539</v>
      </c>
      <c r="S1089">
        <v>96.779700000000005</v>
      </c>
      <c r="T1089">
        <v>98.274000000000001</v>
      </c>
      <c r="U1089">
        <v>2.6541899999999998</v>
      </c>
      <c r="V1089">
        <v>0</v>
      </c>
      <c r="W1089">
        <v>0</v>
      </c>
      <c r="X1089">
        <v>2.1711200000000002</v>
      </c>
      <c r="Y1089">
        <v>1.8687199999999999</v>
      </c>
      <c r="Z1089">
        <v>0</v>
      </c>
      <c r="AA1089">
        <v>1.6772499999999999</v>
      </c>
      <c r="AB1089">
        <v>2.9635199999999999</v>
      </c>
      <c r="AC1089" s="2">
        <v>516845000</v>
      </c>
      <c r="AD1089" s="1">
        <v>0</v>
      </c>
      <c r="AE1089" s="1">
        <v>0</v>
      </c>
      <c r="AF1089" s="1">
        <v>0</v>
      </c>
      <c r="AG1089" s="1">
        <v>0</v>
      </c>
      <c r="AH1089" s="2">
        <v>5617200</v>
      </c>
      <c r="AI1089" s="1">
        <v>939977</v>
      </c>
      <c r="AJ1089" s="1">
        <v>0</v>
      </c>
      <c r="AK1089" s="8">
        <f t="shared" si="67"/>
        <v>48</v>
      </c>
      <c r="AL1089" s="8">
        <f t="shared" si="66"/>
        <v>21</v>
      </c>
      <c r="AM1089">
        <f t="shared" si="64"/>
        <v>0</v>
      </c>
      <c r="AN1089">
        <f t="shared" si="65"/>
        <v>0</v>
      </c>
    </row>
    <row r="1090" spans="1:40" x14ac:dyDescent="0.35">
      <c r="A1090">
        <v>63.260899999999999</v>
      </c>
      <c r="B1090">
        <v>85.138999999999996</v>
      </c>
      <c r="C1090">
        <v>3.8350499999999998</v>
      </c>
      <c r="D1090">
        <v>0.02</v>
      </c>
      <c r="E1090">
        <v>0</v>
      </c>
      <c r="F1090">
        <v>2.83501</v>
      </c>
      <c r="G1090">
        <v>3.13741</v>
      </c>
      <c r="H1090">
        <v>0</v>
      </c>
      <c r="I1090">
        <v>0.531219</v>
      </c>
      <c r="J1090">
        <v>5.3222399999999999</v>
      </c>
      <c r="K1090" s="2">
        <v>132342000</v>
      </c>
      <c r="L1090" s="1">
        <v>0</v>
      </c>
      <c r="M1090" s="1">
        <v>0</v>
      </c>
      <c r="N1090" s="1">
        <v>0</v>
      </c>
      <c r="O1090" s="1">
        <v>0</v>
      </c>
      <c r="P1090" s="2">
        <v>4238270</v>
      </c>
      <c r="Q1090" s="1">
        <v>-86006.6</v>
      </c>
      <c r="R1090" s="1">
        <v>408539</v>
      </c>
      <c r="S1090">
        <v>96.984800000000007</v>
      </c>
      <c r="T1090">
        <v>98.274000000000001</v>
      </c>
      <c r="U1090">
        <v>2.87358</v>
      </c>
      <c r="V1090">
        <v>0</v>
      </c>
      <c r="W1090">
        <v>0</v>
      </c>
      <c r="X1090">
        <v>2.1713100000000001</v>
      </c>
      <c r="Y1090">
        <v>1.8689100000000001</v>
      </c>
      <c r="Z1090">
        <v>0</v>
      </c>
      <c r="AA1090">
        <v>1.6774100000000001</v>
      </c>
      <c r="AB1090">
        <v>2.9635199999999999</v>
      </c>
      <c r="AC1090" s="2">
        <v>517785000</v>
      </c>
      <c r="AD1090" s="1">
        <v>0</v>
      </c>
      <c r="AE1090" s="1">
        <v>0</v>
      </c>
      <c r="AF1090" s="1">
        <v>0</v>
      </c>
      <c r="AG1090" s="1">
        <v>0</v>
      </c>
      <c r="AH1090" s="2">
        <v>5617710</v>
      </c>
      <c r="AI1090" s="1">
        <v>939994</v>
      </c>
      <c r="AJ1090" s="1">
        <v>0</v>
      </c>
      <c r="AK1090" s="8">
        <f t="shared" si="67"/>
        <v>49</v>
      </c>
      <c r="AL1090" s="8">
        <f t="shared" si="66"/>
        <v>21</v>
      </c>
      <c r="AM1090">
        <f t="shared" si="64"/>
        <v>0</v>
      </c>
      <c r="AN1090">
        <f t="shared" si="65"/>
        <v>0</v>
      </c>
    </row>
    <row r="1091" spans="1:40" x14ac:dyDescent="0.35">
      <c r="A1091">
        <v>65.201899999999995</v>
      </c>
      <c r="B1091">
        <v>85.138999999999996</v>
      </c>
      <c r="C1091">
        <v>5.0396000000000001</v>
      </c>
      <c r="D1091">
        <v>0.02</v>
      </c>
      <c r="E1091">
        <v>0</v>
      </c>
      <c r="F1091">
        <v>2.83534</v>
      </c>
      <c r="G1091">
        <v>3.13774</v>
      </c>
      <c r="H1091">
        <v>0</v>
      </c>
      <c r="I1091">
        <v>0.531281</v>
      </c>
      <c r="J1091">
        <v>5.3222399999999999</v>
      </c>
      <c r="K1091" s="2">
        <v>132256000</v>
      </c>
      <c r="L1091" s="1">
        <v>0</v>
      </c>
      <c r="M1091" s="1">
        <v>0</v>
      </c>
      <c r="N1091" s="1">
        <v>0</v>
      </c>
      <c r="O1091" s="1">
        <v>0</v>
      </c>
      <c r="P1091" s="2">
        <v>4238760</v>
      </c>
      <c r="Q1091" s="1">
        <v>-85972.800000000003</v>
      </c>
      <c r="R1091" s="1">
        <v>408539</v>
      </c>
      <c r="S1091">
        <v>97.544899999999998</v>
      </c>
      <c r="T1091">
        <v>98.274000000000001</v>
      </c>
      <c r="U1091">
        <v>3.58813</v>
      </c>
      <c r="V1091">
        <v>0</v>
      </c>
      <c r="W1091">
        <v>0</v>
      </c>
      <c r="X1091">
        <v>2.1715100000000001</v>
      </c>
      <c r="Y1091">
        <v>1.86911</v>
      </c>
      <c r="Z1091">
        <v>0</v>
      </c>
      <c r="AA1091">
        <v>1.6775599999999999</v>
      </c>
      <c r="AB1091">
        <v>2.9635199999999999</v>
      </c>
      <c r="AC1091" s="2">
        <v>518725000</v>
      </c>
      <c r="AD1091" s="1">
        <v>0</v>
      </c>
      <c r="AE1091" s="1">
        <v>0</v>
      </c>
      <c r="AF1091" s="1">
        <v>0</v>
      </c>
      <c r="AG1091" s="1">
        <v>0</v>
      </c>
      <c r="AH1091" s="2">
        <v>5618210</v>
      </c>
      <c r="AI1091" s="1">
        <v>940010</v>
      </c>
      <c r="AJ1091" s="1">
        <v>0</v>
      </c>
      <c r="AK1091" s="8">
        <f t="shared" si="67"/>
        <v>50</v>
      </c>
      <c r="AL1091" s="8">
        <f t="shared" si="66"/>
        <v>21</v>
      </c>
      <c r="AM1091">
        <f t="shared" ref="AM1091:AM1154" si="68">IF(AK1091=52,AC1091,0)</f>
        <v>0</v>
      </c>
      <c r="AN1091">
        <f t="shared" ref="AN1091:AN1154" si="69">IF(AK1091=52,K1091,0)</f>
        <v>0</v>
      </c>
    </row>
    <row r="1092" spans="1:40" x14ac:dyDescent="0.35">
      <c r="A1092">
        <v>65.909000000000006</v>
      </c>
      <c r="B1092">
        <v>85.138999999999996</v>
      </c>
      <c r="C1092">
        <v>3.7535699999999999</v>
      </c>
      <c r="D1092">
        <v>0.02</v>
      </c>
      <c r="E1092">
        <v>0</v>
      </c>
      <c r="F1092">
        <v>2.5993400000000002</v>
      </c>
      <c r="G1092">
        <v>2.9017400000000002</v>
      </c>
      <c r="H1092">
        <v>0</v>
      </c>
      <c r="I1092">
        <v>0.53134300000000001</v>
      </c>
      <c r="J1092">
        <v>5.3222399999999999</v>
      </c>
      <c r="K1092" s="2">
        <v>132146000</v>
      </c>
      <c r="L1092" s="1">
        <v>0</v>
      </c>
      <c r="M1092" s="1">
        <v>0</v>
      </c>
      <c r="N1092" s="1">
        <v>0</v>
      </c>
      <c r="O1092" s="1">
        <v>0</v>
      </c>
      <c r="P1092" s="2">
        <v>3885940</v>
      </c>
      <c r="Q1092" s="1">
        <v>-110234</v>
      </c>
      <c r="R1092" s="1">
        <v>408539</v>
      </c>
      <c r="S1092">
        <v>98.609200000000001</v>
      </c>
      <c r="T1092">
        <v>98.274000000000001</v>
      </c>
      <c r="U1092">
        <v>3.9545599999999999</v>
      </c>
      <c r="V1092">
        <v>0</v>
      </c>
      <c r="W1092">
        <v>0</v>
      </c>
      <c r="X1092">
        <v>1.98394</v>
      </c>
      <c r="Y1092">
        <v>1.68154</v>
      </c>
      <c r="Z1092">
        <v>0</v>
      </c>
      <c r="AA1092">
        <v>1.67771</v>
      </c>
      <c r="AB1092">
        <v>2.9635199999999999</v>
      </c>
      <c r="AC1092" s="2">
        <v>519650000</v>
      </c>
      <c r="AD1092" s="1">
        <v>0</v>
      </c>
      <c r="AE1092" s="1">
        <v>0</v>
      </c>
      <c r="AF1092" s="1">
        <v>0</v>
      </c>
      <c r="AG1092" s="1">
        <v>0</v>
      </c>
      <c r="AH1092" s="2">
        <v>5132930</v>
      </c>
      <c r="AI1092" s="1">
        <v>924192</v>
      </c>
      <c r="AJ1092" s="1">
        <v>0</v>
      </c>
      <c r="AK1092" s="8">
        <f t="shared" si="67"/>
        <v>51</v>
      </c>
      <c r="AL1092" s="8">
        <f t="shared" ref="AL1092:AL1155" si="70">IF(AK1091=52,AL1091+1,AL1091)</f>
        <v>21</v>
      </c>
      <c r="AM1092">
        <f t="shared" si="68"/>
        <v>0</v>
      </c>
      <c r="AN1092">
        <f t="shared" si="69"/>
        <v>0</v>
      </c>
    </row>
    <row r="1093" spans="1:40" x14ac:dyDescent="0.35">
      <c r="A1093">
        <v>65.529700000000005</v>
      </c>
      <c r="B1093">
        <v>85.138999999999996</v>
      </c>
      <c r="C1093">
        <v>2.4292600000000002</v>
      </c>
      <c r="D1093">
        <v>0.02</v>
      </c>
      <c r="E1093">
        <v>0</v>
      </c>
      <c r="F1093">
        <v>2.59964</v>
      </c>
      <c r="G1093">
        <v>2.90204</v>
      </c>
      <c r="H1093">
        <v>0</v>
      </c>
      <c r="I1093">
        <v>0.48711599999999999</v>
      </c>
      <c r="J1093">
        <v>5.3222399999999999</v>
      </c>
      <c r="K1093" s="2">
        <v>132036000</v>
      </c>
      <c r="L1093" s="1">
        <v>0</v>
      </c>
      <c r="M1093" s="1">
        <v>0</v>
      </c>
      <c r="N1093" s="1">
        <v>0</v>
      </c>
      <c r="O1093" s="1">
        <v>0</v>
      </c>
      <c r="P1093" s="2">
        <v>3886400</v>
      </c>
      <c r="Q1093" s="1">
        <v>-110203</v>
      </c>
      <c r="R1093" s="1">
        <v>408539</v>
      </c>
      <c r="S1093">
        <v>99.048900000000003</v>
      </c>
      <c r="T1093">
        <v>98.274000000000001</v>
      </c>
      <c r="U1093">
        <v>2.9156399999999998</v>
      </c>
      <c r="V1093">
        <v>0</v>
      </c>
      <c r="W1093">
        <v>0</v>
      </c>
      <c r="X1093">
        <v>1.9841200000000001</v>
      </c>
      <c r="Y1093">
        <v>1.6817200000000001</v>
      </c>
      <c r="Z1093">
        <v>0</v>
      </c>
      <c r="AA1093">
        <v>1.5327900000000001</v>
      </c>
      <c r="AB1093">
        <v>2.9635199999999999</v>
      </c>
      <c r="AC1093" s="2">
        <v>520574000</v>
      </c>
      <c r="AD1093" s="1">
        <v>0</v>
      </c>
      <c r="AE1093" s="1">
        <v>0</v>
      </c>
      <c r="AF1093" s="1">
        <v>0</v>
      </c>
      <c r="AG1093" s="1">
        <v>0</v>
      </c>
      <c r="AH1093" s="2">
        <v>5133380</v>
      </c>
      <c r="AI1093" s="1">
        <v>924207</v>
      </c>
      <c r="AJ1093" s="1">
        <v>0</v>
      </c>
      <c r="AK1093" s="8">
        <f t="shared" si="67"/>
        <v>52</v>
      </c>
      <c r="AL1093" s="8">
        <f t="shared" si="70"/>
        <v>21</v>
      </c>
      <c r="AM1093">
        <f t="shared" si="68"/>
        <v>520574000</v>
      </c>
      <c r="AN1093">
        <f t="shared" si="69"/>
        <v>132036000</v>
      </c>
    </row>
    <row r="1094" spans="1:40" x14ac:dyDescent="0.35">
      <c r="A1094">
        <v>67.320300000000003</v>
      </c>
      <c r="B1094">
        <v>85.138999999999996</v>
      </c>
      <c r="C1094">
        <v>4.6155299999999997</v>
      </c>
      <c r="D1094">
        <v>0.02</v>
      </c>
      <c r="E1094">
        <v>0</v>
      </c>
      <c r="F1094">
        <v>2.5999400000000001</v>
      </c>
      <c r="G1094">
        <v>2.9023400000000001</v>
      </c>
      <c r="H1094">
        <v>0</v>
      </c>
      <c r="I1094">
        <v>0.48717300000000002</v>
      </c>
      <c r="J1094">
        <v>5.3222399999999999</v>
      </c>
      <c r="K1094" s="2">
        <v>131926000</v>
      </c>
      <c r="L1094" s="1">
        <v>0</v>
      </c>
      <c r="M1094" s="1">
        <v>0</v>
      </c>
      <c r="N1094" s="1">
        <v>0</v>
      </c>
      <c r="O1094" s="1">
        <v>0</v>
      </c>
      <c r="P1094" s="2">
        <v>3886850</v>
      </c>
      <c r="Q1094" s="1">
        <v>-110172</v>
      </c>
      <c r="R1094" s="1">
        <v>408539</v>
      </c>
      <c r="S1094">
        <v>99.302199999999999</v>
      </c>
      <c r="T1094">
        <v>98.274000000000001</v>
      </c>
      <c r="U1094">
        <v>4.0403099999999998</v>
      </c>
      <c r="V1094">
        <v>0</v>
      </c>
      <c r="W1094">
        <v>0</v>
      </c>
      <c r="X1094">
        <v>1.9842900000000001</v>
      </c>
      <c r="Y1094">
        <v>1.6818900000000001</v>
      </c>
      <c r="Z1094">
        <v>0</v>
      </c>
      <c r="AA1094">
        <v>1.5329299999999999</v>
      </c>
      <c r="AB1094">
        <v>2.9635199999999999</v>
      </c>
      <c r="AC1094" s="2">
        <v>521498000</v>
      </c>
      <c r="AD1094" s="1">
        <v>0</v>
      </c>
      <c r="AE1094" s="1">
        <v>0</v>
      </c>
      <c r="AF1094" s="1">
        <v>0</v>
      </c>
      <c r="AG1094" s="1">
        <v>0</v>
      </c>
      <c r="AH1094" s="2">
        <v>5133840</v>
      </c>
      <c r="AI1094" s="1">
        <v>924222</v>
      </c>
      <c r="AJ1094" s="1">
        <v>0</v>
      </c>
      <c r="AK1094" s="8">
        <f t="shared" si="67"/>
        <v>1</v>
      </c>
      <c r="AL1094" s="8">
        <f t="shared" si="70"/>
        <v>22</v>
      </c>
      <c r="AM1094">
        <f t="shared" si="68"/>
        <v>0</v>
      </c>
      <c r="AN1094">
        <f t="shared" si="69"/>
        <v>0</v>
      </c>
    </row>
    <row r="1095" spans="1:40" x14ac:dyDescent="0.35">
      <c r="A1095">
        <v>73.430899999999994</v>
      </c>
      <c r="B1095">
        <v>85.138999999999996</v>
      </c>
      <c r="C1095">
        <v>9.3349799999999998</v>
      </c>
      <c r="D1095">
        <v>0.02</v>
      </c>
      <c r="E1095">
        <v>0</v>
      </c>
      <c r="F1095">
        <v>2.60025</v>
      </c>
      <c r="G1095">
        <v>2.90265</v>
      </c>
      <c r="H1095">
        <v>0</v>
      </c>
      <c r="I1095">
        <v>0.48723</v>
      </c>
      <c r="J1095">
        <v>5.3222399999999999</v>
      </c>
      <c r="K1095" s="2">
        <v>131815000</v>
      </c>
      <c r="L1095" s="1">
        <v>0</v>
      </c>
      <c r="M1095" s="1">
        <v>0</v>
      </c>
      <c r="N1095" s="1">
        <v>0</v>
      </c>
      <c r="O1095" s="1">
        <v>0</v>
      </c>
      <c r="P1095" s="2">
        <v>3887310</v>
      </c>
      <c r="Q1095" s="1">
        <v>-110141</v>
      </c>
      <c r="R1095" s="1">
        <v>408539</v>
      </c>
      <c r="S1095">
        <v>99.302199999999999</v>
      </c>
      <c r="T1095">
        <v>98.274000000000001</v>
      </c>
      <c r="U1095">
        <v>9.5919699999999999</v>
      </c>
      <c r="V1095">
        <v>0</v>
      </c>
      <c r="W1095">
        <v>0</v>
      </c>
      <c r="X1095">
        <v>1.98447</v>
      </c>
      <c r="Y1095">
        <v>1.68207</v>
      </c>
      <c r="Z1095">
        <v>0</v>
      </c>
      <c r="AA1095">
        <v>1.5330600000000001</v>
      </c>
      <c r="AB1095">
        <v>2.9635199999999999</v>
      </c>
      <c r="AC1095" s="2">
        <v>522422000</v>
      </c>
      <c r="AD1095" s="1">
        <v>0</v>
      </c>
      <c r="AE1095" s="1">
        <v>0</v>
      </c>
      <c r="AF1095" s="1">
        <v>0</v>
      </c>
      <c r="AG1095" s="1">
        <v>0</v>
      </c>
      <c r="AH1095" s="2">
        <v>5134290</v>
      </c>
      <c r="AI1095" s="1">
        <v>924236</v>
      </c>
      <c r="AJ1095" s="1">
        <v>0</v>
      </c>
      <c r="AK1095" s="8">
        <f t="shared" si="67"/>
        <v>2</v>
      </c>
      <c r="AL1095" s="8">
        <f t="shared" si="70"/>
        <v>22</v>
      </c>
      <c r="AM1095">
        <f t="shared" si="68"/>
        <v>0</v>
      </c>
      <c r="AN1095">
        <f t="shared" si="69"/>
        <v>0</v>
      </c>
    </row>
    <row r="1096" spans="1:40" x14ac:dyDescent="0.35">
      <c r="A1096">
        <v>77.481300000000005</v>
      </c>
      <c r="B1096">
        <v>85.138999999999996</v>
      </c>
      <c r="C1096">
        <v>7.46997</v>
      </c>
      <c r="D1096">
        <v>0.01</v>
      </c>
      <c r="E1096">
        <v>0</v>
      </c>
      <c r="F1096">
        <v>2.6005500000000001</v>
      </c>
      <c r="G1096">
        <v>2.9029500000000001</v>
      </c>
      <c r="H1096">
        <v>0</v>
      </c>
      <c r="I1096">
        <v>0.48728700000000003</v>
      </c>
      <c r="J1096">
        <v>5.3222399999999999</v>
      </c>
      <c r="K1096" s="2">
        <v>131705000</v>
      </c>
      <c r="L1096" s="1">
        <v>0</v>
      </c>
      <c r="M1096" s="1">
        <v>0</v>
      </c>
      <c r="N1096" s="1">
        <v>0</v>
      </c>
      <c r="O1096" s="1">
        <v>0</v>
      </c>
      <c r="P1096" s="2">
        <v>3887760</v>
      </c>
      <c r="Q1096" s="1">
        <v>-110109</v>
      </c>
      <c r="R1096" s="1">
        <v>408539</v>
      </c>
      <c r="S1096">
        <v>99.302199999999999</v>
      </c>
      <c r="T1096">
        <v>98.274000000000001</v>
      </c>
      <c r="U1096">
        <v>7.0655999999999999</v>
      </c>
      <c r="V1096">
        <v>0</v>
      </c>
      <c r="W1096">
        <v>0</v>
      </c>
      <c r="X1096">
        <v>1.98465</v>
      </c>
      <c r="Y1096">
        <v>1.68225</v>
      </c>
      <c r="Z1096">
        <v>0</v>
      </c>
      <c r="AA1096">
        <v>1.5331999999999999</v>
      </c>
      <c r="AB1096">
        <v>2.9635199999999999</v>
      </c>
      <c r="AC1096" s="2">
        <v>523347000</v>
      </c>
      <c r="AD1096" s="1">
        <v>0</v>
      </c>
      <c r="AE1096" s="1">
        <v>0</v>
      </c>
      <c r="AF1096" s="1">
        <v>0</v>
      </c>
      <c r="AG1096" s="1">
        <v>0</v>
      </c>
      <c r="AH1096" s="2">
        <v>5134750</v>
      </c>
      <c r="AI1096" s="1">
        <v>924251</v>
      </c>
      <c r="AJ1096" s="1">
        <v>0</v>
      </c>
      <c r="AK1096" s="8">
        <f t="shared" ref="AK1096:AK1159" si="71">IF(AK1095=52, 1, AK1095+1)</f>
        <v>3</v>
      </c>
      <c r="AL1096" s="8">
        <f t="shared" si="70"/>
        <v>22</v>
      </c>
      <c r="AM1096">
        <f t="shared" si="68"/>
        <v>0</v>
      </c>
      <c r="AN1096">
        <f t="shared" si="69"/>
        <v>0</v>
      </c>
    </row>
    <row r="1097" spans="1:40" x14ac:dyDescent="0.35">
      <c r="A1097">
        <v>77.867599999999996</v>
      </c>
      <c r="B1097">
        <v>85.138999999999996</v>
      </c>
      <c r="C1097">
        <v>3.80078</v>
      </c>
      <c r="D1097">
        <v>0</v>
      </c>
      <c r="E1097">
        <v>0</v>
      </c>
      <c r="F1097">
        <v>2.9942000000000002</v>
      </c>
      <c r="G1097">
        <v>2.9942000000000002</v>
      </c>
      <c r="H1097">
        <v>0</v>
      </c>
      <c r="I1097">
        <v>0.487344</v>
      </c>
      <c r="J1097">
        <v>5.3222399999999999</v>
      </c>
      <c r="K1097" s="2">
        <v>132013000</v>
      </c>
      <c r="L1097" s="1">
        <v>0</v>
      </c>
      <c r="M1097" s="1">
        <v>0</v>
      </c>
      <c r="N1097" s="1">
        <v>0</v>
      </c>
      <c r="O1097" s="2">
        <v>29016000</v>
      </c>
      <c r="P1097" s="2">
        <v>4476250</v>
      </c>
      <c r="Q1097" s="1">
        <v>307810</v>
      </c>
      <c r="R1097" s="1">
        <v>0</v>
      </c>
      <c r="S1097">
        <v>99.302199999999999</v>
      </c>
      <c r="T1097">
        <v>98.274000000000001</v>
      </c>
      <c r="U1097">
        <v>4.5906200000000004</v>
      </c>
      <c r="V1097">
        <v>0</v>
      </c>
      <c r="W1097">
        <v>0</v>
      </c>
      <c r="X1097">
        <v>1.73682</v>
      </c>
      <c r="Y1097">
        <v>1.73682</v>
      </c>
      <c r="Z1097">
        <v>0</v>
      </c>
      <c r="AA1097">
        <v>1.5333399999999999</v>
      </c>
      <c r="AB1097">
        <v>2.9635199999999999</v>
      </c>
      <c r="AC1097" s="2">
        <v>523493000</v>
      </c>
      <c r="AD1097" s="1">
        <v>0</v>
      </c>
      <c r="AE1097" s="1">
        <v>0</v>
      </c>
      <c r="AF1097" s="1">
        <v>0</v>
      </c>
      <c r="AG1097" s="2">
        <v>7883220</v>
      </c>
      <c r="AH1097" s="2">
        <v>4493560</v>
      </c>
      <c r="AI1097" s="1">
        <v>146473</v>
      </c>
      <c r="AJ1097" s="1">
        <v>0</v>
      </c>
      <c r="AK1097" s="8">
        <f t="shared" si="71"/>
        <v>4</v>
      </c>
      <c r="AL1097" s="8">
        <f t="shared" si="70"/>
        <v>22</v>
      </c>
      <c r="AM1097">
        <f t="shared" si="68"/>
        <v>0</v>
      </c>
      <c r="AN1097">
        <f t="shared" si="69"/>
        <v>0</v>
      </c>
    </row>
    <row r="1098" spans="1:40" x14ac:dyDescent="0.35">
      <c r="A1098">
        <v>79.425299999999993</v>
      </c>
      <c r="B1098">
        <v>85.138999999999996</v>
      </c>
      <c r="C1098">
        <v>4.9501499999999998</v>
      </c>
      <c r="D1098">
        <v>0</v>
      </c>
      <c r="E1098">
        <v>0</v>
      </c>
      <c r="F1098">
        <v>2.9944899999999999</v>
      </c>
      <c r="G1098">
        <v>2.9944899999999999</v>
      </c>
      <c r="H1098">
        <v>0</v>
      </c>
      <c r="I1098">
        <v>0.56111299999999997</v>
      </c>
      <c r="J1098">
        <v>5.3222399999999999</v>
      </c>
      <c r="K1098" s="2">
        <v>132321000</v>
      </c>
      <c r="L1098" s="1">
        <v>0</v>
      </c>
      <c r="M1098" s="1">
        <v>0</v>
      </c>
      <c r="N1098" s="1">
        <v>0</v>
      </c>
      <c r="O1098" s="1">
        <v>0</v>
      </c>
      <c r="P1098" s="2">
        <v>4476690</v>
      </c>
      <c r="Q1098" s="1">
        <v>307840</v>
      </c>
      <c r="R1098" s="1">
        <v>0</v>
      </c>
      <c r="S1098">
        <v>99.302199999999999</v>
      </c>
      <c r="T1098">
        <v>98.274000000000001</v>
      </c>
      <c r="U1098">
        <v>4.0531499999999996</v>
      </c>
      <c r="V1098">
        <v>0</v>
      </c>
      <c r="W1098">
        <v>0</v>
      </c>
      <c r="X1098">
        <v>1.73699</v>
      </c>
      <c r="Y1098">
        <v>1.73699</v>
      </c>
      <c r="Z1098">
        <v>0</v>
      </c>
      <c r="AA1098">
        <v>1.3418600000000001</v>
      </c>
      <c r="AB1098">
        <v>2.9635199999999999</v>
      </c>
      <c r="AC1098" s="2">
        <v>523640000</v>
      </c>
      <c r="AD1098" s="1">
        <v>0</v>
      </c>
      <c r="AE1098" s="1">
        <v>0</v>
      </c>
      <c r="AF1098" s="1">
        <v>0</v>
      </c>
      <c r="AG1098" s="1">
        <v>0</v>
      </c>
      <c r="AH1098" s="2">
        <v>4494000</v>
      </c>
      <c r="AI1098" s="1">
        <v>146487</v>
      </c>
      <c r="AJ1098" s="1">
        <v>0</v>
      </c>
      <c r="AK1098" s="8">
        <f t="shared" si="71"/>
        <v>5</v>
      </c>
      <c r="AL1098" s="8">
        <f t="shared" si="70"/>
        <v>22</v>
      </c>
      <c r="AM1098">
        <f t="shared" si="68"/>
        <v>0</v>
      </c>
      <c r="AN1098">
        <f t="shared" si="69"/>
        <v>0</v>
      </c>
    </row>
    <row r="1099" spans="1:40" x14ac:dyDescent="0.35">
      <c r="A1099">
        <v>82.604500000000002</v>
      </c>
      <c r="B1099">
        <v>85.138999999999996</v>
      </c>
      <c r="C1099">
        <v>6.9868300000000003</v>
      </c>
      <c r="D1099">
        <v>0</v>
      </c>
      <c r="E1099">
        <v>0</v>
      </c>
      <c r="F1099">
        <v>2.9947900000000001</v>
      </c>
      <c r="G1099">
        <v>2.9947900000000001</v>
      </c>
      <c r="H1099">
        <v>0</v>
      </c>
      <c r="I1099">
        <v>0.561168</v>
      </c>
      <c r="J1099">
        <v>5.3222399999999999</v>
      </c>
      <c r="K1099" s="2">
        <v>132629000</v>
      </c>
      <c r="L1099" s="1">
        <v>0</v>
      </c>
      <c r="M1099" s="1">
        <v>0</v>
      </c>
      <c r="N1099" s="1">
        <v>0</v>
      </c>
      <c r="O1099" s="1">
        <v>0</v>
      </c>
      <c r="P1099" s="2">
        <v>4477130</v>
      </c>
      <c r="Q1099" s="1">
        <v>307870</v>
      </c>
      <c r="R1099" s="1">
        <v>0</v>
      </c>
      <c r="S1099">
        <v>99.302199999999999</v>
      </c>
      <c r="T1099">
        <v>98.274000000000001</v>
      </c>
      <c r="U1099">
        <v>4.8342400000000003</v>
      </c>
      <c r="V1099">
        <v>0</v>
      </c>
      <c r="W1099">
        <v>0</v>
      </c>
      <c r="X1099">
        <v>1.73716</v>
      </c>
      <c r="Y1099">
        <v>1.73716</v>
      </c>
      <c r="Z1099">
        <v>0</v>
      </c>
      <c r="AA1099">
        <v>1.3420000000000001</v>
      </c>
      <c r="AB1099">
        <v>2.9635199999999999</v>
      </c>
      <c r="AC1099" s="2">
        <v>523786000</v>
      </c>
      <c r="AD1099" s="1">
        <v>0</v>
      </c>
      <c r="AE1099" s="1">
        <v>0</v>
      </c>
      <c r="AF1099" s="1">
        <v>0</v>
      </c>
      <c r="AG1099" s="1">
        <v>0</v>
      </c>
      <c r="AH1099" s="2">
        <v>4494440</v>
      </c>
      <c r="AI1099" s="1">
        <v>146501</v>
      </c>
      <c r="AJ1099" s="1">
        <v>0</v>
      </c>
      <c r="AK1099" s="8">
        <f t="shared" si="71"/>
        <v>6</v>
      </c>
      <c r="AL1099" s="8">
        <f t="shared" si="70"/>
        <v>22</v>
      </c>
      <c r="AM1099">
        <f t="shared" si="68"/>
        <v>0</v>
      </c>
      <c r="AN1099">
        <f t="shared" si="69"/>
        <v>0</v>
      </c>
    </row>
    <row r="1100" spans="1:40" x14ac:dyDescent="0.35">
      <c r="A1100">
        <v>85.138999999999996</v>
      </c>
      <c r="B1100">
        <v>85.138999999999996</v>
      </c>
      <c r="C1100">
        <v>10.257999999999999</v>
      </c>
      <c r="D1100">
        <v>0</v>
      </c>
      <c r="E1100">
        <v>0</v>
      </c>
      <c r="F1100">
        <v>2.9950800000000002</v>
      </c>
      <c r="G1100">
        <v>2.9950800000000002</v>
      </c>
      <c r="H1100">
        <v>0</v>
      </c>
      <c r="I1100">
        <v>0.56122300000000003</v>
      </c>
      <c r="J1100">
        <v>5.3222399999999999</v>
      </c>
      <c r="K1100" s="2">
        <v>132937000</v>
      </c>
      <c r="L1100" s="1">
        <v>0</v>
      </c>
      <c r="M1100" s="1">
        <v>0</v>
      </c>
      <c r="N1100" s="1">
        <v>0</v>
      </c>
      <c r="O1100" s="1">
        <v>0</v>
      </c>
      <c r="P1100" s="2">
        <v>4477570</v>
      </c>
      <c r="Q1100" s="1">
        <v>307900</v>
      </c>
      <c r="R1100" s="1">
        <v>0</v>
      </c>
      <c r="S1100">
        <v>99.302199999999999</v>
      </c>
      <c r="T1100">
        <v>98.274000000000001</v>
      </c>
      <c r="U1100">
        <v>11.4251</v>
      </c>
      <c r="V1100">
        <v>0</v>
      </c>
      <c r="W1100">
        <v>0</v>
      </c>
      <c r="X1100">
        <v>1.73733</v>
      </c>
      <c r="Y1100">
        <v>1.73733</v>
      </c>
      <c r="Z1100">
        <v>0</v>
      </c>
      <c r="AA1100">
        <v>1.34213</v>
      </c>
      <c r="AB1100">
        <v>2.9635199999999999</v>
      </c>
      <c r="AC1100" s="2">
        <v>523933000</v>
      </c>
      <c r="AD1100" s="1">
        <v>0</v>
      </c>
      <c r="AE1100" s="1">
        <v>0</v>
      </c>
      <c r="AF1100" s="1">
        <v>0</v>
      </c>
      <c r="AG1100" s="1">
        <v>0</v>
      </c>
      <c r="AH1100" s="2">
        <v>4494880</v>
      </c>
      <c r="AI1100" s="1">
        <v>146516</v>
      </c>
      <c r="AJ1100" s="1">
        <v>0</v>
      </c>
      <c r="AK1100" s="8">
        <f t="shared" si="71"/>
        <v>7</v>
      </c>
      <c r="AL1100" s="8">
        <f t="shared" si="70"/>
        <v>22</v>
      </c>
      <c r="AM1100">
        <f t="shared" si="68"/>
        <v>0</v>
      </c>
      <c r="AN1100">
        <f t="shared" si="69"/>
        <v>0</v>
      </c>
    </row>
    <row r="1101" spans="1:40" x14ac:dyDescent="0.35">
      <c r="A1101">
        <v>85.138999999999996</v>
      </c>
      <c r="B1101">
        <v>85.138999999999996</v>
      </c>
      <c r="C1101">
        <v>7.9488899999999996</v>
      </c>
      <c r="D1101">
        <v>0</v>
      </c>
      <c r="E1101">
        <v>0</v>
      </c>
      <c r="F1101">
        <v>3.2875399999999999</v>
      </c>
      <c r="G1101">
        <v>3.2875399999999999</v>
      </c>
      <c r="H1101">
        <v>0</v>
      </c>
      <c r="I1101">
        <v>0.56127800000000005</v>
      </c>
      <c r="J1101">
        <v>5.3222399999999999</v>
      </c>
      <c r="K1101" s="2">
        <v>133275000</v>
      </c>
      <c r="L1101" s="1">
        <v>0</v>
      </c>
      <c r="M1101" s="1">
        <v>0</v>
      </c>
      <c r="N1101" s="1">
        <v>0</v>
      </c>
      <c r="O1101" s="1">
        <v>0</v>
      </c>
      <c r="P1101" s="2">
        <v>4914780</v>
      </c>
      <c r="Q1101" s="1">
        <v>337965</v>
      </c>
      <c r="R1101" s="1">
        <v>0</v>
      </c>
      <c r="S1101">
        <v>99.302199999999999</v>
      </c>
      <c r="T1101">
        <v>98.274000000000001</v>
      </c>
      <c r="U1101">
        <v>9.9221500000000002</v>
      </c>
      <c r="V1101">
        <v>0</v>
      </c>
      <c r="W1101">
        <v>0</v>
      </c>
      <c r="X1101">
        <v>1.9417899999999999</v>
      </c>
      <c r="Y1101">
        <v>1.9417899999999999</v>
      </c>
      <c r="Z1101">
        <v>0</v>
      </c>
      <c r="AA1101">
        <v>1.34226</v>
      </c>
      <c r="AB1101">
        <v>2.9635199999999999</v>
      </c>
      <c r="AC1101" s="2">
        <v>524096000</v>
      </c>
      <c r="AD1101" s="1">
        <v>0</v>
      </c>
      <c r="AE1101" s="1">
        <v>0</v>
      </c>
      <c r="AF1101" s="1">
        <v>0</v>
      </c>
      <c r="AG1101" s="1">
        <v>0</v>
      </c>
      <c r="AH1101" s="2">
        <v>5023870</v>
      </c>
      <c r="AI1101" s="1">
        <v>163759</v>
      </c>
      <c r="AJ1101" s="1">
        <v>0</v>
      </c>
      <c r="AK1101" s="8">
        <f t="shared" si="71"/>
        <v>8</v>
      </c>
      <c r="AL1101" s="8">
        <f t="shared" si="70"/>
        <v>22</v>
      </c>
      <c r="AM1101">
        <f t="shared" si="68"/>
        <v>0</v>
      </c>
      <c r="AN1101">
        <f t="shared" si="69"/>
        <v>0</v>
      </c>
    </row>
    <row r="1102" spans="1:40" x14ac:dyDescent="0.35">
      <c r="A1102">
        <v>85.138999999999996</v>
      </c>
      <c r="B1102">
        <v>85.138999999999996</v>
      </c>
      <c r="C1102">
        <v>7.0266799999999998</v>
      </c>
      <c r="D1102">
        <v>0</v>
      </c>
      <c r="E1102">
        <v>0</v>
      </c>
      <c r="F1102">
        <v>3.2878599999999998</v>
      </c>
      <c r="G1102">
        <v>3.2878599999999998</v>
      </c>
      <c r="H1102">
        <v>0</v>
      </c>
      <c r="I1102">
        <v>0.61608399999999996</v>
      </c>
      <c r="J1102">
        <v>5.3222399999999999</v>
      </c>
      <c r="K1102" s="2">
        <v>133613000</v>
      </c>
      <c r="L1102" s="1">
        <v>0</v>
      </c>
      <c r="M1102" s="1">
        <v>0</v>
      </c>
      <c r="N1102" s="1">
        <v>0</v>
      </c>
      <c r="O1102" s="1">
        <v>0</v>
      </c>
      <c r="P1102" s="2">
        <v>4915270</v>
      </c>
      <c r="Q1102" s="1">
        <v>337998</v>
      </c>
      <c r="R1102" s="1">
        <v>0</v>
      </c>
      <c r="S1102">
        <v>99.302199999999999</v>
      </c>
      <c r="T1102">
        <v>98.274000000000001</v>
      </c>
      <c r="U1102">
        <v>7.7200100000000003</v>
      </c>
      <c r="V1102">
        <v>0</v>
      </c>
      <c r="W1102">
        <v>0</v>
      </c>
      <c r="X1102">
        <v>1.94198</v>
      </c>
      <c r="Y1102">
        <v>1.94198</v>
      </c>
      <c r="Z1102">
        <v>0</v>
      </c>
      <c r="AA1102">
        <v>1.50023</v>
      </c>
      <c r="AB1102">
        <v>2.9635199999999999</v>
      </c>
      <c r="AC1102" s="2">
        <v>524260000</v>
      </c>
      <c r="AD1102" s="1">
        <v>0</v>
      </c>
      <c r="AE1102" s="1">
        <v>0</v>
      </c>
      <c r="AF1102" s="1">
        <v>0</v>
      </c>
      <c r="AG1102" s="1">
        <v>0</v>
      </c>
      <c r="AH1102" s="2">
        <v>5024370</v>
      </c>
      <c r="AI1102" s="1">
        <v>163775</v>
      </c>
      <c r="AJ1102" s="1">
        <v>0</v>
      </c>
      <c r="AK1102" s="8">
        <f t="shared" si="71"/>
        <v>9</v>
      </c>
      <c r="AL1102" s="8">
        <f t="shared" si="70"/>
        <v>22</v>
      </c>
      <c r="AM1102">
        <f t="shared" si="68"/>
        <v>0</v>
      </c>
      <c r="AN1102">
        <f t="shared" si="69"/>
        <v>0</v>
      </c>
    </row>
    <row r="1103" spans="1:40" x14ac:dyDescent="0.35">
      <c r="A1103">
        <v>85.138999999999996</v>
      </c>
      <c r="B1103">
        <v>85.138999999999996</v>
      </c>
      <c r="C1103">
        <v>12.6615</v>
      </c>
      <c r="D1103">
        <v>0</v>
      </c>
      <c r="E1103">
        <v>0</v>
      </c>
      <c r="F1103">
        <v>3.2881800000000001</v>
      </c>
      <c r="G1103">
        <v>3.2881800000000001</v>
      </c>
      <c r="H1103">
        <v>0</v>
      </c>
      <c r="I1103">
        <v>0.61614500000000005</v>
      </c>
      <c r="J1103">
        <v>5.3222399999999999</v>
      </c>
      <c r="K1103" s="2">
        <v>133951000</v>
      </c>
      <c r="L1103" s="1">
        <v>0</v>
      </c>
      <c r="M1103" s="1">
        <v>0</v>
      </c>
      <c r="N1103" s="1">
        <v>0</v>
      </c>
      <c r="O1103" s="1">
        <v>0</v>
      </c>
      <c r="P1103" s="2">
        <v>4915750</v>
      </c>
      <c r="Q1103" s="1">
        <v>338031</v>
      </c>
      <c r="R1103" s="1">
        <v>0</v>
      </c>
      <c r="S1103">
        <v>99.302199999999999</v>
      </c>
      <c r="T1103">
        <v>98.274000000000001</v>
      </c>
      <c r="U1103">
        <v>11.3925</v>
      </c>
      <c r="V1103">
        <v>0</v>
      </c>
      <c r="W1103">
        <v>0</v>
      </c>
      <c r="X1103">
        <v>1.94217</v>
      </c>
      <c r="Y1103">
        <v>1.94217</v>
      </c>
      <c r="Z1103">
        <v>0</v>
      </c>
      <c r="AA1103">
        <v>1.50037</v>
      </c>
      <c r="AB1103">
        <v>2.9635199999999999</v>
      </c>
      <c r="AC1103" s="2">
        <v>524424000</v>
      </c>
      <c r="AD1103" s="1">
        <v>0</v>
      </c>
      <c r="AE1103" s="1">
        <v>0</v>
      </c>
      <c r="AF1103" s="1">
        <v>0</v>
      </c>
      <c r="AG1103" s="1">
        <v>0</v>
      </c>
      <c r="AH1103" s="2">
        <v>5024860</v>
      </c>
      <c r="AI1103" s="1">
        <v>163791</v>
      </c>
      <c r="AJ1103" s="1">
        <v>0</v>
      </c>
      <c r="AK1103" s="8">
        <f t="shared" si="71"/>
        <v>10</v>
      </c>
      <c r="AL1103" s="8">
        <f t="shared" si="70"/>
        <v>22</v>
      </c>
      <c r="AM1103">
        <f t="shared" si="68"/>
        <v>0</v>
      </c>
      <c r="AN1103">
        <f t="shared" si="69"/>
        <v>0</v>
      </c>
    </row>
    <row r="1104" spans="1:40" x14ac:dyDescent="0.35">
      <c r="A1104">
        <v>85.138999999999996</v>
      </c>
      <c r="B1104">
        <v>85.138999999999996</v>
      </c>
      <c r="C1104">
        <v>5.3090799999999998</v>
      </c>
      <c r="D1104">
        <v>0</v>
      </c>
      <c r="E1104">
        <v>0</v>
      </c>
      <c r="F1104">
        <v>3.2885</v>
      </c>
      <c r="G1104">
        <v>3.2885</v>
      </c>
      <c r="H1104">
        <v>0</v>
      </c>
      <c r="I1104">
        <v>0.616205</v>
      </c>
      <c r="J1104">
        <v>5.3222399999999999</v>
      </c>
      <c r="K1104" s="2">
        <v>134289000</v>
      </c>
      <c r="L1104" s="1">
        <v>0</v>
      </c>
      <c r="M1104" s="1">
        <v>0</v>
      </c>
      <c r="N1104" s="1">
        <v>0</v>
      </c>
      <c r="O1104" s="1">
        <v>0</v>
      </c>
      <c r="P1104" s="2">
        <v>4916230</v>
      </c>
      <c r="Q1104" s="1">
        <v>338064</v>
      </c>
      <c r="R1104" s="1">
        <v>0</v>
      </c>
      <c r="S1104">
        <v>99.302199999999999</v>
      </c>
      <c r="T1104">
        <v>98.274000000000001</v>
      </c>
      <c r="U1104">
        <v>5.5845500000000001</v>
      </c>
      <c r="V1104">
        <v>0</v>
      </c>
      <c r="W1104">
        <v>0</v>
      </c>
      <c r="X1104">
        <v>1.9423600000000001</v>
      </c>
      <c r="Y1104">
        <v>1.9423600000000001</v>
      </c>
      <c r="Z1104">
        <v>0</v>
      </c>
      <c r="AA1104">
        <v>1.5005200000000001</v>
      </c>
      <c r="AB1104">
        <v>2.9635199999999999</v>
      </c>
      <c r="AC1104" s="2">
        <v>524588000</v>
      </c>
      <c r="AD1104" s="1">
        <v>0</v>
      </c>
      <c r="AE1104" s="1">
        <v>0</v>
      </c>
      <c r="AF1104" s="1">
        <v>0</v>
      </c>
      <c r="AG1104" s="1">
        <v>0</v>
      </c>
      <c r="AH1104" s="2">
        <v>5025350</v>
      </c>
      <c r="AI1104" s="1">
        <v>163807</v>
      </c>
      <c r="AJ1104" s="1">
        <v>0</v>
      </c>
      <c r="AK1104" s="8">
        <f t="shared" si="71"/>
        <v>11</v>
      </c>
      <c r="AL1104" s="8">
        <f t="shared" si="70"/>
        <v>22</v>
      </c>
      <c r="AM1104">
        <f t="shared" si="68"/>
        <v>0</v>
      </c>
      <c r="AN1104">
        <f t="shared" si="69"/>
        <v>0</v>
      </c>
    </row>
    <row r="1105" spans="1:40" x14ac:dyDescent="0.35">
      <c r="A1105">
        <v>85.138999999999996</v>
      </c>
      <c r="B1105">
        <v>85.138999999999996</v>
      </c>
      <c r="C1105">
        <v>5.39283</v>
      </c>
      <c r="D1105">
        <v>0</v>
      </c>
      <c r="E1105">
        <v>0</v>
      </c>
      <c r="F1105">
        <v>2.87195</v>
      </c>
      <c r="G1105">
        <v>2.87195</v>
      </c>
      <c r="H1105">
        <v>0</v>
      </c>
      <c r="I1105">
        <v>0.61626499999999995</v>
      </c>
      <c r="J1105">
        <v>5.3222399999999999</v>
      </c>
      <c r="K1105" s="2">
        <v>134584000</v>
      </c>
      <c r="L1105" s="1">
        <v>0</v>
      </c>
      <c r="M1105" s="1">
        <v>0</v>
      </c>
      <c r="N1105" s="1">
        <v>0</v>
      </c>
      <c r="O1105" s="1">
        <v>0</v>
      </c>
      <c r="P1105" s="2">
        <v>4293490</v>
      </c>
      <c r="Q1105" s="1">
        <v>295242</v>
      </c>
      <c r="R1105" s="1">
        <v>0</v>
      </c>
      <c r="S1105">
        <v>99.302199999999999</v>
      </c>
      <c r="T1105">
        <v>98.274000000000001</v>
      </c>
      <c r="U1105">
        <v>6.5403900000000004</v>
      </c>
      <c r="V1105">
        <v>0</v>
      </c>
      <c r="W1105">
        <v>0</v>
      </c>
      <c r="X1105">
        <v>1.66828</v>
      </c>
      <c r="Y1105">
        <v>1.66828</v>
      </c>
      <c r="Z1105">
        <v>0</v>
      </c>
      <c r="AA1105">
        <v>1.5006699999999999</v>
      </c>
      <c r="AB1105">
        <v>2.9635199999999999</v>
      </c>
      <c r="AC1105" s="2">
        <v>524728000</v>
      </c>
      <c r="AD1105" s="1">
        <v>0</v>
      </c>
      <c r="AE1105" s="1">
        <v>0</v>
      </c>
      <c r="AF1105" s="1">
        <v>0</v>
      </c>
      <c r="AG1105" s="1">
        <v>0</v>
      </c>
      <c r="AH1105" s="2">
        <v>4316240</v>
      </c>
      <c r="AI1105" s="1">
        <v>140693</v>
      </c>
      <c r="AJ1105" s="1">
        <v>0</v>
      </c>
      <c r="AK1105" s="8">
        <f t="shared" si="71"/>
        <v>12</v>
      </c>
      <c r="AL1105" s="8">
        <f t="shared" si="70"/>
        <v>22</v>
      </c>
      <c r="AM1105">
        <f t="shared" si="68"/>
        <v>0</v>
      </c>
      <c r="AN1105">
        <f t="shared" si="69"/>
        <v>0</v>
      </c>
    </row>
    <row r="1106" spans="1:40" x14ac:dyDescent="0.35">
      <c r="A1106">
        <v>85.138999999999996</v>
      </c>
      <c r="B1106">
        <v>85.138999999999996</v>
      </c>
      <c r="C1106">
        <v>5.92293</v>
      </c>
      <c r="D1106">
        <v>0</v>
      </c>
      <c r="E1106">
        <v>0</v>
      </c>
      <c r="F1106">
        <v>2.8722300000000001</v>
      </c>
      <c r="G1106">
        <v>2.8722300000000001</v>
      </c>
      <c r="H1106">
        <v>0</v>
      </c>
      <c r="I1106">
        <v>0.53820299999999999</v>
      </c>
      <c r="J1106">
        <v>5.3222399999999999</v>
      </c>
      <c r="K1106" s="2">
        <v>134879000</v>
      </c>
      <c r="L1106" s="1">
        <v>0</v>
      </c>
      <c r="M1106" s="1">
        <v>0</v>
      </c>
      <c r="N1106" s="1">
        <v>0</v>
      </c>
      <c r="O1106" s="1">
        <v>0</v>
      </c>
      <c r="P1106" s="2">
        <v>4293910</v>
      </c>
      <c r="Q1106" s="1">
        <v>295270</v>
      </c>
      <c r="R1106" s="1">
        <v>0</v>
      </c>
      <c r="S1106">
        <v>99.302199999999999</v>
      </c>
      <c r="T1106">
        <v>98.274000000000001</v>
      </c>
      <c r="U1106">
        <v>8.12181</v>
      </c>
      <c r="V1106">
        <v>0</v>
      </c>
      <c r="W1106">
        <v>0</v>
      </c>
      <c r="X1106">
        <v>1.6684399999999999</v>
      </c>
      <c r="Y1106">
        <v>1.6684399999999999</v>
      </c>
      <c r="Z1106">
        <v>0</v>
      </c>
      <c r="AA1106">
        <v>1.28891</v>
      </c>
      <c r="AB1106">
        <v>2.9635199999999999</v>
      </c>
      <c r="AC1106" s="2">
        <v>524869000</v>
      </c>
      <c r="AD1106" s="1">
        <v>0</v>
      </c>
      <c r="AE1106" s="1">
        <v>0</v>
      </c>
      <c r="AF1106" s="1">
        <v>0</v>
      </c>
      <c r="AG1106" s="1">
        <v>0</v>
      </c>
      <c r="AH1106" s="2">
        <v>4316660</v>
      </c>
      <c r="AI1106" s="1">
        <v>140707</v>
      </c>
      <c r="AJ1106" s="1">
        <v>0</v>
      </c>
      <c r="AK1106" s="8">
        <f t="shared" si="71"/>
        <v>13</v>
      </c>
      <c r="AL1106" s="8">
        <f t="shared" si="70"/>
        <v>22</v>
      </c>
      <c r="AM1106">
        <f t="shared" si="68"/>
        <v>0</v>
      </c>
      <c r="AN1106">
        <f t="shared" si="69"/>
        <v>0</v>
      </c>
    </row>
    <row r="1107" spans="1:40" x14ac:dyDescent="0.35">
      <c r="A1107">
        <v>85.138999999999996</v>
      </c>
      <c r="B1107">
        <v>85.138999999999996</v>
      </c>
      <c r="C1107">
        <v>8.6574899999999992</v>
      </c>
      <c r="D1107">
        <v>0</v>
      </c>
      <c r="E1107">
        <v>0</v>
      </c>
      <c r="F1107">
        <v>2.8725100000000001</v>
      </c>
      <c r="G1107">
        <v>2.8725100000000001</v>
      </c>
      <c r="H1107">
        <v>0</v>
      </c>
      <c r="I1107">
        <v>0.53825500000000004</v>
      </c>
      <c r="J1107">
        <v>5.3222399999999999</v>
      </c>
      <c r="K1107" s="2">
        <v>135175000</v>
      </c>
      <c r="L1107" s="1">
        <v>0</v>
      </c>
      <c r="M1107" s="1">
        <v>0</v>
      </c>
      <c r="N1107" s="1">
        <v>0</v>
      </c>
      <c r="O1107" s="1">
        <v>0</v>
      </c>
      <c r="P1107" s="2">
        <v>4294330</v>
      </c>
      <c r="Q1107" s="1">
        <v>295299</v>
      </c>
      <c r="R1107" s="1">
        <v>0</v>
      </c>
      <c r="S1107">
        <v>99.302199999999999</v>
      </c>
      <c r="T1107">
        <v>98.274000000000001</v>
      </c>
      <c r="U1107">
        <v>9.6925500000000007</v>
      </c>
      <c r="V1107">
        <v>0</v>
      </c>
      <c r="W1107">
        <v>0</v>
      </c>
      <c r="X1107">
        <v>1.6686099999999999</v>
      </c>
      <c r="Y1107">
        <v>1.6686099999999999</v>
      </c>
      <c r="Z1107">
        <v>0</v>
      </c>
      <c r="AA1107">
        <v>1.28904</v>
      </c>
      <c r="AB1107">
        <v>2.9635199999999999</v>
      </c>
      <c r="AC1107" s="2">
        <v>525010000</v>
      </c>
      <c r="AD1107" s="1">
        <v>0</v>
      </c>
      <c r="AE1107" s="1">
        <v>0</v>
      </c>
      <c r="AF1107" s="1">
        <v>0</v>
      </c>
      <c r="AG1107" s="1">
        <v>0</v>
      </c>
      <c r="AH1107" s="2">
        <v>4317080</v>
      </c>
      <c r="AI1107" s="1">
        <v>140720</v>
      </c>
      <c r="AJ1107" s="1">
        <v>0</v>
      </c>
      <c r="AK1107" s="8">
        <f t="shared" si="71"/>
        <v>14</v>
      </c>
      <c r="AL1107" s="8">
        <f t="shared" si="70"/>
        <v>22</v>
      </c>
      <c r="AM1107">
        <f t="shared" si="68"/>
        <v>0</v>
      </c>
      <c r="AN1107">
        <f t="shared" si="69"/>
        <v>0</v>
      </c>
    </row>
    <row r="1108" spans="1:40" x14ac:dyDescent="0.35">
      <c r="A1108">
        <v>85.138999999999996</v>
      </c>
      <c r="B1108">
        <v>85.138999999999996</v>
      </c>
      <c r="C1108">
        <v>7.2944699999999996</v>
      </c>
      <c r="D1108">
        <v>0</v>
      </c>
      <c r="E1108">
        <v>0</v>
      </c>
      <c r="F1108">
        <v>2.8727900000000002</v>
      </c>
      <c r="G1108">
        <v>2.8727900000000002</v>
      </c>
      <c r="H1108">
        <v>0</v>
      </c>
      <c r="I1108">
        <v>0.53830800000000001</v>
      </c>
      <c r="J1108">
        <v>5.3222399999999999</v>
      </c>
      <c r="K1108" s="2">
        <v>135470000</v>
      </c>
      <c r="L1108" s="1">
        <v>0</v>
      </c>
      <c r="M1108" s="1">
        <v>0</v>
      </c>
      <c r="N1108" s="1">
        <v>0</v>
      </c>
      <c r="O1108" s="1">
        <v>0</v>
      </c>
      <c r="P1108" s="2">
        <v>4294750</v>
      </c>
      <c r="Q1108" s="1">
        <v>295328</v>
      </c>
      <c r="R1108" s="1">
        <v>0</v>
      </c>
      <c r="S1108">
        <v>99.302199999999999</v>
      </c>
      <c r="T1108">
        <v>98.274000000000001</v>
      </c>
      <c r="U1108">
        <v>8.8533100000000005</v>
      </c>
      <c r="V1108">
        <v>0</v>
      </c>
      <c r="W1108">
        <v>0</v>
      </c>
      <c r="X1108">
        <v>1.6687700000000001</v>
      </c>
      <c r="Y1108">
        <v>1.6687700000000001</v>
      </c>
      <c r="Z1108">
        <v>0</v>
      </c>
      <c r="AA1108">
        <v>1.2891699999999999</v>
      </c>
      <c r="AB1108">
        <v>2.9635199999999999</v>
      </c>
      <c r="AC1108" s="2">
        <v>525151000</v>
      </c>
      <c r="AD1108" s="1">
        <v>0</v>
      </c>
      <c r="AE1108" s="1">
        <v>0</v>
      </c>
      <c r="AF1108" s="1">
        <v>0</v>
      </c>
      <c r="AG1108" s="1">
        <v>0</v>
      </c>
      <c r="AH1108" s="2">
        <v>4317510</v>
      </c>
      <c r="AI1108" s="1">
        <v>140734</v>
      </c>
      <c r="AJ1108" s="1">
        <v>0</v>
      </c>
      <c r="AK1108" s="8">
        <f t="shared" si="71"/>
        <v>15</v>
      </c>
      <c r="AL1108" s="8">
        <f t="shared" si="70"/>
        <v>22</v>
      </c>
      <c r="AM1108">
        <f t="shared" si="68"/>
        <v>0</v>
      </c>
      <c r="AN1108">
        <f t="shared" si="69"/>
        <v>0</v>
      </c>
    </row>
    <row r="1109" spans="1:40" x14ac:dyDescent="0.35">
      <c r="A1109">
        <v>85.138999999999996</v>
      </c>
      <c r="B1109">
        <v>85.138999999999996</v>
      </c>
      <c r="C1109">
        <v>13.2315</v>
      </c>
      <c r="D1109">
        <v>0</v>
      </c>
      <c r="E1109">
        <v>0</v>
      </c>
      <c r="F1109">
        <v>2.8730699999999998</v>
      </c>
      <c r="G1109">
        <v>2.8730699999999998</v>
      </c>
      <c r="H1109">
        <v>0</v>
      </c>
      <c r="I1109">
        <v>0.53836099999999998</v>
      </c>
      <c r="J1109">
        <v>5.3222399999999999</v>
      </c>
      <c r="K1109" s="2">
        <v>135765000</v>
      </c>
      <c r="L1109" s="1">
        <v>0</v>
      </c>
      <c r="M1109" s="1">
        <v>0</v>
      </c>
      <c r="N1109" s="1">
        <v>0</v>
      </c>
      <c r="O1109" s="1">
        <v>0</v>
      </c>
      <c r="P1109" s="2">
        <v>4295170</v>
      </c>
      <c r="Q1109" s="1">
        <v>295357</v>
      </c>
      <c r="R1109" s="1">
        <v>0</v>
      </c>
      <c r="S1109">
        <v>99.302199999999999</v>
      </c>
      <c r="T1109">
        <v>98.274000000000001</v>
      </c>
      <c r="U1109">
        <v>12.5343</v>
      </c>
      <c r="V1109">
        <v>0</v>
      </c>
      <c r="W1109">
        <v>0</v>
      </c>
      <c r="X1109">
        <v>1.66893</v>
      </c>
      <c r="Y1109">
        <v>1.66893</v>
      </c>
      <c r="Z1109">
        <v>0</v>
      </c>
      <c r="AA1109">
        <v>1.28929</v>
      </c>
      <c r="AB1109">
        <v>2.9635199999999999</v>
      </c>
      <c r="AC1109" s="2">
        <v>525291000</v>
      </c>
      <c r="AD1109" s="1">
        <v>0</v>
      </c>
      <c r="AE1109" s="1">
        <v>0</v>
      </c>
      <c r="AF1109" s="1">
        <v>0</v>
      </c>
      <c r="AG1109" s="1">
        <v>0</v>
      </c>
      <c r="AH1109" s="2">
        <v>4317930</v>
      </c>
      <c r="AI1109" s="1">
        <v>140748</v>
      </c>
      <c r="AJ1109" s="1">
        <v>0</v>
      </c>
      <c r="AK1109" s="8">
        <f t="shared" si="71"/>
        <v>16</v>
      </c>
      <c r="AL1109" s="8">
        <f t="shared" si="70"/>
        <v>22</v>
      </c>
      <c r="AM1109">
        <f t="shared" si="68"/>
        <v>0</v>
      </c>
      <c r="AN1109">
        <f t="shared" si="69"/>
        <v>0</v>
      </c>
    </row>
    <row r="1110" spans="1:40" x14ac:dyDescent="0.35">
      <c r="A1110">
        <v>85.138999999999996</v>
      </c>
      <c r="B1110">
        <v>85.138999999999996</v>
      </c>
      <c r="C1110">
        <v>9.4924800000000005</v>
      </c>
      <c r="D1110">
        <v>0</v>
      </c>
      <c r="E1110">
        <v>0</v>
      </c>
      <c r="F1110">
        <v>2.9783400000000002</v>
      </c>
      <c r="G1110">
        <v>2.9783400000000002</v>
      </c>
      <c r="H1110">
        <v>0</v>
      </c>
      <c r="I1110">
        <v>0.53841399999999995</v>
      </c>
      <c r="J1110">
        <v>5.3222399999999999</v>
      </c>
      <c r="K1110" s="2">
        <v>136072000</v>
      </c>
      <c r="L1110" s="1">
        <v>0</v>
      </c>
      <c r="M1110" s="1">
        <v>0</v>
      </c>
      <c r="N1110" s="1">
        <v>0</v>
      </c>
      <c r="O1110" s="1">
        <v>0</v>
      </c>
      <c r="P1110" s="2">
        <v>4452540</v>
      </c>
      <c r="Q1110" s="1">
        <v>306179</v>
      </c>
      <c r="R1110" s="1">
        <v>0</v>
      </c>
      <c r="S1110">
        <v>99.302199999999999</v>
      </c>
      <c r="T1110">
        <v>98.274000000000001</v>
      </c>
      <c r="U1110">
        <v>12.010300000000001</v>
      </c>
      <c r="V1110">
        <v>0</v>
      </c>
      <c r="W1110">
        <v>0</v>
      </c>
      <c r="X1110">
        <v>1.7362299999999999</v>
      </c>
      <c r="Y1110">
        <v>1.7362299999999999</v>
      </c>
      <c r="Z1110">
        <v>0</v>
      </c>
      <c r="AA1110">
        <v>1.28942</v>
      </c>
      <c r="AB1110">
        <v>2.9635199999999999</v>
      </c>
      <c r="AC1110" s="2">
        <v>525438000</v>
      </c>
      <c r="AD1110" s="1">
        <v>0</v>
      </c>
      <c r="AE1110" s="1">
        <v>0</v>
      </c>
      <c r="AF1110" s="1">
        <v>0</v>
      </c>
      <c r="AG1110" s="1">
        <v>0</v>
      </c>
      <c r="AH1110" s="2">
        <v>4492030</v>
      </c>
      <c r="AI1110" s="1">
        <v>146423</v>
      </c>
      <c r="AJ1110" s="1">
        <v>0</v>
      </c>
      <c r="AK1110" s="8">
        <f t="shared" si="71"/>
        <v>17</v>
      </c>
      <c r="AL1110" s="8">
        <f t="shared" si="70"/>
        <v>22</v>
      </c>
      <c r="AM1110">
        <f t="shared" si="68"/>
        <v>0</v>
      </c>
      <c r="AN1110">
        <f t="shared" si="69"/>
        <v>0</v>
      </c>
    </row>
    <row r="1111" spans="1:40" x14ac:dyDescent="0.35">
      <c r="A1111">
        <v>85.138999999999996</v>
      </c>
      <c r="B1111">
        <v>85.138999999999996</v>
      </c>
      <c r="C1111">
        <v>9.0374800000000004</v>
      </c>
      <c r="D1111">
        <v>0</v>
      </c>
      <c r="E1111">
        <v>0</v>
      </c>
      <c r="F1111">
        <v>2.9786299999999999</v>
      </c>
      <c r="G1111">
        <v>2.9786299999999999</v>
      </c>
      <c r="H1111">
        <v>0</v>
      </c>
      <c r="I1111">
        <v>0.558141</v>
      </c>
      <c r="J1111">
        <v>5.3222399999999999</v>
      </c>
      <c r="K1111" s="2">
        <v>136378000</v>
      </c>
      <c r="L1111" s="1">
        <v>0</v>
      </c>
      <c r="M1111" s="1">
        <v>0</v>
      </c>
      <c r="N1111" s="1">
        <v>0</v>
      </c>
      <c r="O1111" s="1">
        <v>0</v>
      </c>
      <c r="P1111" s="2">
        <v>4452980</v>
      </c>
      <c r="Q1111" s="1">
        <v>306209</v>
      </c>
      <c r="R1111" s="1">
        <v>0</v>
      </c>
      <c r="S1111">
        <v>99.302199999999999</v>
      </c>
      <c r="T1111">
        <v>98.274000000000001</v>
      </c>
      <c r="U1111">
        <v>16.053799999999999</v>
      </c>
      <c r="V1111">
        <v>0</v>
      </c>
      <c r="W1111">
        <v>0</v>
      </c>
      <c r="X1111">
        <v>1.7363999999999999</v>
      </c>
      <c r="Y1111">
        <v>1.7363999999999999</v>
      </c>
      <c r="Z1111">
        <v>0</v>
      </c>
      <c r="AA1111">
        <v>1.34141</v>
      </c>
      <c r="AB1111">
        <v>2.9635199999999999</v>
      </c>
      <c r="AC1111" s="2">
        <v>525584000</v>
      </c>
      <c r="AD1111" s="1">
        <v>0</v>
      </c>
      <c r="AE1111" s="1">
        <v>0</v>
      </c>
      <c r="AF1111" s="1">
        <v>0</v>
      </c>
      <c r="AG1111" s="1">
        <v>0</v>
      </c>
      <c r="AH1111" s="2">
        <v>4492470</v>
      </c>
      <c r="AI1111" s="1">
        <v>146437</v>
      </c>
      <c r="AJ1111" s="1">
        <v>0</v>
      </c>
      <c r="AK1111" s="8">
        <f t="shared" si="71"/>
        <v>18</v>
      </c>
      <c r="AL1111" s="8">
        <f t="shared" si="70"/>
        <v>22</v>
      </c>
      <c r="AM1111">
        <f t="shared" si="68"/>
        <v>0</v>
      </c>
      <c r="AN1111">
        <f t="shared" si="69"/>
        <v>0</v>
      </c>
    </row>
    <row r="1112" spans="1:40" x14ac:dyDescent="0.35">
      <c r="A1112">
        <v>85.138999999999996</v>
      </c>
      <c r="B1112">
        <v>85.138999999999996</v>
      </c>
      <c r="C1112">
        <v>7.5792799999999998</v>
      </c>
      <c r="D1112">
        <v>0</v>
      </c>
      <c r="E1112">
        <v>0</v>
      </c>
      <c r="F1112">
        <v>2.97892</v>
      </c>
      <c r="G1112">
        <v>2.97892</v>
      </c>
      <c r="H1112">
        <v>0</v>
      </c>
      <c r="I1112">
        <v>0.558195</v>
      </c>
      <c r="J1112">
        <v>5.3222399999999999</v>
      </c>
      <c r="K1112" s="2">
        <v>136684000</v>
      </c>
      <c r="L1112" s="1">
        <v>0</v>
      </c>
      <c r="M1112" s="1">
        <v>0</v>
      </c>
      <c r="N1112" s="1">
        <v>0</v>
      </c>
      <c r="O1112" s="1">
        <v>0</v>
      </c>
      <c r="P1112" s="2">
        <v>4453410</v>
      </c>
      <c r="Q1112" s="1">
        <v>306239</v>
      </c>
      <c r="R1112" s="1">
        <v>0</v>
      </c>
      <c r="S1112">
        <v>99.302199999999999</v>
      </c>
      <c r="T1112">
        <v>98.274000000000001</v>
      </c>
      <c r="U1112">
        <v>7.9040699999999999</v>
      </c>
      <c r="V1112">
        <v>0</v>
      </c>
      <c r="W1112">
        <v>0</v>
      </c>
      <c r="X1112">
        <v>1.7365699999999999</v>
      </c>
      <c r="Y1112">
        <v>1.7365699999999999</v>
      </c>
      <c r="Z1112">
        <v>0</v>
      </c>
      <c r="AA1112">
        <v>1.34154</v>
      </c>
      <c r="AB1112">
        <v>2.9635199999999999</v>
      </c>
      <c r="AC1112" s="2">
        <v>525731000</v>
      </c>
      <c r="AD1112" s="1">
        <v>0</v>
      </c>
      <c r="AE1112" s="1">
        <v>0</v>
      </c>
      <c r="AF1112" s="1">
        <v>0</v>
      </c>
      <c r="AG1112" s="1">
        <v>0</v>
      </c>
      <c r="AH1112" s="2">
        <v>4492910</v>
      </c>
      <c r="AI1112" s="1">
        <v>146452</v>
      </c>
      <c r="AJ1112" s="1">
        <v>0</v>
      </c>
      <c r="AK1112" s="8">
        <f t="shared" si="71"/>
        <v>19</v>
      </c>
      <c r="AL1112" s="8">
        <f t="shared" si="70"/>
        <v>22</v>
      </c>
      <c r="AM1112">
        <f t="shared" si="68"/>
        <v>0</v>
      </c>
      <c r="AN1112">
        <f t="shared" si="69"/>
        <v>0</v>
      </c>
    </row>
    <row r="1113" spans="1:40" x14ac:dyDescent="0.35">
      <c r="A1113">
        <v>85.138999999999996</v>
      </c>
      <c r="B1113">
        <v>85.138999999999996</v>
      </c>
      <c r="C1113">
        <v>8.57775</v>
      </c>
      <c r="D1113">
        <v>0</v>
      </c>
      <c r="E1113">
        <v>0</v>
      </c>
      <c r="F1113">
        <v>2.9792100000000001</v>
      </c>
      <c r="G1113">
        <v>2.9792100000000001</v>
      </c>
      <c r="H1113">
        <v>0</v>
      </c>
      <c r="I1113">
        <v>0.55825000000000002</v>
      </c>
      <c r="J1113">
        <v>5.3222399999999999</v>
      </c>
      <c r="K1113" s="2">
        <v>136990000</v>
      </c>
      <c r="L1113" s="1">
        <v>0</v>
      </c>
      <c r="M1113" s="1">
        <v>0</v>
      </c>
      <c r="N1113" s="1">
        <v>0</v>
      </c>
      <c r="O1113" s="1">
        <v>0</v>
      </c>
      <c r="P1113" s="2">
        <v>4453850</v>
      </c>
      <c r="Q1113" s="1">
        <v>306269</v>
      </c>
      <c r="R1113" s="1">
        <v>0</v>
      </c>
      <c r="S1113">
        <v>99.302199999999999</v>
      </c>
      <c r="T1113">
        <v>98.274000000000001</v>
      </c>
      <c r="U1113">
        <v>9.3113299999999999</v>
      </c>
      <c r="V1113">
        <v>0</v>
      </c>
      <c r="W1113">
        <v>0</v>
      </c>
      <c r="X1113">
        <v>1.73674</v>
      </c>
      <c r="Y1113">
        <v>1.73674</v>
      </c>
      <c r="Z1113">
        <v>0</v>
      </c>
      <c r="AA1113">
        <v>1.3416699999999999</v>
      </c>
      <c r="AB1113">
        <v>2.9635199999999999</v>
      </c>
      <c r="AC1113" s="2">
        <v>525877000</v>
      </c>
      <c r="AD1113" s="1">
        <v>0</v>
      </c>
      <c r="AE1113" s="1">
        <v>0</v>
      </c>
      <c r="AF1113" s="1">
        <v>0</v>
      </c>
      <c r="AG1113" s="1">
        <v>0</v>
      </c>
      <c r="AH1113" s="2">
        <v>4493350</v>
      </c>
      <c r="AI1113" s="1">
        <v>146466</v>
      </c>
      <c r="AJ1113" s="1">
        <v>0</v>
      </c>
      <c r="AK1113" s="8">
        <f t="shared" si="71"/>
        <v>20</v>
      </c>
      <c r="AL1113" s="8">
        <f t="shared" si="70"/>
        <v>22</v>
      </c>
      <c r="AM1113">
        <f t="shared" si="68"/>
        <v>0</v>
      </c>
      <c r="AN1113">
        <f t="shared" si="69"/>
        <v>0</v>
      </c>
    </row>
    <row r="1114" spans="1:40" x14ac:dyDescent="0.35">
      <c r="A1114">
        <v>85.138999999999996</v>
      </c>
      <c r="B1114">
        <v>85.138999999999996</v>
      </c>
      <c r="C1114">
        <v>5.9737299999999998</v>
      </c>
      <c r="D1114">
        <v>0</v>
      </c>
      <c r="E1114">
        <v>0</v>
      </c>
      <c r="F1114">
        <v>2.9384399999999999</v>
      </c>
      <c r="G1114">
        <v>2.9384399999999999</v>
      </c>
      <c r="H1114">
        <v>0</v>
      </c>
      <c r="I1114">
        <v>0.55830500000000005</v>
      </c>
      <c r="J1114">
        <v>5.3222399999999999</v>
      </c>
      <c r="K1114" s="2">
        <v>137292000</v>
      </c>
      <c r="L1114" s="1">
        <v>0</v>
      </c>
      <c r="M1114" s="1">
        <v>0</v>
      </c>
      <c r="N1114" s="1">
        <v>0</v>
      </c>
      <c r="O1114" s="1">
        <v>0</v>
      </c>
      <c r="P1114" s="2">
        <v>4392900</v>
      </c>
      <c r="Q1114" s="1">
        <v>302077</v>
      </c>
      <c r="R1114" s="1">
        <v>0</v>
      </c>
      <c r="S1114">
        <v>99.302199999999999</v>
      </c>
      <c r="T1114">
        <v>98.274000000000001</v>
      </c>
      <c r="U1114">
        <v>5.8674400000000002</v>
      </c>
      <c r="V1114">
        <v>0</v>
      </c>
      <c r="W1114">
        <v>0</v>
      </c>
      <c r="X1114">
        <v>1.7108300000000001</v>
      </c>
      <c r="Y1114">
        <v>1.7108300000000001</v>
      </c>
      <c r="Z1114">
        <v>0</v>
      </c>
      <c r="AA1114">
        <v>1.3418000000000001</v>
      </c>
      <c r="AB1114">
        <v>2.9635199999999999</v>
      </c>
      <c r="AC1114" s="2">
        <v>526021000</v>
      </c>
      <c r="AD1114" s="1">
        <v>0</v>
      </c>
      <c r="AE1114" s="1">
        <v>0</v>
      </c>
      <c r="AF1114" s="1">
        <v>0</v>
      </c>
      <c r="AG1114" s="1">
        <v>0</v>
      </c>
      <c r="AH1114" s="2">
        <v>4426310</v>
      </c>
      <c r="AI1114" s="1">
        <v>144281</v>
      </c>
      <c r="AJ1114" s="1">
        <v>0</v>
      </c>
      <c r="AK1114" s="8">
        <f t="shared" si="71"/>
        <v>21</v>
      </c>
      <c r="AL1114" s="8">
        <f t="shared" si="70"/>
        <v>22</v>
      </c>
      <c r="AM1114">
        <f t="shared" si="68"/>
        <v>0</v>
      </c>
      <c r="AN1114">
        <f t="shared" si="69"/>
        <v>0</v>
      </c>
    </row>
    <row r="1115" spans="1:40" x14ac:dyDescent="0.35">
      <c r="A1115">
        <v>85.138999999999996</v>
      </c>
      <c r="B1115">
        <v>85.138999999999996</v>
      </c>
      <c r="C1115">
        <v>5.3098599999999996</v>
      </c>
      <c r="D1115">
        <v>0</v>
      </c>
      <c r="E1115">
        <v>0</v>
      </c>
      <c r="F1115">
        <v>2.9387300000000001</v>
      </c>
      <c r="G1115">
        <v>2.9387300000000001</v>
      </c>
      <c r="H1115">
        <v>0</v>
      </c>
      <c r="I1115">
        <v>0.55066400000000004</v>
      </c>
      <c r="J1115">
        <v>5.3222399999999999</v>
      </c>
      <c r="K1115" s="2">
        <v>137594000</v>
      </c>
      <c r="L1115" s="1">
        <v>0</v>
      </c>
      <c r="M1115" s="1">
        <v>0</v>
      </c>
      <c r="N1115" s="1">
        <v>0</v>
      </c>
      <c r="O1115" s="1">
        <v>0</v>
      </c>
      <c r="P1115" s="2">
        <v>4393330</v>
      </c>
      <c r="Q1115" s="1">
        <v>302107</v>
      </c>
      <c r="R1115" s="1">
        <v>0</v>
      </c>
      <c r="S1115">
        <v>99.302199999999999</v>
      </c>
      <c r="T1115">
        <v>98.274000000000001</v>
      </c>
      <c r="U1115">
        <v>5.26919</v>
      </c>
      <c r="V1115">
        <v>0</v>
      </c>
      <c r="W1115">
        <v>0</v>
      </c>
      <c r="X1115">
        <v>1.71099</v>
      </c>
      <c r="Y1115">
        <v>1.71099</v>
      </c>
      <c r="Z1115">
        <v>0</v>
      </c>
      <c r="AA1115">
        <v>1.32178</v>
      </c>
      <c r="AB1115">
        <v>2.9635199999999999</v>
      </c>
      <c r="AC1115" s="2">
        <v>526166000</v>
      </c>
      <c r="AD1115" s="1">
        <v>0</v>
      </c>
      <c r="AE1115" s="1">
        <v>0</v>
      </c>
      <c r="AF1115" s="1">
        <v>0</v>
      </c>
      <c r="AG1115" s="1">
        <v>0</v>
      </c>
      <c r="AH1115" s="2">
        <v>4426750</v>
      </c>
      <c r="AI1115" s="1">
        <v>144295</v>
      </c>
      <c r="AJ1115" s="1">
        <v>0</v>
      </c>
      <c r="AK1115" s="8">
        <f t="shared" si="71"/>
        <v>22</v>
      </c>
      <c r="AL1115" s="8">
        <f t="shared" si="70"/>
        <v>22</v>
      </c>
      <c r="AM1115">
        <f t="shared" si="68"/>
        <v>0</v>
      </c>
      <c r="AN1115">
        <f t="shared" si="69"/>
        <v>0</v>
      </c>
    </row>
    <row r="1116" spans="1:40" x14ac:dyDescent="0.35">
      <c r="A1116">
        <v>85.138999999999996</v>
      </c>
      <c r="B1116">
        <v>85.138999999999996</v>
      </c>
      <c r="C1116">
        <v>4.7482899999999999</v>
      </c>
      <c r="D1116">
        <v>0</v>
      </c>
      <c r="E1116">
        <v>0</v>
      </c>
      <c r="F1116">
        <v>2.9390200000000002</v>
      </c>
      <c r="G1116">
        <v>2.9390200000000002</v>
      </c>
      <c r="H1116">
        <v>0</v>
      </c>
      <c r="I1116">
        <v>0.55071800000000004</v>
      </c>
      <c r="J1116">
        <v>5.3222399999999999</v>
      </c>
      <c r="K1116" s="2">
        <v>137897000</v>
      </c>
      <c r="L1116" s="1">
        <v>0</v>
      </c>
      <c r="M1116" s="1">
        <v>0</v>
      </c>
      <c r="N1116" s="1">
        <v>0</v>
      </c>
      <c r="O1116" s="1">
        <v>0</v>
      </c>
      <c r="P1116" s="2">
        <v>4393760</v>
      </c>
      <c r="Q1116" s="1">
        <v>302137</v>
      </c>
      <c r="R1116" s="1">
        <v>0</v>
      </c>
      <c r="S1116">
        <v>99.302199999999999</v>
      </c>
      <c r="T1116">
        <v>98.274000000000001</v>
      </c>
      <c r="U1116">
        <v>5.0750700000000002</v>
      </c>
      <c r="V1116">
        <v>0</v>
      </c>
      <c r="W1116">
        <v>0</v>
      </c>
      <c r="X1116">
        <v>1.71116</v>
      </c>
      <c r="Y1116">
        <v>1.71116</v>
      </c>
      <c r="Z1116">
        <v>0</v>
      </c>
      <c r="AA1116">
        <v>1.3219099999999999</v>
      </c>
      <c r="AB1116">
        <v>2.9635199999999999</v>
      </c>
      <c r="AC1116" s="2">
        <v>526310000</v>
      </c>
      <c r="AD1116" s="1">
        <v>0</v>
      </c>
      <c r="AE1116" s="1">
        <v>0</v>
      </c>
      <c r="AF1116" s="1">
        <v>0</v>
      </c>
      <c r="AG1116" s="1">
        <v>0</v>
      </c>
      <c r="AH1116" s="2">
        <v>4427180</v>
      </c>
      <c r="AI1116" s="1">
        <v>144309</v>
      </c>
      <c r="AJ1116" s="1">
        <v>0</v>
      </c>
      <c r="AK1116" s="8">
        <f t="shared" si="71"/>
        <v>23</v>
      </c>
      <c r="AL1116" s="8">
        <f t="shared" si="70"/>
        <v>22</v>
      </c>
      <c r="AM1116">
        <f t="shared" si="68"/>
        <v>0</v>
      </c>
      <c r="AN1116">
        <f t="shared" si="69"/>
        <v>0</v>
      </c>
    </row>
    <row r="1117" spans="1:40" x14ac:dyDescent="0.35">
      <c r="A1117">
        <v>85.138999999999996</v>
      </c>
      <c r="B1117">
        <v>85.138999999999996</v>
      </c>
      <c r="C1117">
        <v>4.4962799999999996</v>
      </c>
      <c r="D1117">
        <v>0</v>
      </c>
      <c r="E1117">
        <v>0</v>
      </c>
      <c r="F1117">
        <v>2.9392999999999998</v>
      </c>
      <c r="G1117">
        <v>2.9392999999999998</v>
      </c>
      <c r="H1117">
        <v>0</v>
      </c>
      <c r="I1117">
        <v>0.55077200000000004</v>
      </c>
      <c r="J1117">
        <v>5.3222399999999999</v>
      </c>
      <c r="K1117" s="2">
        <v>138199000</v>
      </c>
      <c r="L1117" s="1">
        <v>0</v>
      </c>
      <c r="M1117" s="1">
        <v>0</v>
      </c>
      <c r="N1117" s="1">
        <v>0</v>
      </c>
      <c r="O1117" s="1">
        <v>0</v>
      </c>
      <c r="P1117" s="2">
        <v>4394190</v>
      </c>
      <c r="Q1117" s="1">
        <v>302166</v>
      </c>
      <c r="R1117" s="1">
        <v>0</v>
      </c>
      <c r="S1117">
        <v>99.302199999999999</v>
      </c>
      <c r="T1117">
        <v>98.274000000000001</v>
      </c>
      <c r="U1117">
        <v>4.87059</v>
      </c>
      <c r="V1117">
        <v>0</v>
      </c>
      <c r="W1117">
        <v>0</v>
      </c>
      <c r="X1117">
        <v>1.71133</v>
      </c>
      <c r="Y1117">
        <v>1.71133</v>
      </c>
      <c r="Z1117">
        <v>0</v>
      </c>
      <c r="AA1117">
        <v>1.3220400000000001</v>
      </c>
      <c r="AB1117">
        <v>2.9635199999999999</v>
      </c>
      <c r="AC1117" s="2">
        <v>526454000</v>
      </c>
      <c r="AD1117" s="1">
        <v>0</v>
      </c>
      <c r="AE1117" s="1">
        <v>0</v>
      </c>
      <c r="AF1117" s="1">
        <v>0</v>
      </c>
      <c r="AG1117" s="1">
        <v>0</v>
      </c>
      <c r="AH1117" s="2">
        <v>4427610</v>
      </c>
      <c r="AI1117" s="1">
        <v>144323</v>
      </c>
      <c r="AJ1117" s="1">
        <v>0</v>
      </c>
      <c r="AK1117" s="8">
        <f t="shared" si="71"/>
        <v>24</v>
      </c>
      <c r="AL1117" s="8">
        <f t="shared" si="70"/>
        <v>22</v>
      </c>
      <c r="AM1117">
        <f t="shared" si="68"/>
        <v>0</v>
      </c>
      <c r="AN1117">
        <f t="shared" si="69"/>
        <v>0</v>
      </c>
    </row>
    <row r="1118" spans="1:40" x14ac:dyDescent="0.35">
      <c r="A1118">
        <v>85.138999999999996</v>
      </c>
      <c r="B1118">
        <v>85.138999999999996</v>
      </c>
      <c r="C1118">
        <v>4.0599999999999996</v>
      </c>
      <c r="D1118">
        <v>0</v>
      </c>
      <c r="E1118">
        <v>0</v>
      </c>
      <c r="F1118">
        <v>3.07904</v>
      </c>
      <c r="G1118">
        <v>3.07904</v>
      </c>
      <c r="H1118">
        <v>0</v>
      </c>
      <c r="I1118">
        <v>0.55082600000000004</v>
      </c>
      <c r="J1118">
        <v>5.3222399999999999</v>
      </c>
      <c r="K1118" s="2">
        <v>138515000</v>
      </c>
      <c r="L1118" s="1">
        <v>0</v>
      </c>
      <c r="M1118" s="1">
        <v>0</v>
      </c>
      <c r="N1118" s="1">
        <v>0</v>
      </c>
      <c r="O1118" s="1">
        <v>0</v>
      </c>
      <c r="P1118" s="2">
        <v>4603080</v>
      </c>
      <c r="Q1118" s="1">
        <v>316531</v>
      </c>
      <c r="R1118" s="1">
        <v>0</v>
      </c>
      <c r="S1118">
        <v>99.302199999999999</v>
      </c>
      <c r="T1118">
        <v>98.274000000000001</v>
      </c>
      <c r="U1118">
        <v>4.3439100000000002</v>
      </c>
      <c r="V1118">
        <v>0</v>
      </c>
      <c r="W1118">
        <v>0</v>
      </c>
      <c r="X1118">
        <v>1.80403</v>
      </c>
      <c r="Y1118">
        <v>1.80403</v>
      </c>
      <c r="Z1118">
        <v>0</v>
      </c>
      <c r="AA1118">
        <v>1.3221700000000001</v>
      </c>
      <c r="AB1118">
        <v>2.9635199999999999</v>
      </c>
      <c r="AC1118" s="2">
        <v>526606000</v>
      </c>
      <c r="AD1118" s="1">
        <v>0</v>
      </c>
      <c r="AE1118" s="1">
        <v>0</v>
      </c>
      <c r="AF1118" s="1">
        <v>0</v>
      </c>
      <c r="AG1118" s="1">
        <v>0</v>
      </c>
      <c r="AH1118" s="2">
        <v>4667450</v>
      </c>
      <c r="AI1118" s="1">
        <v>152141</v>
      </c>
      <c r="AJ1118" s="1">
        <v>0</v>
      </c>
      <c r="AK1118" s="8">
        <f t="shared" si="71"/>
        <v>25</v>
      </c>
      <c r="AL1118" s="8">
        <f t="shared" si="70"/>
        <v>22</v>
      </c>
      <c r="AM1118">
        <f t="shared" si="68"/>
        <v>0</v>
      </c>
      <c r="AN1118">
        <f t="shared" si="69"/>
        <v>0</v>
      </c>
    </row>
    <row r="1119" spans="1:40" x14ac:dyDescent="0.35">
      <c r="A1119">
        <v>85.138999999999996</v>
      </c>
      <c r="B1119">
        <v>85.138999999999996</v>
      </c>
      <c r="C1119">
        <v>3.81725</v>
      </c>
      <c r="D1119">
        <v>0</v>
      </c>
      <c r="E1119">
        <v>0</v>
      </c>
      <c r="F1119">
        <v>3.0793400000000002</v>
      </c>
      <c r="G1119">
        <v>3.0793400000000002</v>
      </c>
      <c r="H1119">
        <v>0</v>
      </c>
      <c r="I1119">
        <v>0.57701199999999997</v>
      </c>
      <c r="J1119">
        <v>5.3222399999999999</v>
      </c>
      <c r="K1119" s="2">
        <v>138832000</v>
      </c>
      <c r="L1119" s="1">
        <v>0</v>
      </c>
      <c r="M1119" s="1">
        <v>0</v>
      </c>
      <c r="N1119" s="1">
        <v>0</v>
      </c>
      <c r="O1119" s="1">
        <v>0</v>
      </c>
      <c r="P1119" s="2">
        <v>4603540</v>
      </c>
      <c r="Q1119" s="1">
        <v>316562</v>
      </c>
      <c r="R1119" s="1">
        <v>0</v>
      </c>
      <c r="S1119">
        <v>99.302199999999999</v>
      </c>
      <c r="T1119">
        <v>98.274000000000001</v>
      </c>
      <c r="U1119">
        <v>3.6634000000000002</v>
      </c>
      <c r="V1119">
        <v>0</v>
      </c>
      <c r="W1119">
        <v>0</v>
      </c>
      <c r="X1119">
        <v>1.8042100000000001</v>
      </c>
      <c r="Y1119">
        <v>1.8042100000000001</v>
      </c>
      <c r="Z1119">
        <v>0</v>
      </c>
      <c r="AA1119">
        <v>1.3937900000000001</v>
      </c>
      <c r="AB1119">
        <v>2.9635199999999999</v>
      </c>
      <c r="AC1119" s="2">
        <v>526759000</v>
      </c>
      <c r="AD1119" s="1">
        <v>0</v>
      </c>
      <c r="AE1119" s="1">
        <v>0</v>
      </c>
      <c r="AF1119" s="1">
        <v>0</v>
      </c>
      <c r="AG1119" s="1">
        <v>0</v>
      </c>
      <c r="AH1119" s="2">
        <v>4667910</v>
      </c>
      <c r="AI1119" s="1">
        <v>152156</v>
      </c>
      <c r="AJ1119" s="1">
        <v>0</v>
      </c>
      <c r="AK1119" s="8">
        <f t="shared" si="71"/>
        <v>26</v>
      </c>
      <c r="AL1119" s="8">
        <f t="shared" si="70"/>
        <v>22</v>
      </c>
      <c r="AM1119">
        <f t="shared" si="68"/>
        <v>0</v>
      </c>
      <c r="AN1119">
        <f t="shared" si="69"/>
        <v>0</v>
      </c>
    </row>
    <row r="1120" spans="1:40" x14ac:dyDescent="0.35">
      <c r="A1120">
        <v>85.138999999999996</v>
      </c>
      <c r="B1120">
        <v>85.138999999999996</v>
      </c>
      <c r="C1120">
        <v>3.6847599999999998</v>
      </c>
      <c r="D1120">
        <v>0</v>
      </c>
      <c r="E1120">
        <v>0</v>
      </c>
      <c r="F1120">
        <v>3.0796399999999999</v>
      </c>
      <c r="G1120">
        <v>3.0796399999999999</v>
      </c>
      <c r="H1120">
        <v>0</v>
      </c>
      <c r="I1120">
        <v>0.57706800000000003</v>
      </c>
      <c r="J1120">
        <v>5.3222399999999999</v>
      </c>
      <c r="K1120" s="2">
        <v>139148000</v>
      </c>
      <c r="L1120" s="1">
        <v>0</v>
      </c>
      <c r="M1120" s="1">
        <v>0</v>
      </c>
      <c r="N1120" s="1">
        <v>0</v>
      </c>
      <c r="O1120" s="1">
        <v>0</v>
      </c>
      <c r="P1120" s="2">
        <v>4603990</v>
      </c>
      <c r="Q1120" s="1">
        <v>316593</v>
      </c>
      <c r="R1120" s="1">
        <v>0</v>
      </c>
      <c r="S1120">
        <v>99.302199999999999</v>
      </c>
      <c r="T1120">
        <v>98.274000000000001</v>
      </c>
      <c r="U1120">
        <v>3.9010199999999999</v>
      </c>
      <c r="V1120">
        <v>0</v>
      </c>
      <c r="W1120">
        <v>0</v>
      </c>
      <c r="X1120">
        <v>1.8043800000000001</v>
      </c>
      <c r="Y1120">
        <v>1.8043800000000001</v>
      </c>
      <c r="Z1120">
        <v>0</v>
      </c>
      <c r="AA1120">
        <v>1.3939299999999999</v>
      </c>
      <c r="AB1120">
        <v>2.9635199999999999</v>
      </c>
      <c r="AC1120" s="2">
        <v>526911000</v>
      </c>
      <c r="AD1120" s="1">
        <v>0</v>
      </c>
      <c r="AE1120" s="1">
        <v>0</v>
      </c>
      <c r="AF1120" s="1">
        <v>0</v>
      </c>
      <c r="AG1120" s="1">
        <v>0</v>
      </c>
      <c r="AH1120" s="2">
        <v>4668370</v>
      </c>
      <c r="AI1120" s="1">
        <v>152171</v>
      </c>
      <c r="AJ1120" s="1">
        <v>0</v>
      </c>
      <c r="AK1120" s="8">
        <f t="shared" si="71"/>
        <v>27</v>
      </c>
      <c r="AL1120" s="8">
        <f t="shared" si="70"/>
        <v>22</v>
      </c>
      <c r="AM1120">
        <f t="shared" si="68"/>
        <v>0</v>
      </c>
      <c r="AN1120">
        <f t="shared" si="69"/>
        <v>0</v>
      </c>
    </row>
    <row r="1121" spans="1:40" x14ac:dyDescent="0.35">
      <c r="A1121">
        <v>85.136799999999994</v>
      </c>
      <c r="B1121">
        <v>85.138999999999996</v>
      </c>
      <c r="C1121">
        <v>3.3877700000000002</v>
      </c>
      <c r="D1121">
        <v>0</v>
      </c>
      <c r="E1121">
        <v>0</v>
      </c>
      <c r="F1121">
        <v>3.0799400000000001</v>
      </c>
      <c r="G1121">
        <v>3.0799400000000001</v>
      </c>
      <c r="H1121">
        <v>0</v>
      </c>
      <c r="I1121">
        <v>0.577125</v>
      </c>
      <c r="J1121">
        <v>5.3222399999999999</v>
      </c>
      <c r="K1121" s="2">
        <v>139465000</v>
      </c>
      <c r="L1121" s="1">
        <v>0</v>
      </c>
      <c r="M1121" s="1">
        <v>0</v>
      </c>
      <c r="N1121" s="1">
        <v>0</v>
      </c>
      <c r="O1121" s="1">
        <v>0</v>
      </c>
      <c r="P1121" s="2">
        <v>4604440</v>
      </c>
      <c r="Q1121" s="1">
        <v>316624</v>
      </c>
      <c r="R1121" s="1">
        <v>0</v>
      </c>
      <c r="S1121">
        <v>99.302199999999999</v>
      </c>
      <c r="T1121">
        <v>98.274000000000001</v>
      </c>
      <c r="U1121">
        <v>3.68892</v>
      </c>
      <c r="V1121">
        <v>0</v>
      </c>
      <c r="W1121">
        <v>0</v>
      </c>
      <c r="X1121">
        <v>1.8045599999999999</v>
      </c>
      <c r="Y1121">
        <v>1.8045599999999999</v>
      </c>
      <c r="Z1121">
        <v>0</v>
      </c>
      <c r="AA1121">
        <v>1.3940699999999999</v>
      </c>
      <c r="AB1121">
        <v>2.9635199999999999</v>
      </c>
      <c r="AC1121" s="2">
        <v>527063000</v>
      </c>
      <c r="AD1121" s="1">
        <v>0</v>
      </c>
      <c r="AE1121" s="1">
        <v>0</v>
      </c>
      <c r="AF1121" s="1">
        <v>0</v>
      </c>
      <c r="AG1121" s="1">
        <v>0</v>
      </c>
      <c r="AH1121" s="2">
        <v>4668820</v>
      </c>
      <c r="AI1121" s="1">
        <v>152186</v>
      </c>
      <c r="AJ1121" s="1">
        <v>0</v>
      </c>
      <c r="AK1121" s="8">
        <f t="shared" si="71"/>
        <v>28</v>
      </c>
      <c r="AL1121" s="8">
        <f t="shared" si="70"/>
        <v>22</v>
      </c>
      <c r="AM1121">
        <f t="shared" si="68"/>
        <v>0</v>
      </c>
      <c r="AN1121">
        <f t="shared" si="69"/>
        <v>0</v>
      </c>
    </row>
    <row r="1122" spans="1:40" x14ac:dyDescent="0.35">
      <c r="A1122">
        <v>84.947999999999993</v>
      </c>
      <c r="B1122">
        <v>85.138999999999996</v>
      </c>
      <c r="C1122">
        <v>3.1412200000000001</v>
      </c>
      <c r="D1122">
        <v>0</v>
      </c>
      <c r="E1122">
        <v>0</v>
      </c>
      <c r="F1122">
        <v>3.0802499999999999</v>
      </c>
      <c r="G1122">
        <v>3.0802499999999999</v>
      </c>
      <c r="H1122">
        <v>0</v>
      </c>
      <c r="I1122">
        <v>0.57718100000000006</v>
      </c>
      <c r="J1122">
        <v>5.3222399999999999</v>
      </c>
      <c r="K1122" s="2">
        <v>139782000</v>
      </c>
      <c r="L1122" s="1">
        <v>0</v>
      </c>
      <c r="M1122" s="1">
        <v>0</v>
      </c>
      <c r="N1122" s="1">
        <v>0</v>
      </c>
      <c r="O1122" s="1">
        <v>0</v>
      </c>
      <c r="P1122" s="2">
        <v>4604890</v>
      </c>
      <c r="Q1122" s="1">
        <v>316655</v>
      </c>
      <c r="R1122" s="1">
        <v>0</v>
      </c>
      <c r="S1122">
        <v>99.302199999999999</v>
      </c>
      <c r="T1122">
        <v>98.274000000000001</v>
      </c>
      <c r="U1122">
        <v>3.98447</v>
      </c>
      <c r="V1122">
        <v>0</v>
      </c>
      <c r="W1122">
        <v>0</v>
      </c>
      <c r="X1122">
        <v>1.80474</v>
      </c>
      <c r="Y1122">
        <v>1.80474</v>
      </c>
      <c r="Z1122">
        <v>0</v>
      </c>
      <c r="AA1122">
        <v>1.3942000000000001</v>
      </c>
      <c r="AB1122">
        <v>2.9635199999999999</v>
      </c>
      <c r="AC1122" s="2">
        <v>527215000</v>
      </c>
      <c r="AD1122" s="1">
        <v>0</v>
      </c>
      <c r="AE1122" s="1">
        <v>0</v>
      </c>
      <c r="AF1122" s="1">
        <v>0</v>
      </c>
      <c r="AG1122" s="1">
        <v>0</v>
      </c>
      <c r="AH1122" s="2">
        <v>4669280</v>
      </c>
      <c r="AI1122" s="1">
        <v>152201</v>
      </c>
      <c r="AJ1122" s="1">
        <v>0</v>
      </c>
      <c r="AK1122" s="8">
        <f t="shared" si="71"/>
        <v>29</v>
      </c>
      <c r="AL1122" s="8">
        <f t="shared" si="70"/>
        <v>22</v>
      </c>
      <c r="AM1122">
        <f t="shared" si="68"/>
        <v>0</v>
      </c>
      <c r="AN1122">
        <f t="shared" si="69"/>
        <v>0</v>
      </c>
    </row>
    <row r="1123" spans="1:40" x14ac:dyDescent="0.35">
      <c r="A1123">
        <v>84.263999999999996</v>
      </c>
      <c r="B1123">
        <v>85.138999999999996</v>
      </c>
      <c r="C1123">
        <v>2.5814499999999998</v>
      </c>
      <c r="D1123">
        <v>0</v>
      </c>
      <c r="E1123">
        <v>0</v>
      </c>
      <c r="F1123">
        <v>3.0529600000000001</v>
      </c>
      <c r="G1123">
        <v>3.0529600000000001</v>
      </c>
      <c r="H1123">
        <v>0</v>
      </c>
      <c r="I1123">
        <v>0.57723800000000003</v>
      </c>
      <c r="J1123">
        <v>5.3222399999999999</v>
      </c>
      <c r="K1123" s="2">
        <v>140096000</v>
      </c>
      <c r="L1123" s="1">
        <v>0</v>
      </c>
      <c r="M1123" s="1">
        <v>0</v>
      </c>
      <c r="N1123" s="1">
        <v>0</v>
      </c>
      <c r="O1123" s="1">
        <v>0</v>
      </c>
      <c r="P1123" s="2">
        <v>4564090</v>
      </c>
      <c r="Q1123" s="1">
        <v>313850</v>
      </c>
      <c r="R1123" s="1">
        <v>0</v>
      </c>
      <c r="S1123">
        <v>99.302199999999999</v>
      </c>
      <c r="T1123">
        <v>98.274000000000001</v>
      </c>
      <c r="U1123">
        <v>4.2849500000000003</v>
      </c>
      <c r="V1123">
        <v>0</v>
      </c>
      <c r="W1123">
        <v>0</v>
      </c>
      <c r="X1123">
        <v>1.8557900000000001</v>
      </c>
      <c r="Y1123">
        <v>1.8557900000000001</v>
      </c>
      <c r="Z1123">
        <v>0</v>
      </c>
      <c r="AA1123">
        <v>1.3943399999999999</v>
      </c>
      <c r="AB1123">
        <v>2.9635199999999999</v>
      </c>
      <c r="AC1123" s="2">
        <v>527372000</v>
      </c>
      <c r="AD1123" s="1">
        <v>0</v>
      </c>
      <c r="AE1123" s="1">
        <v>0</v>
      </c>
      <c r="AF1123" s="1">
        <v>0</v>
      </c>
      <c r="AG1123" s="1">
        <v>0</v>
      </c>
      <c r="AH1123" s="2">
        <v>4801380</v>
      </c>
      <c r="AI1123" s="1">
        <v>156507</v>
      </c>
      <c r="AJ1123" s="1">
        <v>0</v>
      </c>
      <c r="AK1123" s="8">
        <f t="shared" si="71"/>
        <v>30</v>
      </c>
      <c r="AL1123" s="8">
        <f t="shared" si="70"/>
        <v>22</v>
      </c>
      <c r="AM1123">
        <f t="shared" si="68"/>
        <v>0</v>
      </c>
      <c r="AN1123">
        <f t="shared" si="69"/>
        <v>0</v>
      </c>
    </row>
    <row r="1124" spans="1:40" x14ac:dyDescent="0.35">
      <c r="A1124">
        <v>83.463399999999993</v>
      </c>
      <c r="B1124">
        <v>85.138999999999996</v>
      </c>
      <c r="C1124">
        <v>2.4203999999999999</v>
      </c>
      <c r="D1124">
        <v>0</v>
      </c>
      <c r="E1124">
        <v>0</v>
      </c>
      <c r="F1124">
        <v>3.0532599999999999</v>
      </c>
      <c r="G1124">
        <v>3.0532599999999999</v>
      </c>
      <c r="H1124">
        <v>0</v>
      </c>
      <c r="I1124">
        <v>0.57212399999999997</v>
      </c>
      <c r="J1124">
        <v>5.3222399999999999</v>
      </c>
      <c r="K1124" s="2">
        <v>140409000</v>
      </c>
      <c r="L1124" s="1">
        <v>0</v>
      </c>
      <c r="M1124" s="1">
        <v>0</v>
      </c>
      <c r="N1124" s="1">
        <v>0</v>
      </c>
      <c r="O1124" s="1">
        <v>0</v>
      </c>
      <c r="P1124" s="2">
        <v>4564540</v>
      </c>
      <c r="Q1124" s="1">
        <v>313881</v>
      </c>
      <c r="R1124" s="1">
        <v>0</v>
      </c>
      <c r="S1124">
        <v>99.302199999999999</v>
      </c>
      <c r="T1124">
        <v>98.274000000000001</v>
      </c>
      <c r="U1124">
        <v>3.7310099999999999</v>
      </c>
      <c r="V1124">
        <v>0</v>
      </c>
      <c r="W1124">
        <v>0</v>
      </c>
      <c r="X1124">
        <v>1.85598</v>
      </c>
      <c r="Y1124">
        <v>1.85598</v>
      </c>
      <c r="Z1124">
        <v>0</v>
      </c>
      <c r="AA1124">
        <v>1.4337899999999999</v>
      </c>
      <c r="AB1124">
        <v>2.9635199999999999</v>
      </c>
      <c r="AC1124" s="2">
        <v>527528000</v>
      </c>
      <c r="AD1124" s="1">
        <v>0</v>
      </c>
      <c r="AE1124" s="1">
        <v>0</v>
      </c>
      <c r="AF1124" s="1">
        <v>0</v>
      </c>
      <c r="AG1124" s="1">
        <v>0</v>
      </c>
      <c r="AH1124" s="2">
        <v>4801850</v>
      </c>
      <c r="AI1124" s="1">
        <v>156522</v>
      </c>
      <c r="AJ1124" s="1">
        <v>0</v>
      </c>
      <c r="AK1124" s="8">
        <f t="shared" si="71"/>
        <v>31</v>
      </c>
      <c r="AL1124" s="8">
        <f t="shared" si="70"/>
        <v>22</v>
      </c>
      <c r="AM1124">
        <f t="shared" si="68"/>
        <v>0</v>
      </c>
      <c r="AN1124">
        <f t="shared" si="69"/>
        <v>0</v>
      </c>
    </row>
    <row r="1125" spans="1:40" x14ac:dyDescent="0.35">
      <c r="A1125">
        <v>82.626300000000001</v>
      </c>
      <c r="B1125">
        <v>85.138999999999996</v>
      </c>
      <c r="C1125">
        <v>2.3660299999999999</v>
      </c>
      <c r="D1125">
        <v>0</v>
      </c>
      <c r="E1125">
        <v>0</v>
      </c>
      <c r="F1125">
        <v>3.05355</v>
      </c>
      <c r="G1125">
        <v>3.05355</v>
      </c>
      <c r="H1125">
        <v>0</v>
      </c>
      <c r="I1125">
        <v>0.57218000000000002</v>
      </c>
      <c r="J1125">
        <v>5.3222399999999999</v>
      </c>
      <c r="K1125" s="2">
        <v>140723000</v>
      </c>
      <c r="L1125" s="1">
        <v>0</v>
      </c>
      <c r="M1125" s="1">
        <v>0</v>
      </c>
      <c r="N1125" s="1">
        <v>0</v>
      </c>
      <c r="O1125" s="1">
        <v>0</v>
      </c>
      <c r="P1125" s="2">
        <v>4564990</v>
      </c>
      <c r="Q1125" s="1">
        <v>313911</v>
      </c>
      <c r="R1125" s="1">
        <v>0</v>
      </c>
      <c r="S1125">
        <v>99.302199999999999</v>
      </c>
      <c r="T1125">
        <v>98.274000000000001</v>
      </c>
      <c r="U1125">
        <v>3.8483900000000002</v>
      </c>
      <c r="V1125">
        <v>0</v>
      </c>
      <c r="W1125">
        <v>0</v>
      </c>
      <c r="X1125">
        <v>1.85616</v>
      </c>
      <c r="Y1125">
        <v>1.85616</v>
      </c>
      <c r="Z1125">
        <v>0</v>
      </c>
      <c r="AA1125">
        <v>1.4339299999999999</v>
      </c>
      <c r="AB1125">
        <v>2.9635199999999999</v>
      </c>
      <c r="AC1125" s="2">
        <v>527685000</v>
      </c>
      <c r="AD1125" s="1">
        <v>0</v>
      </c>
      <c r="AE1125" s="1">
        <v>0</v>
      </c>
      <c r="AF1125" s="1">
        <v>0</v>
      </c>
      <c r="AG1125" s="1">
        <v>0</v>
      </c>
      <c r="AH1125" s="2">
        <v>4802320</v>
      </c>
      <c r="AI1125" s="1">
        <v>156537</v>
      </c>
      <c r="AJ1125" s="1">
        <v>0</v>
      </c>
      <c r="AK1125" s="8">
        <f t="shared" si="71"/>
        <v>32</v>
      </c>
      <c r="AL1125" s="8">
        <f t="shared" si="70"/>
        <v>22</v>
      </c>
      <c r="AM1125">
        <f t="shared" si="68"/>
        <v>0</v>
      </c>
      <c r="AN1125">
        <f t="shared" si="69"/>
        <v>0</v>
      </c>
    </row>
    <row r="1126" spans="1:40" x14ac:dyDescent="0.35">
      <c r="A1126">
        <v>81.697800000000001</v>
      </c>
      <c r="B1126">
        <v>85.138999999999996</v>
      </c>
      <c r="C1126">
        <v>2.2560899999999999</v>
      </c>
      <c r="D1126">
        <v>0</v>
      </c>
      <c r="E1126">
        <v>0</v>
      </c>
      <c r="F1126">
        <v>3.0538500000000002</v>
      </c>
      <c r="G1126">
        <v>3.0538500000000002</v>
      </c>
      <c r="H1126">
        <v>0</v>
      </c>
      <c r="I1126">
        <v>0.57223599999999997</v>
      </c>
      <c r="J1126">
        <v>5.3222399999999999</v>
      </c>
      <c r="K1126" s="2">
        <v>141037000</v>
      </c>
      <c r="L1126" s="1">
        <v>0</v>
      </c>
      <c r="M1126" s="1">
        <v>0</v>
      </c>
      <c r="N1126" s="1">
        <v>0</v>
      </c>
      <c r="O1126" s="1">
        <v>0</v>
      </c>
      <c r="P1126" s="2">
        <v>4565430</v>
      </c>
      <c r="Q1126" s="1">
        <v>313942</v>
      </c>
      <c r="R1126" s="1">
        <v>0</v>
      </c>
      <c r="S1126">
        <v>99.302199999999999</v>
      </c>
      <c r="T1126">
        <v>98.274000000000001</v>
      </c>
      <c r="U1126">
        <v>3.5382600000000002</v>
      </c>
      <c r="V1126">
        <v>0</v>
      </c>
      <c r="W1126">
        <v>0</v>
      </c>
      <c r="X1126">
        <v>1.8563400000000001</v>
      </c>
      <c r="Y1126">
        <v>1.8563400000000001</v>
      </c>
      <c r="Z1126">
        <v>0</v>
      </c>
      <c r="AA1126">
        <v>1.43407</v>
      </c>
      <c r="AB1126">
        <v>2.9635199999999999</v>
      </c>
      <c r="AC1126" s="2">
        <v>527841000</v>
      </c>
      <c r="AD1126" s="1">
        <v>0</v>
      </c>
      <c r="AE1126" s="1">
        <v>0</v>
      </c>
      <c r="AF1126" s="1">
        <v>0</v>
      </c>
      <c r="AG1126" s="1">
        <v>0</v>
      </c>
      <c r="AH1126" s="2">
        <v>4802790</v>
      </c>
      <c r="AI1126" s="1">
        <v>156553</v>
      </c>
      <c r="AJ1126" s="1">
        <v>0</v>
      </c>
      <c r="AK1126" s="8">
        <f t="shared" si="71"/>
        <v>33</v>
      </c>
      <c r="AL1126" s="8">
        <f t="shared" si="70"/>
        <v>22</v>
      </c>
      <c r="AM1126">
        <f t="shared" si="68"/>
        <v>0</v>
      </c>
      <c r="AN1126">
        <f t="shared" si="69"/>
        <v>0</v>
      </c>
    </row>
    <row r="1127" spans="1:40" x14ac:dyDescent="0.35">
      <c r="A1127">
        <v>80.4315</v>
      </c>
      <c r="B1127">
        <v>85.138999999999996</v>
      </c>
      <c r="C1127">
        <v>1.9378500000000001</v>
      </c>
      <c r="D1127">
        <v>0</v>
      </c>
      <c r="E1127">
        <v>0</v>
      </c>
      <c r="F1127">
        <v>3.1254300000000002</v>
      </c>
      <c r="G1127">
        <v>3.1254300000000002</v>
      </c>
      <c r="H1127">
        <v>0</v>
      </c>
      <c r="I1127">
        <v>0.57229200000000002</v>
      </c>
      <c r="J1127">
        <v>5.3222399999999999</v>
      </c>
      <c r="K1127" s="2">
        <v>141359000</v>
      </c>
      <c r="L1127" s="1">
        <v>0</v>
      </c>
      <c r="M1127" s="1">
        <v>0</v>
      </c>
      <c r="N1127" s="1">
        <v>0</v>
      </c>
      <c r="O1127" s="1">
        <v>0</v>
      </c>
      <c r="P1127" s="2">
        <v>4672440</v>
      </c>
      <c r="Q1127" s="1">
        <v>321300</v>
      </c>
      <c r="R1127" s="1">
        <v>0</v>
      </c>
      <c r="S1127">
        <v>99.099400000000003</v>
      </c>
      <c r="T1127">
        <v>98.274000000000001</v>
      </c>
      <c r="U1127">
        <v>3.0612499999999998</v>
      </c>
      <c r="V1127">
        <v>0</v>
      </c>
      <c r="W1127">
        <v>0</v>
      </c>
      <c r="X1127">
        <v>1.9018900000000001</v>
      </c>
      <c r="Y1127">
        <v>1.9018900000000001</v>
      </c>
      <c r="Z1127">
        <v>0</v>
      </c>
      <c r="AA1127">
        <v>1.43421</v>
      </c>
      <c r="AB1127">
        <v>2.9635199999999999</v>
      </c>
      <c r="AC1127" s="2">
        <v>528002000</v>
      </c>
      <c r="AD1127" s="1">
        <v>0</v>
      </c>
      <c r="AE1127" s="1">
        <v>0</v>
      </c>
      <c r="AF1127" s="1">
        <v>0</v>
      </c>
      <c r="AG1127" s="1">
        <v>0</v>
      </c>
      <c r="AH1127" s="2">
        <v>4920640</v>
      </c>
      <c r="AI1127" s="1">
        <v>160394</v>
      </c>
      <c r="AJ1127" s="1">
        <v>0</v>
      </c>
      <c r="AK1127" s="8">
        <f t="shared" si="71"/>
        <v>34</v>
      </c>
      <c r="AL1127" s="8">
        <f t="shared" si="70"/>
        <v>22</v>
      </c>
      <c r="AM1127">
        <f t="shared" si="68"/>
        <v>0</v>
      </c>
      <c r="AN1127">
        <f t="shared" si="69"/>
        <v>0</v>
      </c>
    </row>
    <row r="1128" spans="1:40" x14ac:dyDescent="0.35">
      <c r="A1128">
        <v>79.399500000000003</v>
      </c>
      <c r="B1128">
        <v>85.138999999999996</v>
      </c>
      <c r="C1128">
        <v>2.18953</v>
      </c>
      <c r="D1128">
        <v>0</v>
      </c>
      <c r="E1128">
        <v>0</v>
      </c>
      <c r="F1128">
        <v>3.12574</v>
      </c>
      <c r="G1128">
        <v>3.12574</v>
      </c>
      <c r="H1128">
        <v>0</v>
      </c>
      <c r="I1128">
        <v>0.58570599999999995</v>
      </c>
      <c r="J1128">
        <v>5.3222399999999999</v>
      </c>
      <c r="K1128" s="2">
        <v>141680000</v>
      </c>
      <c r="L1128" s="1">
        <v>0</v>
      </c>
      <c r="M1128" s="1">
        <v>0</v>
      </c>
      <c r="N1128" s="1">
        <v>0</v>
      </c>
      <c r="O1128" s="1">
        <v>0</v>
      </c>
      <c r="P1128" s="2">
        <v>4672900</v>
      </c>
      <c r="Q1128" s="1">
        <v>321332</v>
      </c>
      <c r="R1128" s="1">
        <v>0</v>
      </c>
      <c r="S1128">
        <v>99.031000000000006</v>
      </c>
      <c r="T1128">
        <v>98.274000000000001</v>
      </c>
      <c r="U1128">
        <v>3.7200899999999999</v>
      </c>
      <c r="V1128">
        <v>0</v>
      </c>
      <c r="W1128">
        <v>0</v>
      </c>
      <c r="X1128">
        <v>1.9020699999999999</v>
      </c>
      <c r="Y1128">
        <v>1.9020699999999999</v>
      </c>
      <c r="Z1128">
        <v>0</v>
      </c>
      <c r="AA1128">
        <v>1.4694</v>
      </c>
      <c r="AB1128">
        <v>2.9635199999999999</v>
      </c>
      <c r="AC1128" s="2">
        <v>528162000</v>
      </c>
      <c r="AD1128" s="1">
        <v>0</v>
      </c>
      <c r="AE1128" s="1">
        <v>0</v>
      </c>
      <c r="AF1128" s="1">
        <v>0</v>
      </c>
      <c r="AG1128" s="1">
        <v>0</v>
      </c>
      <c r="AH1128" s="2">
        <v>4921120</v>
      </c>
      <c r="AI1128" s="1">
        <v>160409</v>
      </c>
      <c r="AJ1128" s="1">
        <v>0</v>
      </c>
      <c r="AK1128" s="8">
        <f t="shared" si="71"/>
        <v>35</v>
      </c>
      <c r="AL1128" s="8">
        <f t="shared" si="70"/>
        <v>22</v>
      </c>
      <c r="AM1128">
        <f t="shared" si="68"/>
        <v>0</v>
      </c>
      <c r="AN1128">
        <f t="shared" si="69"/>
        <v>0</v>
      </c>
    </row>
    <row r="1129" spans="1:40" x14ac:dyDescent="0.35">
      <c r="A1129">
        <v>78.192999999999998</v>
      </c>
      <c r="B1129">
        <v>85.138999999999996</v>
      </c>
      <c r="C1129">
        <v>1.97506</v>
      </c>
      <c r="D1129">
        <v>0</v>
      </c>
      <c r="E1129">
        <v>0</v>
      </c>
      <c r="F1129">
        <v>3.1260400000000002</v>
      </c>
      <c r="G1129">
        <v>3.1260400000000002</v>
      </c>
      <c r="H1129">
        <v>0</v>
      </c>
      <c r="I1129">
        <v>0.58576300000000003</v>
      </c>
      <c r="J1129">
        <v>5.3222399999999999</v>
      </c>
      <c r="K1129" s="2">
        <v>142001000</v>
      </c>
      <c r="L1129" s="1">
        <v>0</v>
      </c>
      <c r="M1129" s="1">
        <v>0</v>
      </c>
      <c r="N1129" s="1">
        <v>0</v>
      </c>
      <c r="O1129" s="1">
        <v>0</v>
      </c>
      <c r="P1129" s="2">
        <v>4673360</v>
      </c>
      <c r="Q1129" s="1">
        <v>321363</v>
      </c>
      <c r="R1129" s="1">
        <v>0</v>
      </c>
      <c r="S1129">
        <v>98.823499999999996</v>
      </c>
      <c r="T1129">
        <v>98.274000000000001</v>
      </c>
      <c r="U1129">
        <v>3.60697</v>
      </c>
      <c r="V1129">
        <v>0</v>
      </c>
      <c r="W1129">
        <v>0</v>
      </c>
      <c r="X1129">
        <v>1.9022600000000001</v>
      </c>
      <c r="Y1129">
        <v>1.9022600000000001</v>
      </c>
      <c r="Z1129">
        <v>0</v>
      </c>
      <c r="AA1129">
        <v>1.4695400000000001</v>
      </c>
      <c r="AB1129">
        <v>2.9635199999999999</v>
      </c>
      <c r="AC1129" s="2">
        <v>528322000</v>
      </c>
      <c r="AD1129" s="1">
        <v>0</v>
      </c>
      <c r="AE1129" s="1">
        <v>0</v>
      </c>
      <c r="AF1129" s="1">
        <v>0</v>
      </c>
      <c r="AG1129" s="1">
        <v>0</v>
      </c>
      <c r="AH1129" s="2">
        <v>4921600</v>
      </c>
      <c r="AI1129" s="1">
        <v>160425</v>
      </c>
      <c r="AJ1129" s="1">
        <v>0</v>
      </c>
      <c r="AK1129" s="8">
        <f t="shared" si="71"/>
        <v>36</v>
      </c>
      <c r="AL1129" s="8">
        <f t="shared" si="70"/>
        <v>22</v>
      </c>
      <c r="AM1129">
        <f t="shared" si="68"/>
        <v>0</v>
      </c>
      <c r="AN1129">
        <f t="shared" si="69"/>
        <v>0</v>
      </c>
    </row>
    <row r="1130" spans="1:40" x14ac:dyDescent="0.35">
      <c r="A1130">
        <v>77.081000000000003</v>
      </c>
      <c r="B1130">
        <v>85.138999999999996</v>
      </c>
      <c r="C1130">
        <v>1.7994399999999999</v>
      </c>
      <c r="D1130">
        <v>0.01</v>
      </c>
      <c r="E1130">
        <v>0</v>
      </c>
      <c r="F1130">
        <v>2.82395</v>
      </c>
      <c r="G1130">
        <v>3.12635</v>
      </c>
      <c r="H1130">
        <v>0</v>
      </c>
      <c r="I1130">
        <v>0.58582100000000004</v>
      </c>
      <c r="J1130">
        <v>5.3222399999999999</v>
      </c>
      <c r="K1130" s="2">
        <v>141914000</v>
      </c>
      <c r="L1130" s="1">
        <v>0</v>
      </c>
      <c r="M1130" s="1">
        <v>0</v>
      </c>
      <c r="N1130" s="1">
        <v>0</v>
      </c>
      <c r="O1130" s="1">
        <v>0</v>
      </c>
      <c r="P1130" s="2">
        <v>4221730</v>
      </c>
      <c r="Q1130" s="1">
        <v>-87143.7</v>
      </c>
      <c r="R1130" s="1">
        <v>408539</v>
      </c>
      <c r="S1130">
        <v>98.450299999999999</v>
      </c>
      <c r="T1130">
        <v>98.274000000000001</v>
      </c>
      <c r="U1130">
        <v>3.1194299999999999</v>
      </c>
      <c r="V1130">
        <v>0</v>
      </c>
      <c r="W1130">
        <v>0</v>
      </c>
      <c r="X1130">
        <v>2.20485</v>
      </c>
      <c r="Y1130">
        <v>1.90245</v>
      </c>
      <c r="Z1130">
        <v>0</v>
      </c>
      <c r="AA1130">
        <v>1.4696899999999999</v>
      </c>
      <c r="AB1130">
        <v>2.9635199999999999</v>
      </c>
      <c r="AC1130" s="2">
        <v>529265000</v>
      </c>
      <c r="AD1130" s="1">
        <v>0</v>
      </c>
      <c r="AE1130" s="1">
        <v>0</v>
      </c>
      <c r="AF1130" s="1">
        <v>0</v>
      </c>
      <c r="AG1130" s="1">
        <v>0</v>
      </c>
      <c r="AH1130" s="2">
        <v>5704460</v>
      </c>
      <c r="AI1130" s="1">
        <v>942822</v>
      </c>
      <c r="AJ1130" s="1">
        <v>0</v>
      </c>
      <c r="AK1130" s="8">
        <f t="shared" si="71"/>
        <v>37</v>
      </c>
      <c r="AL1130" s="8">
        <f t="shared" si="70"/>
        <v>22</v>
      </c>
      <c r="AM1130">
        <f t="shared" si="68"/>
        <v>0</v>
      </c>
      <c r="AN1130">
        <f t="shared" si="69"/>
        <v>0</v>
      </c>
    </row>
    <row r="1131" spans="1:40" x14ac:dyDescent="0.35">
      <c r="A1131">
        <v>75.766099999999994</v>
      </c>
      <c r="B1131">
        <v>85.138999999999996</v>
      </c>
      <c r="C1131">
        <v>1.7407999999999999</v>
      </c>
      <c r="D1131">
        <v>0.01</v>
      </c>
      <c r="E1131">
        <v>0</v>
      </c>
      <c r="F1131">
        <v>3.0330699999999999</v>
      </c>
      <c r="G1131">
        <v>3.3354699999999999</v>
      </c>
      <c r="H1131">
        <v>0</v>
      </c>
      <c r="I1131">
        <v>0.52920800000000001</v>
      </c>
      <c r="J1131">
        <v>5.3222399999999999</v>
      </c>
      <c r="K1131" s="2">
        <v>141848000</v>
      </c>
      <c r="L1131" s="1">
        <v>0</v>
      </c>
      <c r="M1131" s="1">
        <v>0</v>
      </c>
      <c r="N1131" s="1">
        <v>0</v>
      </c>
      <c r="O1131" s="1">
        <v>0</v>
      </c>
      <c r="P1131" s="2">
        <v>4534370</v>
      </c>
      <c r="Q1131" s="1">
        <v>-65645.5</v>
      </c>
      <c r="R1131" s="1">
        <v>408539</v>
      </c>
      <c r="S1131">
        <v>98.148700000000005</v>
      </c>
      <c r="T1131">
        <v>98.274000000000001</v>
      </c>
      <c r="U1131">
        <v>3.7615599999999998</v>
      </c>
      <c r="V1131">
        <v>0</v>
      </c>
      <c r="W1131">
        <v>0</v>
      </c>
      <c r="X1131">
        <v>2.3688400000000001</v>
      </c>
      <c r="Y1131">
        <v>2.0664400000000001</v>
      </c>
      <c r="Z1131">
        <v>0</v>
      </c>
      <c r="AA1131">
        <v>1.70346</v>
      </c>
      <c r="AB1131">
        <v>2.9635199999999999</v>
      </c>
      <c r="AC1131" s="2">
        <v>530222000</v>
      </c>
      <c r="AD1131" s="1">
        <v>0</v>
      </c>
      <c r="AE1131" s="1">
        <v>0</v>
      </c>
      <c r="AF1131" s="1">
        <v>0</v>
      </c>
      <c r="AG1131" s="1">
        <v>0</v>
      </c>
      <c r="AH1131" s="2">
        <v>6128760</v>
      </c>
      <c r="AI1131" s="1">
        <v>956652</v>
      </c>
      <c r="AJ1131" s="1">
        <v>0</v>
      </c>
      <c r="AK1131" s="8">
        <f t="shared" si="71"/>
        <v>38</v>
      </c>
      <c r="AL1131" s="8">
        <f t="shared" si="70"/>
        <v>22</v>
      </c>
      <c r="AM1131">
        <f t="shared" si="68"/>
        <v>0</v>
      </c>
      <c r="AN1131">
        <f t="shared" si="69"/>
        <v>0</v>
      </c>
    </row>
    <row r="1132" spans="1:40" x14ac:dyDescent="0.35">
      <c r="A1132">
        <v>73.946700000000007</v>
      </c>
      <c r="B1132">
        <v>85.138999999999996</v>
      </c>
      <c r="C1132">
        <v>1.18387</v>
      </c>
      <c r="D1132">
        <v>0.01</v>
      </c>
      <c r="E1132">
        <v>0</v>
      </c>
      <c r="F1132">
        <v>3.0333999999999999</v>
      </c>
      <c r="G1132">
        <v>3.3357999999999999</v>
      </c>
      <c r="H1132">
        <v>0</v>
      </c>
      <c r="I1132">
        <v>0.56839799999999996</v>
      </c>
      <c r="J1132">
        <v>5.3222399999999999</v>
      </c>
      <c r="K1132" s="2">
        <v>141783000</v>
      </c>
      <c r="L1132" s="1">
        <v>0</v>
      </c>
      <c r="M1132" s="1">
        <v>0</v>
      </c>
      <c r="N1132" s="1">
        <v>0</v>
      </c>
      <c r="O1132" s="1">
        <v>0</v>
      </c>
      <c r="P1132" s="2">
        <v>4534850</v>
      </c>
      <c r="Q1132" s="1">
        <v>-65612</v>
      </c>
      <c r="R1132" s="1">
        <v>408539</v>
      </c>
      <c r="S1132">
        <v>97.722300000000004</v>
      </c>
      <c r="T1132">
        <v>98.274000000000001</v>
      </c>
      <c r="U1132">
        <v>3.1562100000000002</v>
      </c>
      <c r="V1132">
        <v>0</v>
      </c>
      <c r="W1132">
        <v>0</v>
      </c>
      <c r="X1132">
        <v>2.36904</v>
      </c>
      <c r="Y1132">
        <v>2.06664</v>
      </c>
      <c r="Z1132">
        <v>0</v>
      </c>
      <c r="AA1132">
        <v>1.8301700000000001</v>
      </c>
      <c r="AB1132">
        <v>2.9635199999999999</v>
      </c>
      <c r="AC1132" s="2">
        <v>531179000</v>
      </c>
      <c r="AD1132" s="1">
        <v>0</v>
      </c>
      <c r="AE1132" s="1">
        <v>0</v>
      </c>
      <c r="AF1132" s="1">
        <v>0</v>
      </c>
      <c r="AG1132" s="1">
        <v>0</v>
      </c>
      <c r="AH1132" s="2">
        <v>6129280</v>
      </c>
      <c r="AI1132" s="1">
        <v>956669</v>
      </c>
      <c r="AJ1132" s="1">
        <v>0</v>
      </c>
      <c r="AK1132" s="8">
        <f t="shared" si="71"/>
        <v>39</v>
      </c>
      <c r="AL1132" s="8">
        <f t="shared" si="70"/>
        <v>22</v>
      </c>
      <c r="AM1132">
        <f t="shared" si="68"/>
        <v>0</v>
      </c>
      <c r="AN1132">
        <f t="shared" si="69"/>
        <v>0</v>
      </c>
    </row>
    <row r="1133" spans="1:40" x14ac:dyDescent="0.35">
      <c r="A1133">
        <v>72.116900000000001</v>
      </c>
      <c r="B1133">
        <v>85.138999999999996</v>
      </c>
      <c r="C1133">
        <v>1.1527400000000001</v>
      </c>
      <c r="D1133">
        <v>0.01</v>
      </c>
      <c r="E1133">
        <v>0</v>
      </c>
      <c r="F1133">
        <v>3.0337299999999998</v>
      </c>
      <c r="G1133">
        <v>3.3361299999999998</v>
      </c>
      <c r="H1133">
        <v>0</v>
      </c>
      <c r="I1133">
        <v>0.56845900000000005</v>
      </c>
      <c r="J1133">
        <v>5.3222399999999999</v>
      </c>
      <c r="K1133" s="2">
        <v>141717000</v>
      </c>
      <c r="L1133" s="1">
        <v>0</v>
      </c>
      <c r="M1133" s="1">
        <v>0</v>
      </c>
      <c r="N1133" s="1">
        <v>0</v>
      </c>
      <c r="O1133" s="1">
        <v>0</v>
      </c>
      <c r="P1133" s="2">
        <v>4535340</v>
      </c>
      <c r="Q1133" s="1">
        <v>-65578.399999999994</v>
      </c>
      <c r="R1133" s="1">
        <v>408539</v>
      </c>
      <c r="S1133">
        <v>97.261600000000001</v>
      </c>
      <c r="T1133">
        <v>98.274000000000001</v>
      </c>
      <c r="U1133">
        <v>2.9923199999999999</v>
      </c>
      <c r="V1133">
        <v>0</v>
      </c>
      <c r="W1133">
        <v>0</v>
      </c>
      <c r="X1133">
        <v>2.3692500000000001</v>
      </c>
      <c r="Y1133">
        <v>2.0668500000000001</v>
      </c>
      <c r="Z1133">
        <v>0</v>
      </c>
      <c r="AA1133">
        <v>1.8303199999999999</v>
      </c>
      <c r="AB1133">
        <v>2.9635199999999999</v>
      </c>
      <c r="AC1133" s="2">
        <v>532135000</v>
      </c>
      <c r="AD1133" s="1">
        <v>0</v>
      </c>
      <c r="AE1133" s="1">
        <v>0</v>
      </c>
      <c r="AF1133" s="1">
        <v>0</v>
      </c>
      <c r="AG1133" s="1">
        <v>0</v>
      </c>
      <c r="AH1133" s="2">
        <v>6129800</v>
      </c>
      <c r="AI1133" s="1">
        <v>956686</v>
      </c>
      <c r="AJ1133" s="1">
        <v>0</v>
      </c>
      <c r="AK1133" s="8">
        <f t="shared" si="71"/>
        <v>40</v>
      </c>
      <c r="AL1133" s="8">
        <f t="shared" si="70"/>
        <v>22</v>
      </c>
      <c r="AM1133">
        <f t="shared" si="68"/>
        <v>0</v>
      </c>
      <c r="AN1133">
        <f t="shared" si="69"/>
        <v>0</v>
      </c>
    </row>
    <row r="1134" spans="1:40" x14ac:dyDescent="0.35">
      <c r="A1134">
        <v>70.785200000000003</v>
      </c>
      <c r="B1134">
        <v>85.138999999999996</v>
      </c>
      <c r="C1134">
        <v>1.64869</v>
      </c>
      <c r="D1134">
        <v>0.02</v>
      </c>
      <c r="E1134">
        <v>0</v>
      </c>
      <c r="F1134">
        <v>3.0340500000000001</v>
      </c>
      <c r="G1134">
        <v>3.3364500000000001</v>
      </c>
      <c r="H1134">
        <v>0</v>
      </c>
      <c r="I1134">
        <v>0.56852000000000003</v>
      </c>
      <c r="J1134">
        <v>5.3222399999999999</v>
      </c>
      <c r="K1134" s="2">
        <v>141652000</v>
      </c>
      <c r="L1134" s="1">
        <v>0</v>
      </c>
      <c r="M1134" s="1">
        <v>0</v>
      </c>
      <c r="N1134" s="1">
        <v>0</v>
      </c>
      <c r="O1134" s="1">
        <v>0</v>
      </c>
      <c r="P1134" s="2">
        <v>4535830</v>
      </c>
      <c r="Q1134" s="1">
        <v>-65544.800000000003</v>
      </c>
      <c r="R1134" s="1">
        <v>408539</v>
      </c>
      <c r="S1134">
        <v>96.876900000000006</v>
      </c>
      <c r="T1134">
        <v>98.274000000000001</v>
      </c>
      <c r="U1134">
        <v>3.4886699999999999</v>
      </c>
      <c r="V1134">
        <v>0</v>
      </c>
      <c r="W1134">
        <v>0</v>
      </c>
      <c r="X1134">
        <v>2.3694500000000001</v>
      </c>
      <c r="Y1134">
        <v>2.0670500000000001</v>
      </c>
      <c r="Z1134">
        <v>0</v>
      </c>
      <c r="AA1134">
        <v>1.8304800000000001</v>
      </c>
      <c r="AB1134">
        <v>2.9635199999999999</v>
      </c>
      <c r="AC1134" s="2">
        <v>533092000</v>
      </c>
      <c r="AD1134" s="1">
        <v>0</v>
      </c>
      <c r="AE1134" s="1">
        <v>0</v>
      </c>
      <c r="AF1134" s="1">
        <v>0</v>
      </c>
      <c r="AG1134" s="1">
        <v>0</v>
      </c>
      <c r="AH1134" s="2">
        <v>6130330</v>
      </c>
      <c r="AI1134" s="1">
        <v>956703</v>
      </c>
      <c r="AJ1134" s="1">
        <v>0</v>
      </c>
      <c r="AK1134" s="8">
        <f t="shared" si="71"/>
        <v>41</v>
      </c>
      <c r="AL1134" s="8">
        <f t="shared" si="70"/>
        <v>22</v>
      </c>
      <c r="AM1134">
        <f t="shared" si="68"/>
        <v>0</v>
      </c>
      <c r="AN1134">
        <f t="shared" si="69"/>
        <v>0</v>
      </c>
    </row>
    <row r="1135" spans="1:40" x14ac:dyDescent="0.35">
      <c r="A1135">
        <v>70.122299999999996</v>
      </c>
      <c r="B1135">
        <v>85.138999999999996</v>
      </c>
      <c r="C1135">
        <v>2.3942899999999998</v>
      </c>
      <c r="D1135">
        <v>0.02</v>
      </c>
      <c r="E1135">
        <v>0</v>
      </c>
      <c r="F1135">
        <v>3.0343800000000001</v>
      </c>
      <c r="G1135">
        <v>3.3367800000000001</v>
      </c>
      <c r="H1135">
        <v>0</v>
      </c>
      <c r="I1135">
        <v>0.568581</v>
      </c>
      <c r="J1135">
        <v>5.3222399999999999</v>
      </c>
      <c r="K1135" s="2">
        <v>141586000</v>
      </c>
      <c r="L1135" s="1">
        <v>0</v>
      </c>
      <c r="M1135" s="1">
        <v>0</v>
      </c>
      <c r="N1135" s="1">
        <v>0</v>
      </c>
      <c r="O1135" s="1">
        <v>0</v>
      </c>
      <c r="P1135" s="2">
        <v>4536320</v>
      </c>
      <c r="Q1135" s="1">
        <v>-65511.1</v>
      </c>
      <c r="R1135" s="1">
        <v>408539</v>
      </c>
      <c r="S1135">
        <v>96.689499999999995</v>
      </c>
      <c r="T1135">
        <v>98.274000000000001</v>
      </c>
      <c r="U1135">
        <v>3.9303400000000002</v>
      </c>
      <c r="V1135">
        <v>0</v>
      </c>
      <c r="W1135">
        <v>0</v>
      </c>
      <c r="X1135">
        <v>2.36965</v>
      </c>
      <c r="Y1135">
        <v>2.06725</v>
      </c>
      <c r="Z1135">
        <v>0</v>
      </c>
      <c r="AA1135">
        <v>1.83064</v>
      </c>
      <c r="AB1135">
        <v>2.9635199999999999</v>
      </c>
      <c r="AC1135" s="2">
        <v>534049000</v>
      </c>
      <c r="AD1135" s="1">
        <v>0</v>
      </c>
      <c r="AE1135" s="1">
        <v>0</v>
      </c>
      <c r="AF1135" s="1">
        <v>0</v>
      </c>
      <c r="AG1135" s="1">
        <v>0</v>
      </c>
      <c r="AH1135" s="2">
        <v>6130850</v>
      </c>
      <c r="AI1135" s="1">
        <v>956720</v>
      </c>
      <c r="AJ1135" s="1">
        <v>0</v>
      </c>
      <c r="AK1135" s="8">
        <f t="shared" si="71"/>
        <v>42</v>
      </c>
      <c r="AL1135" s="8">
        <f t="shared" si="70"/>
        <v>22</v>
      </c>
      <c r="AM1135">
        <f t="shared" si="68"/>
        <v>0</v>
      </c>
      <c r="AN1135">
        <f t="shared" si="69"/>
        <v>0</v>
      </c>
    </row>
    <row r="1136" spans="1:40" x14ac:dyDescent="0.35">
      <c r="A1136">
        <v>68.732299999999995</v>
      </c>
      <c r="B1136">
        <v>85.138999999999996</v>
      </c>
      <c r="C1136">
        <v>1.5122800000000001</v>
      </c>
      <c r="D1136">
        <v>0.02</v>
      </c>
      <c r="E1136">
        <v>0</v>
      </c>
      <c r="F1136">
        <v>2.93289</v>
      </c>
      <c r="G1136">
        <v>3.23529</v>
      </c>
      <c r="H1136">
        <v>0</v>
      </c>
      <c r="I1136">
        <v>0.56864300000000001</v>
      </c>
      <c r="J1136">
        <v>5.3222399999999999</v>
      </c>
      <c r="K1136" s="2">
        <v>141510000</v>
      </c>
      <c r="L1136" s="1">
        <v>0</v>
      </c>
      <c r="M1136" s="1">
        <v>0</v>
      </c>
      <c r="N1136" s="1">
        <v>0</v>
      </c>
      <c r="O1136" s="1">
        <v>0</v>
      </c>
      <c r="P1136" s="2">
        <v>4384590</v>
      </c>
      <c r="Q1136" s="1">
        <v>-75944.7</v>
      </c>
      <c r="R1136" s="1">
        <v>408539</v>
      </c>
      <c r="S1136">
        <v>96.473699999999994</v>
      </c>
      <c r="T1136">
        <v>98.274000000000001</v>
      </c>
      <c r="U1136">
        <v>3.88287</v>
      </c>
      <c r="V1136">
        <v>0</v>
      </c>
      <c r="W1136">
        <v>0</v>
      </c>
      <c r="X1136">
        <v>2.2703799999999998</v>
      </c>
      <c r="Y1136">
        <v>1.9679800000000001</v>
      </c>
      <c r="Z1136">
        <v>0</v>
      </c>
      <c r="AA1136">
        <v>1.8307899999999999</v>
      </c>
      <c r="AB1136">
        <v>2.9635199999999999</v>
      </c>
      <c r="AC1136" s="2">
        <v>534997000</v>
      </c>
      <c r="AD1136" s="1">
        <v>0</v>
      </c>
      <c r="AE1136" s="1">
        <v>0</v>
      </c>
      <c r="AF1136" s="1">
        <v>0</v>
      </c>
      <c r="AG1136" s="1">
        <v>0</v>
      </c>
      <c r="AH1136" s="2">
        <v>5874010</v>
      </c>
      <c r="AI1136" s="1">
        <v>948348</v>
      </c>
      <c r="AJ1136" s="1">
        <v>0</v>
      </c>
      <c r="AK1136" s="8">
        <f t="shared" si="71"/>
        <v>43</v>
      </c>
      <c r="AL1136" s="8">
        <f t="shared" si="70"/>
        <v>22</v>
      </c>
      <c r="AM1136">
        <f t="shared" si="68"/>
        <v>0</v>
      </c>
      <c r="AN1136">
        <f t="shared" si="69"/>
        <v>0</v>
      </c>
    </row>
    <row r="1137" spans="1:40" x14ac:dyDescent="0.35">
      <c r="A1137">
        <v>66.833699999999993</v>
      </c>
      <c r="B1137">
        <v>85.138999999999996</v>
      </c>
      <c r="C1137">
        <v>1.0357000000000001</v>
      </c>
      <c r="D1137">
        <v>0.02</v>
      </c>
      <c r="E1137">
        <v>0</v>
      </c>
      <c r="F1137">
        <v>2.9331999999999998</v>
      </c>
      <c r="G1137">
        <v>3.2355999999999998</v>
      </c>
      <c r="H1137">
        <v>0</v>
      </c>
      <c r="I1137">
        <v>0.54962299999999997</v>
      </c>
      <c r="J1137">
        <v>5.3222399999999999</v>
      </c>
      <c r="K1137" s="2">
        <v>141434000</v>
      </c>
      <c r="L1137" s="1">
        <v>0</v>
      </c>
      <c r="M1137" s="1">
        <v>0</v>
      </c>
      <c r="N1137" s="1">
        <v>0</v>
      </c>
      <c r="O1137" s="1">
        <v>0</v>
      </c>
      <c r="P1137" s="2">
        <v>4385070</v>
      </c>
      <c r="Q1137" s="1">
        <v>-75912.100000000006</v>
      </c>
      <c r="R1137" s="1">
        <v>408539</v>
      </c>
      <c r="S1137">
        <v>96.040499999999994</v>
      </c>
      <c r="T1137">
        <v>98.274000000000001</v>
      </c>
      <c r="U1137">
        <v>2.98292</v>
      </c>
      <c r="V1137">
        <v>0</v>
      </c>
      <c r="W1137">
        <v>0</v>
      </c>
      <c r="X1137">
        <v>2.2705700000000002</v>
      </c>
      <c r="Y1137">
        <v>1.96817</v>
      </c>
      <c r="Z1137">
        <v>0</v>
      </c>
      <c r="AA1137">
        <v>1.7541</v>
      </c>
      <c r="AB1137">
        <v>2.9635199999999999</v>
      </c>
      <c r="AC1137" s="2">
        <v>535945000</v>
      </c>
      <c r="AD1137" s="1">
        <v>0</v>
      </c>
      <c r="AE1137" s="1">
        <v>0</v>
      </c>
      <c r="AF1137" s="1">
        <v>0</v>
      </c>
      <c r="AG1137" s="1">
        <v>0</v>
      </c>
      <c r="AH1137" s="2">
        <v>5874510</v>
      </c>
      <c r="AI1137" s="1">
        <v>948365</v>
      </c>
      <c r="AJ1137" s="1">
        <v>0</v>
      </c>
      <c r="AK1137" s="8">
        <f t="shared" si="71"/>
        <v>44</v>
      </c>
      <c r="AL1137" s="8">
        <f t="shared" si="70"/>
        <v>22</v>
      </c>
      <c r="AM1137">
        <f t="shared" si="68"/>
        <v>0</v>
      </c>
      <c r="AN1137">
        <f t="shared" si="69"/>
        <v>0</v>
      </c>
    </row>
    <row r="1138" spans="1:40" x14ac:dyDescent="0.35">
      <c r="A1138">
        <v>64.787800000000004</v>
      </c>
      <c r="B1138">
        <v>85.138999999999996</v>
      </c>
      <c r="C1138">
        <v>0.81900799999999996</v>
      </c>
      <c r="D1138">
        <v>0.02</v>
      </c>
      <c r="E1138">
        <v>0</v>
      </c>
      <c r="F1138">
        <v>2.9335200000000001</v>
      </c>
      <c r="G1138">
        <v>3.2359200000000001</v>
      </c>
      <c r="H1138">
        <v>0</v>
      </c>
      <c r="I1138">
        <v>0.549682</v>
      </c>
      <c r="J1138">
        <v>5.3222399999999999</v>
      </c>
      <c r="K1138" s="2">
        <v>141358000</v>
      </c>
      <c r="L1138" s="1">
        <v>0</v>
      </c>
      <c r="M1138" s="1">
        <v>0</v>
      </c>
      <c r="N1138" s="1">
        <v>0</v>
      </c>
      <c r="O1138" s="1">
        <v>0</v>
      </c>
      <c r="P1138" s="2">
        <v>4385540</v>
      </c>
      <c r="Q1138" s="1">
        <v>-75879.5</v>
      </c>
      <c r="R1138" s="1">
        <v>408539</v>
      </c>
      <c r="S1138">
        <v>95.563199999999995</v>
      </c>
      <c r="T1138">
        <v>98.274000000000001</v>
      </c>
      <c r="U1138">
        <v>2.1817700000000002</v>
      </c>
      <c r="V1138">
        <v>0</v>
      </c>
      <c r="W1138">
        <v>0</v>
      </c>
      <c r="X1138">
        <v>2.2707700000000002</v>
      </c>
      <c r="Y1138">
        <v>1.96837</v>
      </c>
      <c r="Z1138">
        <v>0</v>
      </c>
      <c r="AA1138">
        <v>1.75424</v>
      </c>
      <c r="AB1138">
        <v>2.9635199999999999</v>
      </c>
      <c r="AC1138" s="2">
        <v>536894000</v>
      </c>
      <c r="AD1138" s="1">
        <v>0</v>
      </c>
      <c r="AE1138" s="1">
        <v>0</v>
      </c>
      <c r="AF1138" s="1">
        <v>0</v>
      </c>
      <c r="AG1138" s="1">
        <v>0</v>
      </c>
      <c r="AH1138" s="2">
        <v>5875010</v>
      </c>
      <c r="AI1138" s="1">
        <v>948381</v>
      </c>
      <c r="AJ1138" s="1">
        <v>0</v>
      </c>
      <c r="AK1138" s="8">
        <f t="shared" si="71"/>
        <v>45</v>
      </c>
      <c r="AL1138" s="8">
        <f t="shared" si="70"/>
        <v>22</v>
      </c>
      <c r="AM1138">
        <f t="shared" si="68"/>
        <v>0</v>
      </c>
      <c r="AN1138">
        <f t="shared" si="69"/>
        <v>0</v>
      </c>
    </row>
    <row r="1139" spans="1:40" x14ac:dyDescent="0.35">
      <c r="A1139">
        <v>63.785299999999999</v>
      </c>
      <c r="B1139">
        <v>85.138999999999996</v>
      </c>
      <c r="C1139">
        <v>1.9324600000000001</v>
      </c>
      <c r="D1139">
        <v>0.02</v>
      </c>
      <c r="E1139">
        <v>0</v>
      </c>
      <c r="F1139">
        <v>2.93384</v>
      </c>
      <c r="G1139">
        <v>3.23624</v>
      </c>
      <c r="H1139">
        <v>0</v>
      </c>
      <c r="I1139">
        <v>0.54974199999999995</v>
      </c>
      <c r="J1139">
        <v>5.3222399999999999</v>
      </c>
      <c r="K1139" s="2">
        <v>141283000</v>
      </c>
      <c r="L1139" s="1">
        <v>0</v>
      </c>
      <c r="M1139" s="1">
        <v>0</v>
      </c>
      <c r="N1139" s="1">
        <v>0</v>
      </c>
      <c r="O1139" s="1">
        <v>0</v>
      </c>
      <c r="P1139" s="2">
        <v>4386010</v>
      </c>
      <c r="Q1139" s="1">
        <v>-75846.899999999994</v>
      </c>
      <c r="R1139" s="1">
        <v>408539</v>
      </c>
      <c r="S1139">
        <v>95.359499999999997</v>
      </c>
      <c r="T1139">
        <v>98.274000000000001</v>
      </c>
      <c r="U1139">
        <v>4.6920900000000003</v>
      </c>
      <c r="V1139">
        <v>0</v>
      </c>
      <c r="W1139">
        <v>0</v>
      </c>
      <c r="X1139">
        <v>2.2709600000000001</v>
      </c>
      <c r="Y1139">
        <v>1.9685600000000001</v>
      </c>
      <c r="Z1139">
        <v>0</v>
      </c>
      <c r="AA1139">
        <v>1.7543899999999999</v>
      </c>
      <c r="AB1139">
        <v>2.9635199999999999</v>
      </c>
      <c r="AC1139" s="2">
        <v>537842000</v>
      </c>
      <c r="AD1139" s="1">
        <v>0</v>
      </c>
      <c r="AE1139" s="1">
        <v>0</v>
      </c>
      <c r="AF1139" s="1">
        <v>0</v>
      </c>
      <c r="AG1139" s="1">
        <v>0</v>
      </c>
      <c r="AH1139" s="2">
        <v>5875510</v>
      </c>
      <c r="AI1139" s="1">
        <v>948397</v>
      </c>
      <c r="AJ1139" s="1">
        <v>0</v>
      </c>
      <c r="AK1139" s="8">
        <f t="shared" si="71"/>
        <v>46</v>
      </c>
      <c r="AL1139" s="8">
        <f t="shared" si="70"/>
        <v>22</v>
      </c>
      <c r="AM1139">
        <f t="shared" si="68"/>
        <v>0</v>
      </c>
      <c r="AN1139">
        <f t="shared" si="69"/>
        <v>0</v>
      </c>
    </row>
    <row r="1140" spans="1:40" x14ac:dyDescent="0.35">
      <c r="A1140">
        <v>62.317300000000003</v>
      </c>
      <c r="B1140">
        <v>85.138999999999996</v>
      </c>
      <c r="C1140">
        <v>1.4460500000000001</v>
      </c>
      <c r="D1140">
        <v>0.02</v>
      </c>
      <c r="E1140">
        <v>0</v>
      </c>
      <c r="F1140">
        <v>2.8505500000000001</v>
      </c>
      <c r="G1140">
        <v>3.1529500000000001</v>
      </c>
      <c r="H1140">
        <v>0</v>
      </c>
      <c r="I1140">
        <v>0.54980099999999998</v>
      </c>
      <c r="J1140">
        <v>5.3222399999999999</v>
      </c>
      <c r="K1140" s="2">
        <v>141198000</v>
      </c>
      <c r="L1140" s="1">
        <v>0</v>
      </c>
      <c r="M1140" s="1">
        <v>0</v>
      </c>
      <c r="N1140" s="1">
        <v>0</v>
      </c>
      <c r="O1140" s="1">
        <v>0</v>
      </c>
      <c r="P1140" s="2">
        <v>4261500</v>
      </c>
      <c r="Q1140" s="1">
        <v>-84409.4</v>
      </c>
      <c r="R1140" s="1">
        <v>408539</v>
      </c>
      <c r="S1140">
        <v>95.1721</v>
      </c>
      <c r="T1140">
        <v>98.274000000000001</v>
      </c>
      <c r="U1140">
        <v>3.4900500000000001</v>
      </c>
      <c r="V1140">
        <v>0</v>
      </c>
      <c r="W1140">
        <v>0</v>
      </c>
      <c r="X1140">
        <v>2.1805699999999999</v>
      </c>
      <c r="Y1140">
        <v>1.8781699999999999</v>
      </c>
      <c r="Z1140">
        <v>0</v>
      </c>
      <c r="AA1140">
        <v>1.75454</v>
      </c>
      <c r="AB1140">
        <v>2.9635199999999999</v>
      </c>
      <c r="AC1140" s="2">
        <v>538783000</v>
      </c>
      <c r="AD1140" s="1">
        <v>0</v>
      </c>
      <c r="AE1140" s="1">
        <v>0</v>
      </c>
      <c r="AF1140" s="1">
        <v>0</v>
      </c>
      <c r="AG1140" s="1">
        <v>0</v>
      </c>
      <c r="AH1140" s="2">
        <v>5641650</v>
      </c>
      <c r="AI1140" s="1">
        <v>940774</v>
      </c>
      <c r="AJ1140" s="1">
        <v>0</v>
      </c>
      <c r="AK1140" s="8">
        <f t="shared" si="71"/>
        <v>47</v>
      </c>
      <c r="AL1140" s="8">
        <f t="shared" si="70"/>
        <v>22</v>
      </c>
      <c r="AM1140">
        <f t="shared" si="68"/>
        <v>0</v>
      </c>
      <c r="AN1140">
        <f t="shared" si="69"/>
        <v>0</v>
      </c>
    </row>
    <row r="1141" spans="1:40" x14ac:dyDescent="0.35">
      <c r="A1141">
        <v>60.423000000000002</v>
      </c>
      <c r="B1141">
        <v>85.138999999999996</v>
      </c>
      <c r="C1141">
        <v>0.97520899999999999</v>
      </c>
      <c r="D1141">
        <v>0.02</v>
      </c>
      <c r="E1141">
        <v>0</v>
      </c>
      <c r="F1141">
        <v>2.8508599999999999</v>
      </c>
      <c r="G1141">
        <v>3.15326</v>
      </c>
      <c r="H1141">
        <v>0</v>
      </c>
      <c r="I1141">
        <v>0.53419300000000003</v>
      </c>
      <c r="J1141">
        <v>5.3222399999999999</v>
      </c>
      <c r="K1141" s="2">
        <v>141114000</v>
      </c>
      <c r="L1141" s="1">
        <v>0</v>
      </c>
      <c r="M1141" s="1">
        <v>0</v>
      </c>
      <c r="N1141" s="1">
        <v>0</v>
      </c>
      <c r="O1141" s="1">
        <v>0</v>
      </c>
      <c r="P1141" s="2">
        <v>4261960</v>
      </c>
      <c r="Q1141" s="1">
        <v>-84377.7</v>
      </c>
      <c r="R1141" s="1">
        <v>408539</v>
      </c>
      <c r="S1141">
        <v>94.705699999999993</v>
      </c>
      <c r="T1141">
        <v>98.274000000000001</v>
      </c>
      <c r="U1141">
        <v>2.3433999999999999</v>
      </c>
      <c r="V1141">
        <v>0</v>
      </c>
      <c r="W1141">
        <v>0</v>
      </c>
      <c r="X1141">
        <v>2.1807500000000002</v>
      </c>
      <c r="Y1141">
        <v>1.87835</v>
      </c>
      <c r="Z1141">
        <v>0</v>
      </c>
      <c r="AA1141">
        <v>1.6847099999999999</v>
      </c>
      <c r="AB1141">
        <v>2.9635199999999999</v>
      </c>
      <c r="AC1141" s="2">
        <v>539724000</v>
      </c>
      <c r="AD1141" s="1">
        <v>0</v>
      </c>
      <c r="AE1141" s="1">
        <v>0</v>
      </c>
      <c r="AF1141" s="1">
        <v>0</v>
      </c>
      <c r="AG1141" s="1">
        <v>0</v>
      </c>
      <c r="AH1141" s="2">
        <v>5642130</v>
      </c>
      <c r="AI1141" s="1">
        <v>940790</v>
      </c>
      <c r="AJ1141" s="1">
        <v>0</v>
      </c>
      <c r="AK1141" s="8">
        <f t="shared" si="71"/>
        <v>48</v>
      </c>
      <c r="AL1141" s="8">
        <f t="shared" si="70"/>
        <v>22</v>
      </c>
      <c r="AM1141">
        <f t="shared" si="68"/>
        <v>0</v>
      </c>
      <c r="AN1141">
        <f t="shared" si="69"/>
        <v>0</v>
      </c>
    </row>
    <row r="1142" spans="1:40" x14ac:dyDescent="0.35">
      <c r="A1142">
        <v>58.881100000000004</v>
      </c>
      <c r="B1142">
        <v>85.138999999999996</v>
      </c>
      <c r="C1142">
        <v>1.3713</v>
      </c>
      <c r="D1142">
        <v>0.02</v>
      </c>
      <c r="E1142">
        <v>0</v>
      </c>
      <c r="F1142">
        <v>2.8511700000000002</v>
      </c>
      <c r="G1142">
        <v>3.1535700000000002</v>
      </c>
      <c r="H1142">
        <v>0</v>
      </c>
      <c r="I1142">
        <v>0.53425</v>
      </c>
      <c r="J1142">
        <v>5.3222399999999999</v>
      </c>
      <c r="K1142" s="2">
        <v>141030000</v>
      </c>
      <c r="L1142" s="1">
        <v>0</v>
      </c>
      <c r="M1142" s="1">
        <v>0</v>
      </c>
      <c r="N1142" s="1">
        <v>0</v>
      </c>
      <c r="O1142" s="1">
        <v>0</v>
      </c>
      <c r="P1142" s="2">
        <v>4262420</v>
      </c>
      <c r="Q1142" s="1">
        <v>-84345.9</v>
      </c>
      <c r="R1142" s="1">
        <v>408539</v>
      </c>
      <c r="S1142">
        <v>94.395600000000002</v>
      </c>
      <c r="T1142">
        <v>98.274000000000001</v>
      </c>
      <c r="U1142">
        <v>2.9211999999999998</v>
      </c>
      <c r="V1142">
        <v>0</v>
      </c>
      <c r="W1142">
        <v>0</v>
      </c>
      <c r="X1142">
        <v>2.1809400000000001</v>
      </c>
      <c r="Y1142">
        <v>1.8785400000000001</v>
      </c>
      <c r="Z1142">
        <v>0</v>
      </c>
      <c r="AA1142">
        <v>1.68485</v>
      </c>
      <c r="AB1142">
        <v>2.9635199999999999</v>
      </c>
      <c r="AC1142" s="2">
        <v>540665000</v>
      </c>
      <c r="AD1142" s="1">
        <v>0</v>
      </c>
      <c r="AE1142" s="1">
        <v>0</v>
      </c>
      <c r="AF1142" s="1">
        <v>0</v>
      </c>
      <c r="AG1142" s="1">
        <v>0</v>
      </c>
      <c r="AH1142" s="2">
        <v>5642600</v>
      </c>
      <c r="AI1142" s="1">
        <v>940805</v>
      </c>
      <c r="AJ1142" s="1">
        <v>0</v>
      </c>
      <c r="AK1142" s="8">
        <f t="shared" si="71"/>
        <v>49</v>
      </c>
      <c r="AL1142" s="8">
        <f t="shared" si="70"/>
        <v>22</v>
      </c>
      <c r="AM1142">
        <f t="shared" si="68"/>
        <v>0</v>
      </c>
      <c r="AN1142">
        <f t="shared" si="69"/>
        <v>0</v>
      </c>
    </row>
    <row r="1143" spans="1:40" x14ac:dyDescent="0.35">
      <c r="A1143">
        <v>58.852899999999998</v>
      </c>
      <c r="B1143">
        <v>85.138999999999996</v>
      </c>
      <c r="C1143">
        <v>2.9251399999999999</v>
      </c>
      <c r="D1143">
        <v>0.02</v>
      </c>
      <c r="E1143">
        <v>0</v>
      </c>
      <c r="F1143">
        <v>2.8514699999999999</v>
      </c>
      <c r="G1143">
        <v>3.15387</v>
      </c>
      <c r="H1143">
        <v>0</v>
      </c>
      <c r="I1143">
        <v>0.53430800000000001</v>
      </c>
      <c r="J1143">
        <v>5.3222399999999999</v>
      </c>
      <c r="K1143" s="2">
        <v>140945000</v>
      </c>
      <c r="L1143" s="1">
        <v>0</v>
      </c>
      <c r="M1143" s="1">
        <v>0</v>
      </c>
      <c r="N1143" s="1">
        <v>0</v>
      </c>
      <c r="O1143" s="1">
        <v>0</v>
      </c>
      <c r="P1143" s="2">
        <v>4262880</v>
      </c>
      <c r="Q1143" s="1">
        <v>-84314.2</v>
      </c>
      <c r="R1143" s="1">
        <v>408539</v>
      </c>
      <c r="S1143">
        <v>94.734300000000005</v>
      </c>
      <c r="T1143">
        <v>98.274000000000001</v>
      </c>
      <c r="U1143">
        <v>4.7274500000000002</v>
      </c>
      <c r="V1143">
        <v>0</v>
      </c>
      <c r="W1143">
        <v>0</v>
      </c>
      <c r="X1143">
        <v>2.1811199999999999</v>
      </c>
      <c r="Y1143">
        <v>1.8787199999999999</v>
      </c>
      <c r="Z1143">
        <v>0</v>
      </c>
      <c r="AA1143">
        <v>1.68499</v>
      </c>
      <c r="AB1143">
        <v>2.9635199999999999</v>
      </c>
      <c r="AC1143" s="2">
        <v>541605000</v>
      </c>
      <c r="AD1143" s="1">
        <v>0</v>
      </c>
      <c r="AE1143" s="1">
        <v>0</v>
      </c>
      <c r="AF1143" s="1">
        <v>0</v>
      </c>
      <c r="AG1143" s="1">
        <v>0</v>
      </c>
      <c r="AH1143" s="2">
        <v>5643080</v>
      </c>
      <c r="AI1143" s="1">
        <v>940821</v>
      </c>
      <c r="AJ1143" s="1">
        <v>0</v>
      </c>
      <c r="AK1143" s="8">
        <f t="shared" si="71"/>
        <v>50</v>
      </c>
      <c r="AL1143" s="8">
        <f t="shared" si="70"/>
        <v>22</v>
      </c>
      <c r="AM1143">
        <f t="shared" si="68"/>
        <v>0</v>
      </c>
      <c r="AN1143">
        <f t="shared" si="69"/>
        <v>0</v>
      </c>
    </row>
    <row r="1144" spans="1:40" x14ac:dyDescent="0.35">
      <c r="A1144">
        <v>58.848799999999997</v>
      </c>
      <c r="B1144">
        <v>85.138999999999996</v>
      </c>
      <c r="C1144">
        <v>2.802</v>
      </c>
      <c r="D1144">
        <v>0.03</v>
      </c>
      <c r="E1144">
        <v>0</v>
      </c>
      <c r="F1144">
        <v>2.6142400000000001</v>
      </c>
      <c r="G1144">
        <v>2.9166400000000001</v>
      </c>
      <c r="H1144">
        <v>0</v>
      </c>
      <c r="I1144">
        <v>0.53436600000000001</v>
      </c>
      <c r="J1144">
        <v>5.3222399999999999</v>
      </c>
      <c r="K1144" s="2">
        <v>140836000</v>
      </c>
      <c r="L1144" s="1">
        <v>0</v>
      </c>
      <c r="M1144" s="1">
        <v>0</v>
      </c>
      <c r="N1144" s="1">
        <v>0</v>
      </c>
      <c r="O1144" s="1">
        <v>0</v>
      </c>
      <c r="P1144" s="2">
        <v>3908220</v>
      </c>
      <c r="Q1144" s="1">
        <v>-108703</v>
      </c>
      <c r="R1144" s="1">
        <v>408539</v>
      </c>
      <c r="S1144">
        <v>94.786799999999999</v>
      </c>
      <c r="T1144">
        <v>98.274000000000001</v>
      </c>
      <c r="U1144">
        <v>4.2348100000000004</v>
      </c>
      <c r="V1144">
        <v>0</v>
      </c>
      <c r="W1144">
        <v>0</v>
      </c>
      <c r="X1144">
        <v>1.99258</v>
      </c>
      <c r="Y1144">
        <v>1.69018</v>
      </c>
      <c r="Z1144">
        <v>0</v>
      </c>
      <c r="AA1144">
        <v>1.68513</v>
      </c>
      <c r="AB1144">
        <v>2.9635199999999999</v>
      </c>
      <c r="AC1144" s="2">
        <v>542530000</v>
      </c>
      <c r="AD1144" s="1">
        <v>0</v>
      </c>
      <c r="AE1144" s="1">
        <v>0</v>
      </c>
      <c r="AF1144" s="1">
        <v>0</v>
      </c>
      <c r="AG1144" s="1">
        <v>0</v>
      </c>
      <c r="AH1144" s="2">
        <v>5155270</v>
      </c>
      <c r="AI1144" s="1">
        <v>924920</v>
      </c>
      <c r="AJ1144" s="1">
        <v>0</v>
      </c>
      <c r="AK1144" s="8">
        <f t="shared" si="71"/>
        <v>51</v>
      </c>
      <c r="AL1144" s="8">
        <f t="shared" si="70"/>
        <v>22</v>
      </c>
      <c r="AM1144">
        <f t="shared" si="68"/>
        <v>0</v>
      </c>
      <c r="AN1144">
        <f t="shared" si="69"/>
        <v>0</v>
      </c>
    </row>
    <row r="1145" spans="1:40" x14ac:dyDescent="0.35">
      <c r="A1145">
        <v>58.8932</v>
      </c>
      <c r="B1145">
        <v>85.138999999999996</v>
      </c>
      <c r="C1145">
        <v>2.8456899999999998</v>
      </c>
      <c r="D1145">
        <v>0.03</v>
      </c>
      <c r="E1145">
        <v>0</v>
      </c>
      <c r="F1145">
        <v>2.6145200000000002</v>
      </c>
      <c r="G1145">
        <v>2.9169200000000002</v>
      </c>
      <c r="H1145">
        <v>0</v>
      </c>
      <c r="I1145">
        <v>0.48990800000000001</v>
      </c>
      <c r="J1145">
        <v>5.3222399999999999</v>
      </c>
      <c r="K1145" s="2">
        <v>140728000</v>
      </c>
      <c r="L1145" s="1">
        <v>0</v>
      </c>
      <c r="M1145" s="1">
        <v>0</v>
      </c>
      <c r="N1145" s="1">
        <v>0</v>
      </c>
      <c r="O1145" s="1">
        <v>0</v>
      </c>
      <c r="P1145" s="2">
        <v>3908650</v>
      </c>
      <c r="Q1145" s="1">
        <v>-108673</v>
      </c>
      <c r="R1145" s="1">
        <v>408539</v>
      </c>
      <c r="S1145">
        <v>94.983500000000006</v>
      </c>
      <c r="T1145">
        <v>98.274000000000001</v>
      </c>
      <c r="U1145">
        <v>4.3806500000000002</v>
      </c>
      <c r="V1145">
        <v>0</v>
      </c>
      <c r="W1145">
        <v>0</v>
      </c>
      <c r="X1145">
        <v>1.99274</v>
      </c>
      <c r="Y1145">
        <v>1.69034</v>
      </c>
      <c r="Z1145">
        <v>0</v>
      </c>
      <c r="AA1145">
        <v>1.5394600000000001</v>
      </c>
      <c r="AB1145">
        <v>2.9635199999999999</v>
      </c>
      <c r="AC1145" s="2">
        <v>543455000</v>
      </c>
      <c r="AD1145" s="1">
        <v>0</v>
      </c>
      <c r="AE1145" s="1">
        <v>0</v>
      </c>
      <c r="AF1145" s="1">
        <v>0</v>
      </c>
      <c r="AG1145" s="1">
        <v>0</v>
      </c>
      <c r="AH1145" s="2">
        <v>5155690</v>
      </c>
      <c r="AI1145" s="1">
        <v>924934</v>
      </c>
      <c r="AJ1145" s="1">
        <v>0</v>
      </c>
      <c r="AK1145" s="8">
        <f t="shared" si="71"/>
        <v>52</v>
      </c>
      <c r="AL1145" s="8">
        <f t="shared" si="70"/>
        <v>22</v>
      </c>
      <c r="AM1145">
        <f t="shared" si="68"/>
        <v>543455000</v>
      </c>
      <c r="AN1145">
        <f t="shared" si="69"/>
        <v>140728000</v>
      </c>
    </row>
    <row r="1146" spans="1:40" x14ac:dyDescent="0.35">
      <c r="A1146">
        <v>59.565300000000001</v>
      </c>
      <c r="B1146">
        <v>85.138999999999996</v>
      </c>
      <c r="C1146">
        <v>3.6445799999999999</v>
      </c>
      <c r="D1146">
        <v>0.04</v>
      </c>
      <c r="E1146">
        <v>0</v>
      </c>
      <c r="F1146">
        <v>2.6148099999999999</v>
      </c>
      <c r="G1146">
        <v>2.9172099999999999</v>
      </c>
      <c r="H1146">
        <v>0</v>
      </c>
      <c r="I1146">
        <v>0.48996200000000001</v>
      </c>
      <c r="J1146">
        <v>5.3222399999999999</v>
      </c>
      <c r="K1146" s="2">
        <v>140619000</v>
      </c>
      <c r="L1146" s="1">
        <v>0</v>
      </c>
      <c r="M1146" s="1">
        <v>0</v>
      </c>
      <c r="N1146" s="1">
        <v>0</v>
      </c>
      <c r="O1146" s="1">
        <v>0</v>
      </c>
      <c r="P1146" s="2">
        <v>3909070</v>
      </c>
      <c r="Q1146" s="1">
        <v>-108644</v>
      </c>
      <c r="R1146" s="1">
        <v>408539</v>
      </c>
      <c r="S1146">
        <v>95.370500000000007</v>
      </c>
      <c r="T1146">
        <v>98.274000000000001</v>
      </c>
      <c r="U1146">
        <v>5.8401800000000001</v>
      </c>
      <c r="V1146">
        <v>0</v>
      </c>
      <c r="W1146">
        <v>0</v>
      </c>
      <c r="X1146">
        <v>1.99291</v>
      </c>
      <c r="Y1146">
        <v>1.69051</v>
      </c>
      <c r="Z1146">
        <v>0</v>
      </c>
      <c r="AA1146">
        <v>1.53959</v>
      </c>
      <c r="AB1146">
        <v>2.9635199999999999</v>
      </c>
      <c r="AC1146" s="2">
        <v>544380000</v>
      </c>
      <c r="AD1146" s="1">
        <v>0</v>
      </c>
      <c r="AE1146" s="1">
        <v>0</v>
      </c>
      <c r="AF1146" s="1">
        <v>0</v>
      </c>
      <c r="AG1146" s="1">
        <v>0</v>
      </c>
      <c r="AH1146" s="2">
        <v>5156120</v>
      </c>
      <c r="AI1146" s="1">
        <v>924948</v>
      </c>
      <c r="AJ1146" s="1">
        <v>0</v>
      </c>
      <c r="AK1146" s="8">
        <f t="shared" si="71"/>
        <v>1</v>
      </c>
      <c r="AL1146" s="8">
        <f t="shared" si="70"/>
        <v>23</v>
      </c>
      <c r="AM1146">
        <f t="shared" si="68"/>
        <v>0</v>
      </c>
      <c r="AN1146">
        <f t="shared" si="69"/>
        <v>0</v>
      </c>
    </row>
    <row r="1147" spans="1:40" x14ac:dyDescent="0.35">
      <c r="A1147">
        <v>58.843499999999999</v>
      </c>
      <c r="B1147">
        <v>85.138999999999996</v>
      </c>
      <c r="C1147">
        <v>2.1078000000000001</v>
      </c>
      <c r="D1147">
        <v>0.03</v>
      </c>
      <c r="E1147">
        <v>0</v>
      </c>
      <c r="F1147">
        <v>2.6150899999999999</v>
      </c>
      <c r="G1147">
        <v>2.9174899999999999</v>
      </c>
      <c r="H1147">
        <v>0</v>
      </c>
      <c r="I1147">
        <v>0.49001499999999998</v>
      </c>
      <c r="J1147">
        <v>5.3222399999999999</v>
      </c>
      <c r="K1147" s="2">
        <v>140511000</v>
      </c>
      <c r="L1147" s="1">
        <v>0</v>
      </c>
      <c r="M1147" s="1">
        <v>0</v>
      </c>
      <c r="N1147" s="1">
        <v>0</v>
      </c>
      <c r="O1147" s="1">
        <v>0</v>
      </c>
      <c r="P1147" s="2">
        <v>3909500</v>
      </c>
      <c r="Q1147" s="1">
        <v>-108614</v>
      </c>
      <c r="R1147" s="1">
        <v>408539</v>
      </c>
      <c r="S1147">
        <v>95.261099999999999</v>
      </c>
      <c r="T1147">
        <v>98.274000000000001</v>
      </c>
      <c r="U1147">
        <v>3.6354000000000002</v>
      </c>
      <c r="V1147">
        <v>0</v>
      </c>
      <c r="W1147">
        <v>0</v>
      </c>
      <c r="X1147">
        <v>1.9930699999999999</v>
      </c>
      <c r="Y1147">
        <v>1.6906699999999999</v>
      </c>
      <c r="Z1147">
        <v>0</v>
      </c>
      <c r="AA1147">
        <v>1.53972</v>
      </c>
      <c r="AB1147">
        <v>2.9635199999999999</v>
      </c>
      <c r="AC1147" s="2">
        <v>545305000</v>
      </c>
      <c r="AD1147" s="1">
        <v>0</v>
      </c>
      <c r="AE1147" s="1">
        <v>0</v>
      </c>
      <c r="AF1147" s="1">
        <v>0</v>
      </c>
      <c r="AG1147" s="1">
        <v>0</v>
      </c>
      <c r="AH1147" s="2">
        <v>5156550</v>
      </c>
      <c r="AI1147" s="1">
        <v>924962</v>
      </c>
      <c r="AJ1147" s="1">
        <v>0</v>
      </c>
      <c r="AK1147" s="8">
        <f t="shared" si="71"/>
        <v>2</v>
      </c>
      <c r="AL1147" s="8">
        <f t="shared" si="70"/>
        <v>23</v>
      </c>
      <c r="AM1147">
        <f t="shared" si="68"/>
        <v>0</v>
      </c>
      <c r="AN1147">
        <f t="shared" si="69"/>
        <v>0</v>
      </c>
    </row>
    <row r="1148" spans="1:40" x14ac:dyDescent="0.35">
      <c r="A1148">
        <v>57.972000000000001</v>
      </c>
      <c r="B1148">
        <v>85.138999999999996</v>
      </c>
      <c r="C1148">
        <v>1.9155599999999999</v>
      </c>
      <c r="D1148">
        <v>0.05</v>
      </c>
      <c r="E1148">
        <v>0</v>
      </c>
      <c r="F1148">
        <v>2.61538</v>
      </c>
      <c r="G1148">
        <v>2.91778</v>
      </c>
      <c r="H1148">
        <v>0</v>
      </c>
      <c r="I1148">
        <v>0.49006899999999998</v>
      </c>
      <c r="J1148">
        <v>5.3222399999999999</v>
      </c>
      <c r="K1148" s="2">
        <v>140402000</v>
      </c>
      <c r="L1148" s="1">
        <v>0</v>
      </c>
      <c r="M1148" s="1">
        <v>0</v>
      </c>
      <c r="N1148" s="1">
        <v>0</v>
      </c>
      <c r="O1148" s="1">
        <v>0</v>
      </c>
      <c r="P1148" s="2">
        <v>3909930</v>
      </c>
      <c r="Q1148" s="1">
        <v>-108585</v>
      </c>
      <c r="R1148" s="1">
        <v>408539</v>
      </c>
      <c r="S1148">
        <v>94.939899999999994</v>
      </c>
      <c r="T1148">
        <v>98.274000000000001</v>
      </c>
      <c r="U1148">
        <v>3.01308</v>
      </c>
      <c r="V1148">
        <v>0</v>
      </c>
      <c r="W1148">
        <v>0</v>
      </c>
      <c r="X1148">
        <v>1.9932399999999999</v>
      </c>
      <c r="Y1148">
        <v>1.6908399999999999</v>
      </c>
      <c r="Z1148">
        <v>0</v>
      </c>
      <c r="AA1148">
        <v>1.5398499999999999</v>
      </c>
      <c r="AB1148">
        <v>2.9635199999999999</v>
      </c>
      <c r="AC1148" s="2">
        <v>546230000</v>
      </c>
      <c r="AD1148" s="1">
        <v>0</v>
      </c>
      <c r="AE1148" s="1">
        <v>0</v>
      </c>
      <c r="AF1148" s="1">
        <v>0</v>
      </c>
      <c r="AG1148" s="1">
        <v>0</v>
      </c>
      <c r="AH1148" s="2">
        <v>5156980</v>
      </c>
      <c r="AI1148" s="1">
        <v>924976</v>
      </c>
      <c r="AJ1148" s="1">
        <v>0</v>
      </c>
      <c r="AK1148" s="8">
        <f t="shared" si="71"/>
        <v>3</v>
      </c>
      <c r="AL1148" s="8">
        <f t="shared" si="70"/>
        <v>23</v>
      </c>
      <c r="AM1148">
        <f t="shared" si="68"/>
        <v>0</v>
      </c>
      <c r="AN1148">
        <f t="shared" si="69"/>
        <v>0</v>
      </c>
    </row>
    <row r="1149" spans="1:40" x14ac:dyDescent="0.35">
      <c r="A1149">
        <v>56.709699999999998</v>
      </c>
      <c r="B1149">
        <v>85.138999999999996</v>
      </c>
      <c r="C1149">
        <v>1.5606599999999999</v>
      </c>
      <c r="D1149">
        <v>0.06</v>
      </c>
      <c r="E1149">
        <v>0</v>
      </c>
      <c r="F1149">
        <v>2.7070699999999999</v>
      </c>
      <c r="G1149">
        <v>3.0094699999999999</v>
      </c>
      <c r="H1149">
        <v>0</v>
      </c>
      <c r="I1149">
        <v>0.490122</v>
      </c>
      <c r="J1149">
        <v>5.3222399999999999</v>
      </c>
      <c r="K1149" s="2">
        <v>140303000</v>
      </c>
      <c r="L1149" s="1">
        <v>0</v>
      </c>
      <c r="M1149" s="1">
        <v>0</v>
      </c>
      <c r="N1149" s="1">
        <v>0</v>
      </c>
      <c r="O1149" s="1">
        <v>0</v>
      </c>
      <c r="P1149" s="2">
        <v>4047010</v>
      </c>
      <c r="Q1149" s="1">
        <v>-99158.8</v>
      </c>
      <c r="R1149" s="1">
        <v>408539</v>
      </c>
      <c r="S1149">
        <v>94.774699999999996</v>
      </c>
      <c r="T1149">
        <v>98.274000000000001</v>
      </c>
      <c r="U1149">
        <v>2.6963200000000001</v>
      </c>
      <c r="V1149">
        <v>0</v>
      </c>
      <c r="W1149">
        <v>0</v>
      </c>
      <c r="X1149">
        <v>2.0480800000000001</v>
      </c>
      <c r="Y1149">
        <v>1.7456799999999999</v>
      </c>
      <c r="Z1149">
        <v>0</v>
      </c>
      <c r="AA1149">
        <v>1.5399799999999999</v>
      </c>
      <c r="AB1149">
        <v>2.9635199999999999</v>
      </c>
      <c r="AC1149" s="2">
        <v>547160000</v>
      </c>
      <c r="AD1149" s="1">
        <v>0</v>
      </c>
      <c r="AE1149" s="1">
        <v>0</v>
      </c>
      <c r="AF1149" s="1">
        <v>0</v>
      </c>
      <c r="AG1149" s="1">
        <v>0</v>
      </c>
      <c r="AH1149" s="2">
        <v>5298860</v>
      </c>
      <c r="AI1149" s="1">
        <v>929601</v>
      </c>
      <c r="AJ1149" s="1">
        <v>0</v>
      </c>
      <c r="AK1149" s="8">
        <f t="shared" si="71"/>
        <v>4</v>
      </c>
      <c r="AL1149" s="8">
        <f t="shared" si="70"/>
        <v>23</v>
      </c>
      <c r="AM1149">
        <f t="shared" si="68"/>
        <v>0</v>
      </c>
      <c r="AN1149">
        <f t="shared" si="69"/>
        <v>0</v>
      </c>
    </row>
    <row r="1150" spans="1:40" x14ac:dyDescent="0.35">
      <c r="A1150">
        <v>55.195</v>
      </c>
      <c r="B1150">
        <v>85.138999999999996</v>
      </c>
      <c r="C1150">
        <v>1.26248</v>
      </c>
      <c r="D1150">
        <v>0.05</v>
      </c>
      <c r="E1150">
        <v>0.02</v>
      </c>
      <c r="F1150">
        <v>2.7073499999999999</v>
      </c>
      <c r="G1150">
        <v>3.0097499999999999</v>
      </c>
      <c r="H1150">
        <v>0</v>
      </c>
      <c r="I1150">
        <v>0.50730600000000003</v>
      </c>
      <c r="J1150">
        <v>5.3222399999999999</v>
      </c>
      <c r="K1150" s="2">
        <v>140204000</v>
      </c>
      <c r="L1150" s="1">
        <v>0</v>
      </c>
      <c r="M1150" s="1">
        <v>0</v>
      </c>
      <c r="N1150" s="1">
        <v>0</v>
      </c>
      <c r="O1150" s="2">
        <v>29016000</v>
      </c>
      <c r="P1150" s="2">
        <v>4047420</v>
      </c>
      <c r="Q1150" s="1">
        <v>-99130.5</v>
      </c>
      <c r="R1150" s="1">
        <v>408539</v>
      </c>
      <c r="S1150">
        <v>94.789100000000005</v>
      </c>
      <c r="T1150">
        <v>98.274000000000001</v>
      </c>
      <c r="U1150">
        <v>2.6732499999999999</v>
      </c>
      <c r="V1150">
        <v>0</v>
      </c>
      <c r="W1150">
        <v>0</v>
      </c>
      <c r="X1150">
        <v>2.0482399999999998</v>
      </c>
      <c r="Y1150">
        <v>1.7458400000000001</v>
      </c>
      <c r="Z1150">
        <v>0</v>
      </c>
      <c r="AA1150">
        <v>1.5823400000000001</v>
      </c>
      <c r="AB1150">
        <v>2.9635199999999999</v>
      </c>
      <c r="AC1150" s="2">
        <v>548089000</v>
      </c>
      <c r="AD1150" s="1">
        <v>0</v>
      </c>
      <c r="AE1150" s="1">
        <v>0</v>
      </c>
      <c r="AF1150" s="1">
        <v>0</v>
      </c>
      <c r="AG1150" s="2">
        <v>7883220</v>
      </c>
      <c r="AH1150" s="2">
        <v>5299270</v>
      </c>
      <c r="AI1150" s="1">
        <v>929614</v>
      </c>
      <c r="AJ1150" s="1">
        <v>0</v>
      </c>
      <c r="AK1150" s="8">
        <f t="shared" si="71"/>
        <v>5</v>
      </c>
      <c r="AL1150" s="8">
        <f t="shared" si="70"/>
        <v>23</v>
      </c>
      <c r="AM1150">
        <f t="shared" si="68"/>
        <v>0</v>
      </c>
      <c r="AN1150">
        <f t="shared" si="69"/>
        <v>0</v>
      </c>
    </row>
    <row r="1151" spans="1:40" x14ac:dyDescent="0.35">
      <c r="A1151">
        <v>54.372900000000001</v>
      </c>
      <c r="B1151">
        <v>85.138999999999996</v>
      </c>
      <c r="C1151">
        <v>1.9394800000000001</v>
      </c>
      <c r="D1151">
        <v>0.05</v>
      </c>
      <c r="E1151">
        <v>0.02</v>
      </c>
      <c r="F1151">
        <v>2.7076199999999999</v>
      </c>
      <c r="G1151">
        <v>3.0100199999999999</v>
      </c>
      <c r="H1151">
        <v>0</v>
      </c>
      <c r="I1151">
        <v>0.50735699999999995</v>
      </c>
      <c r="J1151">
        <v>5.3222399999999999</v>
      </c>
      <c r="K1151" s="2">
        <v>140105000</v>
      </c>
      <c r="L1151" s="1">
        <v>0</v>
      </c>
      <c r="M1151" s="1">
        <v>0</v>
      </c>
      <c r="N1151" s="1">
        <v>0</v>
      </c>
      <c r="O1151" s="1">
        <v>0</v>
      </c>
      <c r="P1151" s="2">
        <v>4047830</v>
      </c>
      <c r="Q1151" s="1">
        <v>-99102.3</v>
      </c>
      <c r="R1151" s="1">
        <v>408539</v>
      </c>
      <c r="S1151">
        <v>94.861099999999993</v>
      </c>
      <c r="T1151">
        <v>98.274000000000001</v>
      </c>
      <c r="U1151">
        <v>3.02854</v>
      </c>
      <c r="V1151">
        <v>0</v>
      </c>
      <c r="W1151">
        <v>0</v>
      </c>
      <c r="X1151">
        <v>2.0483899999999999</v>
      </c>
      <c r="Y1151">
        <v>1.7459899999999999</v>
      </c>
      <c r="Z1151">
        <v>0</v>
      </c>
      <c r="AA1151">
        <v>1.58247</v>
      </c>
      <c r="AB1151">
        <v>2.9635199999999999</v>
      </c>
      <c r="AC1151" s="2">
        <v>549019000</v>
      </c>
      <c r="AD1151" s="1">
        <v>0</v>
      </c>
      <c r="AE1151" s="1">
        <v>0</v>
      </c>
      <c r="AF1151" s="1">
        <v>0</v>
      </c>
      <c r="AG1151" s="1">
        <v>0</v>
      </c>
      <c r="AH1151" s="2">
        <v>5299680</v>
      </c>
      <c r="AI1151" s="1">
        <v>929628</v>
      </c>
      <c r="AJ1151" s="1">
        <v>0</v>
      </c>
      <c r="AK1151" s="8">
        <f t="shared" si="71"/>
        <v>6</v>
      </c>
      <c r="AL1151" s="8">
        <f t="shared" si="70"/>
        <v>23</v>
      </c>
      <c r="AM1151">
        <f t="shared" si="68"/>
        <v>0</v>
      </c>
      <c r="AN1151">
        <f t="shared" si="69"/>
        <v>0</v>
      </c>
    </row>
    <row r="1152" spans="1:40" x14ac:dyDescent="0.35">
      <c r="A1152">
        <v>54.483499999999999</v>
      </c>
      <c r="B1152">
        <v>85.138999999999996</v>
      </c>
      <c r="C1152">
        <v>2.94373</v>
      </c>
      <c r="D1152">
        <v>7.0000000000000007E-2</v>
      </c>
      <c r="E1152">
        <v>0.02</v>
      </c>
      <c r="F1152">
        <v>2.7079</v>
      </c>
      <c r="G1152">
        <v>3.0103</v>
      </c>
      <c r="H1152">
        <v>0</v>
      </c>
      <c r="I1152">
        <v>0.507409</v>
      </c>
      <c r="J1152">
        <v>5.3222399999999999</v>
      </c>
      <c r="K1152" s="2">
        <v>140006000</v>
      </c>
      <c r="L1152" s="1">
        <v>0</v>
      </c>
      <c r="M1152" s="1">
        <v>0</v>
      </c>
      <c r="N1152" s="1">
        <v>0</v>
      </c>
      <c r="O1152" s="1">
        <v>0</v>
      </c>
      <c r="P1152" s="2">
        <v>4048240</v>
      </c>
      <c r="Q1152" s="1">
        <v>-99074</v>
      </c>
      <c r="R1152" s="1">
        <v>408539</v>
      </c>
      <c r="S1152">
        <v>95.028800000000004</v>
      </c>
      <c r="T1152">
        <v>98.274000000000001</v>
      </c>
      <c r="U1152">
        <v>3.3790800000000001</v>
      </c>
      <c r="V1152">
        <v>0</v>
      </c>
      <c r="W1152">
        <v>0</v>
      </c>
      <c r="X1152">
        <v>2.0485500000000001</v>
      </c>
      <c r="Y1152">
        <v>1.7461500000000001</v>
      </c>
      <c r="Z1152">
        <v>0</v>
      </c>
      <c r="AA1152">
        <v>1.5825899999999999</v>
      </c>
      <c r="AB1152">
        <v>2.9635199999999999</v>
      </c>
      <c r="AC1152" s="2">
        <v>549949000</v>
      </c>
      <c r="AD1152" s="1">
        <v>0</v>
      </c>
      <c r="AE1152" s="1">
        <v>0</v>
      </c>
      <c r="AF1152" s="1">
        <v>0</v>
      </c>
      <c r="AG1152" s="1">
        <v>0</v>
      </c>
      <c r="AH1152" s="2">
        <v>5300100</v>
      </c>
      <c r="AI1152" s="1">
        <v>929641</v>
      </c>
      <c r="AJ1152" s="1">
        <v>0</v>
      </c>
      <c r="AK1152" s="8">
        <f t="shared" si="71"/>
        <v>7</v>
      </c>
      <c r="AL1152" s="8">
        <f t="shared" si="70"/>
        <v>23</v>
      </c>
      <c r="AM1152">
        <f t="shared" si="68"/>
        <v>0</v>
      </c>
      <c r="AN1152">
        <f t="shared" si="69"/>
        <v>0</v>
      </c>
    </row>
    <row r="1153" spans="1:40" x14ac:dyDescent="0.35">
      <c r="A1153">
        <v>54.817599999999999</v>
      </c>
      <c r="B1153">
        <v>85.138999999999996</v>
      </c>
      <c r="C1153">
        <v>3.4447399999999999</v>
      </c>
      <c r="D1153">
        <v>0.08</v>
      </c>
      <c r="E1153">
        <v>0.02</v>
      </c>
      <c r="F1153">
        <v>3.0018199999999999</v>
      </c>
      <c r="G1153">
        <v>3.3042199999999999</v>
      </c>
      <c r="H1153">
        <v>0</v>
      </c>
      <c r="I1153">
        <v>0.50746000000000002</v>
      </c>
      <c r="J1153">
        <v>5.3222399999999999</v>
      </c>
      <c r="K1153" s="2">
        <v>139937000</v>
      </c>
      <c r="L1153" s="1">
        <v>0</v>
      </c>
      <c r="M1153" s="1">
        <v>0</v>
      </c>
      <c r="N1153" s="1">
        <v>0</v>
      </c>
      <c r="O1153" s="1">
        <v>0</v>
      </c>
      <c r="P1153" s="2">
        <v>4487640</v>
      </c>
      <c r="Q1153" s="1">
        <v>-68858.5</v>
      </c>
      <c r="R1153" s="1">
        <v>408539</v>
      </c>
      <c r="S1153">
        <v>94.694599999999994</v>
      </c>
      <c r="T1153">
        <v>98.274000000000001</v>
      </c>
      <c r="U1153">
        <v>3.0304799999999998</v>
      </c>
      <c r="V1153">
        <v>0</v>
      </c>
      <c r="W1153">
        <v>0</v>
      </c>
      <c r="X1153">
        <v>2.2540399999999998</v>
      </c>
      <c r="Y1153">
        <v>1.95164</v>
      </c>
      <c r="Z1153">
        <v>0</v>
      </c>
      <c r="AA1153">
        <v>1.5827100000000001</v>
      </c>
      <c r="AB1153">
        <v>2.9635199999999999</v>
      </c>
      <c r="AC1153" s="2">
        <v>550896000</v>
      </c>
      <c r="AD1153" s="1">
        <v>0</v>
      </c>
      <c r="AE1153" s="1">
        <v>0</v>
      </c>
      <c r="AF1153" s="1">
        <v>0</v>
      </c>
      <c r="AG1153" s="1">
        <v>0</v>
      </c>
      <c r="AH1153" s="2">
        <v>5831750</v>
      </c>
      <c r="AI1153" s="1">
        <v>946971</v>
      </c>
      <c r="AJ1153" s="1">
        <v>0</v>
      </c>
      <c r="AK1153" s="8">
        <f t="shared" si="71"/>
        <v>8</v>
      </c>
      <c r="AL1153" s="8">
        <f t="shared" si="70"/>
        <v>23</v>
      </c>
      <c r="AM1153">
        <f t="shared" si="68"/>
        <v>0</v>
      </c>
      <c r="AN1153">
        <f t="shared" si="69"/>
        <v>0</v>
      </c>
    </row>
    <row r="1154" spans="1:40" x14ac:dyDescent="0.35">
      <c r="A1154">
        <v>53.911799999999999</v>
      </c>
      <c r="B1154">
        <v>85.138999999999996</v>
      </c>
      <c r="C1154">
        <v>2.1044399999999999</v>
      </c>
      <c r="D1154">
        <v>0.05</v>
      </c>
      <c r="E1154">
        <v>0.02</v>
      </c>
      <c r="F1154">
        <v>3.0021200000000001</v>
      </c>
      <c r="G1154">
        <v>3.3045200000000001</v>
      </c>
      <c r="H1154">
        <v>0</v>
      </c>
      <c r="I1154">
        <v>0.56254099999999996</v>
      </c>
      <c r="J1154">
        <v>5.3222399999999999</v>
      </c>
      <c r="K1154" s="2">
        <v>139868000</v>
      </c>
      <c r="L1154" s="1">
        <v>0</v>
      </c>
      <c r="M1154" s="1">
        <v>0</v>
      </c>
      <c r="N1154" s="1">
        <v>0</v>
      </c>
      <c r="O1154" s="1">
        <v>0</v>
      </c>
      <c r="P1154" s="2">
        <v>4488090</v>
      </c>
      <c r="Q1154" s="1">
        <v>-68827.5</v>
      </c>
      <c r="R1154" s="1">
        <v>408539</v>
      </c>
      <c r="S1154">
        <v>94.4876</v>
      </c>
      <c r="T1154">
        <v>98.274000000000001</v>
      </c>
      <c r="U1154">
        <v>2.1603599999999998</v>
      </c>
      <c r="V1154">
        <v>0</v>
      </c>
      <c r="W1154">
        <v>0</v>
      </c>
      <c r="X1154">
        <v>2.2542200000000001</v>
      </c>
      <c r="Y1154">
        <v>1.9518200000000001</v>
      </c>
      <c r="Z1154">
        <v>0</v>
      </c>
      <c r="AA1154">
        <v>1.7414700000000001</v>
      </c>
      <c r="AB1154">
        <v>2.9635199999999999</v>
      </c>
      <c r="AC1154" s="2">
        <v>551843000</v>
      </c>
      <c r="AD1154" s="1">
        <v>0</v>
      </c>
      <c r="AE1154" s="1">
        <v>0</v>
      </c>
      <c r="AF1154" s="1">
        <v>0</v>
      </c>
      <c r="AG1154" s="1">
        <v>0</v>
      </c>
      <c r="AH1154" s="2">
        <v>5832210</v>
      </c>
      <c r="AI1154" s="1">
        <v>946986</v>
      </c>
      <c r="AJ1154" s="1">
        <v>0</v>
      </c>
      <c r="AK1154" s="8">
        <f t="shared" si="71"/>
        <v>9</v>
      </c>
      <c r="AL1154" s="8">
        <f t="shared" si="70"/>
        <v>23</v>
      </c>
      <c r="AM1154">
        <f t="shared" si="68"/>
        <v>0</v>
      </c>
      <c r="AN1154">
        <f t="shared" si="69"/>
        <v>0</v>
      </c>
    </row>
    <row r="1155" spans="1:40" x14ac:dyDescent="0.35">
      <c r="A1155">
        <v>53.300199999999997</v>
      </c>
      <c r="B1155">
        <v>85.138999999999996</v>
      </c>
      <c r="C1155">
        <v>2.4031400000000001</v>
      </c>
      <c r="D1155">
        <v>0.08</v>
      </c>
      <c r="E1155">
        <v>0.02</v>
      </c>
      <c r="F1155">
        <v>3.0024199999999999</v>
      </c>
      <c r="G1155">
        <v>3.3048199999999999</v>
      </c>
      <c r="H1155">
        <v>0</v>
      </c>
      <c r="I1155">
        <v>0.56259700000000001</v>
      </c>
      <c r="J1155">
        <v>5.3222399999999999</v>
      </c>
      <c r="K1155" s="2">
        <v>139799000</v>
      </c>
      <c r="L1155" s="1">
        <v>0</v>
      </c>
      <c r="M1155" s="1">
        <v>0</v>
      </c>
      <c r="N1155" s="1">
        <v>0</v>
      </c>
      <c r="O1155" s="1">
        <v>0</v>
      </c>
      <c r="P1155" s="2">
        <v>4488540</v>
      </c>
      <c r="Q1155" s="1">
        <v>-68796.5</v>
      </c>
      <c r="R1155" s="1">
        <v>408539</v>
      </c>
      <c r="S1155">
        <v>94.389399999999995</v>
      </c>
      <c r="T1155">
        <v>98.274000000000001</v>
      </c>
      <c r="U1155">
        <v>3.1170499999999999</v>
      </c>
      <c r="V1155">
        <v>0</v>
      </c>
      <c r="W1155">
        <v>0</v>
      </c>
      <c r="X1155">
        <v>2.2544</v>
      </c>
      <c r="Y1155">
        <v>1.952</v>
      </c>
      <c r="Z1155">
        <v>0</v>
      </c>
      <c r="AA1155">
        <v>1.7416100000000001</v>
      </c>
      <c r="AB1155">
        <v>2.9635199999999999</v>
      </c>
      <c r="AC1155" s="2">
        <v>552790000</v>
      </c>
      <c r="AD1155" s="1">
        <v>0</v>
      </c>
      <c r="AE1155" s="1">
        <v>0</v>
      </c>
      <c r="AF1155" s="1">
        <v>0</v>
      </c>
      <c r="AG1155" s="1">
        <v>0</v>
      </c>
      <c r="AH1155" s="2">
        <v>5832670</v>
      </c>
      <c r="AI1155" s="1">
        <v>947001</v>
      </c>
      <c r="AJ1155" s="1">
        <v>0</v>
      </c>
      <c r="AK1155" s="8">
        <f t="shared" si="71"/>
        <v>10</v>
      </c>
      <c r="AL1155" s="8">
        <f t="shared" si="70"/>
        <v>23</v>
      </c>
      <c r="AM1155">
        <f t="shared" ref="AM1155:AM1218" si="72">IF(AK1155=52,AC1155,0)</f>
        <v>0</v>
      </c>
      <c r="AN1155">
        <f t="shared" ref="AN1155:AN1218" si="73">IF(AK1155=52,K1155,0)</f>
        <v>0</v>
      </c>
    </row>
    <row r="1156" spans="1:40" x14ac:dyDescent="0.35">
      <c r="A1156">
        <v>53.3018</v>
      </c>
      <c r="B1156">
        <v>85.138999999999996</v>
      </c>
      <c r="C1156">
        <v>3.0455999999999999</v>
      </c>
      <c r="D1156">
        <v>7.0000000000000007E-2</v>
      </c>
      <c r="E1156">
        <v>0.02</v>
      </c>
      <c r="F1156">
        <v>3.0027200000000001</v>
      </c>
      <c r="G1156">
        <v>3.3051200000000001</v>
      </c>
      <c r="H1156">
        <v>0</v>
      </c>
      <c r="I1156">
        <v>0.56265399999999999</v>
      </c>
      <c r="J1156">
        <v>5.3222399999999999</v>
      </c>
      <c r="K1156" s="2">
        <v>139730000</v>
      </c>
      <c r="L1156" s="1">
        <v>0</v>
      </c>
      <c r="M1156" s="1">
        <v>0</v>
      </c>
      <c r="N1156" s="1">
        <v>0</v>
      </c>
      <c r="O1156" s="1">
        <v>0</v>
      </c>
      <c r="P1156" s="2">
        <v>4489000</v>
      </c>
      <c r="Q1156" s="1">
        <v>-68765.399999999994</v>
      </c>
      <c r="R1156" s="1">
        <v>408539</v>
      </c>
      <c r="S1156">
        <v>94.254000000000005</v>
      </c>
      <c r="T1156">
        <v>98.274000000000001</v>
      </c>
      <c r="U1156">
        <v>2.9257200000000001</v>
      </c>
      <c r="V1156">
        <v>0</v>
      </c>
      <c r="W1156">
        <v>0</v>
      </c>
      <c r="X1156">
        <v>2.2545799999999998</v>
      </c>
      <c r="Y1156">
        <v>1.95218</v>
      </c>
      <c r="Z1156">
        <v>0</v>
      </c>
      <c r="AA1156">
        <v>1.7417499999999999</v>
      </c>
      <c r="AB1156">
        <v>2.9635199999999999</v>
      </c>
      <c r="AC1156" s="2">
        <v>553737000</v>
      </c>
      <c r="AD1156" s="1">
        <v>0</v>
      </c>
      <c r="AE1156" s="1">
        <v>0</v>
      </c>
      <c r="AF1156" s="1">
        <v>0</v>
      </c>
      <c r="AG1156" s="1">
        <v>0</v>
      </c>
      <c r="AH1156" s="2">
        <v>5833130</v>
      </c>
      <c r="AI1156" s="1">
        <v>947016</v>
      </c>
      <c r="AJ1156" s="1">
        <v>0</v>
      </c>
      <c r="AK1156" s="8">
        <f t="shared" si="71"/>
        <v>11</v>
      </c>
      <c r="AL1156" s="8">
        <f t="shared" ref="AL1156:AL1219" si="74">IF(AK1155=52,AL1155+1,AL1155)</f>
        <v>23</v>
      </c>
      <c r="AM1156">
        <f t="shared" si="72"/>
        <v>0</v>
      </c>
      <c r="AN1156">
        <f t="shared" si="73"/>
        <v>0</v>
      </c>
    </row>
    <row r="1157" spans="1:40" x14ac:dyDescent="0.35">
      <c r="A1157">
        <v>53.596899999999998</v>
      </c>
      <c r="B1157">
        <v>85.138999999999996</v>
      </c>
      <c r="C1157">
        <v>3.03241</v>
      </c>
      <c r="D1157">
        <v>0.09</v>
      </c>
      <c r="E1157">
        <v>0.02</v>
      </c>
      <c r="F1157">
        <v>2.5840399999999999</v>
      </c>
      <c r="G1157">
        <v>2.8864399999999999</v>
      </c>
      <c r="H1157">
        <v>0</v>
      </c>
      <c r="I1157">
        <v>0.56271000000000004</v>
      </c>
      <c r="J1157">
        <v>5.3222399999999999</v>
      </c>
      <c r="K1157" s="2">
        <v>139618000</v>
      </c>
      <c r="L1157" s="1">
        <v>0</v>
      </c>
      <c r="M1157" s="1">
        <v>0</v>
      </c>
      <c r="N1157" s="1">
        <v>0</v>
      </c>
      <c r="O1157" s="1">
        <v>0</v>
      </c>
      <c r="P1157" s="2">
        <v>3863080</v>
      </c>
      <c r="Q1157" s="1">
        <v>-111807</v>
      </c>
      <c r="R1157" s="1">
        <v>408539</v>
      </c>
      <c r="S1157">
        <v>94.1143</v>
      </c>
      <c r="T1157">
        <v>98.274000000000001</v>
      </c>
      <c r="U1157">
        <v>2.6604299999999999</v>
      </c>
      <c r="V1157">
        <v>0</v>
      </c>
      <c r="W1157">
        <v>0</v>
      </c>
      <c r="X1157">
        <v>1.9791000000000001</v>
      </c>
      <c r="Y1157">
        <v>1.6767000000000001</v>
      </c>
      <c r="Z1157">
        <v>0</v>
      </c>
      <c r="AA1157">
        <v>1.7418899999999999</v>
      </c>
      <c r="AB1157">
        <v>2.9635199999999999</v>
      </c>
      <c r="AC1157" s="2">
        <v>554660000</v>
      </c>
      <c r="AD1157" s="1">
        <v>0</v>
      </c>
      <c r="AE1157" s="1">
        <v>0</v>
      </c>
      <c r="AF1157" s="1">
        <v>0</v>
      </c>
      <c r="AG1157" s="1">
        <v>0</v>
      </c>
      <c r="AH1157" s="2">
        <v>5120410</v>
      </c>
      <c r="AI1157" s="1">
        <v>923784</v>
      </c>
      <c r="AJ1157" s="1">
        <v>0</v>
      </c>
      <c r="AK1157" s="8">
        <f t="shared" si="71"/>
        <v>12</v>
      </c>
      <c r="AL1157" s="8">
        <f t="shared" si="74"/>
        <v>23</v>
      </c>
      <c r="AM1157">
        <f t="shared" si="72"/>
        <v>0</v>
      </c>
      <c r="AN1157">
        <f t="shared" si="73"/>
        <v>0</v>
      </c>
    </row>
    <row r="1158" spans="1:40" x14ac:dyDescent="0.35">
      <c r="A1158">
        <v>55.2102</v>
      </c>
      <c r="B1158">
        <v>85.138999999999996</v>
      </c>
      <c r="C1158">
        <v>4.3750900000000001</v>
      </c>
      <c r="D1158">
        <v>0.09</v>
      </c>
      <c r="E1158">
        <v>0.02</v>
      </c>
      <c r="F1158">
        <v>2.5843099999999999</v>
      </c>
      <c r="G1158">
        <v>2.8867099999999999</v>
      </c>
      <c r="H1158">
        <v>0</v>
      </c>
      <c r="I1158">
        <v>0.48424899999999999</v>
      </c>
      <c r="J1158">
        <v>5.3222399999999999</v>
      </c>
      <c r="K1158" s="2">
        <v>139507000</v>
      </c>
      <c r="L1158" s="1">
        <v>0</v>
      </c>
      <c r="M1158" s="1">
        <v>0</v>
      </c>
      <c r="N1158" s="1">
        <v>0</v>
      </c>
      <c r="O1158" s="1">
        <v>0</v>
      </c>
      <c r="P1158" s="2">
        <v>3863470</v>
      </c>
      <c r="Q1158" s="1">
        <v>-111780</v>
      </c>
      <c r="R1158" s="1">
        <v>408539</v>
      </c>
      <c r="S1158">
        <v>94.324299999999994</v>
      </c>
      <c r="T1158">
        <v>98.274000000000001</v>
      </c>
      <c r="U1158">
        <v>3.69251</v>
      </c>
      <c r="V1158">
        <v>0</v>
      </c>
      <c r="W1158">
        <v>0</v>
      </c>
      <c r="X1158">
        <v>1.97925</v>
      </c>
      <c r="Y1158">
        <v>1.67685</v>
      </c>
      <c r="Z1158">
        <v>0</v>
      </c>
      <c r="AA1158">
        <v>1.52905</v>
      </c>
      <c r="AB1158">
        <v>2.9635199999999999</v>
      </c>
      <c r="AC1158" s="2">
        <v>555584000</v>
      </c>
      <c r="AD1158" s="1">
        <v>0</v>
      </c>
      <c r="AE1158" s="1">
        <v>0</v>
      </c>
      <c r="AF1158" s="1">
        <v>0</v>
      </c>
      <c r="AG1158" s="1">
        <v>0</v>
      </c>
      <c r="AH1158" s="2">
        <v>5120800</v>
      </c>
      <c r="AI1158" s="1">
        <v>923797</v>
      </c>
      <c r="AJ1158" s="1">
        <v>0</v>
      </c>
      <c r="AK1158" s="8">
        <f t="shared" si="71"/>
        <v>13</v>
      </c>
      <c r="AL1158" s="8">
        <f t="shared" si="74"/>
        <v>23</v>
      </c>
      <c r="AM1158">
        <f t="shared" si="72"/>
        <v>0</v>
      </c>
      <c r="AN1158">
        <f t="shared" si="73"/>
        <v>0</v>
      </c>
    </row>
    <row r="1159" spans="1:40" x14ac:dyDescent="0.35">
      <c r="A1159">
        <v>58.628</v>
      </c>
      <c r="B1159">
        <v>85.138999999999996</v>
      </c>
      <c r="C1159">
        <v>6.2595700000000001</v>
      </c>
      <c r="D1159">
        <v>0.06</v>
      </c>
      <c r="E1159">
        <v>0.02</v>
      </c>
      <c r="F1159">
        <v>2.5845699999999998</v>
      </c>
      <c r="G1159">
        <v>2.8869699999999998</v>
      </c>
      <c r="H1159">
        <v>0</v>
      </c>
      <c r="I1159">
        <v>0.48429899999999998</v>
      </c>
      <c r="J1159">
        <v>5.3222399999999999</v>
      </c>
      <c r="K1159" s="2">
        <v>139395000</v>
      </c>
      <c r="L1159" s="1">
        <v>0</v>
      </c>
      <c r="M1159" s="1">
        <v>0</v>
      </c>
      <c r="N1159" s="1">
        <v>0</v>
      </c>
      <c r="O1159" s="1">
        <v>0</v>
      </c>
      <c r="P1159" s="2">
        <v>3863870</v>
      </c>
      <c r="Q1159" s="1">
        <v>-111753</v>
      </c>
      <c r="R1159" s="1">
        <v>408539</v>
      </c>
      <c r="S1159">
        <v>94.808599999999998</v>
      </c>
      <c r="T1159">
        <v>98.274000000000001</v>
      </c>
      <c r="U1159">
        <v>4.5971500000000001</v>
      </c>
      <c r="V1159">
        <v>0</v>
      </c>
      <c r="W1159">
        <v>0</v>
      </c>
      <c r="X1159">
        <v>1.9794099999999999</v>
      </c>
      <c r="Y1159">
        <v>1.6770099999999999</v>
      </c>
      <c r="Z1159">
        <v>0</v>
      </c>
      <c r="AA1159">
        <v>1.5291699999999999</v>
      </c>
      <c r="AB1159">
        <v>2.9635199999999999</v>
      </c>
      <c r="AC1159" s="2">
        <v>556508000</v>
      </c>
      <c r="AD1159" s="1">
        <v>0</v>
      </c>
      <c r="AE1159" s="1">
        <v>0</v>
      </c>
      <c r="AF1159" s="1">
        <v>0</v>
      </c>
      <c r="AG1159" s="1">
        <v>0</v>
      </c>
      <c r="AH1159" s="2">
        <v>5121200</v>
      </c>
      <c r="AI1159" s="1">
        <v>923810</v>
      </c>
      <c r="AJ1159" s="1">
        <v>0</v>
      </c>
      <c r="AK1159" s="8">
        <f t="shared" si="71"/>
        <v>14</v>
      </c>
      <c r="AL1159" s="8">
        <f t="shared" si="74"/>
        <v>23</v>
      </c>
      <c r="AM1159">
        <f t="shared" si="72"/>
        <v>0</v>
      </c>
      <c r="AN1159">
        <f t="shared" si="73"/>
        <v>0</v>
      </c>
    </row>
    <row r="1160" spans="1:40" x14ac:dyDescent="0.35">
      <c r="A1160">
        <v>61.309800000000003</v>
      </c>
      <c r="B1160">
        <v>85.138999999999996</v>
      </c>
      <c r="C1160">
        <v>5.4984200000000003</v>
      </c>
      <c r="D1160">
        <v>0.06</v>
      </c>
      <c r="E1160">
        <v>0.02</v>
      </c>
      <c r="F1160">
        <v>2.5848300000000002</v>
      </c>
      <c r="G1160">
        <v>2.8872300000000002</v>
      </c>
      <c r="H1160">
        <v>0</v>
      </c>
      <c r="I1160">
        <v>0.484348</v>
      </c>
      <c r="J1160">
        <v>5.3222399999999999</v>
      </c>
      <c r="K1160" s="2">
        <v>139283000</v>
      </c>
      <c r="L1160" s="1">
        <v>0</v>
      </c>
      <c r="M1160" s="1">
        <v>0</v>
      </c>
      <c r="N1160" s="1">
        <v>0</v>
      </c>
      <c r="O1160" s="1">
        <v>0</v>
      </c>
      <c r="P1160" s="2">
        <v>3864260</v>
      </c>
      <c r="Q1160" s="1">
        <v>-111725</v>
      </c>
      <c r="R1160" s="1">
        <v>408539</v>
      </c>
      <c r="S1160">
        <v>95.071299999999994</v>
      </c>
      <c r="T1160">
        <v>98.274000000000001</v>
      </c>
      <c r="U1160">
        <v>3.9148700000000001</v>
      </c>
      <c r="V1160">
        <v>0</v>
      </c>
      <c r="W1160">
        <v>0</v>
      </c>
      <c r="X1160">
        <v>1.97956</v>
      </c>
      <c r="Y1160">
        <v>1.67716</v>
      </c>
      <c r="Z1160">
        <v>0</v>
      </c>
      <c r="AA1160">
        <v>1.52929</v>
      </c>
      <c r="AB1160">
        <v>2.9635199999999999</v>
      </c>
      <c r="AC1160" s="2">
        <v>557432000</v>
      </c>
      <c r="AD1160" s="1">
        <v>0</v>
      </c>
      <c r="AE1160" s="1">
        <v>0</v>
      </c>
      <c r="AF1160" s="1">
        <v>0</v>
      </c>
      <c r="AG1160" s="1">
        <v>0</v>
      </c>
      <c r="AH1160" s="2">
        <v>5121590</v>
      </c>
      <c r="AI1160" s="1">
        <v>923822</v>
      </c>
      <c r="AJ1160" s="1">
        <v>0</v>
      </c>
      <c r="AK1160" s="8">
        <f t="shared" ref="AK1160:AK1223" si="75">IF(AK1159=52, 1, AK1159+1)</f>
        <v>15</v>
      </c>
      <c r="AL1160" s="8">
        <f t="shared" si="74"/>
        <v>23</v>
      </c>
      <c r="AM1160">
        <f t="shared" si="72"/>
        <v>0</v>
      </c>
      <c r="AN1160">
        <f t="shared" si="73"/>
        <v>0</v>
      </c>
    </row>
    <row r="1161" spans="1:40" x14ac:dyDescent="0.35">
      <c r="A1161">
        <v>63.236400000000003</v>
      </c>
      <c r="B1161">
        <v>85.138999999999996</v>
      </c>
      <c r="C1161">
        <v>4.7986700000000004</v>
      </c>
      <c r="D1161">
        <v>0.05</v>
      </c>
      <c r="E1161">
        <v>0.02</v>
      </c>
      <c r="F1161">
        <v>2.5851000000000002</v>
      </c>
      <c r="G1161">
        <v>2.8875000000000002</v>
      </c>
      <c r="H1161">
        <v>0</v>
      </c>
      <c r="I1161">
        <v>0.484398</v>
      </c>
      <c r="J1161">
        <v>5.3222399999999999</v>
      </c>
      <c r="K1161" s="2">
        <v>139171000</v>
      </c>
      <c r="L1161" s="1">
        <v>0</v>
      </c>
      <c r="M1161" s="1">
        <v>0</v>
      </c>
      <c r="N1161" s="1">
        <v>0</v>
      </c>
      <c r="O1161" s="1">
        <v>0</v>
      </c>
      <c r="P1161" s="2">
        <v>3864650</v>
      </c>
      <c r="Q1161" s="1">
        <v>-111698</v>
      </c>
      <c r="R1161" s="1">
        <v>408539</v>
      </c>
      <c r="S1161">
        <v>95.464600000000004</v>
      </c>
      <c r="T1161">
        <v>98.274000000000001</v>
      </c>
      <c r="U1161">
        <v>4.3659600000000003</v>
      </c>
      <c r="V1161">
        <v>0</v>
      </c>
      <c r="W1161">
        <v>0</v>
      </c>
      <c r="X1161">
        <v>1.9797100000000001</v>
      </c>
      <c r="Y1161">
        <v>1.6773100000000001</v>
      </c>
      <c r="Z1161">
        <v>0</v>
      </c>
      <c r="AA1161">
        <v>1.5294099999999999</v>
      </c>
      <c r="AB1161">
        <v>2.9635199999999999</v>
      </c>
      <c r="AC1161" s="2">
        <v>558356000</v>
      </c>
      <c r="AD1161" s="1">
        <v>0</v>
      </c>
      <c r="AE1161" s="1">
        <v>0</v>
      </c>
      <c r="AF1161" s="1">
        <v>0</v>
      </c>
      <c r="AG1161" s="1">
        <v>0</v>
      </c>
      <c r="AH1161" s="2">
        <v>5121990</v>
      </c>
      <c r="AI1161" s="1">
        <v>923835</v>
      </c>
      <c r="AJ1161" s="1">
        <v>0</v>
      </c>
      <c r="AK1161" s="8">
        <f t="shared" si="75"/>
        <v>16</v>
      </c>
      <c r="AL1161" s="8">
        <f t="shared" si="74"/>
        <v>23</v>
      </c>
      <c r="AM1161">
        <f t="shared" si="72"/>
        <v>0</v>
      </c>
      <c r="AN1161">
        <f t="shared" si="73"/>
        <v>0</v>
      </c>
    </row>
    <row r="1162" spans="1:40" x14ac:dyDescent="0.35">
      <c r="A1162">
        <v>65.642200000000003</v>
      </c>
      <c r="B1162">
        <v>85.138999999999996</v>
      </c>
      <c r="C1162">
        <v>5.4818699999999998</v>
      </c>
      <c r="D1162">
        <v>0.05</v>
      </c>
      <c r="E1162">
        <v>0.02</v>
      </c>
      <c r="F1162">
        <v>2.6908699999999999</v>
      </c>
      <c r="G1162">
        <v>2.9932699999999999</v>
      </c>
      <c r="H1162">
        <v>0</v>
      </c>
      <c r="I1162">
        <v>0.48444700000000002</v>
      </c>
      <c r="J1162">
        <v>5.3222399999999999</v>
      </c>
      <c r="K1162" s="2">
        <v>139071000</v>
      </c>
      <c r="L1162" s="1">
        <v>0</v>
      </c>
      <c r="M1162" s="1">
        <v>0</v>
      </c>
      <c r="N1162" s="1">
        <v>0</v>
      </c>
      <c r="O1162" s="1">
        <v>0</v>
      </c>
      <c r="P1162" s="2">
        <v>4022790</v>
      </c>
      <c r="Q1162" s="1">
        <v>-100824</v>
      </c>
      <c r="R1162" s="1">
        <v>408539</v>
      </c>
      <c r="S1162">
        <v>95.390900000000002</v>
      </c>
      <c r="T1162">
        <v>98.274000000000001</v>
      </c>
      <c r="U1162">
        <v>3.2942800000000001</v>
      </c>
      <c r="V1162">
        <v>0</v>
      </c>
      <c r="W1162">
        <v>0</v>
      </c>
      <c r="X1162">
        <v>2.0473300000000001</v>
      </c>
      <c r="Y1162">
        <v>1.7449300000000001</v>
      </c>
      <c r="Z1162">
        <v>0</v>
      </c>
      <c r="AA1162">
        <v>1.5295300000000001</v>
      </c>
      <c r="AB1162">
        <v>2.9635199999999999</v>
      </c>
      <c r="AC1162" s="2">
        <v>559285000</v>
      </c>
      <c r="AD1162" s="1">
        <v>0</v>
      </c>
      <c r="AE1162" s="1">
        <v>0</v>
      </c>
      <c r="AF1162" s="1">
        <v>0</v>
      </c>
      <c r="AG1162" s="1">
        <v>0</v>
      </c>
      <c r="AH1162" s="2">
        <v>5296940</v>
      </c>
      <c r="AI1162" s="1">
        <v>929538</v>
      </c>
      <c r="AJ1162" s="1">
        <v>0</v>
      </c>
      <c r="AK1162" s="8">
        <f t="shared" si="75"/>
        <v>17</v>
      </c>
      <c r="AL1162" s="8">
        <f t="shared" si="74"/>
        <v>23</v>
      </c>
      <c r="AM1162">
        <f t="shared" si="72"/>
        <v>0</v>
      </c>
      <c r="AN1162">
        <f t="shared" si="73"/>
        <v>0</v>
      </c>
    </row>
    <row r="1163" spans="1:40" x14ac:dyDescent="0.35">
      <c r="A1163">
        <v>68.629199999999997</v>
      </c>
      <c r="B1163">
        <v>85.138999999999996</v>
      </c>
      <c r="C1163">
        <v>6.10724</v>
      </c>
      <c r="D1163">
        <v>0.03</v>
      </c>
      <c r="E1163">
        <v>0.02</v>
      </c>
      <c r="F1163">
        <v>2.6911499999999999</v>
      </c>
      <c r="G1163">
        <v>2.9935499999999999</v>
      </c>
      <c r="H1163">
        <v>0</v>
      </c>
      <c r="I1163">
        <v>0.50427</v>
      </c>
      <c r="J1163">
        <v>5.3222399999999999</v>
      </c>
      <c r="K1163" s="2">
        <v>138970000</v>
      </c>
      <c r="L1163" s="1">
        <v>0</v>
      </c>
      <c r="M1163" s="1">
        <v>0</v>
      </c>
      <c r="N1163" s="1">
        <v>0</v>
      </c>
      <c r="O1163" s="1">
        <v>0</v>
      </c>
      <c r="P1163" s="2">
        <v>4023200</v>
      </c>
      <c r="Q1163" s="1">
        <v>-100796</v>
      </c>
      <c r="R1163" s="1">
        <v>408539</v>
      </c>
      <c r="S1163">
        <v>96.181600000000003</v>
      </c>
      <c r="T1163">
        <v>98.274000000000001</v>
      </c>
      <c r="U1163">
        <v>5.5914999999999999</v>
      </c>
      <c r="V1163">
        <v>0</v>
      </c>
      <c r="W1163">
        <v>0</v>
      </c>
      <c r="X1163">
        <v>2.0474899999999998</v>
      </c>
      <c r="Y1163">
        <v>1.74509</v>
      </c>
      <c r="Z1163">
        <v>0</v>
      </c>
      <c r="AA1163">
        <v>1.5817699999999999</v>
      </c>
      <c r="AB1163">
        <v>2.9635199999999999</v>
      </c>
      <c r="AC1163" s="2">
        <v>560215000</v>
      </c>
      <c r="AD1163" s="1">
        <v>0</v>
      </c>
      <c r="AE1163" s="1">
        <v>0</v>
      </c>
      <c r="AF1163" s="1">
        <v>0</v>
      </c>
      <c r="AG1163" s="1">
        <v>0</v>
      </c>
      <c r="AH1163" s="2">
        <v>5297350</v>
      </c>
      <c r="AI1163" s="1">
        <v>929551</v>
      </c>
      <c r="AJ1163" s="1">
        <v>0</v>
      </c>
      <c r="AK1163" s="8">
        <f t="shared" si="75"/>
        <v>18</v>
      </c>
      <c r="AL1163" s="8">
        <f t="shared" si="74"/>
        <v>23</v>
      </c>
      <c r="AM1163">
        <f t="shared" si="72"/>
        <v>0</v>
      </c>
      <c r="AN1163">
        <f t="shared" si="73"/>
        <v>0</v>
      </c>
    </row>
    <row r="1164" spans="1:40" x14ac:dyDescent="0.35">
      <c r="A1164">
        <v>70.620800000000003</v>
      </c>
      <c r="B1164">
        <v>85.138999999999996</v>
      </c>
      <c r="C1164">
        <v>5.2184699999999999</v>
      </c>
      <c r="D1164">
        <v>0.03</v>
      </c>
      <c r="E1164">
        <v>0.02</v>
      </c>
      <c r="F1164">
        <v>2.6914199999999999</v>
      </c>
      <c r="G1164">
        <v>2.9938199999999999</v>
      </c>
      <c r="H1164">
        <v>0</v>
      </c>
      <c r="I1164">
        <v>0.50432100000000002</v>
      </c>
      <c r="J1164">
        <v>5.3222399999999999</v>
      </c>
      <c r="K1164" s="2">
        <v>138869000</v>
      </c>
      <c r="L1164" s="1">
        <v>0</v>
      </c>
      <c r="M1164" s="1">
        <v>0</v>
      </c>
      <c r="N1164" s="1">
        <v>0</v>
      </c>
      <c r="O1164" s="1">
        <v>0</v>
      </c>
      <c r="P1164" s="2">
        <v>4023600</v>
      </c>
      <c r="Q1164" s="1">
        <v>-100768</v>
      </c>
      <c r="R1164" s="1">
        <v>408539</v>
      </c>
      <c r="S1164">
        <v>96.982299999999995</v>
      </c>
      <c r="T1164">
        <v>98.274000000000001</v>
      </c>
      <c r="U1164">
        <v>6.2999400000000003</v>
      </c>
      <c r="V1164">
        <v>0</v>
      </c>
      <c r="W1164">
        <v>0</v>
      </c>
      <c r="X1164">
        <v>2.04765</v>
      </c>
      <c r="Y1164">
        <v>1.74525</v>
      </c>
      <c r="Z1164">
        <v>0</v>
      </c>
      <c r="AA1164">
        <v>1.58189</v>
      </c>
      <c r="AB1164">
        <v>2.9635199999999999</v>
      </c>
      <c r="AC1164" s="2">
        <v>561144000</v>
      </c>
      <c r="AD1164" s="1">
        <v>0</v>
      </c>
      <c r="AE1164" s="1">
        <v>0</v>
      </c>
      <c r="AF1164" s="1">
        <v>0</v>
      </c>
      <c r="AG1164" s="1">
        <v>0</v>
      </c>
      <c r="AH1164" s="2">
        <v>5297760</v>
      </c>
      <c r="AI1164" s="1">
        <v>929565</v>
      </c>
      <c r="AJ1164" s="1">
        <v>0</v>
      </c>
      <c r="AK1164" s="8">
        <f t="shared" si="75"/>
        <v>19</v>
      </c>
      <c r="AL1164" s="8">
        <f t="shared" si="74"/>
        <v>23</v>
      </c>
      <c r="AM1164">
        <f t="shared" si="72"/>
        <v>0</v>
      </c>
      <c r="AN1164">
        <f t="shared" si="73"/>
        <v>0</v>
      </c>
    </row>
    <row r="1165" spans="1:40" x14ac:dyDescent="0.35">
      <c r="A1165">
        <v>71.223100000000002</v>
      </c>
      <c r="B1165">
        <v>85.138999999999996</v>
      </c>
      <c r="C1165">
        <v>3.7627199999999998</v>
      </c>
      <c r="D1165">
        <v>0.02</v>
      </c>
      <c r="E1165">
        <v>0.02</v>
      </c>
      <c r="F1165">
        <v>2.6916899999999999</v>
      </c>
      <c r="G1165">
        <v>2.9940899999999999</v>
      </c>
      <c r="H1165">
        <v>0</v>
      </c>
      <c r="I1165">
        <v>0.50437200000000004</v>
      </c>
      <c r="J1165">
        <v>5.3222399999999999</v>
      </c>
      <c r="K1165" s="2">
        <v>138768000</v>
      </c>
      <c r="L1165" s="1">
        <v>0</v>
      </c>
      <c r="M1165" s="1">
        <v>0</v>
      </c>
      <c r="N1165" s="1">
        <v>0</v>
      </c>
      <c r="O1165" s="1">
        <v>0</v>
      </c>
      <c r="P1165" s="2">
        <v>4024010</v>
      </c>
      <c r="Q1165" s="1">
        <v>-100740</v>
      </c>
      <c r="R1165" s="1">
        <v>408539</v>
      </c>
      <c r="S1165">
        <v>97.270600000000002</v>
      </c>
      <c r="T1165">
        <v>98.274000000000001</v>
      </c>
      <c r="U1165">
        <v>4.4344200000000003</v>
      </c>
      <c r="V1165">
        <v>0</v>
      </c>
      <c r="W1165">
        <v>0</v>
      </c>
      <c r="X1165">
        <v>2.0478100000000001</v>
      </c>
      <c r="Y1165">
        <v>1.7454099999999999</v>
      </c>
      <c r="Z1165">
        <v>0</v>
      </c>
      <c r="AA1165">
        <v>1.58202</v>
      </c>
      <c r="AB1165">
        <v>2.9635199999999999</v>
      </c>
      <c r="AC1165" s="2">
        <v>562074000</v>
      </c>
      <c r="AD1165" s="1">
        <v>0</v>
      </c>
      <c r="AE1165" s="1">
        <v>0</v>
      </c>
      <c r="AF1165" s="1">
        <v>0</v>
      </c>
      <c r="AG1165" s="1">
        <v>0</v>
      </c>
      <c r="AH1165" s="2">
        <v>5298180</v>
      </c>
      <c r="AI1165" s="1">
        <v>929578</v>
      </c>
      <c r="AJ1165" s="1">
        <v>0</v>
      </c>
      <c r="AK1165" s="8">
        <f t="shared" si="75"/>
        <v>20</v>
      </c>
      <c r="AL1165" s="8">
        <f t="shared" si="74"/>
        <v>23</v>
      </c>
      <c r="AM1165">
        <f t="shared" si="72"/>
        <v>0</v>
      </c>
      <c r="AN1165">
        <f t="shared" si="73"/>
        <v>0</v>
      </c>
    </row>
    <row r="1166" spans="1:40" x14ac:dyDescent="0.35">
      <c r="A1166">
        <v>71.620400000000004</v>
      </c>
      <c r="B1166">
        <v>85.138999999999996</v>
      </c>
      <c r="C1166">
        <v>3.3883399999999999</v>
      </c>
      <c r="D1166">
        <v>0.01</v>
      </c>
      <c r="E1166">
        <v>0.02</v>
      </c>
      <c r="F1166">
        <v>2.6507000000000001</v>
      </c>
      <c r="G1166">
        <v>2.9531000000000001</v>
      </c>
      <c r="H1166">
        <v>0</v>
      </c>
      <c r="I1166">
        <v>0.50442299999999995</v>
      </c>
      <c r="J1166">
        <v>5.3222399999999999</v>
      </c>
      <c r="K1166" s="2">
        <v>138663000</v>
      </c>
      <c r="L1166" s="1">
        <v>0</v>
      </c>
      <c r="M1166" s="1">
        <v>0</v>
      </c>
      <c r="N1166" s="1">
        <v>0</v>
      </c>
      <c r="O1166" s="1">
        <v>0</v>
      </c>
      <c r="P1166" s="2">
        <v>3962720</v>
      </c>
      <c r="Q1166" s="1">
        <v>-104954</v>
      </c>
      <c r="R1166" s="1">
        <v>408539</v>
      </c>
      <c r="S1166">
        <v>97.266099999999994</v>
      </c>
      <c r="T1166">
        <v>98.274000000000001</v>
      </c>
      <c r="U1166">
        <v>3.4904899999999999</v>
      </c>
      <c r="V1166">
        <v>0</v>
      </c>
      <c r="W1166">
        <v>0</v>
      </c>
      <c r="X1166">
        <v>2.02176</v>
      </c>
      <c r="Y1166">
        <v>1.71936</v>
      </c>
      <c r="Z1166">
        <v>0</v>
      </c>
      <c r="AA1166">
        <v>1.5821400000000001</v>
      </c>
      <c r="AB1166">
        <v>2.9635199999999999</v>
      </c>
      <c r="AC1166" s="2">
        <v>563001000</v>
      </c>
      <c r="AD1166" s="1">
        <v>0</v>
      </c>
      <c r="AE1166" s="1">
        <v>0</v>
      </c>
      <c r="AF1166" s="1">
        <v>0</v>
      </c>
      <c r="AG1166" s="1">
        <v>0</v>
      </c>
      <c r="AH1166" s="2">
        <v>5230770</v>
      </c>
      <c r="AI1166" s="1">
        <v>927381</v>
      </c>
      <c r="AJ1166" s="1">
        <v>0</v>
      </c>
      <c r="AK1166" s="8">
        <f t="shared" si="75"/>
        <v>21</v>
      </c>
      <c r="AL1166" s="8">
        <f t="shared" si="74"/>
        <v>23</v>
      </c>
      <c r="AM1166">
        <f t="shared" si="72"/>
        <v>0</v>
      </c>
      <c r="AN1166">
        <f t="shared" si="73"/>
        <v>0</v>
      </c>
    </row>
    <row r="1167" spans="1:40" x14ac:dyDescent="0.35">
      <c r="A1167">
        <v>71.400400000000005</v>
      </c>
      <c r="B1167">
        <v>85.138999999999996</v>
      </c>
      <c r="C1167">
        <v>2.69848</v>
      </c>
      <c r="D1167">
        <v>0.01</v>
      </c>
      <c r="E1167">
        <v>0.02</v>
      </c>
      <c r="F1167">
        <v>2.65097</v>
      </c>
      <c r="G1167">
        <v>2.9533700000000001</v>
      </c>
      <c r="H1167">
        <v>0</v>
      </c>
      <c r="I1167">
        <v>0.49674099999999999</v>
      </c>
      <c r="J1167">
        <v>5.3222399999999999</v>
      </c>
      <c r="K1167" s="2">
        <v>138558000</v>
      </c>
      <c r="L1167" s="1">
        <v>0</v>
      </c>
      <c r="M1167" s="1">
        <v>0</v>
      </c>
      <c r="N1167" s="1">
        <v>0</v>
      </c>
      <c r="O1167" s="1">
        <v>0</v>
      </c>
      <c r="P1167" s="2">
        <v>3963130</v>
      </c>
      <c r="Q1167" s="1">
        <v>-104927</v>
      </c>
      <c r="R1167" s="1">
        <v>408539</v>
      </c>
      <c r="S1167">
        <v>97.065399999999997</v>
      </c>
      <c r="T1167">
        <v>98.274000000000001</v>
      </c>
      <c r="U1167">
        <v>2.5878899999999998</v>
      </c>
      <c r="V1167">
        <v>0</v>
      </c>
      <c r="W1167">
        <v>0</v>
      </c>
      <c r="X1167">
        <v>2.0219200000000002</v>
      </c>
      <c r="Y1167">
        <v>1.7195199999999999</v>
      </c>
      <c r="Z1167">
        <v>0</v>
      </c>
      <c r="AA1167">
        <v>1.5620099999999999</v>
      </c>
      <c r="AB1167">
        <v>2.9635199999999999</v>
      </c>
      <c r="AC1167" s="2">
        <v>563929000</v>
      </c>
      <c r="AD1167" s="1">
        <v>0</v>
      </c>
      <c r="AE1167" s="1">
        <v>0</v>
      </c>
      <c r="AF1167" s="1">
        <v>0</v>
      </c>
      <c r="AG1167" s="1">
        <v>0</v>
      </c>
      <c r="AH1167" s="2">
        <v>5231180</v>
      </c>
      <c r="AI1167" s="1">
        <v>927394</v>
      </c>
      <c r="AJ1167" s="1">
        <v>0</v>
      </c>
      <c r="AK1167" s="8">
        <f t="shared" si="75"/>
        <v>22</v>
      </c>
      <c r="AL1167" s="8">
        <f t="shared" si="74"/>
        <v>23</v>
      </c>
      <c r="AM1167">
        <f t="shared" si="72"/>
        <v>0</v>
      </c>
      <c r="AN1167">
        <f t="shared" si="73"/>
        <v>0</v>
      </c>
    </row>
    <row r="1168" spans="1:40" x14ac:dyDescent="0.35">
      <c r="A1168">
        <v>70.980400000000003</v>
      </c>
      <c r="B1168">
        <v>85.138999999999996</v>
      </c>
      <c r="C1168">
        <v>2.4860099999999998</v>
      </c>
      <c r="D1168">
        <v>0.01</v>
      </c>
      <c r="E1168">
        <v>0.02</v>
      </c>
      <c r="F1168">
        <v>2.65124</v>
      </c>
      <c r="G1168">
        <v>2.95364</v>
      </c>
      <c r="H1168">
        <v>0</v>
      </c>
      <c r="I1168">
        <v>0.49679099999999998</v>
      </c>
      <c r="J1168">
        <v>5.3222399999999999</v>
      </c>
      <c r="K1168" s="2">
        <v>138454000</v>
      </c>
      <c r="L1168" s="1">
        <v>0</v>
      </c>
      <c r="M1168" s="1">
        <v>0</v>
      </c>
      <c r="N1168" s="1">
        <v>0</v>
      </c>
      <c r="O1168" s="1">
        <v>0</v>
      </c>
      <c r="P1168" s="2">
        <v>3963530</v>
      </c>
      <c r="Q1168" s="1">
        <v>-104899</v>
      </c>
      <c r="R1168" s="1">
        <v>408539</v>
      </c>
      <c r="S1168">
        <v>96.873400000000004</v>
      </c>
      <c r="T1168">
        <v>98.274000000000001</v>
      </c>
      <c r="U1168">
        <v>2.73868</v>
      </c>
      <c r="V1168">
        <v>0</v>
      </c>
      <c r="W1168">
        <v>0</v>
      </c>
      <c r="X1168">
        <v>2.0220699999999998</v>
      </c>
      <c r="Y1168">
        <v>1.71967</v>
      </c>
      <c r="Z1168">
        <v>0</v>
      </c>
      <c r="AA1168">
        <v>1.56213</v>
      </c>
      <c r="AB1168">
        <v>2.9635199999999999</v>
      </c>
      <c r="AC1168" s="2">
        <v>564856000</v>
      </c>
      <c r="AD1168" s="1">
        <v>0</v>
      </c>
      <c r="AE1168" s="1">
        <v>0</v>
      </c>
      <c r="AF1168" s="1">
        <v>0</v>
      </c>
      <c r="AG1168" s="1">
        <v>0</v>
      </c>
      <c r="AH1168" s="2">
        <v>5231580</v>
      </c>
      <c r="AI1168" s="1">
        <v>927408</v>
      </c>
      <c r="AJ1168" s="1">
        <v>0</v>
      </c>
      <c r="AK1168" s="8">
        <f t="shared" si="75"/>
        <v>23</v>
      </c>
      <c r="AL1168" s="8">
        <f t="shared" si="74"/>
        <v>23</v>
      </c>
      <c r="AM1168">
        <f t="shared" si="72"/>
        <v>0</v>
      </c>
      <c r="AN1168">
        <f t="shared" si="73"/>
        <v>0</v>
      </c>
    </row>
    <row r="1169" spans="1:40" x14ac:dyDescent="0.35">
      <c r="A1169">
        <v>71.922700000000006</v>
      </c>
      <c r="B1169">
        <v>85.138999999999996</v>
      </c>
      <c r="C1169">
        <v>3.8907099999999999</v>
      </c>
      <c r="D1169">
        <v>0.01</v>
      </c>
      <c r="E1169">
        <v>0.02</v>
      </c>
      <c r="F1169">
        <v>2.65151</v>
      </c>
      <c r="G1169">
        <v>2.95391</v>
      </c>
      <c r="H1169">
        <v>0</v>
      </c>
      <c r="I1169">
        <v>0.49684200000000001</v>
      </c>
      <c r="J1169">
        <v>5.3222399999999999</v>
      </c>
      <c r="K1169" s="2">
        <v>138349000</v>
      </c>
      <c r="L1169" s="1">
        <v>0</v>
      </c>
      <c r="M1169" s="1">
        <v>0</v>
      </c>
      <c r="N1169" s="1">
        <v>0</v>
      </c>
      <c r="O1169" s="1">
        <v>0</v>
      </c>
      <c r="P1169" s="2">
        <v>3963930</v>
      </c>
      <c r="Q1169" s="1">
        <v>-104871</v>
      </c>
      <c r="R1169" s="1">
        <v>408539</v>
      </c>
      <c r="S1169">
        <v>96.828299999999999</v>
      </c>
      <c r="T1169">
        <v>98.274000000000001</v>
      </c>
      <c r="U1169">
        <v>3.1142300000000001</v>
      </c>
      <c r="V1169">
        <v>0</v>
      </c>
      <c r="W1169">
        <v>0</v>
      </c>
      <c r="X1169">
        <v>2.02223</v>
      </c>
      <c r="Y1169">
        <v>1.71983</v>
      </c>
      <c r="Z1169">
        <v>0</v>
      </c>
      <c r="AA1169">
        <v>1.5622499999999999</v>
      </c>
      <c r="AB1169">
        <v>2.9635199999999999</v>
      </c>
      <c r="AC1169" s="2">
        <v>565783000</v>
      </c>
      <c r="AD1169" s="1">
        <v>0</v>
      </c>
      <c r="AE1169" s="1">
        <v>0</v>
      </c>
      <c r="AF1169" s="1">
        <v>0</v>
      </c>
      <c r="AG1169" s="1">
        <v>0</v>
      </c>
      <c r="AH1169" s="2">
        <v>5231990</v>
      </c>
      <c r="AI1169" s="1">
        <v>927421</v>
      </c>
      <c r="AJ1169" s="1">
        <v>0</v>
      </c>
      <c r="AK1169" s="8">
        <f t="shared" si="75"/>
        <v>24</v>
      </c>
      <c r="AL1169" s="8">
        <f t="shared" si="74"/>
        <v>23</v>
      </c>
      <c r="AM1169">
        <f t="shared" si="72"/>
        <v>0</v>
      </c>
      <c r="AN1169">
        <f t="shared" si="73"/>
        <v>0</v>
      </c>
    </row>
    <row r="1170" spans="1:40" x14ac:dyDescent="0.35">
      <c r="A1170">
        <v>71.474199999999996</v>
      </c>
      <c r="B1170">
        <v>85.138999999999996</v>
      </c>
      <c r="C1170">
        <v>2.5390299999999999</v>
      </c>
      <c r="D1170">
        <v>0.01</v>
      </c>
      <c r="E1170">
        <v>0.02</v>
      </c>
      <c r="F1170">
        <v>2.7919100000000001</v>
      </c>
      <c r="G1170">
        <v>3.0943100000000001</v>
      </c>
      <c r="H1170">
        <v>0</v>
      </c>
      <c r="I1170">
        <v>0.496892</v>
      </c>
      <c r="J1170">
        <v>5.3222399999999999</v>
      </c>
      <c r="K1170" s="2">
        <v>138258000</v>
      </c>
      <c r="L1170" s="1">
        <v>0</v>
      </c>
      <c r="M1170" s="1">
        <v>0</v>
      </c>
      <c r="N1170" s="1">
        <v>0</v>
      </c>
      <c r="O1170" s="1">
        <v>0</v>
      </c>
      <c r="P1170" s="2">
        <v>4173840</v>
      </c>
      <c r="Q1170" s="1">
        <v>-90437.2</v>
      </c>
      <c r="R1170" s="1">
        <v>408539</v>
      </c>
      <c r="S1170">
        <v>96.570599999999999</v>
      </c>
      <c r="T1170">
        <v>98.274000000000001</v>
      </c>
      <c r="U1170">
        <v>2.6247500000000001</v>
      </c>
      <c r="V1170">
        <v>0</v>
      </c>
      <c r="W1170">
        <v>0</v>
      </c>
      <c r="X1170">
        <v>2.11538</v>
      </c>
      <c r="Y1170">
        <v>1.81298</v>
      </c>
      <c r="Z1170">
        <v>0</v>
      </c>
      <c r="AA1170">
        <v>1.56237</v>
      </c>
      <c r="AB1170">
        <v>2.9635199999999999</v>
      </c>
      <c r="AC1170" s="2">
        <v>566719000</v>
      </c>
      <c r="AD1170" s="1">
        <v>0</v>
      </c>
      <c r="AE1170" s="1">
        <v>0</v>
      </c>
      <c r="AF1170" s="1">
        <v>0</v>
      </c>
      <c r="AG1170" s="1">
        <v>0</v>
      </c>
      <c r="AH1170" s="2">
        <v>5472990</v>
      </c>
      <c r="AI1170" s="1">
        <v>935276</v>
      </c>
      <c r="AJ1170" s="1">
        <v>0</v>
      </c>
      <c r="AK1170" s="8">
        <f t="shared" si="75"/>
        <v>25</v>
      </c>
      <c r="AL1170" s="8">
        <f t="shared" si="74"/>
        <v>23</v>
      </c>
      <c r="AM1170">
        <f t="shared" si="72"/>
        <v>0</v>
      </c>
      <c r="AN1170">
        <f t="shared" si="73"/>
        <v>0</v>
      </c>
    </row>
    <row r="1171" spans="1:40" x14ac:dyDescent="0.35">
      <c r="A1171">
        <v>70.898399999999995</v>
      </c>
      <c r="B1171">
        <v>85.138999999999996</v>
      </c>
      <c r="C1171">
        <v>2.36978</v>
      </c>
      <c r="D1171">
        <v>0.01</v>
      </c>
      <c r="E1171">
        <v>0.02</v>
      </c>
      <c r="F1171">
        <v>2.7921999999999998</v>
      </c>
      <c r="G1171">
        <v>3.0945999999999998</v>
      </c>
      <c r="H1171">
        <v>0</v>
      </c>
      <c r="I1171">
        <v>0.523204</v>
      </c>
      <c r="J1171">
        <v>5.3222399999999999</v>
      </c>
      <c r="K1171" s="2">
        <v>138168000</v>
      </c>
      <c r="L1171" s="1">
        <v>0</v>
      </c>
      <c r="M1171" s="1">
        <v>0</v>
      </c>
      <c r="N1171" s="1">
        <v>0</v>
      </c>
      <c r="O1171" s="1">
        <v>0</v>
      </c>
      <c r="P1171" s="2">
        <v>4174260</v>
      </c>
      <c r="Q1171" s="1">
        <v>-90408.1</v>
      </c>
      <c r="R1171" s="1">
        <v>408539</v>
      </c>
      <c r="S1171">
        <v>96.25</v>
      </c>
      <c r="T1171">
        <v>98.274000000000001</v>
      </c>
      <c r="U1171">
        <v>2.5395400000000001</v>
      </c>
      <c r="V1171">
        <v>0</v>
      </c>
      <c r="W1171">
        <v>0</v>
      </c>
      <c r="X1171">
        <v>2.1155400000000002</v>
      </c>
      <c r="Y1171">
        <v>1.81314</v>
      </c>
      <c r="Z1171">
        <v>0</v>
      </c>
      <c r="AA1171">
        <v>1.6343399999999999</v>
      </c>
      <c r="AB1171">
        <v>2.9635199999999999</v>
      </c>
      <c r="AC1171" s="2">
        <v>567654000</v>
      </c>
      <c r="AD1171" s="1">
        <v>0</v>
      </c>
      <c r="AE1171" s="1">
        <v>0</v>
      </c>
      <c r="AF1171" s="1">
        <v>0</v>
      </c>
      <c r="AG1171" s="1">
        <v>0</v>
      </c>
      <c r="AH1171" s="2">
        <v>5473420</v>
      </c>
      <c r="AI1171" s="1">
        <v>935290</v>
      </c>
      <c r="AJ1171" s="1">
        <v>0</v>
      </c>
      <c r="AK1171" s="8">
        <f t="shared" si="75"/>
        <v>26</v>
      </c>
      <c r="AL1171" s="8">
        <f t="shared" si="74"/>
        <v>23</v>
      </c>
      <c r="AM1171">
        <f t="shared" si="72"/>
        <v>0</v>
      </c>
      <c r="AN1171">
        <f t="shared" si="73"/>
        <v>0</v>
      </c>
    </row>
    <row r="1172" spans="1:40" x14ac:dyDescent="0.35">
      <c r="A1172">
        <v>70.300399999999996</v>
      </c>
      <c r="B1172">
        <v>85.138999999999996</v>
      </c>
      <c r="C1172">
        <v>2.3385400000000001</v>
      </c>
      <c r="D1172">
        <v>0.01</v>
      </c>
      <c r="E1172">
        <v>0.02</v>
      </c>
      <c r="F1172">
        <v>2.7924799999999999</v>
      </c>
      <c r="G1172">
        <v>3.0948799999999999</v>
      </c>
      <c r="H1172">
        <v>0</v>
      </c>
      <c r="I1172">
        <v>0.52325699999999997</v>
      </c>
      <c r="J1172">
        <v>5.3222399999999999</v>
      </c>
      <c r="K1172" s="2">
        <v>138077000</v>
      </c>
      <c r="L1172" s="1">
        <v>0</v>
      </c>
      <c r="M1172" s="1">
        <v>0</v>
      </c>
      <c r="N1172" s="1">
        <v>0</v>
      </c>
      <c r="O1172" s="1">
        <v>0</v>
      </c>
      <c r="P1172" s="2">
        <v>4174680</v>
      </c>
      <c r="Q1172" s="1">
        <v>-90379.1</v>
      </c>
      <c r="R1172" s="1">
        <v>408539</v>
      </c>
      <c r="S1172">
        <v>95.973799999999997</v>
      </c>
      <c r="T1172">
        <v>98.274000000000001</v>
      </c>
      <c r="U1172">
        <v>2.5821800000000001</v>
      </c>
      <c r="V1172">
        <v>0</v>
      </c>
      <c r="W1172">
        <v>0</v>
      </c>
      <c r="X1172">
        <v>2.11571</v>
      </c>
      <c r="Y1172">
        <v>1.81331</v>
      </c>
      <c r="Z1172">
        <v>0</v>
      </c>
      <c r="AA1172">
        <v>1.6344700000000001</v>
      </c>
      <c r="AB1172">
        <v>2.9635199999999999</v>
      </c>
      <c r="AC1172" s="2">
        <v>568589000</v>
      </c>
      <c r="AD1172" s="1">
        <v>0</v>
      </c>
      <c r="AE1172" s="1">
        <v>0</v>
      </c>
      <c r="AF1172" s="1">
        <v>0</v>
      </c>
      <c r="AG1172" s="1">
        <v>0</v>
      </c>
      <c r="AH1172" s="2">
        <v>5473840</v>
      </c>
      <c r="AI1172" s="1">
        <v>935304</v>
      </c>
      <c r="AJ1172" s="1">
        <v>0</v>
      </c>
      <c r="AK1172" s="8">
        <f t="shared" si="75"/>
        <v>27</v>
      </c>
      <c r="AL1172" s="8">
        <f t="shared" si="74"/>
        <v>23</v>
      </c>
      <c r="AM1172">
        <f t="shared" si="72"/>
        <v>0</v>
      </c>
      <c r="AN1172">
        <f t="shared" si="73"/>
        <v>0</v>
      </c>
    </row>
    <row r="1173" spans="1:40" x14ac:dyDescent="0.35">
      <c r="A1173">
        <v>69.568399999999997</v>
      </c>
      <c r="B1173">
        <v>85.138999999999996</v>
      </c>
      <c r="C1173">
        <v>2.19049</v>
      </c>
      <c r="D1173">
        <v>0.01</v>
      </c>
      <c r="E1173">
        <v>0.02</v>
      </c>
      <c r="F1173">
        <v>2.7927599999999999</v>
      </c>
      <c r="G1173">
        <v>3.0951599999999999</v>
      </c>
      <c r="H1173">
        <v>0</v>
      </c>
      <c r="I1173">
        <v>0.52331000000000005</v>
      </c>
      <c r="J1173">
        <v>5.3222399999999999</v>
      </c>
      <c r="K1173" s="2">
        <v>137987000</v>
      </c>
      <c r="L1173" s="1">
        <v>0</v>
      </c>
      <c r="M1173" s="1">
        <v>0</v>
      </c>
      <c r="N1173" s="1">
        <v>0</v>
      </c>
      <c r="O1173" s="1">
        <v>0</v>
      </c>
      <c r="P1173" s="2">
        <v>4175110</v>
      </c>
      <c r="Q1173" s="1">
        <v>-90350</v>
      </c>
      <c r="R1173" s="1">
        <v>408539</v>
      </c>
      <c r="S1173">
        <v>95.661699999999996</v>
      </c>
      <c r="T1173">
        <v>98.274000000000001</v>
      </c>
      <c r="U1173">
        <v>2.4538799999999998</v>
      </c>
      <c r="V1173">
        <v>0</v>
      </c>
      <c r="W1173">
        <v>0</v>
      </c>
      <c r="X1173">
        <v>2.1158700000000001</v>
      </c>
      <c r="Y1173">
        <v>1.8134699999999999</v>
      </c>
      <c r="Z1173">
        <v>0</v>
      </c>
      <c r="AA1173">
        <v>1.6346000000000001</v>
      </c>
      <c r="AB1173">
        <v>2.9635199999999999</v>
      </c>
      <c r="AC1173" s="2">
        <v>569525000</v>
      </c>
      <c r="AD1173" s="1">
        <v>0</v>
      </c>
      <c r="AE1173" s="1">
        <v>0</v>
      </c>
      <c r="AF1173" s="1">
        <v>0</v>
      </c>
      <c r="AG1173" s="1">
        <v>0</v>
      </c>
      <c r="AH1173" s="2">
        <v>5474270</v>
      </c>
      <c r="AI1173" s="1">
        <v>935318</v>
      </c>
      <c r="AJ1173" s="1">
        <v>0</v>
      </c>
      <c r="AK1173" s="8">
        <f t="shared" si="75"/>
        <v>28</v>
      </c>
      <c r="AL1173" s="8">
        <f t="shared" si="74"/>
        <v>23</v>
      </c>
      <c r="AM1173">
        <f t="shared" si="72"/>
        <v>0</v>
      </c>
      <c r="AN1173">
        <f t="shared" si="73"/>
        <v>0</v>
      </c>
    </row>
    <row r="1174" spans="1:40" x14ac:dyDescent="0.35">
      <c r="A1174">
        <v>68.732699999999994</v>
      </c>
      <c r="B1174">
        <v>85.138999999999996</v>
      </c>
      <c r="C1174">
        <v>2.0543200000000001</v>
      </c>
      <c r="D1174">
        <v>0.01</v>
      </c>
      <c r="E1174">
        <v>0.02</v>
      </c>
      <c r="F1174">
        <v>2.79304</v>
      </c>
      <c r="G1174">
        <v>3.09544</v>
      </c>
      <c r="H1174">
        <v>0</v>
      </c>
      <c r="I1174">
        <v>0.52336300000000002</v>
      </c>
      <c r="J1174">
        <v>5.3222399999999999</v>
      </c>
      <c r="K1174" s="2">
        <v>137897000</v>
      </c>
      <c r="L1174" s="1">
        <v>0</v>
      </c>
      <c r="M1174" s="1">
        <v>0</v>
      </c>
      <c r="N1174" s="1">
        <v>0</v>
      </c>
      <c r="O1174" s="1">
        <v>0</v>
      </c>
      <c r="P1174" s="2">
        <v>4175530</v>
      </c>
      <c r="Q1174" s="1">
        <v>-90320.9</v>
      </c>
      <c r="R1174" s="1">
        <v>408539</v>
      </c>
      <c r="S1174">
        <v>95.104500000000002</v>
      </c>
      <c r="T1174">
        <v>98.274000000000001</v>
      </c>
      <c r="U1174">
        <v>2.3233299999999999</v>
      </c>
      <c r="V1174">
        <v>0</v>
      </c>
      <c r="W1174">
        <v>0</v>
      </c>
      <c r="X1174">
        <v>2.1160399999999999</v>
      </c>
      <c r="Y1174">
        <v>1.8136399999999999</v>
      </c>
      <c r="Z1174">
        <v>0</v>
      </c>
      <c r="AA1174">
        <v>1.63472</v>
      </c>
      <c r="AB1174">
        <v>2.9635199999999999</v>
      </c>
      <c r="AC1174" s="2">
        <v>570460000</v>
      </c>
      <c r="AD1174" s="1">
        <v>0</v>
      </c>
      <c r="AE1174" s="1">
        <v>0</v>
      </c>
      <c r="AF1174" s="1">
        <v>0</v>
      </c>
      <c r="AG1174" s="1">
        <v>0</v>
      </c>
      <c r="AH1174" s="2">
        <v>5474700</v>
      </c>
      <c r="AI1174" s="1">
        <v>935332</v>
      </c>
      <c r="AJ1174" s="1">
        <v>0</v>
      </c>
      <c r="AK1174" s="8">
        <f t="shared" si="75"/>
        <v>29</v>
      </c>
      <c r="AL1174" s="8">
        <f t="shared" si="74"/>
        <v>23</v>
      </c>
      <c r="AM1174">
        <f t="shared" si="72"/>
        <v>0</v>
      </c>
      <c r="AN1174">
        <f t="shared" si="73"/>
        <v>0</v>
      </c>
    </row>
    <row r="1175" spans="1:40" x14ac:dyDescent="0.35">
      <c r="A1175">
        <v>67.624499999999998</v>
      </c>
      <c r="B1175">
        <v>85.138999999999996</v>
      </c>
      <c r="C1175">
        <v>1.7081</v>
      </c>
      <c r="D1175">
        <v>0.02</v>
      </c>
      <c r="E1175">
        <v>0.02</v>
      </c>
      <c r="F1175">
        <v>2.7656000000000001</v>
      </c>
      <c r="G1175">
        <v>3.0680000000000001</v>
      </c>
      <c r="H1175">
        <v>0</v>
      </c>
      <c r="I1175">
        <v>0.52341599999999999</v>
      </c>
      <c r="J1175">
        <v>5.3222399999999999</v>
      </c>
      <c r="K1175" s="2">
        <v>137804000</v>
      </c>
      <c r="L1175" s="1">
        <v>0</v>
      </c>
      <c r="M1175" s="1">
        <v>0</v>
      </c>
      <c r="N1175" s="1">
        <v>0</v>
      </c>
      <c r="O1175" s="1">
        <v>0</v>
      </c>
      <c r="P1175" s="2">
        <v>4134500</v>
      </c>
      <c r="Q1175" s="1">
        <v>-93142.2</v>
      </c>
      <c r="R1175" s="1">
        <v>408539</v>
      </c>
      <c r="S1175">
        <v>94.448999999999998</v>
      </c>
      <c r="T1175">
        <v>98.274000000000001</v>
      </c>
      <c r="U1175">
        <v>1.8048500000000001</v>
      </c>
      <c r="V1175">
        <v>0</v>
      </c>
      <c r="W1175">
        <v>0</v>
      </c>
      <c r="X1175">
        <v>2.1673399999999998</v>
      </c>
      <c r="Y1175">
        <v>1.86494</v>
      </c>
      <c r="Z1175">
        <v>0</v>
      </c>
      <c r="AA1175">
        <v>1.6348499999999999</v>
      </c>
      <c r="AB1175">
        <v>2.9635199999999999</v>
      </c>
      <c r="AC1175" s="2">
        <v>571400000</v>
      </c>
      <c r="AD1175" s="1">
        <v>0</v>
      </c>
      <c r="AE1175" s="1">
        <v>0</v>
      </c>
      <c r="AF1175" s="1">
        <v>0</v>
      </c>
      <c r="AG1175" s="1">
        <v>0</v>
      </c>
      <c r="AH1175" s="2">
        <v>5607420</v>
      </c>
      <c r="AI1175" s="1">
        <v>939659</v>
      </c>
      <c r="AJ1175" s="1">
        <v>0</v>
      </c>
      <c r="AK1175" s="8">
        <f t="shared" si="75"/>
        <v>30</v>
      </c>
      <c r="AL1175" s="8">
        <f t="shared" si="74"/>
        <v>23</v>
      </c>
      <c r="AM1175">
        <f t="shared" si="72"/>
        <v>0</v>
      </c>
      <c r="AN1175">
        <f t="shared" si="73"/>
        <v>0</v>
      </c>
    </row>
    <row r="1176" spans="1:40" x14ac:dyDescent="0.35">
      <c r="A1176">
        <v>66.377099999999999</v>
      </c>
      <c r="B1176">
        <v>85.138999999999996</v>
      </c>
      <c r="C1176">
        <v>1.5566800000000001</v>
      </c>
      <c r="D1176">
        <v>0.02</v>
      </c>
      <c r="E1176">
        <v>0.02</v>
      </c>
      <c r="F1176">
        <v>2.7658800000000001</v>
      </c>
      <c r="G1176">
        <v>3.0682800000000001</v>
      </c>
      <c r="H1176">
        <v>0</v>
      </c>
      <c r="I1176">
        <v>0.51827299999999998</v>
      </c>
      <c r="J1176">
        <v>5.3222399999999999</v>
      </c>
      <c r="K1176" s="2">
        <v>137711000</v>
      </c>
      <c r="L1176" s="1">
        <v>0</v>
      </c>
      <c r="M1176" s="1">
        <v>0</v>
      </c>
      <c r="N1176" s="1">
        <v>0</v>
      </c>
      <c r="O1176" s="1">
        <v>0</v>
      </c>
      <c r="P1176" s="2">
        <v>4134920</v>
      </c>
      <c r="Q1176" s="1">
        <v>-93113.4</v>
      </c>
      <c r="R1176" s="1">
        <v>408539</v>
      </c>
      <c r="S1176">
        <v>93.812399999999997</v>
      </c>
      <c r="T1176">
        <v>98.274000000000001</v>
      </c>
      <c r="U1176">
        <v>1.65581</v>
      </c>
      <c r="V1176">
        <v>0</v>
      </c>
      <c r="W1176">
        <v>0</v>
      </c>
      <c r="X1176">
        <v>2.16751</v>
      </c>
      <c r="Y1176">
        <v>1.86511</v>
      </c>
      <c r="Z1176">
        <v>0</v>
      </c>
      <c r="AA1176">
        <v>1.67449</v>
      </c>
      <c r="AB1176">
        <v>2.9635199999999999</v>
      </c>
      <c r="AC1176" s="2">
        <v>572339000</v>
      </c>
      <c r="AD1176" s="1">
        <v>0</v>
      </c>
      <c r="AE1176" s="1">
        <v>0</v>
      </c>
      <c r="AF1176" s="1">
        <v>0</v>
      </c>
      <c r="AG1176" s="1">
        <v>0</v>
      </c>
      <c r="AH1176" s="2">
        <v>5607860</v>
      </c>
      <c r="AI1176" s="1">
        <v>939673</v>
      </c>
      <c r="AJ1176" s="1">
        <v>0</v>
      </c>
      <c r="AK1176" s="8">
        <f t="shared" si="75"/>
        <v>31</v>
      </c>
      <c r="AL1176" s="8">
        <f t="shared" si="74"/>
        <v>23</v>
      </c>
      <c r="AM1176">
        <f t="shared" si="72"/>
        <v>0</v>
      </c>
      <c r="AN1176">
        <f t="shared" si="73"/>
        <v>0</v>
      </c>
    </row>
    <row r="1177" spans="1:40" x14ac:dyDescent="0.35">
      <c r="A1177">
        <v>65.025400000000005</v>
      </c>
      <c r="B1177">
        <v>85.138999999999996</v>
      </c>
      <c r="C1177">
        <v>1.4222300000000001</v>
      </c>
      <c r="D1177">
        <v>0.02</v>
      </c>
      <c r="E1177">
        <v>0.02</v>
      </c>
      <c r="F1177">
        <v>2.7661600000000002</v>
      </c>
      <c r="G1177">
        <v>3.0685600000000002</v>
      </c>
      <c r="H1177">
        <v>0</v>
      </c>
      <c r="I1177">
        <v>0.51832599999999995</v>
      </c>
      <c r="J1177">
        <v>5.3222399999999999</v>
      </c>
      <c r="K1177" s="2">
        <v>137617000</v>
      </c>
      <c r="L1177" s="1">
        <v>0</v>
      </c>
      <c r="M1177" s="1">
        <v>0</v>
      </c>
      <c r="N1177" s="1">
        <v>0</v>
      </c>
      <c r="O1177" s="1">
        <v>0</v>
      </c>
      <c r="P1177" s="2">
        <v>4135340</v>
      </c>
      <c r="Q1177" s="1">
        <v>-93084.6</v>
      </c>
      <c r="R1177" s="1">
        <v>408539</v>
      </c>
      <c r="S1177">
        <v>93.120800000000003</v>
      </c>
      <c r="T1177">
        <v>98.274000000000001</v>
      </c>
      <c r="U1177">
        <v>1.5867800000000001</v>
      </c>
      <c r="V1177">
        <v>0</v>
      </c>
      <c r="W1177">
        <v>0</v>
      </c>
      <c r="X1177">
        <v>2.1676799999999998</v>
      </c>
      <c r="Y1177">
        <v>1.86528</v>
      </c>
      <c r="Z1177">
        <v>0</v>
      </c>
      <c r="AA1177">
        <v>1.67462</v>
      </c>
      <c r="AB1177">
        <v>2.9635199999999999</v>
      </c>
      <c r="AC1177" s="2">
        <v>573279000</v>
      </c>
      <c r="AD1177" s="1">
        <v>0</v>
      </c>
      <c r="AE1177" s="1">
        <v>0</v>
      </c>
      <c r="AF1177" s="1">
        <v>0</v>
      </c>
      <c r="AG1177" s="1">
        <v>0</v>
      </c>
      <c r="AH1177" s="2">
        <v>5608300</v>
      </c>
      <c r="AI1177" s="1">
        <v>939687</v>
      </c>
      <c r="AJ1177" s="1">
        <v>0</v>
      </c>
      <c r="AK1177" s="8">
        <f t="shared" si="75"/>
        <v>32</v>
      </c>
      <c r="AL1177" s="8">
        <f t="shared" si="74"/>
        <v>23</v>
      </c>
      <c r="AM1177">
        <f t="shared" si="72"/>
        <v>0</v>
      </c>
      <c r="AN1177">
        <f t="shared" si="73"/>
        <v>0</v>
      </c>
    </row>
    <row r="1178" spans="1:40" x14ac:dyDescent="0.35">
      <c r="A1178">
        <v>63.631100000000004</v>
      </c>
      <c r="B1178">
        <v>85.138999999999996</v>
      </c>
      <c r="C1178">
        <v>1.3382000000000001</v>
      </c>
      <c r="D1178">
        <v>0.02</v>
      </c>
      <c r="E1178">
        <v>0.02</v>
      </c>
      <c r="F1178">
        <v>2.7664399999999998</v>
      </c>
      <c r="G1178">
        <v>3.0688399999999998</v>
      </c>
      <c r="H1178">
        <v>0</v>
      </c>
      <c r="I1178">
        <v>0.51837800000000001</v>
      </c>
      <c r="J1178">
        <v>5.3222399999999999</v>
      </c>
      <c r="K1178" s="2">
        <v>137524000</v>
      </c>
      <c r="L1178" s="1">
        <v>0</v>
      </c>
      <c r="M1178" s="1">
        <v>0</v>
      </c>
      <c r="N1178" s="1">
        <v>0</v>
      </c>
      <c r="O1178" s="1">
        <v>0</v>
      </c>
      <c r="P1178" s="2">
        <v>4135760</v>
      </c>
      <c r="Q1178" s="1">
        <v>-93055.8</v>
      </c>
      <c r="R1178" s="1">
        <v>408539</v>
      </c>
      <c r="S1178">
        <v>92.198899999999995</v>
      </c>
      <c r="T1178">
        <v>98.274000000000001</v>
      </c>
      <c r="U1178">
        <v>1.5325800000000001</v>
      </c>
      <c r="V1178">
        <v>0</v>
      </c>
      <c r="W1178">
        <v>0</v>
      </c>
      <c r="X1178">
        <v>2.1678500000000001</v>
      </c>
      <c r="Y1178">
        <v>1.8654500000000001</v>
      </c>
      <c r="Z1178">
        <v>0</v>
      </c>
      <c r="AA1178">
        <v>1.67475</v>
      </c>
      <c r="AB1178">
        <v>2.9635199999999999</v>
      </c>
      <c r="AC1178" s="2">
        <v>574219000</v>
      </c>
      <c r="AD1178" s="1">
        <v>0</v>
      </c>
      <c r="AE1178" s="1">
        <v>0</v>
      </c>
      <c r="AF1178" s="1">
        <v>0</v>
      </c>
      <c r="AG1178" s="1">
        <v>0</v>
      </c>
      <c r="AH1178" s="2">
        <v>5608740</v>
      </c>
      <c r="AI1178" s="1">
        <v>939702</v>
      </c>
      <c r="AJ1178" s="1">
        <v>0</v>
      </c>
      <c r="AK1178" s="8">
        <f t="shared" si="75"/>
        <v>33</v>
      </c>
      <c r="AL1178" s="8">
        <f t="shared" si="74"/>
        <v>23</v>
      </c>
      <c r="AM1178">
        <f t="shared" si="72"/>
        <v>0</v>
      </c>
      <c r="AN1178">
        <f t="shared" si="73"/>
        <v>0</v>
      </c>
    </row>
    <row r="1179" spans="1:40" x14ac:dyDescent="0.35">
      <c r="A1179">
        <v>61.9681</v>
      </c>
      <c r="B1179">
        <v>85.138999999999996</v>
      </c>
      <c r="C1179">
        <v>1.1052599999999999</v>
      </c>
      <c r="D1179">
        <v>0.02</v>
      </c>
      <c r="E1179">
        <v>0.02</v>
      </c>
      <c r="F1179">
        <v>2.8383500000000002</v>
      </c>
      <c r="G1179">
        <v>3.1407500000000002</v>
      </c>
      <c r="H1179">
        <v>0</v>
      </c>
      <c r="I1179">
        <v>0.51843099999999998</v>
      </c>
      <c r="J1179">
        <v>5.3222399999999999</v>
      </c>
      <c r="K1179" s="2">
        <v>137439000</v>
      </c>
      <c r="L1179" s="1">
        <v>0</v>
      </c>
      <c r="M1179" s="1">
        <v>0</v>
      </c>
      <c r="N1179" s="1">
        <v>0</v>
      </c>
      <c r="O1179" s="1">
        <v>0</v>
      </c>
      <c r="P1179" s="2">
        <v>4243260</v>
      </c>
      <c r="Q1179" s="1">
        <v>-85663.5</v>
      </c>
      <c r="R1179" s="1">
        <v>408539</v>
      </c>
      <c r="S1179">
        <v>91.281800000000004</v>
      </c>
      <c r="T1179">
        <v>98.274000000000001</v>
      </c>
      <c r="U1179">
        <v>1.26258</v>
      </c>
      <c r="V1179">
        <v>0</v>
      </c>
      <c r="W1179">
        <v>0</v>
      </c>
      <c r="X1179">
        <v>2.2136100000000001</v>
      </c>
      <c r="Y1179">
        <v>1.9112100000000001</v>
      </c>
      <c r="Z1179">
        <v>0</v>
      </c>
      <c r="AA1179">
        <v>1.6748799999999999</v>
      </c>
      <c r="AB1179">
        <v>2.9635199999999999</v>
      </c>
      <c r="AC1179" s="2">
        <v>575162000</v>
      </c>
      <c r="AD1179" s="1">
        <v>0</v>
      </c>
      <c r="AE1179" s="1">
        <v>0</v>
      </c>
      <c r="AF1179" s="1">
        <v>0</v>
      </c>
      <c r="AG1179" s="1">
        <v>0</v>
      </c>
      <c r="AH1179" s="2">
        <v>5727130</v>
      </c>
      <c r="AI1179" s="1">
        <v>943561</v>
      </c>
      <c r="AJ1179" s="1">
        <v>0</v>
      </c>
      <c r="AK1179" s="8">
        <f t="shared" si="75"/>
        <v>34</v>
      </c>
      <c r="AL1179" s="8">
        <f t="shared" si="74"/>
        <v>23</v>
      </c>
      <c r="AM1179">
        <f t="shared" si="72"/>
        <v>0</v>
      </c>
      <c r="AN1179">
        <f t="shared" si="73"/>
        <v>0</v>
      </c>
    </row>
    <row r="1180" spans="1:40" x14ac:dyDescent="0.35">
      <c r="A1180">
        <v>60.3797</v>
      </c>
      <c r="B1180">
        <v>85.138999999999996</v>
      </c>
      <c r="C1180">
        <v>1.1776199999999999</v>
      </c>
      <c r="D1180">
        <v>0.02</v>
      </c>
      <c r="E1180">
        <v>0.02</v>
      </c>
      <c r="F1180">
        <v>2.8386399999999998</v>
      </c>
      <c r="G1180">
        <v>3.1410399999999998</v>
      </c>
      <c r="H1180">
        <v>0</v>
      </c>
      <c r="I1180">
        <v>0.53190599999999999</v>
      </c>
      <c r="J1180">
        <v>5.3222399999999999</v>
      </c>
      <c r="K1180" s="2">
        <v>137353000</v>
      </c>
      <c r="L1180" s="1">
        <v>0</v>
      </c>
      <c r="M1180" s="1">
        <v>0</v>
      </c>
      <c r="N1180" s="1">
        <v>0</v>
      </c>
      <c r="O1180" s="1">
        <v>0</v>
      </c>
      <c r="P1180" s="2">
        <v>4243690</v>
      </c>
      <c r="Q1180" s="1">
        <v>-85634</v>
      </c>
      <c r="R1180" s="1">
        <v>408539</v>
      </c>
      <c r="S1180">
        <v>90.414699999999996</v>
      </c>
      <c r="T1180">
        <v>98.274000000000001</v>
      </c>
      <c r="U1180">
        <v>1.35599</v>
      </c>
      <c r="V1180">
        <v>0</v>
      </c>
      <c r="W1180">
        <v>0</v>
      </c>
      <c r="X1180">
        <v>2.2137799999999999</v>
      </c>
      <c r="Y1180">
        <v>1.9113800000000001</v>
      </c>
      <c r="Z1180">
        <v>0</v>
      </c>
      <c r="AA1180">
        <v>1.7102299999999999</v>
      </c>
      <c r="AB1180">
        <v>2.9635199999999999</v>
      </c>
      <c r="AC1180" s="2">
        <v>576106000</v>
      </c>
      <c r="AD1180" s="1">
        <v>0</v>
      </c>
      <c r="AE1180" s="1">
        <v>0</v>
      </c>
      <c r="AF1180" s="1">
        <v>0</v>
      </c>
      <c r="AG1180" s="1">
        <v>0</v>
      </c>
      <c r="AH1180" s="2">
        <v>5727580</v>
      </c>
      <c r="AI1180" s="1">
        <v>943575</v>
      </c>
      <c r="AJ1180" s="1">
        <v>0</v>
      </c>
      <c r="AK1180" s="8">
        <f t="shared" si="75"/>
        <v>35</v>
      </c>
      <c r="AL1180" s="8">
        <f t="shared" si="74"/>
        <v>23</v>
      </c>
      <c r="AM1180">
        <f t="shared" si="72"/>
        <v>0</v>
      </c>
      <c r="AN1180">
        <f t="shared" si="73"/>
        <v>0</v>
      </c>
    </row>
    <row r="1181" spans="1:40" x14ac:dyDescent="0.35">
      <c r="A1181">
        <v>58.708799999999997</v>
      </c>
      <c r="B1181">
        <v>85.138999999999996</v>
      </c>
      <c r="C1181">
        <v>1.06409</v>
      </c>
      <c r="D1181">
        <v>0.02</v>
      </c>
      <c r="E1181">
        <v>0.02</v>
      </c>
      <c r="F1181">
        <v>2.8389199999999999</v>
      </c>
      <c r="G1181">
        <v>3.1413199999999999</v>
      </c>
      <c r="H1181">
        <v>0</v>
      </c>
      <c r="I1181">
        <v>0.53195999999999999</v>
      </c>
      <c r="J1181">
        <v>5.3222399999999999</v>
      </c>
      <c r="K1181" s="2">
        <v>137268000</v>
      </c>
      <c r="L1181" s="1">
        <v>0</v>
      </c>
      <c r="M1181" s="1">
        <v>0</v>
      </c>
      <c r="N1181" s="1">
        <v>0</v>
      </c>
      <c r="O1181" s="1">
        <v>0</v>
      </c>
      <c r="P1181" s="2">
        <v>4244120</v>
      </c>
      <c r="Q1181" s="1">
        <v>-85604.5</v>
      </c>
      <c r="R1181" s="1">
        <v>408539</v>
      </c>
      <c r="S1181">
        <v>89.382900000000006</v>
      </c>
      <c r="T1181">
        <v>98.274000000000001</v>
      </c>
      <c r="U1181">
        <v>1.29918</v>
      </c>
      <c r="V1181">
        <v>0</v>
      </c>
      <c r="W1181">
        <v>0</v>
      </c>
      <c r="X1181">
        <v>2.2139600000000002</v>
      </c>
      <c r="Y1181">
        <v>1.9115599999999999</v>
      </c>
      <c r="Z1181">
        <v>0</v>
      </c>
      <c r="AA1181">
        <v>1.7103699999999999</v>
      </c>
      <c r="AB1181">
        <v>2.9635199999999999</v>
      </c>
      <c r="AC1181" s="2">
        <v>577049000</v>
      </c>
      <c r="AD1181" s="1">
        <v>0</v>
      </c>
      <c r="AE1181" s="1">
        <v>0</v>
      </c>
      <c r="AF1181" s="1">
        <v>0</v>
      </c>
      <c r="AG1181" s="1">
        <v>0</v>
      </c>
      <c r="AH1181" s="2">
        <v>5728030</v>
      </c>
      <c r="AI1181" s="1">
        <v>943590</v>
      </c>
      <c r="AJ1181" s="1">
        <v>0</v>
      </c>
      <c r="AK1181" s="8">
        <f t="shared" si="75"/>
        <v>36</v>
      </c>
      <c r="AL1181" s="8">
        <f t="shared" si="74"/>
        <v>23</v>
      </c>
      <c r="AM1181">
        <f t="shared" si="72"/>
        <v>0</v>
      </c>
      <c r="AN1181">
        <f t="shared" si="73"/>
        <v>0</v>
      </c>
    </row>
    <row r="1182" spans="1:40" x14ac:dyDescent="0.35">
      <c r="A1182">
        <v>56.965499999999999</v>
      </c>
      <c r="B1182">
        <v>85.138999999999996</v>
      </c>
      <c r="C1182">
        <v>0.96914599999999995</v>
      </c>
      <c r="D1182">
        <v>0.02</v>
      </c>
      <c r="E1182">
        <v>0.02</v>
      </c>
      <c r="F1182">
        <v>2.83921</v>
      </c>
      <c r="G1182">
        <v>3.14161</v>
      </c>
      <c r="H1182">
        <v>0</v>
      </c>
      <c r="I1182">
        <v>0.53201399999999999</v>
      </c>
      <c r="J1182">
        <v>5.3222399999999999</v>
      </c>
      <c r="K1182" s="2">
        <v>137182000</v>
      </c>
      <c r="L1182" s="1">
        <v>0</v>
      </c>
      <c r="M1182" s="1">
        <v>0</v>
      </c>
      <c r="N1182" s="1">
        <v>0</v>
      </c>
      <c r="O1182" s="1">
        <v>0</v>
      </c>
      <c r="P1182" s="2">
        <v>4244550</v>
      </c>
      <c r="Q1182" s="1">
        <v>-85575</v>
      </c>
      <c r="R1182" s="1">
        <v>408539</v>
      </c>
      <c r="S1182">
        <v>88.530100000000004</v>
      </c>
      <c r="T1182">
        <v>98.274000000000001</v>
      </c>
      <c r="U1182">
        <v>1.1295299999999999</v>
      </c>
      <c r="V1182">
        <v>0</v>
      </c>
      <c r="W1182">
        <v>0</v>
      </c>
      <c r="X1182">
        <v>2.2141299999999999</v>
      </c>
      <c r="Y1182">
        <v>1.9117299999999999</v>
      </c>
      <c r="Z1182">
        <v>0</v>
      </c>
      <c r="AA1182">
        <v>1.7104999999999999</v>
      </c>
      <c r="AB1182">
        <v>2.9635199999999999</v>
      </c>
      <c r="AC1182" s="2">
        <v>577993000</v>
      </c>
      <c r="AD1182" s="1">
        <v>0</v>
      </c>
      <c r="AE1182" s="1">
        <v>0</v>
      </c>
      <c r="AF1182" s="1">
        <v>0</v>
      </c>
      <c r="AG1182" s="1">
        <v>0</v>
      </c>
      <c r="AH1182" s="2">
        <v>5728490</v>
      </c>
      <c r="AI1182" s="1">
        <v>943605</v>
      </c>
      <c r="AJ1182" s="1">
        <v>0</v>
      </c>
      <c r="AK1182" s="8">
        <f t="shared" si="75"/>
        <v>37</v>
      </c>
      <c r="AL1182" s="8">
        <f t="shared" si="74"/>
        <v>23</v>
      </c>
      <c r="AM1182">
        <f t="shared" si="72"/>
        <v>0</v>
      </c>
      <c r="AN1182">
        <f t="shared" si="73"/>
        <v>0</v>
      </c>
    </row>
    <row r="1183" spans="1:40" x14ac:dyDescent="0.35">
      <c r="A1183">
        <v>55.167000000000002</v>
      </c>
      <c r="B1183">
        <v>85.138999999999996</v>
      </c>
      <c r="C1183">
        <v>1.04694</v>
      </c>
      <c r="D1183">
        <v>0.02</v>
      </c>
      <c r="E1183">
        <v>0.02</v>
      </c>
      <c r="F1183">
        <v>3.0493299999999999</v>
      </c>
      <c r="G1183">
        <v>3.3517299999999999</v>
      </c>
      <c r="H1183">
        <v>0</v>
      </c>
      <c r="I1183">
        <v>0.53206799999999999</v>
      </c>
      <c r="J1183">
        <v>5.3222399999999999</v>
      </c>
      <c r="K1183" s="2">
        <v>137118000</v>
      </c>
      <c r="L1183" s="1">
        <v>0</v>
      </c>
      <c r="M1183" s="1">
        <v>0</v>
      </c>
      <c r="N1183" s="1">
        <v>0</v>
      </c>
      <c r="O1183" s="1">
        <v>0</v>
      </c>
      <c r="P1183" s="2">
        <v>4558670</v>
      </c>
      <c r="Q1183" s="1">
        <v>-63974.2</v>
      </c>
      <c r="R1183" s="1">
        <v>408539</v>
      </c>
      <c r="S1183">
        <v>87.254199999999997</v>
      </c>
      <c r="T1183">
        <v>98.274000000000001</v>
      </c>
      <c r="U1183">
        <v>1.359</v>
      </c>
      <c r="V1183">
        <v>0</v>
      </c>
      <c r="W1183">
        <v>0</v>
      </c>
      <c r="X1183">
        <v>2.3789099999999999</v>
      </c>
      <c r="Y1183">
        <v>2.0765099999999999</v>
      </c>
      <c r="Z1183">
        <v>0</v>
      </c>
      <c r="AA1183">
        <v>1.7106399999999999</v>
      </c>
      <c r="AB1183">
        <v>2.9635199999999999</v>
      </c>
      <c r="AC1183" s="2">
        <v>578951000</v>
      </c>
      <c r="AD1183" s="1">
        <v>0</v>
      </c>
      <c r="AE1183" s="1">
        <v>0</v>
      </c>
      <c r="AF1183" s="1">
        <v>0</v>
      </c>
      <c r="AG1183" s="1">
        <v>0</v>
      </c>
      <c r="AH1183" s="2">
        <v>6154820</v>
      </c>
      <c r="AI1183" s="1">
        <v>957501</v>
      </c>
      <c r="AJ1183" s="1">
        <v>0</v>
      </c>
      <c r="AK1183" s="8">
        <f t="shared" si="75"/>
        <v>38</v>
      </c>
      <c r="AL1183" s="8">
        <f t="shared" si="74"/>
        <v>23</v>
      </c>
      <c r="AM1183">
        <f t="shared" si="72"/>
        <v>0</v>
      </c>
      <c r="AN1183">
        <f t="shared" si="73"/>
        <v>0</v>
      </c>
    </row>
    <row r="1184" spans="1:40" x14ac:dyDescent="0.35">
      <c r="A1184">
        <v>53.318399999999997</v>
      </c>
      <c r="B1184">
        <v>85.138999999999996</v>
      </c>
      <c r="C1184">
        <v>0.96939299999999995</v>
      </c>
      <c r="D1184">
        <v>0.02</v>
      </c>
      <c r="E1184">
        <v>0.02</v>
      </c>
      <c r="F1184">
        <v>3.0496400000000001</v>
      </c>
      <c r="G1184">
        <v>3.3520400000000001</v>
      </c>
      <c r="H1184">
        <v>0</v>
      </c>
      <c r="I1184">
        <v>0.57144399999999995</v>
      </c>
      <c r="J1184">
        <v>5.3222399999999999</v>
      </c>
      <c r="K1184" s="2">
        <v>137054000</v>
      </c>
      <c r="L1184" s="1">
        <v>0</v>
      </c>
      <c r="M1184" s="1">
        <v>0</v>
      </c>
      <c r="N1184" s="1">
        <v>0</v>
      </c>
      <c r="O1184" s="1">
        <v>0</v>
      </c>
      <c r="P1184" s="2">
        <v>4559130</v>
      </c>
      <c r="Q1184" s="1">
        <v>-63942.7</v>
      </c>
      <c r="R1184" s="1">
        <v>408539</v>
      </c>
      <c r="S1184">
        <v>86.177199999999999</v>
      </c>
      <c r="T1184">
        <v>98.274000000000001</v>
      </c>
      <c r="U1184">
        <v>0.91485000000000005</v>
      </c>
      <c r="V1184">
        <v>0</v>
      </c>
      <c r="W1184">
        <v>0</v>
      </c>
      <c r="X1184">
        <v>2.3791000000000002</v>
      </c>
      <c r="Y1184">
        <v>2.0767000000000002</v>
      </c>
      <c r="Z1184">
        <v>0</v>
      </c>
      <c r="AA1184">
        <v>1.83795</v>
      </c>
      <c r="AB1184">
        <v>2.9635199999999999</v>
      </c>
      <c r="AC1184" s="2">
        <v>579908000</v>
      </c>
      <c r="AD1184" s="1">
        <v>0</v>
      </c>
      <c r="AE1184" s="1">
        <v>0</v>
      </c>
      <c r="AF1184" s="1">
        <v>0</v>
      </c>
      <c r="AG1184" s="1">
        <v>0</v>
      </c>
      <c r="AH1184" s="2">
        <v>6155310</v>
      </c>
      <c r="AI1184" s="1">
        <v>957517</v>
      </c>
      <c r="AJ1184" s="1">
        <v>0</v>
      </c>
      <c r="AK1184" s="8">
        <f t="shared" si="75"/>
        <v>39</v>
      </c>
      <c r="AL1184" s="8">
        <f t="shared" si="74"/>
        <v>23</v>
      </c>
      <c r="AM1184">
        <f t="shared" si="72"/>
        <v>0</v>
      </c>
      <c r="AN1184">
        <f t="shared" si="73"/>
        <v>0</v>
      </c>
    </row>
    <row r="1185" spans="1:40" x14ac:dyDescent="0.35">
      <c r="A1185">
        <v>51.554699999999997</v>
      </c>
      <c r="B1185">
        <v>85.138999999999996</v>
      </c>
      <c r="C1185">
        <v>1.04376</v>
      </c>
      <c r="D1185">
        <v>0.06</v>
      </c>
      <c r="E1185">
        <v>0.02</v>
      </c>
      <c r="F1185">
        <v>3.0499399999999999</v>
      </c>
      <c r="G1185">
        <v>3.3523399999999999</v>
      </c>
      <c r="H1185">
        <v>0</v>
      </c>
      <c r="I1185">
        <v>0.57150199999999995</v>
      </c>
      <c r="J1185">
        <v>5.3222399999999999</v>
      </c>
      <c r="K1185" s="2">
        <v>136990000</v>
      </c>
      <c r="L1185" s="1">
        <v>0</v>
      </c>
      <c r="M1185" s="1">
        <v>0</v>
      </c>
      <c r="N1185" s="1">
        <v>0</v>
      </c>
      <c r="O1185" s="1">
        <v>0</v>
      </c>
      <c r="P1185" s="2">
        <v>4559590</v>
      </c>
      <c r="Q1185" s="1">
        <v>-63911.3</v>
      </c>
      <c r="R1185" s="1">
        <v>408539</v>
      </c>
      <c r="S1185">
        <v>84.919300000000007</v>
      </c>
      <c r="T1185">
        <v>98.274000000000001</v>
      </c>
      <c r="U1185">
        <v>1.11598</v>
      </c>
      <c r="V1185">
        <v>0</v>
      </c>
      <c r="W1185">
        <v>0</v>
      </c>
      <c r="X1185">
        <v>2.3792900000000001</v>
      </c>
      <c r="Y1185">
        <v>2.0768900000000001</v>
      </c>
      <c r="Z1185">
        <v>0</v>
      </c>
      <c r="AA1185">
        <v>1.8381000000000001</v>
      </c>
      <c r="AB1185">
        <v>2.9635199999999999</v>
      </c>
      <c r="AC1185" s="2">
        <v>580866000</v>
      </c>
      <c r="AD1185" s="1">
        <v>0</v>
      </c>
      <c r="AE1185" s="1">
        <v>0</v>
      </c>
      <c r="AF1185" s="1">
        <v>0</v>
      </c>
      <c r="AG1185" s="1">
        <v>0</v>
      </c>
      <c r="AH1185" s="2">
        <v>6155800</v>
      </c>
      <c r="AI1185" s="1">
        <v>957533</v>
      </c>
      <c r="AJ1185" s="1">
        <v>0</v>
      </c>
      <c r="AK1185" s="8">
        <f t="shared" si="75"/>
        <v>40</v>
      </c>
      <c r="AL1185" s="8">
        <f t="shared" si="74"/>
        <v>23</v>
      </c>
      <c r="AM1185">
        <f t="shared" si="72"/>
        <v>0</v>
      </c>
      <c r="AN1185">
        <f t="shared" si="73"/>
        <v>0</v>
      </c>
    </row>
    <row r="1186" spans="1:40" x14ac:dyDescent="0.35">
      <c r="A1186">
        <v>49.6447</v>
      </c>
      <c r="B1186">
        <v>85.138999999999996</v>
      </c>
      <c r="C1186">
        <v>0.86526599999999998</v>
      </c>
      <c r="D1186">
        <v>0.06</v>
      </c>
      <c r="E1186">
        <v>0.02</v>
      </c>
      <c r="F1186">
        <v>3.0502500000000001</v>
      </c>
      <c r="G1186">
        <v>3.3526500000000001</v>
      </c>
      <c r="H1186">
        <v>0</v>
      </c>
      <c r="I1186">
        <v>0.57155900000000004</v>
      </c>
      <c r="J1186">
        <v>5.3222399999999999</v>
      </c>
      <c r="K1186" s="2">
        <v>136926000</v>
      </c>
      <c r="L1186" s="1">
        <v>0</v>
      </c>
      <c r="M1186" s="1">
        <v>0</v>
      </c>
      <c r="N1186" s="1">
        <v>0</v>
      </c>
      <c r="O1186" s="1">
        <v>0</v>
      </c>
      <c r="P1186" s="2">
        <v>4560040</v>
      </c>
      <c r="Q1186" s="1">
        <v>-63879.8</v>
      </c>
      <c r="R1186" s="1">
        <v>408539</v>
      </c>
      <c r="S1186">
        <v>84.140500000000003</v>
      </c>
      <c r="T1186">
        <v>98.274000000000001</v>
      </c>
      <c r="U1186">
        <v>0.79110199999999997</v>
      </c>
      <c r="V1186">
        <v>0</v>
      </c>
      <c r="W1186">
        <v>0</v>
      </c>
      <c r="X1186">
        <v>2.37948</v>
      </c>
      <c r="Y1186">
        <v>2.07708</v>
      </c>
      <c r="Z1186">
        <v>0</v>
      </c>
      <c r="AA1186">
        <v>1.8382400000000001</v>
      </c>
      <c r="AB1186">
        <v>2.9635199999999999</v>
      </c>
      <c r="AC1186" s="2">
        <v>581823000</v>
      </c>
      <c r="AD1186" s="1">
        <v>0</v>
      </c>
      <c r="AE1186" s="1">
        <v>0</v>
      </c>
      <c r="AF1186" s="1">
        <v>0</v>
      </c>
      <c r="AG1186" s="1">
        <v>0</v>
      </c>
      <c r="AH1186" s="2">
        <v>6156290</v>
      </c>
      <c r="AI1186" s="1">
        <v>957549</v>
      </c>
      <c r="AJ1186" s="1">
        <v>0</v>
      </c>
      <c r="AK1186" s="8">
        <f t="shared" si="75"/>
        <v>41</v>
      </c>
      <c r="AL1186" s="8">
        <f t="shared" si="74"/>
        <v>23</v>
      </c>
      <c r="AM1186">
        <f t="shared" si="72"/>
        <v>0</v>
      </c>
      <c r="AN1186">
        <f t="shared" si="73"/>
        <v>0</v>
      </c>
    </row>
    <row r="1187" spans="1:40" x14ac:dyDescent="0.35">
      <c r="A1187">
        <v>47.962000000000003</v>
      </c>
      <c r="B1187">
        <v>85.138999999999996</v>
      </c>
      <c r="C1187">
        <v>1.0607899999999999</v>
      </c>
      <c r="D1187">
        <v>0.1</v>
      </c>
      <c r="E1187">
        <v>0.02</v>
      </c>
      <c r="F1187">
        <v>3.0505499999999999</v>
      </c>
      <c r="G1187">
        <v>3.3529499999999999</v>
      </c>
      <c r="H1187">
        <v>0</v>
      </c>
      <c r="I1187">
        <v>0.57161700000000004</v>
      </c>
      <c r="J1187">
        <v>5.3222399999999999</v>
      </c>
      <c r="K1187" s="2">
        <v>136862000</v>
      </c>
      <c r="L1187" s="1">
        <v>0</v>
      </c>
      <c r="M1187" s="1">
        <v>0</v>
      </c>
      <c r="N1187" s="1">
        <v>0</v>
      </c>
      <c r="O1187" s="1">
        <v>0</v>
      </c>
      <c r="P1187" s="2">
        <v>4560500</v>
      </c>
      <c r="Q1187" s="1">
        <v>-63848.3</v>
      </c>
      <c r="R1187" s="1">
        <v>408539</v>
      </c>
      <c r="S1187">
        <v>83.498000000000005</v>
      </c>
      <c r="T1187">
        <v>98.274000000000001</v>
      </c>
      <c r="U1187">
        <v>1.47166</v>
      </c>
      <c r="V1187">
        <v>0</v>
      </c>
      <c r="W1187">
        <v>0</v>
      </c>
      <c r="X1187">
        <v>2.37967</v>
      </c>
      <c r="Y1187">
        <v>2.0772699999999999</v>
      </c>
      <c r="Z1187">
        <v>0</v>
      </c>
      <c r="AA1187">
        <v>1.83839</v>
      </c>
      <c r="AB1187">
        <v>2.9635199999999999</v>
      </c>
      <c r="AC1187" s="2">
        <v>582781000</v>
      </c>
      <c r="AD1187" s="1">
        <v>0</v>
      </c>
      <c r="AE1187" s="1">
        <v>0</v>
      </c>
      <c r="AF1187" s="1">
        <v>0</v>
      </c>
      <c r="AG1187" s="1">
        <v>0</v>
      </c>
      <c r="AH1187" s="2">
        <v>6156780</v>
      </c>
      <c r="AI1187" s="1">
        <v>957565</v>
      </c>
      <c r="AJ1187" s="1">
        <v>0</v>
      </c>
      <c r="AK1187" s="8">
        <f t="shared" si="75"/>
        <v>42</v>
      </c>
      <c r="AL1187" s="8">
        <f t="shared" si="74"/>
        <v>23</v>
      </c>
      <c r="AM1187">
        <f t="shared" si="72"/>
        <v>0</v>
      </c>
      <c r="AN1187">
        <f t="shared" si="73"/>
        <v>0</v>
      </c>
    </row>
    <row r="1188" spans="1:40" x14ac:dyDescent="0.35">
      <c r="A1188">
        <v>46.892499999999998</v>
      </c>
      <c r="B1188">
        <v>85.138999999999996</v>
      </c>
      <c r="C1188">
        <v>1.6587400000000001</v>
      </c>
      <c r="D1188">
        <v>0.1</v>
      </c>
      <c r="E1188">
        <v>0.02</v>
      </c>
      <c r="F1188">
        <v>2.94855</v>
      </c>
      <c r="G1188">
        <v>3.25095</v>
      </c>
      <c r="H1188">
        <v>0</v>
      </c>
      <c r="I1188">
        <v>0.57167400000000002</v>
      </c>
      <c r="J1188">
        <v>5.3222399999999999</v>
      </c>
      <c r="K1188" s="2">
        <v>136788000</v>
      </c>
      <c r="L1188" s="1">
        <v>0</v>
      </c>
      <c r="M1188" s="1">
        <v>0</v>
      </c>
      <c r="N1188" s="1">
        <v>0</v>
      </c>
      <c r="O1188" s="1">
        <v>0</v>
      </c>
      <c r="P1188" s="2">
        <v>4408010</v>
      </c>
      <c r="Q1188" s="1">
        <v>-74334.7</v>
      </c>
      <c r="R1188" s="1">
        <v>408539</v>
      </c>
      <c r="S1188">
        <v>83.132099999999994</v>
      </c>
      <c r="T1188">
        <v>98.274000000000001</v>
      </c>
      <c r="U1188">
        <v>1.8289299999999999</v>
      </c>
      <c r="V1188">
        <v>0</v>
      </c>
      <c r="W1188">
        <v>0</v>
      </c>
      <c r="X1188">
        <v>2.2799100000000001</v>
      </c>
      <c r="Y1188">
        <v>1.9775100000000001</v>
      </c>
      <c r="Z1188">
        <v>0</v>
      </c>
      <c r="AA1188">
        <v>1.83853</v>
      </c>
      <c r="AB1188">
        <v>2.9635199999999999</v>
      </c>
      <c r="AC1188" s="2">
        <v>583730000</v>
      </c>
      <c r="AD1188" s="1">
        <v>0</v>
      </c>
      <c r="AE1188" s="1">
        <v>0</v>
      </c>
      <c r="AF1188" s="1">
        <v>0</v>
      </c>
      <c r="AG1188" s="1">
        <v>0</v>
      </c>
      <c r="AH1188" s="2">
        <v>5898660</v>
      </c>
      <c r="AI1188" s="1">
        <v>949152</v>
      </c>
      <c r="AJ1188" s="1">
        <v>0</v>
      </c>
      <c r="AK1188" s="8">
        <f t="shared" si="75"/>
        <v>43</v>
      </c>
      <c r="AL1188" s="8">
        <f t="shared" si="74"/>
        <v>23</v>
      </c>
      <c r="AM1188">
        <f t="shared" si="72"/>
        <v>0</v>
      </c>
      <c r="AN1188">
        <f t="shared" si="73"/>
        <v>0</v>
      </c>
    </row>
    <row r="1189" spans="1:40" x14ac:dyDescent="0.35">
      <c r="A1189">
        <v>45.932699999999997</v>
      </c>
      <c r="B1189">
        <v>85.138999999999996</v>
      </c>
      <c r="C1189">
        <v>1.7476400000000001</v>
      </c>
      <c r="D1189">
        <v>0.1</v>
      </c>
      <c r="E1189">
        <v>0.02</v>
      </c>
      <c r="F1189">
        <v>2.9488500000000002</v>
      </c>
      <c r="G1189">
        <v>3.2512500000000002</v>
      </c>
      <c r="H1189">
        <v>0</v>
      </c>
      <c r="I1189">
        <v>0.55255799999999999</v>
      </c>
      <c r="J1189">
        <v>5.3222399999999999</v>
      </c>
      <c r="K1189" s="2">
        <v>136714000</v>
      </c>
      <c r="L1189" s="1">
        <v>0</v>
      </c>
      <c r="M1189" s="1">
        <v>0</v>
      </c>
      <c r="N1189" s="1">
        <v>0</v>
      </c>
      <c r="O1189" s="1">
        <v>0</v>
      </c>
      <c r="P1189" s="2">
        <v>4408450</v>
      </c>
      <c r="Q1189" s="1">
        <v>-74304.100000000006</v>
      </c>
      <c r="R1189" s="1">
        <v>408539</v>
      </c>
      <c r="S1189">
        <v>83.051599999999993</v>
      </c>
      <c r="T1189">
        <v>98.274000000000001</v>
      </c>
      <c r="U1189">
        <v>2.9986100000000002</v>
      </c>
      <c r="V1189">
        <v>0</v>
      </c>
      <c r="W1189">
        <v>0</v>
      </c>
      <c r="X1189">
        <v>2.28009</v>
      </c>
      <c r="Y1189">
        <v>1.9776899999999999</v>
      </c>
      <c r="Z1189">
        <v>0</v>
      </c>
      <c r="AA1189">
        <v>1.76146</v>
      </c>
      <c r="AB1189">
        <v>2.9635199999999999</v>
      </c>
      <c r="AC1189" s="2">
        <v>584679000</v>
      </c>
      <c r="AD1189" s="1">
        <v>0</v>
      </c>
      <c r="AE1189" s="1">
        <v>0</v>
      </c>
      <c r="AF1189" s="1">
        <v>0</v>
      </c>
      <c r="AG1189" s="1">
        <v>0</v>
      </c>
      <c r="AH1189" s="2">
        <v>5899130</v>
      </c>
      <c r="AI1189" s="1">
        <v>949167</v>
      </c>
      <c r="AJ1189" s="1">
        <v>0</v>
      </c>
      <c r="AK1189" s="8">
        <f t="shared" si="75"/>
        <v>44</v>
      </c>
      <c r="AL1189" s="8">
        <f t="shared" si="74"/>
        <v>23</v>
      </c>
      <c r="AM1189">
        <f t="shared" si="72"/>
        <v>0</v>
      </c>
      <c r="AN1189">
        <f t="shared" si="73"/>
        <v>0</v>
      </c>
    </row>
    <row r="1190" spans="1:40" x14ac:dyDescent="0.35">
      <c r="A1190">
        <v>44.788499999999999</v>
      </c>
      <c r="B1190">
        <v>85.138999999999996</v>
      </c>
      <c r="C1190">
        <v>1.5471900000000001</v>
      </c>
      <c r="D1190">
        <v>0.11</v>
      </c>
      <c r="E1190">
        <v>0.02</v>
      </c>
      <c r="F1190">
        <v>2.9491399999999999</v>
      </c>
      <c r="G1190">
        <v>3.2515399999999999</v>
      </c>
      <c r="H1190">
        <v>0</v>
      </c>
      <c r="I1190">
        <v>0.55261400000000005</v>
      </c>
      <c r="J1190">
        <v>5.3222399999999999</v>
      </c>
      <c r="K1190" s="2">
        <v>136639000</v>
      </c>
      <c r="L1190" s="1">
        <v>0</v>
      </c>
      <c r="M1190" s="1">
        <v>0</v>
      </c>
      <c r="N1190" s="1">
        <v>0</v>
      </c>
      <c r="O1190" s="1">
        <v>0</v>
      </c>
      <c r="P1190" s="2">
        <v>4408890</v>
      </c>
      <c r="Q1190" s="1">
        <v>-74273.600000000006</v>
      </c>
      <c r="R1190" s="1">
        <v>408539</v>
      </c>
      <c r="S1190">
        <v>82.479200000000006</v>
      </c>
      <c r="T1190">
        <v>98.274000000000001</v>
      </c>
      <c r="U1190">
        <v>2.0975899999999998</v>
      </c>
      <c r="V1190">
        <v>0</v>
      </c>
      <c r="W1190">
        <v>0</v>
      </c>
      <c r="X1190">
        <v>2.2802699999999998</v>
      </c>
      <c r="Y1190">
        <v>1.97787</v>
      </c>
      <c r="Z1190">
        <v>0</v>
      </c>
      <c r="AA1190">
        <v>1.7616000000000001</v>
      </c>
      <c r="AB1190">
        <v>2.9635199999999999</v>
      </c>
      <c r="AC1190" s="2">
        <v>585628000</v>
      </c>
      <c r="AD1190" s="1">
        <v>0</v>
      </c>
      <c r="AE1190" s="1">
        <v>0</v>
      </c>
      <c r="AF1190" s="1">
        <v>0</v>
      </c>
      <c r="AG1190" s="1">
        <v>0</v>
      </c>
      <c r="AH1190" s="2">
        <v>5899590</v>
      </c>
      <c r="AI1190" s="1">
        <v>949182</v>
      </c>
      <c r="AJ1190" s="1">
        <v>0</v>
      </c>
      <c r="AK1190" s="8">
        <f t="shared" si="75"/>
        <v>45</v>
      </c>
      <c r="AL1190" s="8">
        <f t="shared" si="74"/>
        <v>23</v>
      </c>
      <c r="AM1190">
        <f t="shared" si="72"/>
        <v>0</v>
      </c>
      <c r="AN1190">
        <f t="shared" si="73"/>
        <v>0</v>
      </c>
    </row>
    <row r="1191" spans="1:40" x14ac:dyDescent="0.35">
      <c r="A1191">
        <v>43.3994</v>
      </c>
      <c r="B1191">
        <v>85.138999999999996</v>
      </c>
      <c r="C1191">
        <v>1.27075</v>
      </c>
      <c r="D1191">
        <v>0.13</v>
      </c>
      <c r="E1191">
        <v>0.02</v>
      </c>
      <c r="F1191">
        <v>2.9494400000000001</v>
      </c>
      <c r="G1191">
        <v>3.2518400000000001</v>
      </c>
      <c r="H1191">
        <v>0</v>
      </c>
      <c r="I1191">
        <v>0.55266899999999997</v>
      </c>
      <c r="J1191">
        <v>5.3222399999999999</v>
      </c>
      <c r="K1191" s="2">
        <v>136565000</v>
      </c>
      <c r="L1191" s="1">
        <v>0</v>
      </c>
      <c r="M1191" s="1">
        <v>0</v>
      </c>
      <c r="N1191" s="1">
        <v>0</v>
      </c>
      <c r="O1191" s="1">
        <v>0</v>
      </c>
      <c r="P1191" s="2">
        <v>4409340</v>
      </c>
      <c r="Q1191" s="1">
        <v>-74243.100000000006</v>
      </c>
      <c r="R1191" s="1">
        <v>408539</v>
      </c>
      <c r="S1191">
        <v>82.043599999999998</v>
      </c>
      <c r="T1191">
        <v>98.274000000000001</v>
      </c>
      <c r="U1191">
        <v>1.6845399999999999</v>
      </c>
      <c r="V1191">
        <v>0</v>
      </c>
      <c r="W1191">
        <v>0</v>
      </c>
      <c r="X1191">
        <v>2.2804500000000001</v>
      </c>
      <c r="Y1191">
        <v>1.9780500000000001</v>
      </c>
      <c r="Z1191">
        <v>0</v>
      </c>
      <c r="AA1191">
        <v>1.76173</v>
      </c>
      <c r="AB1191">
        <v>2.9635199999999999</v>
      </c>
      <c r="AC1191" s="2">
        <v>586577000</v>
      </c>
      <c r="AD1191" s="1">
        <v>0</v>
      </c>
      <c r="AE1191" s="1">
        <v>0</v>
      </c>
      <c r="AF1191" s="1">
        <v>0</v>
      </c>
      <c r="AG1191" s="1">
        <v>0</v>
      </c>
      <c r="AH1191" s="2">
        <v>5900060</v>
      </c>
      <c r="AI1191" s="1">
        <v>949197</v>
      </c>
      <c r="AJ1191" s="1">
        <v>0</v>
      </c>
      <c r="AK1191" s="8">
        <f t="shared" si="75"/>
        <v>46</v>
      </c>
      <c r="AL1191" s="8">
        <f t="shared" si="74"/>
        <v>23</v>
      </c>
      <c r="AM1191">
        <f t="shared" si="72"/>
        <v>0</v>
      </c>
      <c r="AN1191">
        <f t="shared" si="73"/>
        <v>0</v>
      </c>
    </row>
    <row r="1192" spans="1:40" x14ac:dyDescent="0.35">
      <c r="A1192">
        <v>43.156599999999997</v>
      </c>
      <c r="B1192">
        <v>85.138999999999996</v>
      </c>
      <c r="C1192">
        <v>2.4192399999999998</v>
      </c>
      <c r="D1192">
        <v>0.14000000000000001</v>
      </c>
      <c r="E1192">
        <v>0.02</v>
      </c>
      <c r="F1192">
        <v>2.8657300000000001</v>
      </c>
      <c r="G1192">
        <v>3.1681300000000001</v>
      </c>
      <c r="H1192">
        <v>0</v>
      </c>
      <c r="I1192">
        <v>0.55272500000000002</v>
      </c>
      <c r="J1192">
        <v>5.3222399999999999</v>
      </c>
      <c r="K1192" s="2">
        <v>136482000</v>
      </c>
      <c r="L1192" s="1">
        <v>0</v>
      </c>
      <c r="M1192" s="1">
        <v>0</v>
      </c>
      <c r="N1192" s="1">
        <v>0</v>
      </c>
      <c r="O1192" s="1">
        <v>0</v>
      </c>
      <c r="P1192" s="2">
        <v>4284190</v>
      </c>
      <c r="Q1192" s="1">
        <v>-82849</v>
      </c>
      <c r="R1192" s="1">
        <v>408539</v>
      </c>
      <c r="S1192">
        <v>81.738399999999999</v>
      </c>
      <c r="T1192">
        <v>98.274000000000001</v>
      </c>
      <c r="U1192">
        <v>2.0751400000000002</v>
      </c>
      <c r="V1192">
        <v>0</v>
      </c>
      <c r="W1192">
        <v>0</v>
      </c>
      <c r="X1192">
        <v>2.1896100000000001</v>
      </c>
      <c r="Y1192">
        <v>1.8872100000000001</v>
      </c>
      <c r="Z1192">
        <v>0</v>
      </c>
      <c r="AA1192">
        <v>1.76187</v>
      </c>
      <c r="AB1192">
        <v>2.9635199999999999</v>
      </c>
      <c r="AC1192" s="2">
        <v>587519000</v>
      </c>
      <c r="AD1192" s="1">
        <v>0</v>
      </c>
      <c r="AE1192" s="1">
        <v>0</v>
      </c>
      <c r="AF1192" s="1">
        <v>0</v>
      </c>
      <c r="AG1192" s="1">
        <v>0</v>
      </c>
      <c r="AH1192" s="2">
        <v>5665040</v>
      </c>
      <c r="AI1192" s="1">
        <v>941537</v>
      </c>
      <c r="AJ1192" s="1">
        <v>0</v>
      </c>
      <c r="AK1192" s="8">
        <f t="shared" si="75"/>
        <v>47</v>
      </c>
      <c r="AL1192" s="8">
        <f t="shared" si="74"/>
        <v>23</v>
      </c>
      <c r="AM1192">
        <f t="shared" si="72"/>
        <v>0</v>
      </c>
      <c r="AN1192">
        <f t="shared" si="73"/>
        <v>0</v>
      </c>
    </row>
    <row r="1193" spans="1:40" x14ac:dyDescent="0.35">
      <c r="A1193">
        <v>44.621400000000001</v>
      </c>
      <c r="B1193">
        <v>85.138999999999996</v>
      </c>
      <c r="C1193">
        <v>4.2105800000000002</v>
      </c>
      <c r="D1193">
        <v>0.12</v>
      </c>
      <c r="E1193">
        <v>0.02</v>
      </c>
      <c r="F1193">
        <v>2.8660199999999998</v>
      </c>
      <c r="G1193">
        <v>3.1684199999999998</v>
      </c>
      <c r="H1193">
        <v>0</v>
      </c>
      <c r="I1193">
        <v>0.53703699999999999</v>
      </c>
      <c r="J1193">
        <v>5.3222399999999999</v>
      </c>
      <c r="K1193" s="2">
        <v>136400000</v>
      </c>
      <c r="L1193" s="1">
        <v>0</v>
      </c>
      <c r="M1193" s="1">
        <v>0</v>
      </c>
      <c r="N1193" s="1">
        <v>0</v>
      </c>
      <c r="O1193" s="1">
        <v>0</v>
      </c>
      <c r="P1193" s="2">
        <v>4284620</v>
      </c>
      <c r="Q1193" s="1">
        <v>-82819.3</v>
      </c>
      <c r="R1193" s="1">
        <v>408539</v>
      </c>
      <c r="S1193">
        <v>81.658000000000001</v>
      </c>
      <c r="T1193">
        <v>98.274000000000001</v>
      </c>
      <c r="U1193">
        <v>2.6190799999999999</v>
      </c>
      <c r="V1193">
        <v>0</v>
      </c>
      <c r="W1193">
        <v>0</v>
      </c>
      <c r="X1193">
        <v>2.1897799999999998</v>
      </c>
      <c r="Y1193">
        <v>1.8873800000000001</v>
      </c>
      <c r="Z1193">
        <v>0</v>
      </c>
      <c r="AA1193">
        <v>1.6916899999999999</v>
      </c>
      <c r="AB1193">
        <v>2.9635199999999999</v>
      </c>
      <c r="AC1193" s="2">
        <v>588460000</v>
      </c>
      <c r="AD1193" s="1">
        <v>0</v>
      </c>
      <c r="AE1193" s="1">
        <v>0</v>
      </c>
      <c r="AF1193" s="1">
        <v>0</v>
      </c>
      <c r="AG1193" s="1">
        <v>0</v>
      </c>
      <c r="AH1193" s="2">
        <v>5665490</v>
      </c>
      <c r="AI1193" s="1">
        <v>941551</v>
      </c>
      <c r="AJ1193" s="1">
        <v>0</v>
      </c>
      <c r="AK1193" s="8">
        <f t="shared" si="75"/>
        <v>48</v>
      </c>
      <c r="AL1193" s="8">
        <f t="shared" si="74"/>
        <v>23</v>
      </c>
      <c r="AM1193">
        <f t="shared" si="72"/>
        <v>0</v>
      </c>
      <c r="AN1193">
        <f t="shared" si="73"/>
        <v>0</v>
      </c>
    </row>
    <row r="1194" spans="1:40" x14ac:dyDescent="0.35">
      <c r="A1194">
        <v>46.424900000000001</v>
      </c>
      <c r="B1194">
        <v>85.138999999999996</v>
      </c>
      <c r="C1194">
        <v>4.5890000000000004</v>
      </c>
      <c r="D1194">
        <v>0.12</v>
      </c>
      <c r="E1194">
        <v>0.02</v>
      </c>
      <c r="F1194">
        <v>2.8663099999999999</v>
      </c>
      <c r="G1194">
        <v>3.1687099999999999</v>
      </c>
      <c r="H1194">
        <v>0</v>
      </c>
      <c r="I1194">
        <v>0.53709099999999999</v>
      </c>
      <c r="J1194">
        <v>5.3222399999999999</v>
      </c>
      <c r="K1194" s="2">
        <v>136317000</v>
      </c>
      <c r="L1194" s="1">
        <v>0</v>
      </c>
      <c r="M1194" s="1">
        <v>0</v>
      </c>
      <c r="N1194" s="1">
        <v>0</v>
      </c>
      <c r="O1194" s="1">
        <v>0</v>
      </c>
      <c r="P1194" s="2">
        <v>4285050</v>
      </c>
      <c r="Q1194" s="1">
        <v>-82789.5</v>
      </c>
      <c r="R1194" s="1">
        <v>408539</v>
      </c>
      <c r="S1194">
        <v>82.158600000000007</v>
      </c>
      <c r="T1194">
        <v>98.274000000000001</v>
      </c>
      <c r="U1194">
        <v>3.7137699999999998</v>
      </c>
      <c r="V1194">
        <v>0</v>
      </c>
      <c r="W1194">
        <v>0</v>
      </c>
      <c r="X1194">
        <v>2.1899600000000001</v>
      </c>
      <c r="Y1194">
        <v>1.8875599999999999</v>
      </c>
      <c r="Z1194">
        <v>0</v>
      </c>
      <c r="AA1194">
        <v>1.6918299999999999</v>
      </c>
      <c r="AB1194">
        <v>2.9635199999999999</v>
      </c>
      <c r="AC1194" s="2">
        <v>589402000</v>
      </c>
      <c r="AD1194" s="1">
        <v>0</v>
      </c>
      <c r="AE1194" s="1">
        <v>0</v>
      </c>
      <c r="AF1194" s="1">
        <v>0</v>
      </c>
      <c r="AG1194" s="1">
        <v>0</v>
      </c>
      <c r="AH1194" s="2">
        <v>5665940</v>
      </c>
      <c r="AI1194" s="1">
        <v>941566</v>
      </c>
      <c r="AJ1194" s="1">
        <v>0</v>
      </c>
      <c r="AK1194" s="8">
        <f t="shared" si="75"/>
        <v>49</v>
      </c>
      <c r="AL1194" s="8">
        <f t="shared" si="74"/>
        <v>23</v>
      </c>
      <c r="AM1194">
        <f t="shared" si="72"/>
        <v>0</v>
      </c>
      <c r="AN1194">
        <f t="shared" si="73"/>
        <v>0</v>
      </c>
    </row>
    <row r="1195" spans="1:40" x14ac:dyDescent="0.35">
      <c r="A1195">
        <v>47.630699999999997</v>
      </c>
      <c r="B1195">
        <v>85.138999999999996</v>
      </c>
      <c r="C1195">
        <v>4.0440699999999996</v>
      </c>
      <c r="D1195">
        <v>0.1</v>
      </c>
      <c r="E1195">
        <v>0.02</v>
      </c>
      <c r="F1195">
        <v>2.86659</v>
      </c>
      <c r="G1195">
        <v>3.16899</v>
      </c>
      <c r="H1195">
        <v>0</v>
      </c>
      <c r="I1195">
        <v>0.53714600000000001</v>
      </c>
      <c r="J1195">
        <v>5.3222399999999999</v>
      </c>
      <c r="K1195" s="2">
        <v>136234000</v>
      </c>
      <c r="L1195" s="1">
        <v>0</v>
      </c>
      <c r="M1195" s="1">
        <v>0</v>
      </c>
      <c r="N1195" s="1">
        <v>0</v>
      </c>
      <c r="O1195" s="1">
        <v>0</v>
      </c>
      <c r="P1195" s="2">
        <v>4285490</v>
      </c>
      <c r="Q1195" s="1">
        <v>-82759.7</v>
      </c>
      <c r="R1195" s="1">
        <v>408539</v>
      </c>
      <c r="S1195">
        <v>82.625900000000001</v>
      </c>
      <c r="T1195">
        <v>98.274000000000001</v>
      </c>
      <c r="U1195">
        <v>3.5417900000000002</v>
      </c>
      <c r="V1195">
        <v>0</v>
      </c>
      <c r="W1195">
        <v>0</v>
      </c>
      <c r="X1195">
        <v>2.1901299999999999</v>
      </c>
      <c r="Y1195">
        <v>1.8877299999999999</v>
      </c>
      <c r="Z1195">
        <v>0</v>
      </c>
      <c r="AA1195">
        <v>1.6919599999999999</v>
      </c>
      <c r="AB1195">
        <v>2.9635199999999999</v>
      </c>
      <c r="AC1195" s="2">
        <v>590344000</v>
      </c>
      <c r="AD1195" s="1">
        <v>0</v>
      </c>
      <c r="AE1195" s="1">
        <v>0</v>
      </c>
      <c r="AF1195" s="1">
        <v>0</v>
      </c>
      <c r="AG1195" s="1">
        <v>0</v>
      </c>
      <c r="AH1195" s="2">
        <v>5666380</v>
      </c>
      <c r="AI1195" s="1">
        <v>941580</v>
      </c>
      <c r="AJ1195" s="1">
        <v>0</v>
      </c>
      <c r="AK1195" s="8">
        <f t="shared" si="75"/>
        <v>50</v>
      </c>
      <c r="AL1195" s="8">
        <f t="shared" si="74"/>
        <v>23</v>
      </c>
      <c r="AM1195">
        <f t="shared" si="72"/>
        <v>0</v>
      </c>
      <c r="AN1195">
        <f t="shared" si="73"/>
        <v>0</v>
      </c>
    </row>
    <row r="1196" spans="1:40" x14ac:dyDescent="0.35">
      <c r="A1196">
        <v>51.902999999999999</v>
      </c>
      <c r="B1196">
        <v>85.138999999999996</v>
      </c>
      <c r="C1196">
        <v>7.1153599999999999</v>
      </c>
      <c r="D1196">
        <v>0.1</v>
      </c>
      <c r="E1196">
        <v>0.02</v>
      </c>
      <c r="F1196">
        <v>2.6282000000000001</v>
      </c>
      <c r="G1196">
        <v>2.9306000000000001</v>
      </c>
      <c r="H1196">
        <v>0</v>
      </c>
      <c r="I1196">
        <v>0.53720000000000001</v>
      </c>
      <c r="J1196">
        <v>5.3222399999999999</v>
      </c>
      <c r="K1196" s="2">
        <v>136127000</v>
      </c>
      <c r="L1196" s="1">
        <v>0</v>
      </c>
      <c r="M1196" s="1">
        <v>0</v>
      </c>
      <c r="N1196" s="1">
        <v>0</v>
      </c>
      <c r="O1196" s="1">
        <v>0</v>
      </c>
      <c r="P1196" s="2">
        <v>3929090</v>
      </c>
      <c r="Q1196" s="1">
        <v>-107267</v>
      </c>
      <c r="R1196" s="1">
        <v>408539</v>
      </c>
      <c r="S1196">
        <v>83.2727</v>
      </c>
      <c r="T1196">
        <v>98.274000000000001</v>
      </c>
      <c r="U1196">
        <v>4.4589600000000003</v>
      </c>
      <c r="V1196">
        <v>0</v>
      </c>
      <c r="W1196">
        <v>0</v>
      </c>
      <c r="X1196">
        <v>2.0006699999999999</v>
      </c>
      <c r="Y1196">
        <v>1.6982699999999999</v>
      </c>
      <c r="Z1196">
        <v>0</v>
      </c>
      <c r="AA1196">
        <v>1.6920900000000001</v>
      </c>
      <c r="AB1196">
        <v>2.9635199999999999</v>
      </c>
      <c r="AC1196" s="2">
        <v>591269000</v>
      </c>
      <c r="AD1196" s="1">
        <v>0</v>
      </c>
      <c r="AE1196" s="1">
        <v>0</v>
      </c>
      <c r="AF1196" s="1">
        <v>0</v>
      </c>
      <c r="AG1196" s="1">
        <v>0</v>
      </c>
      <c r="AH1196" s="2">
        <v>5176200</v>
      </c>
      <c r="AI1196" s="1">
        <v>925602</v>
      </c>
      <c r="AJ1196" s="1">
        <v>0</v>
      </c>
      <c r="AK1196" s="8">
        <f t="shared" si="75"/>
        <v>51</v>
      </c>
      <c r="AL1196" s="8">
        <f t="shared" si="74"/>
        <v>23</v>
      </c>
      <c r="AM1196">
        <f t="shared" si="72"/>
        <v>0</v>
      </c>
      <c r="AN1196">
        <f t="shared" si="73"/>
        <v>0</v>
      </c>
    </row>
    <row r="1197" spans="1:40" x14ac:dyDescent="0.35">
      <c r="A1197">
        <v>53.821899999999999</v>
      </c>
      <c r="B1197">
        <v>85.138999999999996</v>
      </c>
      <c r="C1197">
        <v>4.7457700000000003</v>
      </c>
      <c r="D1197">
        <v>7.0000000000000007E-2</v>
      </c>
      <c r="E1197">
        <v>0.02</v>
      </c>
      <c r="F1197">
        <v>2.6284700000000001</v>
      </c>
      <c r="G1197">
        <v>2.9308700000000001</v>
      </c>
      <c r="H1197">
        <v>0</v>
      </c>
      <c r="I1197">
        <v>0.49252499999999999</v>
      </c>
      <c r="J1197">
        <v>5.3222399999999999</v>
      </c>
      <c r="K1197" s="2">
        <v>136020000</v>
      </c>
      <c r="L1197" s="1">
        <v>0</v>
      </c>
      <c r="M1197" s="1">
        <v>0</v>
      </c>
      <c r="N1197" s="1">
        <v>0</v>
      </c>
      <c r="O1197" s="1">
        <v>0</v>
      </c>
      <c r="P1197" s="2">
        <v>3929490</v>
      </c>
      <c r="Q1197" s="1">
        <v>-107240</v>
      </c>
      <c r="R1197" s="1">
        <v>408539</v>
      </c>
      <c r="S1197">
        <v>83.196299999999994</v>
      </c>
      <c r="T1197">
        <v>98.274000000000001</v>
      </c>
      <c r="U1197">
        <v>2.8226</v>
      </c>
      <c r="V1197">
        <v>0</v>
      </c>
      <c r="W1197">
        <v>0</v>
      </c>
      <c r="X1197">
        <v>2.00082</v>
      </c>
      <c r="Y1197">
        <v>1.69842</v>
      </c>
      <c r="Z1197">
        <v>0</v>
      </c>
      <c r="AA1197">
        <v>1.54572</v>
      </c>
      <c r="AB1197">
        <v>2.9635199999999999</v>
      </c>
      <c r="AC1197" s="2">
        <v>592195000</v>
      </c>
      <c r="AD1197" s="1">
        <v>0</v>
      </c>
      <c r="AE1197" s="1">
        <v>0</v>
      </c>
      <c r="AF1197" s="1">
        <v>0</v>
      </c>
      <c r="AG1197" s="1">
        <v>0</v>
      </c>
      <c r="AH1197" s="2">
        <v>5176600</v>
      </c>
      <c r="AI1197" s="1">
        <v>925616</v>
      </c>
      <c r="AJ1197" s="1">
        <v>0</v>
      </c>
      <c r="AK1197" s="8">
        <f t="shared" si="75"/>
        <v>52</v>
      </c>
      <c r="AL1197" s="8">
        <f t="shared" si="74"/>
        <v>23</v>
      </c>
      <c r="AM1197">
        <f t="shared" si="72"/>
        <v>592195000</v>
      </c>
      <c r="AN1197">
        <f t="shared" si="73"/>
        <v>136020000</v>
      </c>
    </row>
    <row r="1198" spans="1:40" x14ac:dyDescent="0.35">
      <c r="A1198">
        <v>55.319899999999997</v>
      </c>
      <c r="B1198">
        <v>85.138999999999996</v>
      </c>
      <c r="C1198">
        <v>4.4408799999999999</v>
      </c>
      <c r="D1198">
        <v>0.06</v>
      </c>
      <c r="E1198">
        <v>0.02</v>
      </c>
      <c r="F1198">
        <v>2.6287400000000001</v>
      </c>
      <c r="G1198">
        <v>2.9311400000000001</v>
      </c>
      <c r="H1198">
        <v>0</v>
      </c>
      <c r="I1198">
        <v>0.49257499999999999</v>
      </c>
      <c r="J1198">
        <v>5.3222399999999999</v>
      </c>
      <c r="K1198" s="2">
        <v>135912000</v>
      </c>
      <c r="L1198" s="1">
        <v>0</v>
      </c>
      <c r="M1198" s="1">
        <v>0</v>
      </c>
      <c r="N1198" s="1">
        <v>0</v>
      </c>
      <c r="O1198" s="1">
        <v>0</v>
      </c>
      <c r="P1198" s="2">
        <v>3929890</v>
      </c>
      <c r="Q1198" s="1">
        <v>-107212</v>
      </c>
      <c r="R1198" s="1">
        <v>408539</v>
      </c>
      <c r="S1198">
        <v>85.966800000000006</v>
      </c>
      <c r="T1198">
        <v>98.274000000000001</v>
      </c>
      <c r="U1198">
        <v>8.6881299999999992</v>
      </c>
      <c r="V1198">
        <v>0</v>
      </c>
      <c r="W1198">
        <v>0</v>
      </c>
      <c r="X1198">
        <v>2.0009800000000002</v>
      </c>
      <c r="Y1198">
        <v>1.69858</v>
      </c>
      <c r="Z1198">
        <v>0</v>
      </c>
      <c r="AA1198">
        <v>1.5458400000000001</v>
      </c>
      <c r="AB1198">
        <v>2.9635199999999999</v>
      </c>
      <c r="AC1198" s="2">
        <v>593120000</v>
      </c>
      <c r="AD1198" s="1">
        <v>0</v>
      </c>
      <c r="AE1198" s="1">
        <v>0</v>
      </c>
      <c r="AF1198" s="1">
        <v>0</v>
      </c>
      <c r="AG1198" s="1">
        <v>0</v>
      </c>
      <c r="AH1198" s="2">
        <v>5177000</v>
      </c>
      <c r="AI1198" s="1">
        <v>925629</v>
      </c>
      <c r="AJ1198" s="1">
        <v>0</v>
      </c>
      <c r="AK1198" s="8">
        <f t="shared" si="75"/>
        <v>1</v>
      </c>
      <c r="AL1198" s="8">
        <f t="shared" si="74"/>
        <v>24</v>
      </c>
      <c r="AM1198">
        <f t="shared" si="72"/>
        <v>0</v>
      </c>
      <c r="AN1198">
        <f t="shared" si="73"/>
        <v>0</v>
      </c>
    </row>
    <row r="1199" spans="1:40" x14ac:dyDescent="0.35">
      <c r="A1199">
        <v>56.313200000000002</v>
      </c>
      <c r="B1199">
        <v>85.138999999999996</v>
      </c>
      <c r="C1199">
        <v>3.8815499999999998</v>
      </c>
      <c r="D1199">
        <v>0.04</v>
      </c>
      <c r="E1199">
        <v>0.02</v>
      </c>
      <c r="F1199">
        <v>2.629</v>
      </c>
      <c r="G1199">
        <v>2.9314</v>
      </c>
      <c r="H1199">
        <v>0</v>
      </c>
      <c r="I1199">
        <v>0.49262499999999998</v>
      </c>
      <c r="J1199">
        <v>5.3222399999999999</v>
      </c>
      <c r="K1199" s="2">
        <v>135805000</v>
      </c>
      <c r="L1199" s="1">
        <v>0</v>
      </c>
      <c r="M1199" s="1">
        <v>0</v>
      </c>
      <c r="N1199" s="1">
        <v>0</v>
      </c>
      <c r="O1199" s="1">
        <v>0</v>
      </c>
      <c r="P1199" s="2">
        <v>3930290</v>
      </c>
      <c r="Q1199" s="1">
        <v>-107185</v>
      </c>
      <c r="R1199" s="1">
        <v>408539</v>
      </c>
      <c r="S1199">
        <v>86.772599999999997</v>
      </c>
      <c r="T1199">
        <v>98.274000000000001</v>
      </c>
      <c r="U1199">
        <v>4.5899700000000001</v>
      </c>
      <c r="V1199">
        <v>0</v>
      </c>
      <c r="W1199">
        <v>0</v>
      </c>
      <c r="X1199">
        <v>2.0011299999999999</v>
      </c>
      <c r="Y1199">
        <v>1.6987300000000001</v>
      </c>
      <c r="Z1199">
        <v>0</v>
      </c>
      <c r="AA1199">
        <v>1.54596</v>
      </c>
      <c r="AB1199">
        <v>2.9635199999999999</v>
      </c>
      <c r="AC1199" s="2">
        <v>594046000</v>
      </c>
      <c r="AD1199" s="1">
        <v>0</v>
      </c>
      <c r="AE1199" s="1">
        <v>0</v>
      </c>
      <c r="AF1199" s="1">
        <v>0</v>
      </c>
      <c r="AG1199" s="1">
        <v>0</v>
      </c>
      <c r="AH1199" s="2">
        <v>5177410</v>
      </c>
      <c r="AI1199" s="1">
        <v>925642</v>
      </c>
      <c r="AJ1199" s="1">
        <v>0</v>
      </c>
      <c r="AK1199" s="8">
        <f t="shared" si="75"/>
        <v>2</v>
      </c>
      <c r="AL1199" s="8">
        <f t="shared" si="74"/>
        <v>24</v>
      </c>
      <c r="AM1199">
        <f t="shared" si="72"/>
        <v>0</v>
      </c>
      <c r="AN1199">
        <f t="shared" si="73"/>
        <v>0</v>
      </c>
    </row>
    <row r="1200" spans="1:40" x14ac:dyDescent="0.35">
      <c r="A1200">
        <v>56.0212</v>
      </c>
      <c r="B1200">
        <v>85.138999999999996</v>
      </c>
      <c r="C1200">
        <v>2.5037500000000001</v>
      </c>
      <c r="D1200">
        <v>0.04</v>
      </c>
      <c r="E1200">
        <v>0.02</v>
      </c>
      <c r="F1200">
        <v>2.62927</v>
      </c>
      <c r="G1200">
        <v>2.93167</v>
      </c>
      <c r="H1200">
        <v>0</v>
      </c>
      <c r="I1200">
        <v>0.49267499999999997</v>
      </c>
      <c r="J1200">
        <v>5.3222399999999999</v>
      </c>
      <c r="K1200" s="2">
        <v>135698000</v>
      </c>
      <c r="L1200" s="1">
        <v>0</v>
      </c>
      <c r="M1200" s="1">
        <v>0</v>
      </c>
      <c r="N1200" s="1">
        <v>0</v>
      </c>
      <c r="O1200" s="1">
        <v>0</v>
      </c>
      <c r="P1200" s="2">
        <v>3930690</v>
      </c>
      <c r="Q1200" s="1">
        <v>-107157</v>
      </c>
      <c r="R1200" s="1">
        <v>408539</v>
      </c>
      <c r="S1200">
        <v>86.947299999999998</v>
      </c>
      <c r="T1200">
        <v>98.274000000000001</v>
      </c>
      <c r="U1200">
        <v>3.1207099999999999</v>
      </c>
      <c r="V1200">
        <v>0</v>
      </c>
      <c r="W1200">
        <v>0</v>
      </c>
      <c r="X1200">
        <v>2.00129</v>
      </c>
      <c r="Y1200">
        <v>1.69889</v>
      </c>
      <c r="Z1200">
        <v>0</v>
      </c>
      <c r="AA1200">
        <v>1.5460700000000001</v>
      </c>
      <c r="AB1200">
        <v>2.9635199999999999</v>
      </c>
      <c r="AC1200" s="2">
        <v>594972000</v>
      </c>
      <c r="AD1200" s="1">
        <v>0</v>
      </c>
      <c r="AE1200" s="1">
        <v>0</v>
      </c>
      <c r="AF1200" s="1">
        <v>0</v>
      </c>
      <c r="AG1200" s="1">
        <v>0</v>
      </c>
      <c r="AH1200" s="2">
        <v>5177810</v>
      </c>
      <c r="AI1200" s="1">
        <v>925655</v>
      </c>
      <c r="AJ1200" s="1">
        <v>0</v>
      </c>
      <c r="AK1200" s="8">
        <f t="shared" si="75"/>
        <v>3</v>
      </c>
      <c r="AL1200" s="8">
        <f t="shared" si="74"/>
        <v>24</v>
      </c>
      <c r="AM1200">
        <f t="shared" si="72"/>
        <v>0</v>
      </c>
      <c r="AN1200">
        <f t="shared" si="73"/>
        <v>0</v>
      </c>
    </row>
    <row r="1201" spans="1:40" x14ac:dyDescent="0.35">
      <c r="A1201">
        <v>57.990400000000001</v>
      </c>
      <c r="B1201">
        <v>85.138999999999996</v>
      </c>
      <c r="C1201">
        <v>5.0386600000000001</v>
      </c>
      <c r="D1201">
        <v>0.06</v>
      </c>
      <c r="E1201">
        <v>0.02</v>
      </c>
      <c r="F1201">
        <v>2.7213799999999999</v>
      </c>
      <c r="G1201">
        <v>3.0237799999999999</v>
      </c>
      <c r="H1201">
        <v>0</v>
      </c>
      <c r="I1201">
        <v>0.49272500000000002</v>
      </c>
      <c r="J1201">
        <v>5.3222399999999999</v>
      </c>
      <c r="K1201" s="2">
        <v>135600000</v>
      </c>
      <c r="L1201" s="1">
        <v>0</v>
      </c>
      <c r="M1201" s="1">
        <v>0</v>
      </c>
      <c r="N1201" s="1">
        <v>0</v>
      </c>
      <c r="O1201" s="1">
        <v>0</v>
      </c>
      <c r="P1201" s="2">
        <v>4068400</v>
      </c>
      <c r="Q1201" s="1">
        <v>-97687.9</v>
      </c>
      <c r="R1201" s="1">
        <v>408539</v>
      </c>
      <c r="S1201">
        <v>87.417000000000002</v>
      </c>
      <c r="T1201">
        <v>98.274000000000001</v>
      </c>
      <c r="U1201">
        <v>3.8519600000000001</v>
      </c>
      <c r="V1201">
        <v>0</v>
      </c>
      <c r="W1201">
        <v>0</v>
      </c>
      <c r="X1201">
        <v>2.0563799999999999</v>
      </c>
      <c r="Y1201">
        <v>1.7539800000000001</v>
      </c>
      <c r="Z1201">
        <v>0</v>
      </c>
      <c r="AA1201">
        <v>1.54619</v>
      </c>
      <c r="AB1201">
        <v>2.9635199999999999</v>
      </c>
      <c r="AC1201" s="2">
        <v>595902000</v>
      </c>
      <c r="AD1201" s="1">
        <v>0</v>
      </c>
      <c r="AE1201" s="1">
        <v>0</v>
      </c>
      <c r="AF1201" s="1">
        <v>0</v>
      </c>
      <c r="AG1201" s="1">
        <v>0</v>
      </c>
      <c r="AH1201" s="2">
        <v>5320330</v>
      </c>
      <c r="AI1201" s="1">
        <v>930301</v>
      </c>
      <c r="AJ1201" s="1">
        <v>0</v>
      </c>
      <c r="AK1201" s="8">
        <f t="shared" si="75"/>
        <v>4</v>
      </c>
      <c r="AL1201" s="8">
        <f t="shared" si="74"/>
        <v>24</v>
      </c>
      <c r="AM1201">
        <f t="shared" si="72"/>
        <v>0</v>
      </c>
      <c r="AN1201">
        <f t="shared" si="73"/>
        <v>0</v>
      </c>
    </row>
    <row r="1202" spans="1:40" x14ac:dyDescent="0.35">
      <c r="A1202">
        <v>60.180700000000002</v>
      </c>
      <c r="B1202">
        <v>85.138999999999996</v>
      </c>
      <c r="C1202">
        <v>5.1547000000000001</v>
      </c>
      <c r="D1202">
        <v>0.05</v>
      </c>
      <c r="E1202">
        <v>0.02</v>
      </c>
      <c r="F1202">
        <v>2.7216399999999998</v>
      </c>
      <c r="G1202">
        <v>3.0240399999999998</v>
      </c>
      <c r="H1202">
        <v>0</v>
      </c>
      <c r="I1202">
        <v>0.50998699999999997</v>
      </c>
      <c r="J1202">
        <v>5.3222399999999999</v>
      </c>
      <c r="K1202" s="2">
        <v>135503000</v>
      </c>
      <c r="L1202" s="1">
        <v>0</v>
      </c>
      <c r="M1202" s="1">
        <v>0</v>
      </c>
      <c r="N1202" s="1">
        <v>0</v>
      </c>
      <c r="O1202" s="2">
        <v>29016000</v>
      </c>
      <c r="P1202" s="2">
        <v>4068780</v>
      </c>
      <c r="Q1202" s="1">
        <v>-97661.5</v>
      </c>
      <c r="R1202" s="1">
        <v>408539</v>
      </c>
      <c r="S1202">
        <v>87.974400000000003</v>
      </c>
      <c r="T1202">
        <v>98.274000000000001</v>
      </c>
      <c r="U1202">
        <v>4.2427599999999996</v>
      </c>
      <c r="V1202">
        <v>0</v>
      </c>
      <c r="W1202">
        <v>0</v>
      </c>
      <c r="X1202">
        <v>2.0565199999999999</v>
      </c>
      <c r="Y1202">
        <v>1.7541199999999999</v>
      </c>
      <c r="Z1202">
        <v>0</v>
      </c>
      <c r="AA1202">
        <v>1.58876</v>
      </c>
      <c r="AB1202">
        <v>2.9635199999999999</v>
      </c>
      <c r="AC1202" s="2">
        <v>596832000</v>
      </c>
      <c r="AD1202" s="1">
        <v>0</v>
      </c>
      <c r="AE1202" s="1">
        <v>0</v>
      </c>
      <c r="AF1202" s="1">
        <v>0</v>
      </c>
      <c r="AG1202" s="2">
        <v>7883220</v>
      </c>
      <c r="AH1202" s="2">
        <v>5320720</v>
      </c>
      <c r="AI1202" s="1">
        <v>930313</v>
      </c>
      <c r="AJ1202" s="1">
        <v>0</v>
      </c>
      <c r="AK1202" s="8">
        <f t="shared" si="75"/>
        <v>5</v>
      </c>
      <c r="AL1202" s="8">
        <f t="shared" si="74"/>
        <v>24</v>
      </c>
      <c r="AM1202">
        <f t="shared" si="72"/>
        <v>0</v>
      </c>
      <c r="AN1202">
        <f t="shared" si="73"/>
        <v>0</v>
      </c>
    </row>
    <row r="1203" spans="1:40" x14ac:dyDescent="0.35">
      <c r="A1203">
        <v>63.131300000000003</v>
      </c>
      <c r="B1203">
        <v>85.138999999999996</v>
      </c>
      <c r="C1203">
        <v>5.99282</v>
      </c>
      <c r="D1203">
        <v>0.04</v>
      </c>
      <c r="E1203">
        <v>0.02</v>
      </c>
      <c r="F1203">
        <v>2.7219000000000002</v>
      </c>
      <c r="G1203">
        <v>3.0243000000000002</v>
      </c>
      <c r="H1203">
        <v>0</v>
      </c>
      <c r="I1203">
        <v>0.51003500000000002</v>
      </c>
      <c r="J1203">
        <v>5.3222399999999999</v>
      </c>
      <c r="K1203" s="2">
        <v>135405000</v>
      </c>
      <c r="L1203" s="1">
        <v>0</v>
      </c>
      <c r="M1203" s="1">
        <v>0</v>
      </c>
      <c r="N1203" s="1">
        <v>0</v>
      </c>
      <c r="O1203" s="1">
        <v>0</v>
      </c>
      <c r="P1203" s="2">
        <v>4069160</v>
      </c>
      <c r="Q1203" s="1">
        <v>-97635.1</v>
      </c>
      <c r="R1203" s="1">
        <v>408539</v>
      </c>
      <c r="S1203">
        <v>88.775400000000005</v>
      </c>
      <c r="T1203">
        <v>98.274000000000001</v>
      </c>
      <c r="U1203">
        <v>5.1759700000000004</v>
      </c>
      <c r="V1203">
        <v>0</v>
      </c>
      <c r="W1203">
        <v>0</v>
      </c>
      <c r="X1203">
        <v>2.05667</v>
      </c>
      <c r="Y1203">
        <v>1.75427</v>
      </c>
      <c r="Z1203">
        <v>0</v>
      </c>
      <c r="AA1203">
        <v>1.58887</v>
      </c>
      <c r="AB1203">
        <v>2.9635199999999999</v>
      </c>
      <c r="AC1203" s="2">
        <v>597763000</v>
      </c>
      <c r="AD1203" s="1">
        <v>0</v>
      </c>
      <c r="AE1203" s="1">
        <v>0</v>
      </c>
      <c r="AF1203" s="1">
        <v>0</v>
      </c>
      <c r="AG1203" s="1">
        <v>0</v>
      </c>
      <c r="AH1203" s="2">
        <v>5321100</v>
      </c>
      <c r="AI1203" s="1">
        <v>930326</v>
      </c>
      <c r="AJ1203" s="1">
        <v>0</v>
      </c>
      <c r="AK1203" s="8">
        <f t="shared" si="75"/>
        <v>6</v>
      </c>
      <c r="AL1203" s="8">
        <f t="shared" si="74"/>
        <v>24</v>
      </c>
      <c r="AM1203">
        <f t="shared" si="72"/>
        <v>0</v>
      </c>
      <c r="AN1203">
        <f t="shared" si="73"/>
        <v>0</v>
      </c>
    </row>
    <row r="1204" spans="1:40" x14ac:dyDescent="0.35">
      <c r="A1204">
        <v>68.362399999999994</v>
      </c>
      <c r="B1204">
        <v>85.138999999999996</v>
      </c>
      <c r="C1204">
        <v>8.3926300000000005</v>
      </c>
      <c r="D1204">
        <v>0.04</v>
      </c>
      <c r="E1204">
        <v>0.02</v>
      </c>
      <c r="F1204">
        <v>2.7221500000000001</v>
      </c>
      <c r="G1204">
        <v>3.0245500000000001</v>
      </c>
      <c r="H1204">
        <v>0</v>
      </c>
      <c r="I1204">
        <v>0.51008299999999995</v>
      </c>
      <c r="J1204">
        <v>5.3222399999999999</v>
      </c>
      <c r="K1204" s="2">
        <v>135307000</v>
      </c>
      <c r="L1204" s="1">
        <v>0</v>
      </c>
      <c r="M1204" s="1">
        <v>0</v>
      </c>
      <c r="N1204" s="1">
        <v>0</v>
      </c>
      <c r="O1204" s="1">
        <v>0</v>
      </c>
      <c r="P1204" s="2">
        <v>4069550</v>
      </c>
      <c r="Q1204" s="1">
        <v>-97608.7</v>
      </c>
      <c r="R1204" s="1">
        <v>408539</v>
      </c>
      <c r="S1204">
        <v>89.773799999999994</v>
      </c>
      <c r="T1204">
        <v>98.274000000000001</v>
      </c>
      <c r="U1204">
        <v>5.8616400000000004</v>
      </c>
      <c r="V1204">
        <v>0</v>
      </c>
      <c r="W1204">
        <v>0</v>
      </c>
      <c r="X1204">
        <v>2.0568200000000001</v>
      </c>
      <c r="Y1204">
        <v>1.7544200000000001</v>
      </c>
      <c r="Z1204">
        <v>0</v>
      </c>
      <c r="AA1204">
        <v>1.5889899999999999</v>
      </c>
      <c r="AB1204">
        <v>2.9635199999999999</v>
      </c>
      <c r="AC1204" s="2">
        <v>598693000</v>
      </c>
      <c r="AD1204" s="1">
        <v>0</v>
      </c>
      <c r="AE1204" s="1">
        <v>0</v>
      </c>
      <c r="AF1204" s="1">
        <v>0</v>
      </c>
      <c r="AG1204" s="1">
        <v>0</v>
      </c>
      <c r="AH1204" s="2">
        <v>5321490</v>
      </c>
      <c r="AI1204" s="1">
        <v>930338</v>
      </c>
      <c r="AJ1204" s="1">
        <v>0</v>
      </c>
      <c r="AK1204" s="8">
        <f t="shared" si="75"/>
        <v>7</v>
      </c>
      <c r="AL1204" s="8">
        <f t="shared" si="74"/>
        <v>24</v>
      </c>
      <c r="AM1204">
        <f t="shared" si="72"/>
        <v>0</v>
      </c>
      <c r="AN1204">
        <f t="shared" si="73"/>
        <v>0</v>
      </c>
    </row>
    <row r="1205" spans="1:40" x14ac:dyDescent="0.35">
      <c r="A1205">
        <v>71.470399999999998</v>
      </c>
      <c r="B1205">
        <v>85.138999999999996</v>
      </c>
      <c r="C1205">
        <v>6.7085100000000004</v>
      </c>
      <c r="D1205">
        <v>0.04</v>
      </c>
      <c r="E1205">
        <v>0.02</v>
      </c>
      <c r="F1205">
        <v>3.0174400000000001</v>
      </c>
      <c r="G1205">
        <v>3.3198400000000001</v>
      </c>
      <c r="H1205">
        <v>0</v>
      </c>
      <c r="I1205">
        <v>0.510131</v>
      </c>
      <c r="J1205">
        <v>5.3222399999999999</v>
      </c>
      <c r="K1205" s="2">
        <v>135240000</v>
      </c>
      <c r="L1205" s="1">
        <v>0</v>
      </c>
      <c r="M1205" s="1">
        <v>0</v>
      </c>
      <c r="N1205" s="1">
        <v>0</v>
      </c>
      <c r="O1205" s="1">
        <v>0</v>
      </c>
      <c r="P1205" s="2">
        <v>4511000</v>
      </c>
      <c r="Q1205" s="1">
        <v>-67252.399999999994</v>
      </c>
      <c r="R1205" s="1">
        <v>408539</v>
      </c>
      <c r="S1205">
        <v>90.540800000000004</v>
      </c>
      <c r="T1205">
        <v>98.274000000000001</v>
      </c>
      <c r="U1205">
        <v>6.3487299999999998</v>
      </c>
      <c r="V1205">
        <v>0</v>
      </c>
      <c r="W1205">
        <v>0</v>
      </c>
      <c r="X1205">
        <v>2.2632699999999999</v>
      </c>
      <c r="Y1205">
        <v>1.9608699999999999</v>
      </c>
      <c r="Z1205">
        <v>0</v>
      </c>
      <c r="AA1205">
        <v>1.5891</v>
      </c>
      <c r="AB1205">
        <v>2.9635199999999999</v>
      </c>
      <c r="AC1205" s="2">
        <v>599641000</v>
      </c>
      <c r="AD1205" s="1">
        <v>0</v>
      </c>
      <c r="AE1205" s="1">
        <v>0</v>
      </c>
      <c r="AF1205" s="1">
        <v>0</v>
      </c>
      <c r="AG1205" s="1">
        <v>0</v>
      </c>
      <c r="AH1205" s="2">
        <v>5855620</v>
      </c>
      <c r="AI1205" s="1">
        <v>947749</v>
      </c>
      <c r="AJ1205" s="1">
        <v>0</v>
      </c>
      <c r="AK1205" s="8">
        <f t="shared" si="75"/>
        <v>8</v>
      </c>
      <c r="AL1205" s="8">
        <f t="shared" si="74"/>
        <v>24</v>
      </c>
      <c r="AM1205">
        <f t="shared" si="72"/>
        <v>0</v>
      </c>
      <c r="AN1205">
        <f t="shared" si="73"/>
        <v>0</v>
      </c>
    </row>
    <row r="1206" spans="1:40" x14ac:dyDescent="0.35">
      <c r="A1206">
        <v>72.889200000000002</v>
      </c>
      <c r="B1206">
        <v>85.138999999999996</v>
      </c>
      <c r="C1206">
        <v>4.8178999999999998</v>
      </c>
      <c r="D1206">
        <v>0.02</v>
      </c>
      <c r="E1206">
        <v>0.02</v>
      </c>
      <c r="F1206">
        <v>3.0177200000000002</v>
      </c>
      <c r="G1206">
        <v>3.3201200000000002</v>
      </c>
      <c r="H1206">
        <v>0</v>
      </c>
      <c r="I1206">
        <v>0.565469</v>
      </c>
      <c r="J1206">
        <v>5.3222399999999999</v>
      </c>
      <c r="K1206" s="2">
        <v>135173000</v>
      </c>
      <c r="L1206" s="1">
        <v>0</v>
      </c>
      <c r="M1206" s="1">
        <v>0</v>
      </c>
      <c r="N1206" s="1">
        <v>0</v>
      </c>
      <c r="O1206" s="1">
        <v>0</v>
      </c>
      <c r="P1206" s="2">
        <v>4511420</v>
      </c>
      <c r="Q1206" s="1">
        <v>-67223.399999999994</v>
      </c>
      <c r="R1206" s="1">
        <v>408539</v>
      </c>
      <c r="S1206">
        <v>91.036299999999997</v>
      </c>
      <c r="T1206">
        <v>98.274000000000001</v>
      </c>
      <c r="U1206">
        <v>3.8940700000000001</v>
      </c>
      <c r="V1206">
        <v>0</v>
      </c>
      <c r="W1206">
        <v>0</v>
      </c>
      <c r="X1206">
        <v>2.2634400000000001</v>
      </c>
      <c r="Y1206">
        <v>1.9610399999999999</v>
      </c>
      <c r="Z1206">
        <v>0</v>
      </c>
      <c r="AA1206">
        <v>1.7485999999999999</v>
      </c>
      <c r="AB1206">
        <v>2.9635199999999999</v>
      </c>
      <c r="AC1206" s="2">
        <v>600589000</v>
      </c>
      <c r="AD1206" s="1">
        <v>0</v>
      </c>
      <c r="AE1206" s="1">
        <v>0</v>
      </c>
      <c r="AF1206" s="1">
        <v>0</v>
      </c>
      <c r="AG1206" s="1">
        <v>0</v>
      </c>
      <c r="AH1206" s="2">
        <v>5856050</v>
      </c>
      <c r="AI1206" s="1">
        <v>947763</v>
      </c>
      <c r="AJ1206" s="1">
        <v>0</v>
      </c>
      <c r="AK1206" s="8">
        <f t="shared" si="75"/>
        <v>9</v>
      </c>
      <c r="AL1206" s="8">
        <f t="shared" si="74"/>
        <v>24</v>
      </c>
      <c r="AM1206">
        <f t="shared" si="72"/>
        <v>0</v>
      </c>
      <c r="AN1206">
        <f t="shared" si="73"/>
        <v>0</v>
      </c>
    </row>
    <row r="1207" spans="1:40" x14ac:dyDescent="0.35">
      <c r="A1207">
        <v>74.128600000000006</v>
      </c>
      <c r="B1207">
        <v>85.138999999999996</v>
      </c>
      <c r="C1207">
        <v>4.7273899999999998</v>
      </c>
      <c r="D1207">
        <v>0.02</v>
      </c>
      <c r="E1207">
        <v>0.02</v>
      </c>
      <c r="F1207">
        <v>3.0180099999999999</v>
      </c>
      <c r="G1207">
        <v>3.3204099999999999</v>
      </c>
      <c r="H1207">
        <v>0</v>
      </c>
      <c r="I1207">
        <v>0.56552100000000005</v>
      </c>
      <c r="J1207">
        <v>5.3222399999999999</v>
      </c>
      <c r="K1207" s="2">
        <v>135106000</v>
      </c>
      <c r="L1207" s="1">
        <v>0</v>
      </c>
      <c r="M1207" s="1">
        <v>0</v>
      </c>
      <c r="N1207" s="1">
        <v>0</v>
      </c>
      <c r="O1207" s="1">
        <v>0</v>
      </c>
      <c r="P1207" s="2">
        <v>4511840</v>
      </c>
      <c r="Q1207" s="1">
        <v>-67194.5</v>
      </c>
      <c r="R1207" s="1">
        <v>408539</v>
      </c>
      <c r="S1207">
        <v>91.193600000000004</v>
      </c>
      <c r="T1207">
        <v>98.274000000000001</v>
      </c>
      <c r="U1207">
        <v>3.8855599999999999</v>
      </c>
      <c r="V1207">
        <v>0</v>
      </c>
      <c r="W1207">
        <v>0</v>
      </c>
      <c r="X1207">
        <v>2.2635999999999998</v>
      </c>
      <c r="Y1207">
        <v>1.9612000000000001</v>
      </c>
      <c r="Z1207">
        <v>0</v>
      </c>
      <c r="AA1207">
        <v>1.7487299999999999</v>
      </c>
      <c r="AB1207">
        <v>2.9635199999999999</v>
      </c>
      <c r="AC1207" s="2">
        <v>601536000</v>
      </c>
      <c r="AD1207" s="1">
        <v>0</v>
      </c>
      <c r="AE1207" s="1">
        <v>0</v>
      </c>
      <c r="AF1207" s="1">
        <v>0</v>
      </c>
      <c r="AG1207" s="1">
        <v>0</v>
      </c>
      <c r="AH1207" s="2">
        <v>5856480</v>
      </c>
      <c r="AI1207" s="1">
        <v>947777</v>
      </c>
      <c r="AJ1207" s="1">
        <v>0</v>
      </c>
      <c r="AK1207" s="8">
        <f t="shared" si="75"/>
        <v>10</v>
      </c>
      <c r="AL1207" s="8">
        <f t="shared" si="74"/>
        <v>24</v>
      </c>
      <c r="AM1207">
        <f t="shared" si="72"/>
        <v>0</v>
      </c>
      <c r="AN1207">
        <f t="shared" si="73"/>
        <v>0</v>
      </c>
    </row>
    <row r="1208" spans="1:40" x14ac:dyDescent="0.35">
      <c r="A1208">
        <v>74.608500000000006</v>
      </c>
      <c r="B1208">
        <v>85.138999999999996</v>
      </c>
      <c r="C1208">
        <v>3.8533499999999998</v>
      </c>
      <c r="D1208">
        <v>0.01</v>
      </c>
      <c r="E1208">
        <v>0.02</v>
      </c>
      <c r="F1208">
        <v>3.0182899999999999</v>
      </c>
      <c r="G1208">
        <v>3.3206899999999999</v>
      </c>
      <c r="H1208">
        <v>0</v>
      </c>
      <c r="I1208">
        <v>0.56557400000000002</v>
      </c>
      <c r="J1208">
        <v>5.3222399999999999</v>
      </c>
      <c r="K1208" s="2">
        <v>135039000</v>
      </c>
      <c r="L1208" s="1">
        <v>0</v>
      </c>
      <c r="M1208" s="1">
        <v>0</v>
      </c>
      <c r="N1208" s="1">
        <v>0</v>
      </c>
      <c r="O1208" s="1">
        <v>0</v>
      </c>
      <c r="P1208" s="2">
        <v>4512260</v>
      </c>
      <c r="Q1208" s="1">
        <v>-67165.5</v>
      </c>
      <c r="R1208" s="1">
        <v>408539</v>
      </c>
      <c r="S1208">
        <v>91.320300000000003</v>
      </c>
      <c r="T1208">
        <v>98.274000000000001</v>
      </c>
      <c r="U1208">
        <v>2.8895400000000002</v>
      </c>
      <c r="V1208">
        <v>0</v>
      </c>
      <c r="W1208">
        <v>0</v>
      </c>
      <c r="X1208">
        <v>2.2637700000000001</v>
      </c>
      <c r="Y1208">
        <v>1.9613700000000001</v>
      </c>
      <c r="Z1208">
        <v>0</v>
      </c>
      <c r="AA1208">
        <v>1.7488600000000001</v>
      </c>
      <c r="AB1208">
        <v>2.9635199999999999</v>
      </c>
      <c r="AC1208" s="2">
        <v>602484000</v>
      </c>
      <c r="AD1208" s="1">
        <v>0</v>
      </c>
      <c r="AE1208" s="1">
        <v>0</v>
      </c>
      <c r="AF1208" s="1">
        <v>0</v>
      </c>
      <c r="AG1208" s="1">
        <v>0</v>
      </c>
      <c r="AH1208" s="2">
        <v>5856910</v>
      </c>
      <c r="AI1208" s="1">
        <v>947791</v>
      </c>
      <c r="AJ1208" s="1">
        <v>0</v>
      </c>
      <c r="AK1208" s="8">
        <f t="shared" si="75"/>
        <v>11</v>
      </c>
      <c r="AL1208" s="8">
        <f t="shared" si="74"/>
        <v>24</v>
      </c>
      <c r="AM1208">
        <f t="shared" si="72"/>
        <v>0</v>
      </c>
      <c r="AN1208">
        <f t="shared" si="73"/>
        <v>0</v>
      </c>
    </row>
    <row r="1209" spans="1:40" x14ac:dyDescent="0.35">
      <c r="A1209">
        <v>77.963700000000003</v>
      </c>
      <c r="B1209">
        <v>85.138999999999996</v>
      </c>
      <c r="C1209">
        <v>6.5021000000000004</v>
      </c>
      <c r="D1209">
        <v>0.01</v>
      </c>
      <c r="E1209">
        <v>0.02</v>
      </c>
      <c r="F1209">
        <v>2.59761</v>
      </c>
      <c r="G1209">
        <v>2.90001</v>
      </c>
      <c r="H1209">
        <v>0</v>
      </c>
      <c r="I1209">
        <v>0.56562699999999999</v>
      </c>
      <c r="J1209">
        <v>5.3222399999999999</v>
      </c>
      <c r="K1209" s="2">
        <v>134928000</v>
      </c>
      <c r="L1209" s="1">
        <v>0</v>
      </c>
      <c r="M1209" s="1">
        <v>0</v>
      </c>
      <c r="N1209" s="1">
        <v>0</v>
      </c>
      <c r="O1209" s="1">
        <v>0</v>
      </c>
      <c r="P1209" s="2">
        <v>3883370</v>
      </c>
      <c r="Q1209" s="1">
        <v>-110411</v>
      </c>
      <c r="R1209" s="1">
        <v>408539</v>
      </c>
      <c r="S1209">
        <v>92.401899999999998</v>
      </c>
      <c r="T1209">
        <v>98.274000000000001</v>
      </c>
      <c r="U1209">
        <v>5.8031499999999996</v>
      </c>
      <c r="V1209">
        <v>0</v>
      </c>
      <c r="W1209">
        <v>0</v>
      </c>
      <c r="X1209">
        <v>1.98699</v>
      </c>
      <c r="Y1209">
        <v>1.68459</v>
      </c>
      <c r="Z1209">
        <v>0</v>
      </c>
      <c r="AA1209">
        <v>1.74899</v>
      </c>
      <c r="AB1209">
        <v>2.9635199999999999</v>
      </c>
      <c r="AC1209" s="2">
        <v>603409000</v>
      </c>
      <c r="AD1209" s="1">
        <v>0</v>
      </c>
      <c r="AE1209" s="1">
        <v>0</v>
      </c>
      <c r="AF1209" s="1">
        <v>0</v>
      </c>
      <c r="AG1209" s="1">
        <v>0</v>
      </c>
      <c r="AH1209" s="2">
        <v>5140800</v>
      </c>
      <c r="AI1209" s="1">
        <v>924449</v>
      </c>
      <c r="AJ1209" s="1">
        <v>0</v>
      </c>
      <c r="AK1209" s="8">
        <f t="shared" si="75"/>
        <v>12</v>
      </c>
      <c r="AL1209" s="8">
        <f t="shared" si="74"/>
        <v>24</v>
      </c>
      <c r="AM1209">
        <f t="shared" si="72"/>
        <v>0</v>
      </c>
      <c r="AN1209">
        <f t="shared" si="73"/>
        <v>0</v>
      </c>
    </row>
    <row r="1210" spans="1:40" x14ac:dyDescent="0.35">
      <c r="A1210">
        <v>80.298199999999994</v>
      </c>
      <c r="B1210">
        <v>85.138999999999996</v>
      </c>
      <c r="C1210">
        <v>5.4670899999999998</v>
      </c>
      <c r="D1210">
        <v>0.01</v>
      </c>
      <c r="E1210">
        <v>0.02</v>
      </c>
      <c r="F1210">
        <v>2.5978599999999998</v>
      </c>
      <c r="G1210">
        <v>2.9002599999999998</v>
      </c>
      <c r="H1210">
        <v>0</v>
      </c>
      <c r="I1210">
        <v>0.48679299999999998</v>
      </c>
      <c r="J1210">
        <v>5.3222399999999999</v>
      </c>
      <c r="K1210" s="2">
        <v>134818000</v>
      </c>
      <c r="L1210" s="1">
        <v>0</v>
      </c>
      <c r="M1210" s="1">
        <v>0</v>
      </c>
      <c r="N1210" s="1">
        <v>0</v>
      </c>
      <c r="O1210" s="1">
        <v>0</v>
      </c>
      <c r="P1210" s="2">
        <v>3883740</v>
      </c>
      <c r="Q1210" s="1">
        <v>-110386</v>
      </c>
      <c r="R1210" s="1">
        <v>408539</v>
      </c>
      <c r="S1210">
        <v>93.836799999999997</v>
      </c>
      <c r="T1210">
        <v>98.274000000000001</v>
      </c>
      <c r="U1210">
        <v>6.7756699999999999</v>
      </c>
      <c r="V1210">
        <v>0</v>
      </c>
      <c r="W1210">
        <v>0</v>
      </c>
      <c r="X1210">
        <v>1.9871300000000001</v>
      </c>
      <c r="Y1210">
        <v>1.6847300000000001</v>
      </c>
      <c r="Z1210">
        <v>0</v>
      </c>
      <c r="AA1210">
        <v>1.53515</v>
      </c>
      <c r="AB1210">
        <v>2.9635199999999999</v>
      </c>
      <c r="AC1210" s="2">
        <v>604333000</v>
      </c>
      <c r="AD1210" s="1">
        <v>0</v>
      </c>
      <c r="AE1210" s="1">
        <v>0</v>
      </c>
      <c r="AF1210" s="1">
        <v>0</v>
      </c>
      <c r="AG1210" s="1">
        <v>0</v>
      </c>
      <c r="AH1210" s="2">
        <v>5141170</v>
      </c>
      <c r="AI1210" s="1">
        <v>924461</v>
      </c>
      <c r="AJ1210" s="1">
        <v>0</v>
      </c>
      <c r="AK1210" s="8">
        <f t="shared" si="75"/>
        <v>13</v>
      </c>
      <c r="AL1210" s="8">
        <f t="shared" si="74"/>
        <v>24</v>
      </c>
      <c r="AM1210">
        <f t="shared" si="72"/>
        <v>0</v>
      </c>
      <c r="AN1210">
        <f t="shared" si="73"/>
        <v>0</v>
      </c>
    </row>
    <row r="1211" spans="1:40" x14ac:dyDescent="0.35">
      <c r="A1211">
        <v>82.696700000000007</v>
      </c>
      <c r="B1211">
        <v>85.138999999999996</v>
      </c>
      <c r="C1211">
        <v>5.8239099999999997</v>
      </c>
      <c r="D1211">
        <v>0</v>
      </c>
      <c r="E1211">
        <v>0.02</v>
      </c>
      <c r="F1211">
        <v>2.9005100000000001</v>
      </c>
      <c r="G1211">
        <v>2.9005100000000001</v>
      </c>
      <c r="H1211">
        <v>0</v>
      </c>
      <c r="I1211">
        <v>0.48683900000000002</v>
      </c>
      <c r="J1211">
        <v>5.3222399999999999</v>
      </c>
      <c r="K1211" s="2">
        <v>135116000</v>
      </c>
      <c r="L1211" s="1">
        <v>0</v>
      </c>
      <c r="M1211" s="1">
        <v>0</v>
      </c>
      <c r="N1211" s="1">
        <v>0</v>
      </c>
      <c r="O1211" s="1">
        <v>0</v>
      </c>
      <c r="P1211" s="2">
        <v>4336180</v>
      </c>
      <c r="Q1211" s="1">
        <v>298178</v>
      </c>
      <c r="R1211" s="1">
        <v>0</v>
      </c>
      <c r="S1211">
        <v>95.737899999999996</v>
      </c>
      <c r="T1211">
        <v>98.274000000000001</v>
      </c>
      <c r="U1211">
        <v>7.5588100000000003</v>
      </c>
      <c r="V1211">
        <v>0</v>
      </c>
      <c r="W1211">
        <v>0</v>
      </c>
      <c r="X1211">
        <v>1.6848700000000001</v>
      </c>
      <c r="Y1211">
        <v>1.6848700000000001</v>
      </c>
      <c r="Z1211">
        <v>0</v>
      </c>
      <c r="AA1211">
        <v>1.5352600000000001</v>
      </c>
      <c r="AB1211">
        <v>2.9635199999999999</v>
      </c>
      <c r="AC1211" s="2">
        <v>604475000</v>
      </c>
      <c r="AD1211" s="1">
        <v>0</v>
      </c>
      <c r="AE1211" s="1">
        <v>0</v>
      </c>
      <c r="AF1211" s="1">
        <v>0</v>
      </c>
      <c r="AG1211" s="1">
        <v>0</v>
      </c>
      <c r="AH1211" s="2">
        <v>4359160</v>
      </c>
      <c r="AI1211" s="1">
        <v>142092</v>
      </c>
      <c r="AJ1211" s="1">
        <v>0</v>
      </c>
      <c r="AK1211" s="8">
        <f t="shared" si="75"/>
        <v>14</v>
      </c>
      <c r="AL1211" s="8">
        <f t="shared" si="74"/>
        <v>24</v>
      </c>
      <c r="AM1211">
        <f t="shared" si="72"/>
        <v>0</v>
      </c>
      <c r="AN1211">
        <f t="shared" si="73"/>
        <v>0</v>
      </c>
    </row>
    <row r="1212" spans="1:40" x14ac:dyDescent="0.35">
      <c r="A1212">
        <v>84.600999999999999</v>
      </c>
      <c r="B1212">
        <v>85.138999999999996</v>
      </c>
      <c r="C1212">
        <v>5.3189099999999998</v>
      </c>
      <c r="D1212">
        <v>0</v>
      </c>
      <c r="E1212">
        <v>0.02</v>
      </c>
      <c r="F1212">
        <v>2.9007499999999999</v>
      </c>
      <c r="G1212">
        <v>2.9007499999999999</v>
      </c>
      <c r="H1212">
        <v>0</v>
      </c>
      <c r="I1212">
        <v>0.54355500000000001</v>
      </c>
      <c r="J1212">
        <v>5.3222399999999999</v>
      </c>
      <c r="K1212" s="2">
        <v>135414000</v>
      </c>
      <c r="L1212" s="1">
        <v>0</v>
      </c>
      <c r="M1212" s="1">
        <v>0</v>
      </c>
      <c r="N1212" s="1">
        <v>0</v>
      </c>
      <c r="O1212" s="1">
        <v>0</v>
      </c>
      <c r="P1212" s="2">
        <v>4336550</v>
      </c>
      <c r="Q1212" s="1">
        <v>298203</v>
      </c>
      <c r="R1212" s="1">
        <v>0</v>
      </c>
      <c r="S1212">
        <v>97.207499999999996</v>
      </c>
      <c r="T1212">
        <v>98.274000000000001</v>
      </c>
      <c r="U1212">
        <v>6.0797800000000004</v>
      </c>
      <c r="V1212">
        <v>0</v>
      </c>
      <c r="W1212">
        <v>0</v>
      </c>
      <c r="X1212">
        <v>1.6850099999999999</v>
      </c>
      <c r="Y1212">
        <v>1.6850099999999999</v>
      </c>
      <c r="Z1212">
        <v>0</v>
      </c>
      <c r="AA1212">
        <v>1.3017300000000001</v>
      </c>
      <c r="AB1212">
        <v>2.9635199999999999</v>
      </c>
      <c r="AC1212" s="2">
        <v>604617000</v>
      </c>
      <c r="AD1212" s="1">
        <v>0</v>
      </c>
      <c r="AE1212" s="1">
        <v>0</v>
      </c>
      <c r="AF1212" s="1">
        <v>0</v>
      </c>
      <c r="AG1212" s="1">
        <v>0</v>
      </c>
      <c r="AH1212" s="2">
        <v>4359530</v>
      </c>
      <c r="AI1212" s="1">
        <v>142104</v>
      </c>
      <c r="AJ1212" s="1">
        <v>0</v>
      </c>
      <c r="AK1212" s="8">
        <f t="shared" si="75"/>
        <v>15</v>
      </c>
      <c r="AL1212" s="8">
        <f t="shared" si="74"/>
        <v>24</v>
      </c>
      <c r="AM1212">
        <f t="shared" si="72"/>
        <v>0</v>
      </c>
      <c r="AN1212">
        <f t="shared" si="73"/>
        <v>0</v>
      </c>
    </row>
    <row r="1213" spans="1:40" x14ac:dyDescent="0.35">
      <c r="A1213">
        <v>85.138999999999996</v>
      </c>
      <c r="B1213">
        <v>85.138999999999996</v>
      </c>
      <c r="C1213">
        <v>5.7655399999999997</v>
      </c>
      <c r="D1213">
        <v>0</v>
      </c>
      <c r="E1213">
        <v>0.02</v>
      </c>
      <c r="F1213">
        <v>2.9009999999999998</v>
      </c>
      <c r="G1213">
        <v>2.9009999999999998</v>
      </c>
      <c r="H1213">
        <v>0</v>
      </c>
      <c r="I1213">
        <v>0.543601</v>
      </c>
      <c r="J1213">
        <v>5.3222399999999999</v>
      </c>
      <c r="K1213" s="2">
        <v>135712000</v>
      </c>
      <c r="L1213" s="1">
        <v>0</v>
      </c>
      <c r="M1213" s="1">
        <v>0</v>
      </c>
      <c r="N1213" s="1">
        <v>0</v>
      </c>
      <c r="O1213" s="1">
        <v>0</v>
      </c>
      <c r="P1213" s="2">
        <v>4336920</v>
      </c>
      <c r="Q1213" s="1">
        <v>298228</v>
      </c>
      <c r="R1213" s="1">
        <v>0</v>
      </c>
      <c r="S1213">
        <v>98.6965</v>
      </c>
      <c r="T1213">
        <v>98.274000000000001</v>
      </c>
      <c r="U1213">
        <v>6.0152000000000001</v>
      </c>
      <c r="V1213">
        <v>0</v>
      </c>
      <c r="W1213">
        <v>0</v>
      </c>
      <c r="X1213">
        <v>1.68516</v>
      </c>
      <c r="Y1213">
        <v>1.68516</v>
      </c>
      <c r="Z1213">
        <v>0</v>
      </c>
      <c r="AA1213">
        <v>1.3018400000000001</v>
      </c>
      <c r="AB1213">
        <v>2.9635199999999999</v>
      </c>
      <c r="AC1213" s="2">
        <v>604759000</v>
      </c>
      <c r="AD1213" s="1">
        <v>0</v>
      </c>
      <c r="AE1213" s="1">
        <v>0</v>
      </c>
      <c r="AF1213" s="1">
        <v>0</v>
      </c>
      <c r="AG1213" s="1">
        <v>0</v>
      </c>
      <c r="AH1213" s="2">
        <v>4359900</v>
      </c>
      <c r="AI1213" s="1">
        <v>142116</v>
      </c>
      <c r="AJ1213" s="1">
        <v>0</v>
      </c>
      <c r="AK1213" s="8">
        <f t="shared" si="75"/>
        <v>16</v>
      </c>
      <c r="AL1213" s="8">
        <f t="shared" si="74"/>
        <v>24</v>
      </c>
      <c r="AM1213">
        <f t="shared" si="72"/>
        <v>0</v>
      </c>
      <c r="AN1213">
        <f t="shared" si="73"/>
        <v>0</v>
      </c>
    </row>
    <row r="1214" spans="1:40" x14ac:dyDescent="0.35">
      <c r="A1214">
        <v>85.138999999999996</v>
      </c>
      <c r="B1214">
        <v>85.138999999999996</v>
      </c>
      <c r="C1214">
        <v>6.0883799999999999</v>
      </c>
      <c r="D1214">
        <v>0</v>
      </c>
      <c r="E1214">
        <v>0.02</v>
      </c>
      <c r="F1214">
        <v>3.00725</v>
      </c>
      <c r="G1214">
        <v>3.00725</v>
      </c>
      <c r="H1214">
        <v>0</v>
      </c>
      <c r="I1214">
        <v>0.54364699999999999</v>
      </c>
      <c r="J1214">
        <v>5.3222399999999999</v>
      </c>
      <c r="K1214" s="2">
        <v>136021000</v>
      </c>
      <c r="L1214" s="1">
        <v>0</v>
      </c>
      <c r="M1214" s="1">
        <v>0</v>
      </c>
      <c r="N1214" s="1">
        <v>0</v>
      </c>
      <c r="O1214" s="1">
        <v>0</v>
      </c>
      <c r="P1214" s="2">
        <v>4495760</v>
      </c>
      <c r="Q1214" s="1">
        <v>309151</v>
      </c>
      <c r="R1214" s="1">
        <v>0</v>
      </c>
      <c r="S1214">
        <v>99.302199999999999</v>
      </c>
      <c r="T1214">
        <v>98.274000000000001</v>
      </c>
      <c r="U1214">
        <v>5.9665600000000003</v>
      </c>
      <c r="V1214">
        <v>0</v>
      </c>
      <c r="W1214">
        <v>0</v>
      </c>
      <c r="X1214">
        <v>1.75308</v>
      </c>
      <c r="Y1214">
        <v>1.75308</v>
      </c>
      <c r="Z1214">
        <v>0</v>
      </c>
      <c r="AA1214">
        <v>1.3019499999999999</v>
      </c>
      <c r="AB1214">
        <v>2.9635199999999999</v>
      </c>
      <c r="AC1214" s="2">
        <v>604907000</v>
      </c>
      <c r="AD1214" s="1">
        <v>0</v>
      </c>
      <c r="AE1214" s="1">
        <v>0</v>
      </c>
      <c r="AF1214" s="1">
        <v>0</v>
      </c>
      <c r="AG1214" s="1">
        <v>0</v>
      </c>
      <c r="AH1214" s="2">
        <v>4535640</v>
      </c>
      <c r="AI1214" s="1">
        <v>147844</v>
      </c>
      <c r="AJ1214" s="1">
        <v>0</v>
      </c>
      <c r="AK1214" s="8">
        <f t="shared" si="75"/>
        <v>17</v>
      </c>
      <c r="AL1214" s="8">
        <f t="shared" si="74"/>
        <v>24</v>
      </c>
      <c r="AM1214">
        <f t="shared" si="72"/>
        <v>0</v>
      </c>
      <c r="AN1214">
        <f t="shared" si="73"/>
        <v>0</v>
      </c>
    </row>
    <row r="1215" spans="1:40" x14ac:dyDescent="0.35">
      <c r="A1215">
        <v>85.138999999999996</v>
      </c>
      <c r="B1215">
        <v>85.138999999999996</v>
      </c>
      <c r="C1215">
        <v>4.8570799999999998</v>
      </c>
      <c r="D1215">
        <v>0</v>
      </c>
      <c r="E1215">
        <v>0.02</v>
      </c>
      <c r="F1215">
        <v>3.0075099999999999</v>
      </c>
      <c r="G1215">
        <v>3.0075099999999999</v>
      </c>
      <c r="H1215">
        <v>0</v>
      </c>
      <c r="I1215">
        <v>0.56355900000000003</v>
      </c>
      <c r="J1215">
        <v>5.3222399999999999</v>
      </c>
      <c r="K1215" s="2">
        <v>136331000</v>
      </c>
      <c r="L1215" s="1">
        <v>0</v>
      </c>
      <c r="M1215" s="1">
        <v>0</v>
      </c>
      <c r="N1215" s="1">
        <v>0</v>
      </c>
      <c r="O1215" s="1">
        <v>0</v>
      </c>
      <c r="P1215" s="2">
        <v>4496150</v>
      </c>
      <c r="Q1215" s="1">
        <v>309177</v>
      </c>
      <c r="R1215" s="1">
        <v>0</v>
      </c>
      <c r="S1215">
        <v>99.302199999999999</v>
      </c>
      <c r="T1215">
        <v>98.274000000000001</v>
      </c>
      <c r="U1215">
        <v>5.0663600000000004</v>
      </c>
      <c r="V1215">
        <v>0</v>
      </c>
      <c r="W1215">
        <v>0</v>
      </c>
      <c r="X1215">
        <v>1.7532300000000001</v>
      </c>
      <c r="Y1215">
        <v>1.7532300000000001</v>
      </c>
      <c r="Z1215">
        <v>0</v>
      </c>
      <c r="AA1215">
        <v>1.35443</v>
      </c>
      <c r="AB1215">
        <v>2.9635199999999999</v>
      </c>
      <c r="AC1215" s="2">
        <v>605055000</v>
      </c>
      <c r="AD1215" s="1">
        <v>0</v>
      </c>
      <c r="AE1215" s="1">
        <v>0</v>
      </c>
      <c r="AF1215" s="1">
        <v>0</v>
      </c>
      <c r="AG1215" s="1">
        <v>0</v>
      </c>
      <c r="AH1215" s="2">
        <v>4536030</v>
      </c>
      <c r="AI1215" s="1">
        <v>147857</v>
      </c>
      <c r="AJ1215" s="1">
        <v>0</v>
      </c>
      <c r="AK1215" s="8">
        <f t="shared" si="75"/>
        <v>18</v>
      </c>
      <c r="AL1215" s="8">
        <f t="shared" si="74"/>
        <v>24</v>
      </c>
      <c r="AM1215">
        <f t="shared" si="72"/>
        <v>0</v>
      </c>
      <c r="AN1215">
        <f t="shared" si="73"/>
        <v>0</v>
      </c>
    </row>
    <row r="1216" spans="1:40" x14ac:dyDescent="0.35">
      <c r="A1216">
        <v>85.138999999999996</v>
      </c>
      <c r="B1216">
        <v>85.138999999999996</v>
      </c>
      <c r="C1216">
        <v>4.2499900000000004</v>
      </c>
      <c r="D1216">
        <v>0</v>
      </c>
      <c r="E1216">
        <v>0.02</v>
      </c>
      <c r="F1216">
        <v>3.0077600000000002</v>
      </c>
      <c r="G1216">
        <v>3.0077600000000002</v>
      </c>
      <c r="H1216">
        <v>0</v>
      </c>
      <c r="I1216">
        <v>0.56360699999999997</v>
      </c>
      <c r="J1216">
        <v>5.3222399999999999</v>
      </c>
      <c r="K1216" s="2">
        <v>136640000</v>
      </c>
      <c r="L1216" s="1">
        <v>0</v>
      </c>
      <c r="M1216" s="1">
        <v>0</v>
      </c>
      <c r="N1216" s="1">
        <v>0</v>
      </c>
      <c r="O1216" s="1">
        <v>0</v>
      </c>
      <c r="P1216" s="2">
        <v>4496530</v>
      </c>
      <c r="Q1216" s="1">
        <v>309204</v>
      </c>
      <c r="R1216" s="1">
        <v>0</v>
      </c>
      <c r="S1216">
        <v>99.302199999999999</v>
      </c>
      <c r="T1216">
        <v>98.274000000000001</v>
      </c>
      <c r="U1216">
        <v>4.7323700000000004</v>
      </c>
      <c r="V1216">
        <v>0</v>
      </c>
      <c r="W1216">
        <v>0</v>
      </c>
      <c r="X1216">
        <v>1.7533799999999999</v>
      </c>
      <c r="Y1216">
        <v>1.7533799999999999</v>
      </c>
      <c r="Z1216">
        <v>0</v>
      </c>
      <c r="AA1216">
        <v>1.3545499999999999</v>
      </c>
      <c r="AB1216">
        <v>2.9635199999999999</v>
      </c>
      <c r="AC1216" s="2">
        <v>605203000</v>
      </c>
      <c r="AD1216" s="1">
        <v>0</v>
      </c>
      <c r="AE1216" s="1">
        <v>0</v>
      </c>
      <c r="AF1216" s="1">
        <v>0</v>
      </c>
      <c r="AG1216" s="1">
        <v>0</v>
      </c>
      <c r="AH1216" s="2">
        <v>4536410</v>
      </c>
      <c r="AI1216" s="1">
        <v>147869</v>
      </c>
      <c r="AJ1216" s="1">
        <v>0</v>
      </c>
      <c r="AK1216" s="8">
        <f t="shared" si="75"/>
        <v>19</v>
      </c>
      <c r="AL1216" s="8">
        <f t="shared" si="74"/>
        <v>24</v>
      </c>
      <c r="AM1216">
        <f t="shared" si="72"/>
        <v>0</v>
      </c>
      <c r="AN1216">
        <f t="shared" si="73"/>
        <v>0</v>
      </c>
    </row>
    <row r="1217" spans="1:40" x14ac:dyDescent="0.35">
      <c r="A1217">
        <v>85.138999999999996</v>
      </c>
      <c r="B1217">
        <v>85.138999999999996</v>
      </c>
      <c r="C1217">
        <v>4.3565899999999997</v>
      </c>
      <c r="D1217">
        <v>0</v>
      </c>
      <c r="E1217">
        <v>0.02</v>
      </c>
      <c r="F1217">
        <v>3.0080200000000001</v>
      </c>
      <c r="G1217">
        <v>3.0080200000000001</v>
      </c>
      <c r="H1217">
        <v>0</v>
      </c>
      <c r="I1217">
        <v>0.56365399999999999</v>
      </c>
      <c r="J1217">
        <v>5.3222399999999999</v>
      </c>
      <c r="K1217" s="2">
        <v>136949000</v>
      </c>
      <c r="L1217" s="1">
        <v>0</v>
      </c>
      <c r="M1217" s="1">
        <v>0</v>
      </c>
      <c r="N1217" s="1">
        <v>0</v>
      </c>
      <c r="O1217" s="1">
        <v>0</v>
      </c>
      <c r="P1217" s="2">
        <v>4496910</v>
      </c>
      <c r="Q1217" s="1">
        <v>309230</v>
      </c>
      <c r="R1217" s="1">
        <v>0</v>
      </c>
      <c r="S1217">
        <v>99.302199999999999</v>
      </c>
      <c r="T1217">
        <v>98.274000000000001</v>
      </c>
      <c r="U1217">
        <v>4.8740100000000002</v>
      </c>
      <c r="V1217">
        <v>0</v>
      </c>
      <c r="W1217">
        <v>0</v>
      </c>
      <c r="X1217">
        <v>1.75353</v>
      </c>
      <c r="Y1217">
        <v>1.75353</v>
      </c>
      <c r="Z1217">
        <v>0</v>
      </c>
      <c r="AA1217">
        <v>1.35466</v>
      </c>
      <c r="AB1217">
        <v>2.9635199999999999</v>
      </c>
      <c r="AC1217" s="2">
        <v>605351000</v>
      </c>
      <c r="AD1217" s="1">
        <v>0</v>
      </c>
      <c r="AE1217" s="1">
        <v>0</v>
      </c>
      <c r="AF1217" s="1">
        <v>0</v>
      </c>
      <c r="AG1217" s="1">
        <v>0</v>
      </c>
      <c r="AH1217" s="2">
        <v>4536800</v>
      </c>
      <c r="AI1217" s="1">
        <v>147882</v>
      </c>
      <c r="AJ1217" s="1">
        <v>0</v>
      </c>
      <c r="AK1217" s="8">
        <f t="shared" si="75"/>
        <v>20</v>
      </c>
      <c r="AL1217" s="8">
        <f t="shared" si="74"/>
        <v>24</v>
      </c>
      <c r="AM1217">
        <f t="shared" si="72"/>
        <v>0</v>
      </c>
      <c r="AN1217">
        <f t="shared" si="73"/>
        <v>0</v>
      </c>
    </row>
    <row r="1218" spans="1:40" x14ac:dyDescent="0.35">
      <c r="A1218">
        <v>85.138999999999996</v>
      </c>
      <c r="B1218">
        <v>85.138999999999996</v>
      </c>
      <c r="C1218">
        <v>3.8537400000000002</v>
      </c>
      <c r="D1218">
        <v>0</v>
      </c>
      <c r="E1218">
        <v>0.02</v>
      </c>
      <c r="F1218">
        <v>2.9668100000000002</v>
      </c>
      <c r="G1218">
        <v>2.9668100000000002</v>
      </c>
      <c r="H1218">
        <v>0</v>
      </c>
      <c r="I1218">
        <v>0.56370200000000004</v>
      </c>
      <c r="J1218">
        <v>5.3222399999999999</v>
      </c>
      <c r="K1218" s="2">
        <v>137254000</v>
      </c>
      <c r="L1218" s="1">
        <v>0</v>
      </c>
      <c r="M1218" s="1">
        <v>0</v>
      </c>
      <c r="N1218" s="1">
        <v>0</v>
      </c>
      <c r="O1218" s="1">
        <v>0</v>
      </c>
      <c r="P1218" s="2">
        <v>4435310</v>
      </c>
      <c r="Q1218" s="1">
        <v>304994</v>
      </c>
      <c r="R1218" s="1">
        <v>0</v>
      </c>
      <c r="S1218">
        <v>99.302199999999999</v>
      </c>
      <c r="T1218">
        <v>98.274000000000001</v>
      </c>
      <c r="U1218">
        <v>4.0213299999999998</v>
      </c>
      <c r="V1218">
        <v>0</v>
      </c>
      <c r="W1218">
        <v>0</v>
      </c>
      <c r="X1218">
        <v>1.7273400000000001</v>
      </c>
      <c r="Y1218">
        <v>1.7273400000000001</v>
      </c>
      <c r="Z1218">
        <v>0</v>
      </c>
      <c r="AA1218">
        <v>1.3547800000000001</v>
      </c>
      <c r="AB1218">
        <v>2.9635199999999999</v>
      </c>
      <c r="AC1218" s="2">
        <v>605496000</v>
      </c>
      <c r="AD1218" s="1">
        <v>0</v>
      </c>
      <c r="AE1218" s="1">
        <v>0</v>
      </c>
      <c r="AF1218" s="1">
        <v>0</v>
      </c>
      <c r="AG1218" s="1">
        <v>0</v>
      </c>
      <c r="AH1218" s="2">
        <v>4469050</v>
      </c>
      <c r="AI1218" s="1">
        <v>145674</v>
      </c>
      <c r="AJ1218" s="1">
        <v>0</v>
      </c>
      <c r="AK1218" s="8">
        <f t="shared" si="75"/>
        <v>21</v>
      </c>
      <c r="AL1218" s="8">
        <f t="shared" si="74"/>
        <v>24</v>
      </c>
      <c r="AM1218">
        <f t="shared" si="72"/>
        <v>0</v>
      </c>
      <c r="AN1218">
        <f t="shared" si="73"/>
        <v>0</v>
      </c>
    </row>
    <row r="1219" spans="1:40" x14ac:dyDescent="0.35">
      <c r="A1219">
        <v>84.886099999999999</v>
      </c>
      <c r="B1219">
        <v>85.138999999999996</v>
      </c>
      <c r="C1219">
        <v>3.01654</v>
      </c>
      <c r="D1219">
        <v>0</v>
      </c>
      <c r="E1219">
        <v>0.02</v>
      </c>
      <c r="F1219">
        <v>2.96706</v>
      </c>
      <c r="G1219">
        <v>2.96706</v>
      </c>
      <c r="H1219">
        <v>0</v>
      </c>
      <c r="I1219">
        <v>0.55598000000000003</v>
      </c>
      <c r="J1219">
        <v>5.3222399999999999</v>
      </c>
      <c r="K1219" s="2">
        <v>137559000</v>
      </c>
      <c r="L1219" s="1">
        <v>0</v>
      </c>
      <c r="M1219" s="1">
        <v>0</v>
      </c>
      <c r="N1219" s="1">
        <v>0</v>
      </c>
      <c r="O1219" s="1">
        <v>0</v>
      </c>
      <c r="P1219" s="2">
        <v>4435680</v>
      </c>
      <c r="Q1219" s="1">
        <v>305020</v>
      </c>
      <c r="R1219" s="1">
        <v>0</v>
      </c>
      <c r="S1219">
        <v>99.302199999999999</v>
      </c>
      <c r="T1219">
        <v>98.274000000000001</v>
      </c>
      <c r="U1219">
        <v>3.2675900000000002</v>
      </c>
      <c r="V1219">
        <v>0</v>
      </c>
      <c r="W1219">
        <v>0</v>
      </c>
      <c r="X1219">
        <v>1.72749</v>
      </c>
      <c r="Y1219">
        <v>1.72749</v>
      </c>
      <c r="Z1219">
        <v>0</v>
      </c>
      <c r="AA1219">
        <v>1.3345400000000001</v>
      </c>
      <c r="AB1219">
        <v>2.9635199999999999</v>
      </c>
      <c r="AC1219" s="2">
        <v>605642000</v>
      </c>
      <c r="AD1219" s="1">
        <v>0</v>
      </c>
      <c r="AE1219" s="1">
        <v>0</v>
      </c>
      <c r="AF1219" s="1">
        <v>0</v>
      </c>
      <c r="AG1219" s="1">
        <v>0</v>
      </c>
      <c r="AH1219" s="2">
        <v>4469430</v>
      </c>
      <c r="AI1219" s="1">
        <v>145686</v>
      </c>
      <c r="AJ1219" s="1">
        <v>0</v>
      </c>
      <c r="AK1219" s="8">
        <f t="shared" si="75"/>
        <v>22</v>
      </c>
      <c r="AL1219" s="8">
        <f t="shared" si="74"/>
        <v>24</v>
      </c>
      <c r="AM1219">
        <f t="shared" ref="AM1219:AM1282" si="76">IF(AK1219=52,AC1219,0)</f>
        <v>0</v>
      </c>
      <c r="AN1219">
        <f t="shared" ref="AN1219:AN1282" si="77">IF(AK1219=52,K1219,0)</f>
        <v>0</v>
      </c>
    </row>
    <row r="1220" spans="1:40" x14ac:dyDescent="0.35">
      <c r="A1220">
        <v>84.540300000000002</v>
      </c>
      <c r="B1220">
        <v>85.138999999999996</v>
      </c>
      <c r="C1220">
        <v>2.9015</v>
      </c>
      <c r="D1220">
        <v>0</v>
      </c>
      <c r="E1220">
        <v>0.02</v>
      </c>
      <c r="F1220">
        <v>2.9673099999999999</v>
      </c>
      <c r="G1220">
        <v>2.9673099999999999</v>
      </c>
      <c r="H1220">
        <v>0</v>
      </c>
      <c r="I1220">
        <v>0.55602700000000005</v>
      </c>
      <c r="J1220">
        <v>5.3222399999999999</v>
      </c>
      <c r="K1220" s="2">
        <v>137864000</v>
      </c>
      <c r="L1220" s="1">
        <v>0</v>
      </c>
      <c r="M1220" s="1">
        <v>0</v>
      </c>
      <c r="N1220" s="1">
        <v>0</v>
      </c>
      <c r="O1220" s="1">
        <v>0</v>
      </c>
      <c r="P1220" s="2">
        <v>4436060</v>
      </c>
      <c r="Q1220" s="1">
        <v>305046</v>
      </c>
      <c r="R1220" s="1">
        <v>0</v>
      </c>
      <c r="S1220">
        <v>99.302199999999999</v>
      </c>
      <c r="T1220">
        <v>98.274000000000001</v>
      </c>
      <c r="U1220">
        <v>2.9628899999999998</v>
      </c>
      <c r="V1220">
        <v>0</v>
      </c>
      <c r="W1220">
        <v>0</v>
      </c>
      <c r="X1220">
        <v>1.7276400000000001</v>
      </c>
      <c r="Y1220">
        <v>1.7276400000000001</v>
      </c>
      <c r="Z1220">
        <v>0</v>
      </c>
      <c r="AA1220">
        <v>1.33466</v>
      </c>
      <c r="AB1220">
        <v>2.9635199999999999</v>
      </c>
      <c r="AC1220" s="2">
        <v>605788000</v>
      </c>
      <c r="AD1220" s="1">
        <v>0</v>
      </c>
      <c r="AE1220" s="1">
        <v>0</v>
      </c>
      <c r="AF1220" s="1">
        <v>0</v>
      </c>
      <c r="AG1220" s="1">
        <v>0</v>
      </c>
      <c r="AH1220" s="2">
        <v>4469810</v>
      </c>
      <c r="AI1220" s="1">
        <v>145698</v>
      </c>
      <c r="AJ1220" s="1">
        <v>0</v>
      </c>
      <c r="AK1220" s="8">
        <f t="shared" si="75"/>
        <v>23</v>
      </c>
      <c r="AL1220" s="8">
        <f t="shared" ref="AL1220:AL1283" si="78">IF(AK1219=52,AL1219+1,AL1219)</f>
        <v>24</v>
      </c>
      <c r="AM1220">
        <f t="shared" si="76"/>
        <v>0</v>
      </c>
      <c r="AN1220">
        <f t="shared" si="77"/>
        <v>0</v>
      </c>
    </row>
    <row r="1221" spans="1:40" x14ac:dyDescent="0.35">
      <c r="A1221">
        <v>83.855400000000003</v>
      </c>
      <c r="B1221">
        <v>85.138999999999996</v>
      </c>
      <c r="C1221">
        <v>2.5703100000000001</v>
      </c>
      <c r="D1221">
        <v>0</v>
      </c>
      <c r="E1221">
        <v>0.02</v>
      </c>
      <c r="F1221">
        <v>2.9675699999999998</v>
      </c>
      <c r="G1221">
        <v>2.9675699999999998</v>
      </c>
      <c r="H1221">
        <v>0</v>
      </c>
      <c r="I1221">
        <v>0.55607499999999999</v>
      </c>
      <c r="J1221">
        <v>5.3222399999999999</v>
      </c>
      <c r="K1221" s="2">
        <v>138169000</v>
      </c>
      <c r="L1221" s="1">
        <v>0</v>
      </c>
      <c r="M1221" s="1">
        <v>0</v>
      </c>
      <c r="N1221" s="1">
        <v>0</v>
      </c>
      <c r="O1221" s="1">
        <v>0</v>
      </c>
      <c r="P1221" s="2">
        <v>4436440</v>
      </c>
      <c r="Q1221" s="1">
        <v>305072</v>
      </c>
      <c r="R1221" s="1">
        <v>0</v>
      </c>
      <c r="S1221">
        <v>99.302199999999999</v>
      </c>
      <c r="T1221">
        <v>98.274000000000001</v>
      </c>
      <c r="U1221">
        <v>2.8677600000000001</v>
      </c>
      <c r="V1221">
        <v>0</v>
      </c>
      <c r="W1221">
        <v>0</v>
      </c>
      <c r="X1221">
        <v>1.7277800000000001</v>
      </c>
      <c r="Y1221">
        <v>1.7277800000000001</v>
      </c>
      <c r="Z1221">
        <v>0</v>
      </c>
      <c r="AA1221">
        <v>1.33477</v>
      </c>
      <c r="AB1221">
        <v>2.9635199999999999</v>
      </c>
      <c r="AC1221" s="2">
        <v>605934000</v>
      </c>
      <c r="AD1221" s="1">
        <v>0</v>
      </c>
      <c r="AE1221" s="1">
        <v>0</v>
      </c>
      <c r="AF1221" s="1">
        <v>0</v>
      </c>
      <c r="AG1221" s="1">
        <v>0</v>
      </c>
      <c r="AH1221" s="2">
        <v>4470180</v>
      </c>
      <c r="AI1221" s="1">
        <v>145711</v>
      </c>
      <c r="AJ1221" s="1">
        <v>0</v>
      </c>
      <c r="AK1221" s="8">
        <f t="shared" si="75"/>
        <v>24</v>
      </c>
      <c r="AL1221" s="8">
        <f t="shared" si="78"/>
        <v>24</v>
      </c>
      <c r="AM1221">
        <f t="shared" si="76"/>
        <v>0</v>
      </c>
      <c r="AN1221">
        <f t="shared" si="77"/>
        <v>0</v>
      </c>
    </row>
    <row r="1222" spans="1:40" x14ac:dyDescent="0.35">
      <c r="A1222">
        <v>83.046599999999998</v>
      </c>
      <c r="B1222">
        <v>85.138999999999996</v>
      </c>
      <c r="C1222">
        <v>2.53233</v>
      </c>
      <c r="D1222">
        <v>0</v>
      </c>
      <c r="E1222">
        <v>0.02</v>
      </c>
      <c r="F1222">
        <v>3.1086</v>
      </c>
      <c r="G1222">
        <v>3.1086</v>
      </c>
      <c r="H1222">
        <v>0</v>
      </c>
      <c r="I1222">
        <v>0.55612200000000001</v>
      </c>
      <c r="J1222">
        <v>5.3222399999999999</v>
      </c>
      <c r="K1222" s="2">
        <v>138489000</v>
      </c>
      <c r="L1222" s="1">
        <v>0</v>
      </c>
      <c r="M1222" s="1">
        <v>0</v>
      </c>
      <c r="N1222" s="1">
        <v>0</v>
      </c>
      <c r="O1222" s="1">
        <v>0</v>
      </c>
      <c r="P1222" s="2">
        <v>4647280</v>
      </c>
      <c r="Q1222" s="1">
        <v>319570</v>
      </c>
      <c r="R1222" s="1">
        <v>0</v>
      </c>
      <c r="S1222">
        <v>99.302199999999999</v>
      </c>
      <c r="T1222">
        <v>98.274000000000001</v>
      </c>
      <c r="U1222">
        <v>3.4182100000000002</v>
      </c>
      <c r="V1222">
        <v>0</v>
      </c>
      <c r="W1222">
        <v>0</v>
      </c>
      <c r="X1222">
        <v>1.82135</v>
      </c>
      <c r="Y1222">
        <v>1.82135</v>
      </c>
      <c r="Z1222">
        <v>0</v>
      </c>
      <c r="AA1222">
        <v>1.3348800000000001</v>
      </c>
      <c r="AB1222">
        <v>2.9635199999999999</v>
      </c>
      <c r="AC1222" s="2">
        <v>606087000</v>
      </c>
      <c r="AD1222" s="1">
        <v>0</v>
      </c>
      <c r="AE1222" s="1">
        <v>0</v>
      </c>
      <c r="AF1222" s="1">
        <v>0</v>
      </c>
      <c r="AG1222" s="1">
        <v>0</v>
      </c>
      <c r="AH1222" s="2">
        <v>4712270</v>
      </c>
      <c r="AI1222" s="1">
        <v>153602</v>
      </c>
      <c r="AJ1222" s="1">
        <v>0</v>
      </c>
      <c r="AK1222" s="8">
        <f t="shared" si="75"/>
        <v>25</v>
      </c>
      <c r="AL1222" s="8">
        <f t="shared" si="78"/>
        <v>24</v>
      </c>
      <c r="AM1222">
        <f t="shared" si="76"/>
        <v>0</v>
      </c>
      <c r="AN1222">
        <f t="shared" si="77"/>
        <v>0</v>
      </c>
    </row>
    <row r="1223" spans="1:40" x14ac:dyDescent="0.35">
      <c r="A1223">
        <v>82.290599999999998</v>
      </c>
      <c r="B1223">
        <v>85.138999999999996</v>
      </c>
      <c r="C1223">
        <v>2.5329199999999998</v>
      </c>
      <c r="D1223">
        <v>0</v>
      </c>
      <c r="E1223">
        <v>0.02</v>
      </c>
      <c r="F1223">
        <v>3.10887</v>
      </c>
      <c r="G1223">
        <v>3.10887</v>
      </c>
      <c r="H1223">
        <v>0</v>
      </c>
      <c r="I1223">
        <v>0.58255199999999996</v>
      </c>
      <c r="J1223">
        <v>5.3222399999999999</v>
      </c>
      <c r="K1223" s="2">
        <v>138808000</v>
      </c>
      <c r="L1223" s="1">
        <v>0</v>
      </c>
      <c r="M1223" s="1">
        <v>0</v>
      </c>
      <c r="N1223" s="1">
        <v>0</v>
      </c>
      <c r="O1223" s="1">
        <v>0</v>
      </c>
      <c r="P1223" s="2">
        <v>4647680</v>
      </c>
      <c r="Q1223" s="1">
        <v>319597</v>
      </c>
      <c r="R1223" s="1">
        <v>0</v>
      </c>
      <c r="S1223">
        <v>99.302199999999999</v>
      </c>
      <c r="T1223">
        <v>98.274000000000001</v>
      </c>
      <c r="U1223">
        <v>2.9368699999999999</v>
      </c>
      <c r="V1223">
        <v>0</v>
      </c>
      <c r="W1223">
        <v>0</v>
      </c>
      <c r="X1223">
        <v>1.8214999999999999</v>
      </c>
      <c r="Y1223">
        <v>1.8214999999999999</v>
      </c>
      <c r="Z1223">
        <v>0</v>
      </c>
      <c r="AA1223">
        <v>1.4071800000000001</v>
      </c>
      <c r="AB1223">
        <v>2.9635199999999999</v>
      </c>
      <c r="AC1223" s="2">
        <v>606241000</v>
      </c>
      <c r="AD1223" s="1">
        <v>0</v>
      </c>
      <c r="AE1223" s="1">
        <v>0</v>
      </c>
      <c r="AF1223" s="1">
        <v>0</v>
      </c>
      <c r="AG1223" s="1">
        <v>0</v>
      </c>
      <c r="AH1223" s="2">
        <v>4712670</v>
      </c>
      <c r="AI1223" s="1">
        <v>153615</v>
      </c>
      <c r="AJ1223" s="1">
        <v>0</v>
      </c>
      <c r="AK1223" s="8">
        <f t="shared" si="75"/>
        <v>26</v>
      </c>
      <c r="AL1223" s="8">
        <f t="shared" si="78"/>
        <v>24</v>
      </c>
      <c r="AM1223">
        <f t="shared" si="76"/>
        <v>0</v>
      </c>
      <c r="AN1223">
        <f t="shared" si="77"/>
        <v>0</v>
      </c>
    </row>
    <row r="1224" spans="1:40" x14ac:dyDescent="0.35">
      <c r="A1224">
        <v>81.418499999999995</v>
      </c>
      <c r="B1224">
        <v>85.138999999999996</v>
      </c>
      <c r="C1224">
        <v>2.3980700000000001</v>
      </c>
      <c r="D1224">
        <v>0</v>
      </c>
      <c r="E1224">
        <v>0.02</v>
      </c>
      <c r="F1224">
        <v>3.1091299999999999</v>
      </c>
      <c r="G1224">
        <v>3.1091299999999999</v>
      </c>
      <c r="H1224">
        <v>0</v>
      </c>
      <c r="I1224">
        <v>0.58260100000000004</v>
      </c>
      <c r="J1224">
        <v>5.3222399999999999</v>
      </c>
      <c r="K1224" s="2">
        <v>139128000</v>
      </c>
      <c r="L1224" s="1">
        <v>0</v>
      </c>
      <c r="M1224" s="1">
        <v>0</v>
      </c>
      <c r="N1224" s="1">
        <v>0</v>
      </c>
      <c r="O1224" s="1">
        <v>0</v>
      </c>
      <c r="P1224" s="2">
        <v>4648070</v>
      </c>
      <c r="Q1224" s="1">
        <v>319625</v>
      </c>
      <c r="R1224" s="1">
        <v>0</v>
      </c>
      <c r="S1224">
        <v>99.302199999999999</v>
      </c>
      <c r="T1224">
        <v>98.274000000000001</v>
      </c>
      <c r="U1224">
        <v>2.6540699999999999</v>
      </c>
      <c r="V1224">
        <v>0</v>
      </c>
      <c r="W1224">
        <v>0</v>
      </c>
      <c r="X1224">
        <v>1.8216600000000001</v>
      </c>
      <c r="Y1224">
        <v>1.8216600000000001</v>
      </c>
      <c r="Z1224">
        <v>0</v>
      </c>
      <c r="AA1224">
        <v>1.4072899999999999</v>
      </c>
      <c r="AB1224">
        <v>2.9635199999999999</v>
      </c>
      <c r="AC1224" s="2">
        <v>606394000</v>
      </c>
      <c r="AD1224" s="1">
        <v>0</v>
      </c>
      <c r="AE1224" s="1">
        <v>0</v>
      </c>
      <c r="AF1224" s="1">
        <v>0</v>
      </c>
      <c r="AG1224" s="1">
        <v>0</v>
      </c>
      <c r="AH1224" s="2">
        <v>4713070</v>
      </c>
      <c r="AI1224" s="1">
        <v>153628</v>
      </c>
      <c r="AJ1224" s="1">
        <v>0</v>
      </c>
      <c r="AK1224" s="8">
        <f t="shared" ref="AK1224:AK1287" si="79">IF(AK1223=52, 1, AK1223+1)</f>
        <v>27</v>
      </c>
      <c r="AL1224" s="8">
        <f t="shared" si="78"/>
        <v>24</v>
      </c>
      <c r="AM1224">
        <f t="shared" si="76"/>
        <v>0</v>
      </c>
      <c r="AN1224">
        <f t="shared" si="77"/>
        <v>0</v>
      </c>
    </row>
    <row r="1225" spans="1:40" x14ac:dyDescent="0.35">
      <c r="A1225">
        <v>80.375399999999999</v>
      </c>
      <c r="B1225">
        <v>85.138999999999996</v>
      </c>
      <c r="C1225">
        <v>2.1706599999999998</v>
      </c>
      <c r="D1225">
        <v>0</v>
      </c>
      <c r="E1225">
        <v>0.02</v>
      </c>
      <c r="F1225">
        <v>3.1093899999999999</v>
      </c>
      <c r="G1225">
        <v>3.1093899999999999</v>
      </c>
      <c r="H1225">
        <v>0</v>
      </c>
      <c r="I1225">
        <v>0.58265100000000003</v>
      </c>
      <c r="J1225">
        <v>5.3222399999999999</v>
      </c>
      <c r="K1225" s="2">
        <v>139448000</v>
      </c>
      <c r="L1225" s="1">
        <v>0</v>
      </c>
      <c r="M1225" s="1">
        <v>0</v>
      </c>
      <c r="N1225" s="1">
        <v>0</v>
      </c>
      <c r="O1225" s="1">
        <v>0</v>
      </c>
      <c r="P1225" s="2">
        <v>4648460</v>
      </c>
      <c r="Q1225" s="1">
        <v>319652</v>
      </c>
      <c r="R1225" s="1">
        <v>0</v>
      </c>
      <c r="S1225">
        <v>99.302199999999999</v>
      </c>
      <c r="T1225">
        <v>98.274000000000001</v>
      </c>
      <c r="U1225">
        <v>2.5581399999999999</v>
      </c>
      <c r="V1225">
        <v>0</v>
      </c>
      <c r="W1225">
        <v>0</v>
      </c>
      <c r="X1225">
        <v>1.8218099999999999</v>
      </c>
      <c r="Y1225">
        <v>1.8218099999999999</v>
      </c>
      <c r="Z1225">
        <v>0</v>
      </c>
      <c r="AA1225">
        <v>1.40741</v>
      </c>
      <c r="AB1225">
        <v>2.9635199999999999</v>
      </c>
      <c r="AC1225" s="2">
        <v>606548000</v>
      </c>
      <c r="AD1225" s="1">
        <v>0</v>
      </c>
      <c r="AE1225" s="1">
        <v>0</v>
      </c>
      <c r="AF1225" s="1">
        <v>0</v>
      </c>
      <c r="AG1225" s="1">
        <v>0</v>
      </c>
      <c r="AH1225" s="2">
        <v>4713470</v>
      </c>
      <c r="AI1225" s="1">
        <v>153641</v>
      </c>
      <c r="AJ1225" s="1">
        <v>0</v>
      </c>
      <c r="AK1225" s="8">
        <f t="shared" si="79"/>
        <v>28</v>
      </c>
      <c r="AL1225" s="8">
        <f t="shared" si="78"/>
        <v>24</v>
      </c>
      <c r="AM1225">
        <f t="shared" si="76"/>
        <v>0</v>
      </c>
      <c r="AN1225">
        <f t="shared" si="77"/>
        <v>0</v>
      </c>
    </row>
    <row r="1226" spans="1:40" x14ac:dyDescent="0.35">
      <c r="A1226">
        <v>79.240300000000005</v>
      </c>
      <c r="B1226">
        <v>85.138999999999996</v>
      </c>
      <c r="C1226">
        <v>2.0538599999999998</v>
      </c>
      <c r="D1226">
        <v>0</v>
      </c>
      <c r="E1226">
        <v>0.02</v>
      </c>
      <c r="F1226">
        <v>3.1096599999999999</v>
      </c>
      <c r="G1226">
        <v>3.1096599999999999</v>
      </c>
      <c r="H1226">
        <v>0</v>
      </c>
      <c r="I1226">
        <v>0.5827</v>
      </c>
      <c r="J1226">
        <v>5.3222399999999999</v>
      </c>
      <c r="K1226" s="2">
        <v>139767000</v>
      </c>
      <c r="L1226" s="1">
        <v>0</v>
      </c>
      <c r="M1226" s="1">
        <v>0</v>
      </c>
      <c r="N1226" s="1">
        <v>0</v>
      </c>
      <c r="O1226" s="1">
        <v>0</v>
      </c>
      <c r="P1226" s="2">
        <v>4648860</v>
      </c>
      <c r="Q1226" s="1">
        <v>319679</v>
      </c>
      <c r="R1226" s="1">
        <v>0</v>
      </c>
      <c r="S1226">
        <v>99.302199999999999</v>
      </c>
      <c r="T1226">
        <v>98.274000000000001</v>
      </c>
      <c r="U1226">
        <v>2.4226700000000001</v>
      </c>
      <c r="V1226">
        <v>0</v>
      </c>
      <c r="W1226">
        <v>0</v>
      </c>
      <c r="X1226">
        <v>1.8219700000000001</v>
      </c>
      <c r="Y1226">
        <v>1.8219700000000001</v>
      </c>
      <c r="Z1226">
        <v>0</v>
      </c>
      <c r="AA1226">
        <v>1.4075299999999999</v>
      </c>
      <c r="AB1226">
        <v>2.9635199999999999</v>
      </c>
      <c r="AC1226" s="2">
        <v>606702000</v>
      </c>
      <c r="AD1226" s="1">
        <v>0</v>
      </c>
      <c r="AE1226" s="1">
        <v>0</v>
      </c>
      <c r="AF1226" s="1">
        <v>0</v>
      </c>
      <c r="AG1226" s="1">
        <v>0</v>
      </c>
      <c r="AH1226" s="2">
        <v>4713870</v>
      </c>
      <c r="AI1226" s="1">
        <v>153654</v>
      </c>
      <c r="AJ1226" s="1">
        <v>0</v>
      </c>
      <c r="AK1226" s="8">
        <f t="shared" si="79"/>
        <v>29</v>
      </c>
      <c r="AL1226" s="8">
        <f t="shared" si="78"/>
        <v>24</v>
      </c>
      <c r="AM1226">
        <f t="shared" si="76"/>
        <v>0</v>
      </c>
      <c r="AN1226">
        <f t="shared" si="77"/>
        <v>0</v>
      </c>
    </row>
    <row r="1227" spans="1:40" x14ac:dyDescent="0.35">
      <c r="A1227">
        <v>78.144199999999998</v>
      </c>
      <c r="B1227">
        <v>85.138999999999996</v>
      </c>
      <c r="C1227">
        <v>2.0533000000000001</v>
      </c>
      <c r="D1227">
        <v>0</v>
      </c>
      <c r="E1227">
        <v>0.02</v>
      </c>
      <c r="F1227">
        <v>3.0820699999999999</v>
      </c>
      <c r="G1227">
        <v>3.0820699999999999</v>
      </c>
      <c r="H1227">
        <v>0</v>
      </c>
      <c r="I1227">
        <v>0.58274999999999999</v>
      </c>
      <c r="J1227">
        <v>5.3222399999999999</v>
      </c>
      <c r="K1227" s="2">
        <v>140084000</v>
      </c>
      <c r="L1227" s="1">
        <v>0</v>
      </c>
      <c r="M1227" s="1">
        <v>0</v>
      </c>
      <c r="N1227" s="1">
        <v>0</v>
      </c>
      <c r="O1227" s="1">
        <v>0</v>
      </c>
      <c r="P1227" s="2">
        <v>4607610</v>
      </c>
      <c r="Q1227" s="1">
        <v>316843</v>
      </c>
      <c r="R1227" s="1">
        <v>0</v>
      </c>
      <c r="S1227">
        <v>99.284099999999995</v>
      </c>
      <c r="T1227">
        <v>98.274000000000001</v>
      </c>
      <c r="U1227">
        <v>2.51763</v>
      </c>
      <c r="V1227">
        <v>0</v>
      </c>
      <c r="W1227">
        <v>0</v>
      </c>
      <c r="X1227">
        <v>1.8734900000000001</v>
      </c>
      <c r="Y1227">
        <v>1.8734900000000001</v>
      </c>
      <c r="Z1227">
        <v>0</v>
      </c>
      <c r="AA1227">
        <v>1.4076500000000001</v>
      </c>
      <c r="AB1227">
        <v>2.9635199999999999</v>
      </c>
      <c r="AC1227" s="2">
        <v>606860000</v>
      </c>
      <c r="AD1227" s="1">
        <v>0</v>
      </c>
      <c r="AE1227" s="1">
        <v>0</v>
      </c>
      <c r="AF1227" s="1">
        <v>0</v>
      </c>
      <c r="AG1227" s="1">
        <v>0</v>
      </c>
      <c r="AH1227" s="2">
        <v>4847170</v>
      </c>
      <c r="AI1227" s="1">
        <v>157999</v>
      </c>
      <c r="AJ1227" s="1">
        <v>0</v>
      </c>
      <c r="AK1227" s="8">
        <f t="shared" si="79"/>
        <v>30</v>
      </c>
      <c r="AL1227" s="8">
        <f t="shared" si="78"/>
        <v>24</v>
      </c>
      <c r="AM1227">
        <f t="shared" si="76"/>
        <v>0</v>
      </c>
      <c r="AN1227">
        <f t="shared" si="77"/>
        <v>0</v>
      </c>
    </row>
    <row r="1228" spans="1:40" x14ac:dyDescent="0.35">
      <c r="A1228">
        <v>77.148799999999994</v>
      </c>
      <c r="B1228">
        <v>85.138999999999996</v>
      </c>
      <c r="C1228">
        <v>1.88907</v>
      </c>
      <c r="D1228">
        <v>0.01</v>
      </c>
      <c r="E1228">
        <v>0.02</v>
      </c>
      <c r="F1228">
        <v>2.7799299999999998</v>
      </c>
      <c r="G1228">
        <v>3.0823299999999998</v>
      </c>
      <c r="H1228">
        <v>0</v>
      </c>
      <c r="I1228">
        <v>0.57757899999999995</v>
      </c>
      <c r="J1228">
        <v>5.3222399999999999</v>
      </c>
      <c r="K1228" s="2">
        <v>139993000</v>
      </c>
      <c r="L1228" s="1">
        <v>0</v>
      </c>
      <c r="M1228" s="1">
        <v>0</v>
      </c>
      <c r="N1228" s="1">
        <v>0</v>
      </c>
      <c r="O1228" s="1">
        <v>0</v>
      </c>
      <c r="P1228" s="2">
        <v>4155920</v>
      </c>
      <c r="Q1228" s="1">
        <v>-91669.1</v>
      </c>
      <c r="R1228" s="1">
        <v>408539</v>
      </c>
      <c r="S1228">
        <v>99.096900000000005</v>
      </c>
      <c r="T1228">
        <v>98.274000000000001</v>
      </c>
      <c r="U1228">
        <v>2.4247700000000001</v>
      </c>
      <c r="V1228">
        <v>0</v>
      </c>
      <c r="W1228">
        <v>0</v>
      </c>
      <c r="X1228">
        <v>2.17605</v>
      </c>
      <c r="Y1228">
        <v>1.87365</v>
      </c>
      <c r="Z1228">
        <v>0</v>
      </c>
      <c r="AA1228">
        <v>1.44746</v>
      </c>
      <c r="AB1228">
        <v>2.9635199999999999</v>
      </c>
      <c r="AC1228" s="2">
        <v>607800000</v>
      </c>
      <c r="AD1228" s="1">
        <v>0</v>
      </c>
      <c r="AE1228" s="1">
        <v>0</v>
      </c>
      <c r="AF1228" s="1">
        <v>0</v>
      </c>
      <c r="AG1228" s="1">
        <v>0</v>
      </c>
      <c r="AH1228" s="2">
        <v>5629960</v>
      </c>
      <c r="AI1228" s="1">
        <v>940393</v>
      </c>
      <c r="AJ1228" s="1">
        <v>0</v>
      </c>
      <c r="AK1228" s="8">
        <f t="shared" si="79"/>
        <v>31</v>
      </c>
      <c r="AL1228" s="8">
        <f t="shared" si="78"/>
        <v>24</v>
      </c>
      <c r="AM1228">
        <f t="shared" si="76"/>
        <v>0</v>
      </c>
      <c r="AN1228">
        <f t="shared" si="77"/>
        <v>0</v>
      </c>
    </row>
    <row r="1229" spans="1:40" x14ac:dyDescent="0.35">
      <c r="A1229">
        <v>76.005399999999995</v>
      </c>
      <c r="B1229">
        <v>85.138999999999996</v>
      </c>
      <c r="C1229">
        <v>1.71655</v>
      </c>
      <c r="D1229">
        <v>0.01</v>
      </c>
      <c r="E1229">
        <v>0.02</v>
      </c>
      <c r="F1229">
        <v>2.7801900000000002</v>
      </c>
      <c r="G1229">
        <v>3.0825900000000002</v>
      </c>
      <c r="H1229">
        <v>0</v>
      </c>
      <c r="I1229">
        <v>0.52095899999999995</v>
      </c>
      <c r="J1229">
        <v>5.3222399999999999</v>
      </c>
      <c r="K1229" s="2">
        <v>139901000</v>
      </c>
      <c r="L1229" s="1">
        <v>0</v>
      </c>
      <c r="M1229" s="1">
        <v>0</v>
      </c>
      <c r="N1229" s="1">
        <v>0</v>
      </c>
      <c r="O1229" s="1">
        <v>0</v>
      </c>
      <c r="P1229" s="2">
        <v>4156320</v>
      </c>
      <c r="Q1229" s="1">
        <v>-91642.2</v>
      </c>
      <c r="R1229" s="1">
        <v>408539</v>
      </c>
      <c r="S1229">
        <v>98.862499999999997</v>
      </c>
      <c r="T1229">
        <v>98.274000000000001</v>
      </c>
      <c r="U1229">
        <v>2.2392799999999999</v>
      </c>
      <c r="V1229">
        <v>0</v>
      </c>
      <c r="W1229">
        <v>0</v>
      </c>
      <c r="X1229">
        <v>2.1762100000000002</v>
      </c>
      <c r="Y1229">
        <v>1.87381</v>
      </c>
      <c r="Z1229">
        <v>0</v>
      </c>
      <c r="AA1229">
        <v>1.6812199999999999</v>
      </c>
      <c r="AB1229">
        <v>2.9635199999999999</v>
      </c>
      <c r="AC1229" s="2">
        <v>608741000</v>
      </c>
      <c r="AD1229" s="1">
        <v>0</v>
      </c>
      <c r="AE1229" s="1">
        <v>0</v>
      </c>
      <c r="AF1229" s="1">
        <v>0</v>
      </c>
      <c r="AG1229" s="1">
        <v>0</v>
      </c>
      <c r="AH1229" s="2">
        <v>5630370</v>
      </c>
      <c r="AI1229" s="1">
        <v>940407</v>
      </c>
      <c r="AJ1229" s="1">
        <v>0</v>
      </c>
      <c r="AK1229" s="8">
        <f t="shared" si="79"/>
        <v>32</v>
      </c>
      <c r="AL1229" s="8">
        <f t="shared" si="78"/>
        <v>24</v>
      </c>
      <c r="AM1229">
        <f t="shared" si="76"/>
        <v>0</v>
      </c>
      <c r="AN1229">
        <f t="shared" si="77"/>
        <v>0</v>
      </c>
    </row>
    <row r="1230" spans="1:40" x14ac:dyDescent="0.35">
      <c r="A1230">
        <v>74.814400000000006</v>
      </c>
      <c r="B1230">
        <v>85.138999999999996</v>
      </c>
      <c r="C1230">
        <v>1.62487</v>
      </c>
      <c r="D1230">
        <v>0.01</v>
      </c>
      <c r="E1230">
        <v>0.02</v>
      </c>
      <c r="F1230">
        <v>2.7804500000000001</v>
      </c>
      <c r="G1230">
        <v>3.0828500000000001</v>
      </c>
      <c r="H1230">
        <v>0</v>
      </c>
      <c r="I1230">
        <v>0.52100800000000003</v>
      </c>
      <c r="J1230">
        <v>5.3222399999999999</v>
      </c>
      <c r="K1230" s="2">
        <v>139809000</v>
      </c>
      <c r="L1230" s="1">
        <v>0</v>
      </c>
      <c r="M1230" s="1">
        <v>0</v>
      </c>
      <c r="N1230" s="1">
        <v>0</v>
      </c>
      <c r="O1230" s="1">
        <v>0</v>
      </c>
      <c r="P1230" s="2">
        <v>4156710</v>
      </c>
      <c r="Q1230" s="1">
        <v>-91615.3</v>
      </c>
      <c r="R1230" s="1">
        <v>408539</v>
      </c>
      <c r="S1230">
        <v>98.522499999999994</v>
      </c>
      <c r="T1230">
        <v>98.274000000000001</v>
      </c>
      <c r="U1230">
        <v>2.2047500000000002</v>
      </c>
      <c r="V1230">
        <v>0</v>
      </c>
      <c r="W1230">
        <v>0</v>
      </c>
      <c r="X1230">
        <v>2.1763699999999999</v>
      </c>
      <c r="Y1230">
        <v>1.8739699999999999</v>
      </c>
      <c r="Z1230">
        <v>0</v>
      </c>
      <c r="AA1230">
        <v>1.6813400000000001</v>
      </c>
      <c r="AB1230">
        <v>2.9635199999999999</v>
      </c>
      <c r="AC1230" s="2">
        <v>609681000</v>
      </c>
      <c r="AD1230" s="1">
        <v>0</v>
      </c>
      <c r="AE1230" s="1">
        <v>0</v>
      </c>
      <c r="AF1230" s="1">
        <v>0</v>
      </c>
      <c r="AG1230" s="1">
        <v>0</v>
      </c>
      <c r="AH1230" s="2">
        <v>5630780</v>
      </c>
      <c r="AI1230" s="1">
        <v>940420</v>
      </c>
      <c r="AJ1230" s="1">
        <v>0</v>
      </c>
      <c r="AK1230" s="8">
        <f t="shared" si="79"/>
        <v>33</v>
      </c>
      <c r="AL1230" s="8">
        <f t="shared" si="78"/>
        <v>24</v>
      </c>
      <c r="AM1230">
        <f t="shared" si="76"/>
        <v>0</v>
      </c>
      <c r="AN1230">
        <f t="shared" si="77"/>
        <v>0</v>
      </c>
    </row>
    <row r="1231" spans="1:40" x14ac:dyDescent="0.35">
      <c r="A1231">
        <v>73.4572</v>
      </c>
      <c r="B1231">
        <v>85.138999999999996</v>
      </c>
      <c r="C1231">
        <v>1.50847</v>
      </c>
      <c r="D1231">
        <v>0.01</v>
      </c>
      <c r="E1231">
        <v>0.02</v>
      </c>
      <c r="F1231">
        <v>2.8526699999999998</v>
      </c>
      <c r="G1231">
        <v>3.1550699999999998</v>
      </c>
      <c r="H1231">
        <v>0</v>
      </c>
      <c r="I1231">
        <v>0.52105699999999999</v>
      </c>
      <c r="J1231">
        <v>5.3222399999999999</v>
      </c>
      <c r="K1231" s="2">
        <v>139725000</v>
      </c>
      <c r="L1231" s="1">
        <v>0</v>
      </c>
      <c r="M1231" s="1">
        <v>0</v>
      </c>
      <c r="N1231" s="1">
        <v>0</v>
      </c>
      <c r="O1231" s="1">
        <v>0</v>
      </c>
      <c r="P1231" s="2">
        <v>4264670</v>
      </c>
      <c r="Q1231" s="1">
        <v>-84191.4</v>
      </c>
      <c r="R1231" s="1">
        <v>408539</v>
      </c>
      <c r="S1231">
        <v>98.120999999999995</v>
      </c>
      <c r="T1231">
        <v>98.274000000000001</v>
      </c>
      <c r="U1231">
        <v>2.1074999999999999</v>
      </c>
      <c r="V1231">
        <v>0</v>
      </c>
      <c r="W1231">
        <v>0</v>
      </c>
      <c r="X1231">
        <v>2.2223199999999999</v>
      </c>
      <c r="Y1231">
        <v>1.9199200000000001</v>
      </c>
      <c r="Z1231">
        <v>0</v>
      </c>
      <c r="AA1231">
        <v>1.68146</v>
      </c>
      <c r="AB1231">
        <v>2.9635199999999999</v>
      </c>
      <c r="AC1231" s="2">
        <v>610625000</v>
      </c>
      <c r="AD1231" s="1">
        <v>0</v>
      </c>
      <c r="AE1231" s="1">
        <v>0</v>
      </c>
      <c r="AF1231" s="1">
        <v>0</v>
      </c>
      <c r="AG1231" s="1">
        <v>0</v>
      </c>
      <c r="AH1231" s="2">
        <v>5749680</v>
      </c>
      <c r="AI1231" s="1">
        <v>944295</v>
      </c>
      <c r="AJ1231" s="1">
        <v>0</v>
      </c>
      <c r="AK1231" s="8">
        <f t="shared" si="79"/>
        <v>34</v>
      </c>
      <c r="AL1231" s="8">
        <f t="shared" si="78"/>
        <v>24</v>
      </c>
      <c r="AM1231">
        <f t="shared" si="76"/>
        <v>0</v>
      </c>
      <c r="AN1231">
        <f t="shared" si="77"/>
        <v>0</v>
      </c>
    </row>
    <row r="1232" spans="1:40" x14ac:dyDescent="0.35">
      <c r="A1232">
        <v>72.107399999999998</v>
      </c>
      <c r="B1232">
        <v>85.138999999999996</v>
      </c>
      <c r="C1232">
        <v>1.5042199999999999</v>
      </c>
      <c r="D1232">
        <v>0.02</v>
      </c>
      <c r="E1232">
        <v>0.02</v>
      </c>
      <c r="F1232">
        <v>2.8529399999999998</v>
      </c>
      <c r="G1232">
        <v>3.1553399999999998</v>
      </c>
      <c r="H1232">
        <v>0</v>
      </c>
      <c r="I1232">
        <v>0.53459000000000001</v>
      </c>
      <c r="J1232">
        <v>5.3222399999999999</v>
      </c>
      <c r="K1232" s="2">
        <v>139641000</v>
      </c>
      <c r="L1232" s="1">
        <v>0</v>
      </c>
      <c r="M1232" s="1">
        <v>0</v>
      </c>
      <c r="N1232" s="1">
        <v>0</v>
      </c>
      <c r="O1232" s="1">
        <v>0</v>
      </c>
      <c r="P1232" s="2">
        <v>4265070</v>
      </c>
      <c r="Q1232" s="1">
        <v>-84163.9</v>
      </c>
      <c r="R1232" s="1">
        <v>408539</v>
      </c>
      <c r="S1232">
        <v>97.606899999999996</v>
      </c>
      <c r="T1232">
        <v>98.274000000000001</v>
      </c>
      <c r="U1232">
        <v>2.0213899999999998</v>
      </c>
      <c r="V1232">
        <v>0</v>
      </c>
      <c r="W1232">
        <v>0</v>
      </c>
      <c r="X1232">
        <v>2.22248</v>
      </c>
      <c r="Y1232">
        <v>1.92008</v>
      </c>
      <c r="Z1232">
        <v>0</v>
      </c>
      <c r="AA1232">
        <v>1.7169700000000001</v>
      </c>
      <c r="AB1232">
        <v>2.9635199999999999</v>
      </c>
      <c r="AC1232" s="2">
        <v>611570000</v>
      </c>
      <c r="AD1232" s="1">
        <v>0</v>
      </c>
      <c r="AE1232" s="1">
        <v>0</v>
      </c>
      <c r="AF1232" s="1">
        <v>0</v>
      </c>
      <c r="AG1232" s="1">
        <v>0</v>
      </c>
      <c r="AH1232" s="2">
        <v>5750100</v>
      </c>
      <c r="AI1232" s="1">
        <v>944309</v>
      </c>
      <c r="AJ1232" s="1">
        <v>0</v>
      </c>
      <c r="AK1232" s="8">
        <f t="shared" si="79"/>
        <v>35</v>
      </c>
      <c r="AL1232" s="8">
        <f t="shared" si="78"/>
        <v>24</v>
      </c>
      <c r="AM1232">
        <f t="shared" si="76"/>
        <v>0</v>
      </c>
      <c r="AN1232">
        <f t="shared" si="77"/>
        <v>0</v>
      </c>
    </row>
    <row r="1233" spans="1:40" x14ac:dyDescent="0.35">
      <c r="A1233">
        <v>70.603899999999996</v>
      </c>
      <c r="B1233">
        <v>85.138999999999996</v>
      </c>
      <c r="C1233">
        <v>1.3361000000000001</v>
      </c>
      <c r="D1233">
        <v>0.02</v>
      </c>
      <c r="E1233">
        <v>0.02</v>
      </c>
      <c r="F1233">
        <v>2.8532000000000002</v>
      </c>
      <c r="G1233">
        <v>3.1556000000000002</v>
      </c>
      <c r="H1233">
        <v>0</v>
      </c>
      <c r="I1233">
        <v>0.53464</v>
      </c>
      <c r="J1233">
        <v>5.3222399999999999</v>
      </c>
      <c r="K1233" s="2">
        <v>139557000</v>
      </c>
      <c r="L1233" s="1">
        <v>0</v>
      </c>
      <c r="M1233" s="1">
        <v>0</v>
      </c>
      <c r="N1233" s="1">
        <v>0</v>
      </c>
      <c r="O1233" s="1">
        <v>0</v>
      </c>
      <c r="P1233" s="2">
        <v>4265470</v>
      </c>
      <c r="Q1233" s="1">
        <v>-84136.4</v>
      </c>
      <c r="R1233" s="1">
        <v>408539</v>
      </c>
      <c r="S1233">
        <v>96.999899999999997</v>
      </c>
      <c r="T1233">
        <v>98.274000000000001</v>
      </c>
      <c r="U1233">
        <v>1.9239999999999999</v>
      </c>
      <c r="V1233">
        <v>0</v>
      </c>
      <c r="W1233">
        <v>0</v>
      </c>
      <c r="X1233">
        <v>2.2226499999999998</v>
      </c>
      <c r="Y1233">
        <v>1.92025</v>
      </c>
      <c r="Z1233">
        <v>0</v>
      </c>
      <c r="AA1233">
        <v>1.71709</v>
      </c>
      <c r="AB1233">
        <v>2.9635199999999999</v>
      </c>
      <c r="AC1233" s="2">
        <v>612514000</v>
      </c>
      <c r="AD1233" s="1">
        <v>0</v>
      </c>
      <c r="AE1233" s="1">
        <v>0</v>
      </c>
      <c r="AF1233" s="1">
        <v>0</v>
      </c>
      <c r="AG1233" s="1">
        <v>0</v>
      </c>
      <c r="AH1233" s="2">
        <v>5750520</v>
      </c>
      <c r="AI1233" s="1">
        <v>944323</v>
      </c>
      <c r="AJ1233" s="1">
        <v>0</v>
      </c>
      <c r="AK1233" s="8">
        <f t="shared" si="79"/>
        <v>36</v>
      </c>
      <c r="AL1233" s="8">
        <f t="shared" si="78"/>
        <v>24</v>
      </c>
      <c r="AM1233">
        <f t="shared" si="76"/>
        <v>0</v>
      </c>
      <c r="AN1233">
        <f t="shared" si="77"/>
        <v>0</v>
      </c>
    </row>
    <row r="1234" spans="1:40" x14ac:dyDescent="0.35">
      <c r="A1234">
        <v>69.003699999999995</v>
      </c>
      <c r="B1234">
        <v>85.138999999999996</v>
      </c>
      <c r="C1234">
        <v>1.22343</v>
      </c>
      <c r="D1234">
        <v>0.02</v>
      </c>
      <c r="E1234">
        <v>0.02</v>
      </c>
      <c r="F1234">
        <v>2.8534700000000002</v>
      </c>
      <c r="G1234">
        <v>3.1558700000000002</v>
      </c>
      <c r="H1234">
        <v>0</v>
      </c>
      <c r="I1234">
        <v>0.53469</v>
      </c>
      <c r="J1234">
        <v>5.3222399999999999</v>
      </c>
      <c r="K1234" s="2">
        <v>139473000</v>
      </c>
      <c r="L1234" s="1">
        <v>0</v>
      </c>
      <c r="M1234" s="1">
        <v>0</v>
      </c>
      <c r="N1234" s="1">
        <v>0</v>
      </c>
      <c r="O1234" s="1">
        <v>0</v>
      </c>
      <c r="P1234" s="2">
        <v>4265870</v>
      </c>
      <c r="Q1234" s="1">
        <v>-84108.800000000003</v>
      </c>
      <c r="R1234" s="1">
        <v>408539</v>
      </c>
      <c r="S1234">
        <v>96.366299999999995</v>
      </c>
      <c r="T1234">
        <v>98.274000000000001</v>
      </c>
      <c r="U1234">
        <v>1.8014600000000001</v>
      </c>
      <c r="V1234">
        <v>0</v>
      </c>
      <c r="W1234">
        <v>0</v>
      </c>
      <c r="X1234">
        <v>2.22281</v>
      </c>
      <c r="Y1234">
        <v>1.92041</v>
      </c>
      <c r="Z1234">
        <v>0</v>
      </c>
      <c r="AA1234">
        <v>1.71722</v>
      </c>
      <c r="AB1234">
        <v>2.9635199999999999</v>
      </c>
      <c r="AC1234" s="2">
        <v>613458000</v>
      </c>
      <c r="AD1234" s="1">
        <v>0</v>
      </c>
      <c r="AE1234" s="1">
        <v>0</v>
      </c>
      <c r="AF1234" s="1">
        <v>0</v>
      </c>
      <c r="AG1234" s="1">
        <v>0</v>
      </c>
      <c r="AH1234" s="2">
        <v>5750940</v>
      </c>
      <c r="AI1234" s="1">
        <v>944337</v>
      </c>
      <c r="AJ1234" s="1">
        <v>0</v>
      </c>
      <c r="AK1234" s="8">
        <f t="shared" si="79"/>
        <v>37</v>
      </c>
      <c r="AL1234" s="8">
        <f t="shared" si="78"/>
        <v>24</v>
      </c>
      <c r="AM1234">
        <f t="shared" si="76"/>
        <v>0</v>
      </c>
      <c r="AN1234">
        <f t="shared" si="77"/>
        <v>0</v>
      </c>
    </row>
    <row r="1235" spans="1:40" x14ac:dyDescent="0.35">
      <c r="A1235">
        <v>67.095399999999998</v>
      </c>
      <c r="B1235">
        <v>85.138999999999996</v>
      </c>
      <c r="C1235">
        <v>1.0566</v>
      </c>
      <c r="D1235">
        <v>0.02</v>
      </c>
      <c r="E1235">
        <v>0.02</v>
      </c>
      <c r="F1235">
        <v>3.0645199999999999</v>
      </c>
      <c r="G1235">
        <v>3.3669199999999999</v>
      </c>
      <c r="H1235">
        <v>0</v>
      </c>
      <c r="I1235">
        <v>0.53474100000000002</v>
      </c>
      <c r="J1235">
        <v>5.3222399999999999</v>
      </c>
      <c r="K1235" s="2">
        <v>139410000</v>
      </c>
      <c r="L1235" s="1">
        <v>0</v>
      </c>
      <c r="M1235" s="1">
        <v>0</v>
      </c>
      <c r="N1235" s="1">
        <v>0</v>
      </c>
      <c r="O1235" s="1">
        <v>0</v>
      </c>
      <c r="P1235" s="2">
        <v>4581390</v>
      </c>
      <c r="Q1235" s="1">
        <v>-62412.2</v>
      </c>
      <c r="R1235" s="1">
        <v>408539</v>
      </c>
      <c r="S1235">
        <v>95.623699999999999</v>
      </c>
      <c r="T1235">
        <v>98.274000000000001</v>
      </c>
      <c r="U1235">
        <v>1.7872399999999999</v>
      </c>
      <c r="V1235">
        <v>0</v>
      </c>
      <c r="W1235">
        <v>0</v>
      </c>
      <c r="X1235">
        <v>2.3883299999999998</v>
      </c>
      <c r="Y1235">
        <v>2.0859299999999998</v>
      </c>
      <c r="Z1235">
        <v>0</v>
      </c>
      <c r="AA1235">
        <v>1.7173400000000001</v>
      </c>
      <c r="AB1235">
        <v>2.9635199999999999</v>
      </c>
      <c r="AC1235" s="2">
        <v>614416000</v>
      </c>
      <c r="AD1235" s="1">
        <v>0</v>
      </c>
      <c r="AE1235" s="1">
        <v>0</v>
      </c>
      <c r="AF1235" s="1">
        <v>0</v>
      </c>
      <c r="AG1235" s="1">
        <v>0</v>
      </c>
      <c r="AH1235" s="2">
        <v>6179170</v>
      </c>
      <c r="AI1235" s="1">
        <v>958295</v>
      </c>
      <c r="AJ1235" s="1">
        <v>0</v>
      </c>
      <c r="AK1235" s="8">
        <f t="shared" si="79"/>
        <v>38</v>
      </c>
      <c r="AL1235" s="8">
        <f t="shared" si="78"/>
        <v>24</v>
      </c>
      <c r="AM1235">
        <f t="shared" si="76"/>
        <v>0</v>
      </c>
      <c r="AN1235">
        <f t="shared" si="77"/>
        <v>0</v>
      </c>
    </row>
    <row r="1236" spans="1:40" x14ac:dyDescent="0.35">
      <c r="A1236">
        <v>65.012799999999999</v>
      </c>
      <c r="B1236">
        <v>85.138999999999996</v>
      </c>
      <c r="C1236">
        <v>0.89877099999999999</v>
      </c>
      <c r="D1236">
        <v>0.02</v>
      </c>
      <c r="E1236">
        <v>0.02</v>
      </c>
      <c r="F1236">
        <v>3.06481</v>
      </c>
      <c r="G1236">
        <v>3.36721</v>
      </c>
      <c r="H1236">
        <v>0</v>
      </c>
      <c r="I1236">
        <v>0.57429200000000002</v>
      </c>
      <c r="J1236">
        <v>5.3222399999999999</v>
      </c>
      <c r="K1236" s="2">
        <v>139348000</v>
      </c>
      <c r="L1236" s="1">
        <v>0</v>
      </c>
      <c r="M1236" s="1">
        <v>0</v>
      </c>
      <c r="N1236" s="1">
        <v>0</v>
      </c>
      <c r="O1236" s="1">
        <v>0</v>
      </c>
      <c r="P1236" s="2">
        <v>4581810</v>
      </c>
      <c r="Q1236" s="1">
        <v>-62382.8</v>
      </c>
      <c r="R1236" s="1">
        <v>408539</v>
      </c>
      <c r="S1236">
        <v>94.729799999999997</v>
      </c>
      <c r="T1236">
        <v>98.274000000000001</v>
      </c>
      <c r="U1236">
        <v>1.5885899999999999</v>
      </c>
      <c r="V1236">
        <v>0</v>
      </c>
      <c r="W1236">
        <v>0</v>
      </c>
      <c r="X1236">
        <v>2.3885000000000001</v>
      </c>
      <c r="Y1236">
        <v>2.0861000000000001</v>
      </c>
      <c r="Z1236">
        <v>0</v>
      </c>
      <c r="AA1236">
        <v>1.8452200000000001</v>
      </c>
      <c r="AB1236">
        <v>2.9635199999999999</v>
      </c>
      <c r="AC1236" s="2">
        <v>615375000</v>
      </c>
      <c r="AD1236" s="1">
        <v>0</v>
      </c>
      <c r="AE1236" s="1">
        <v>0</v>
      </c>
      <c r="AF1236" s="1">
        <v>0</v>
      </c>
      <c r="AG1236" s="1">
        <v>0</v>
      </c>
      <c r="AH1236" s="2">
        <v>6179630</v>
      </c>
      <c r="AI1236" s="1">
        <v>958310</v>
      </c>
      <c r="AJ1236" s="1">
        <v>0</v>
      </c>
      <c r="AK1236" s="8">
        <f t="shared" si="79"/>
        <v>39</v>
      </c>
      <c r="AL1236" s="8">
        <f t="shared" si="78"/>
        <v>24</v>
      </c>
      <c r="AM1236">
        <f t="shared" si="76"/>
        <v>0</v>
      </c>
      <c r="AN1236">
        <f t="shared" si="77"/>
        <v>0</v>
      </c>
    </row>
    <row r="1237" spans="1:40" x14ac:dyDescent="0.35">
      <c r="A1237">
        <v>62.856299999999997</v>
      </c>
      <c r="B1237">
        <v>85.138999999999996</v>
      </c>
      <c r="C1237">
        <v>0.79711200000000004</v>
      </c>
      <c r="D1237">
        <v>0.02</v>
      </c>
      <c r="E1237">
        <v>0.02</v>
      </c>
      <c r="F1237">
        <v>3.0651000000000002</v>
      </c>
      <c r="G1237">
        <v>3.3675000000000002</v>
      </c>
      <c r="H1237">
        <v>0</v>
      </c>
      <c r="I1237">
        <v>0.57434499999999999</v>
      </c>
      <c r="J1237">
        <v>5.3222399999999999</v>
      </c>
      <c r="K1237" s="2">
        <v>139286000</v>
      </c>
      <c r="L1237" s="1">
        <v>0</v>
      </c>
      <c r="M1237" s="1">
        <v>0</v>
      </c>
      <c r="N1237" s="1">
        <v>0</v>
      </c>
      <c r="O1237" s="1">
        <v>0</v>
      </c>
      <c r="P1237" s="2">
        <v>4582240</v>
      </c>
      <c r="Q1237" s="1">
        <v>-62353.4</v>
      </c>
      <c r="R1237" s="1">
        <v>408539</v>
      </c>
      <c r="S1237">
        <v>93.845200000000006</v>
      </c>
      <c r="T1237">
        <v>98.274000000000001</v>
      </c>
      <c r="U1237">
        <v>1.48058</v>
      </c>
      <c r="V1237">
        <v>0</v>
      </c>
      <c r="W1237">
        <v>0</v>
      </c>
      <c r="X1237">
        <v>2.3886799999999999</v>
      </c>
      <c r="Y1237">
        <v>2.0862799999999999</v>
      </c>
      <c r="Z1237">
        <v>0</v>
      </c>
      <c r="AA1237">
        <v>1.8453599999999999</v>
      </c>
      <c r="AB1237">
        <v>2.9635199999999999</v>
      </c>
      <c r="AC1237" s="2">
        <v>616333000</v>
      </c>
      <c r="AD1237" s="1">
        <v>0</v>
      </c>
      <c r="AE1237" s="1">
        <v>0</v>
      </c>
      <c r="AF1237" s="1">
        <v>0</v>
      </c>
      <c r="AG1237" s="1">
        <v>0</v>
      </c>
      <c r="AH1237" s="2">
        <v>6180090</v>
      </c>
      <c r="AI1237" s="1">
        <v>958325</v>
      </c>
      <c r="AJ1237" s="1">
        <v>0</v>
      </c>
      <c r="AK1237" s="8">
        <f t="shared" si="79"/>
        <v>40</v>
      </c>
      <c r="AL1237" s="8">
        <f t="shared" si="78"/>
        <v>24</v>
      </c>
      <c r="AM1237">
        <f t="shared" si="76"/>
        <v>0</v>
      </c>
      <c r="AN1237">
        <f t="shared" si="77"/>
        <v>0</v>
      </c>
    </row>
    <row r="1238" spans="1:40" x14ac:dyDescent="0.35">
      <c r="A1238">
        <v>60.810400000000001</v>
      </c>
      <c r="B1238">
        <v>85.138999999999996</v>
      </c>
      <c r="C1238">
        <v>0.88517500000000005</v>
      </c>
      <c r="D1238">
        <v>0.02</v>
      </c>
      <c r="E1238">
        <v>0.02</v>
      </c>
      <c r="F1238">
        <v>3.0653800000000002</v>
      </c>
      <c r="G1238">
        <v>3.3677800000000002</v>
      </c>
      <c r="H1238">
        <v>0</v>
      </c>
      <c r="I1238">
        <v>0.57439899999999999</v>
      </c>
      <c r="J1238">
        <v>5.3222399999999999</v>
      </c>
      <c r="K1238" s="2">
        <v>139223000</v>
      </c>
      <c r="L1238" s="1">
        <v>0</v>
      </c>
      <c r="M1238" s="1">
        <v>0</v>
      </c>
      <c r="N1238" s="1">
        <v>0</v>
      </c>
      <c r="O1238" s="1">
        <v>0</v>
      </c>
      <c r="P1238" s="2">
        <v>4582670</v>
      </c>
      <c r="Q1238" s="1">
        <v>-62324.1</v>
      </c>
      <c r="R1238" s="1">
        <v>408539</v>
      </c>
      <c r="S1238">
        <v>93.181100000000001</v>
      </c>
      <c r="T1238">
        <v>98.274000000000001</v>
      </c>
      <c r="U1238">
        <v>1.52803</v>
      </c>
      <c r="V1238">
        <v>0</v>
      </c>
      <c r="W1238">
        <v>0</v>
      </c>
      <c r="X1238">
        <v>2.3888600000000002</v>
      </c>
      <c r="Y1238">
        <v>2.0864600000000002</v>
      </c>
      <c r="Z1238">
        <v>0</v>
      </c>
      <c r="AA1238">
        <v>1.8454900000000001</v>
      </c>
      <c r="AB1238">
        <v>2.9635199999999999</v>
      </c>
      <c r="AC1238" s="2">
        <v>617291000</v>
      </c>
      <c r="AD1238" s="1">
        <v>0</v>
      </c>
      <c r="AE1238" s="1">
        <v>0</v>
      </c>
      <c r="AF1238" s="1">
        <v>0</v>
      </c>
      <c r="AG1238" s="1">
        <v>0</v>
      </c>
      <c r="AH1238" s="2">
        <v>6180540</v>
      </c>
      <c r="AI1238" s="1">
        <v>958340</v>
      </c>
      <c r="AJ1238" s="1">
        <v>0</v>
      </c>
      <c r="AK1238" s="8">
        <f t="shared" si="79"/>
        <v>41</v>
      </c>
      <c r="AL1238" s="8">
        <f t="shared" si="78"/>
        <v>24</v>
      </c>
      <c r="AM1238">
        <f t="shared" si="76"/>
        <v>0</v>
      </c>
      <c r="AN1238">
        <f t="shared" si="77"/>
        <v>0</v>
      </c>
    </row>
    <row r="1239" spans="1:40" x14ac:dyDescent="0.35">
      <c r="A1239">
        <v>59.2654</v>
      </c>
      <c r="B1239">
        <v>85.138999999999996</v>
      </c>
      <c r="C1239">
        <v>1.4203399999999999</v>
      </c>
      <c r="D1239">
        <v>0.02</v>
      </c>
      <c r="E1239">
        <v>0.02</v>
      </c>
      <c r="F1239">
        <v>3.0656699999999999</v>
      </c>
      <c r="G1239">
        <v>3.3680699999999999</v>
      </c>
      <c r="H1239">
        <v>0</v>
      </c>
      <c r="I1239">
        <v>0.57445299999999999</v>
      </c>
      <c r="J1239">
        <v>5.3222399999999999</v>
      </c>
      <c r="K1239" s="2">
        <v>139161000</v>
      </c>
      <c r="L1239" s="1">
        <v>0</v>
      </c>
      <c r="M1239" s="1">
        <v>0</v>
      </c>
      <c r="N1239" s="1">
        <v>0</v>
      </c>
      <c r="O1239" s="1">
        <v>0</v>
      </c>
      <c r="P1239" s="2">
        <v>4583090</v>
      </c>
      <c r="Q1239" s="1">
        <v>-62294.7</v>
      </c>
      <c r="R1239" s="1">
        <v>408539</v>
      </c>
      <c r="S1239">
        <v>92.664299999999997</v>
      </c>
      <c r="T1239">
        <v>98.274000000000001</v>
      </c>
      <c r="U1239">
        <v>1.84066</v>
      </c>
      <c r="V1239">
        <v>0</v>
      </c>
      <c r="W1239">
        <v>0</v>
      </c>
      <c r="X1239">
        <v>2.3890400000000001</v>
      </c>
      <c r="Y1239">
        <v>2.0866400000000001</v>
      </c>
      <c r="Z1239">
        <v>0</v>
      </c>
      <c r="AA1239">
        <v>1.8456300000000001</v>
      </c>
      <c r="AB1239">
        <v>2.9635199999999999</v>
      </c>
      <c r="AC1239" s="2">
        <v>618250000</v>
      </c>
      <c r="AD1239" s="1">
        <v>0</v>
      </c>
      <c r="AE1239" s="1">
        <v>0</v>
      </c>
      <c r="AF1239" s="1">
        <v>0</v>
      </c>
      <c r="AG1239" s="1">
        <v>0</v>
      </c>
      <c r="AH1239" s="2">
        <v>6181000</v>
      </c>
      <c r="AI1239" s="1">
        <v>958355</v>
      </c>
      <c r="AJ1239" s="1">
        <v>0</v>
      </c>
      <c r="AK1239" s="8">
        <f t="shared" si="79"/>
        <v>42</v>
      </c>
      <c r="AL1239" s="8">
        <f t="shared" si="78"/>
        <v>24</v>
      </c>
      <c r="AM1239">
        <f t="shared" si="76"/>
        <v>0</v>
      </c>
      <c r="AN1239">
        <f t="shared" si="77"/>
        <v>0</v>
      </c>
    </row>
    <row r="1240" spans="1:40" x14ac:dyDescent="0.35">
      <c r="A1240">
        <v>58.287599999999998</v>
      </c>
      <c r="B1240">
        <v>85.138999999999996</v>
      </c>
      <c r="C1240">
        <v>1.85005</v>
      </c>
      <c r="D1240">
        <v>0.03</v>
      </c>
      <c r="E1240">
        <v>0.02</v>
      </c>
      <c r="F1240">
        <v>2.9631799999999999</v>
      </c>
      <c r="G1240">
        <v>3.2655799999999999</v>
      </c>
      <c r="H1240">
        <v>0</v>
      </c>
      <c r="I1240">
        <v>0.57450599999999996</v>
      </c>
      <c r="J1240">
        <v>5.3222399999999999</v>
      </c>
      <c r="K1240" s="2">
        <v>139088000</v>
      </c>
      <c r="L1240" s="1">
        <v>0</v>
      </c>
      <c r="M1240" s="1">
        <v>0</v>
      </c>
      <c r="N1240" s="1">
        <v>0</v>
      </c>
      <c r="O1240" s="1">
        <v>0</v>
      </c>
      <c r="P1240" s="2">
        <v>4429880</v>
      </c>
      <c r="Q1240" s="1">
        <v>-72830.5</v>
      </c>
      <c r="R1240" s="1">
        <v>408539</v>
      </c>
      <c r="S1240">
        <v>92.2928</v>
      </c>
      <c r="T1240">
        <v>98.274000000000001</v>
      </c>
      <c r="U1240">
        <v>2.0680499999999999</v>
      </c>
      <c r="V1240">
        <v>0</v>
      </c>
      <c r="W1240">
        <v>0</v>
      </c>
      <c r="X1240">
        <v>2.2888099999999998</v>
      </c>
      <c r="Y1240">
        <v>1.98641</v>
      </c>
      <c r="Z1240">
        <v>0</v>
      </c>
      <c r="AA1240">
        <v>1.8457699999999999</v>
      </c>
      <c r="AB1240">
        <v>2.9635199999999999</v>
      </c>
      <c r="AC1240" s="2">
        <v>619200000</v>
      </c>
      <c r="AD1240" s="1">
        <v>0</v>
      </c>
      <c r="AE1240" s="1">
        <v>0</v>
      </c>
      <c r="AF1240" s="1">
        <v>0</v>
      </c>
      <c r="AG1240" s="1">
        <v>0</v>
      </c>
      <c r="AH1240" s="2">
        <v>5921690</v>
      </c>
      <c r="AI1240" s="1">
        <v>949902</v>
      </c>
      <c r="AJ1240" s="1">
        <v>0</v>
      </c>
      <c r="AK1240" s="8">
        <f t="shared" si="79"/>
        <v>43</v>
      </c>
      <c r="AL1240" s="8">
        <f t="shared" si="78"/>
        <v>24</v>
      </c>
      <c r="AM1240">
        <f t="shared" si="76"/>
        <v>0</v>
      </c>
      <c r="AN1240">
        <f t="shared" si="77"/>
        <v>0</v>
      </c>
    </row>
    <row r="1241" spans="1:40" x14ac:dyDescent="0.35">
      <c r="A1241">
        <v>57.274700000000003</v>
      </c>
      <c r="B1241">
        <v>85.138999999999996</v>
      </c>
      <c r="C1241">
        <v>1.8224499999999999</v>
      </c>
      <c r="D1241">
        <v>0.03</v>
      </c>
      <c r="E1241">
        <v>0.02</v>
      </c>
      <c r="F1241">
        <v>2.96346</v>
      </c>
      <c r="G1241">
        <v>3.26586</v>
      </c>
      <c r="H1241">
        <v>0</v>
      </c>
      <c r="I1241">
        <v>0.55530000000000002</v>
      </c>
      <c r="J1241">
        <v>5.3222399999999999</v>
      </c>
      <c r="K1241" s="2">
        <v>139015000</v>
      </c>
      <c r="L1241" s="1">
        <v>0</v>
      </c>
      <c r="M1241" s="1">
        <v>0</v>
      </c>
      <c r="N1241" s="1">
        <v>0</v>
      </c>
      <c r="O1241" s="1">
        <v>0</v>
      </c>
      <c r="P1241" s="2">
        <v>4430290</v>
      </c>
      <c r="Q1241" s="1">
        <v>-72802</v>
      </c>
      <c r="R1241" s="1">
        <v>408539</v>
      </c>
      <c r="S1241">
        <v>92.1023</v>
      </c>
      <c r="T1241">
        <v>98.274000000000001</v>
      </c>
      <c r="U1241">
        <v>2.6741799999999998</v>
      </c>
      <c r="V1241">
        <v>0</v>
      </c>
      <c r="W1241">
        <v>0</v>
      </c>
      <c r="X1241">
        <v>2.28898</v>
      </c>
      <c r="Y1241">
        <v>1.98658</v>
      </c>
      <c r="Z1241">
        <v>0</v>
      </c>
      <c r="AA1241">
        <v>1.76833</v>
      </c>
      <c r="AB1241">
        <v>2.9635199999999999</v>
      </c>
      <c r="AC1241" s="2">
        <v>620150000</v>
      </c>
      <c r="AD1241" s="1">
        <v>0</v>
      </c>
      <c r="AE1241" s="1">
        <v>0</v>
      </c>
      <c r="AF1241" s="1">
        <v>0</v>
      </c>
      <c r="AG1241" s="1">
        <v>0</v>
      </c>
      <c r="AH1241" s="2">
        <v>5922120</v>
      </c>
      <c r="AI1241" s="1">
        <v>949917</v>
      </c>
      <c r="AJ1241" s="1">
        <v>0</v>
      </c>
      <c r="AK1241" s="8">
        <f t="shared" si="79"/>
        <v>44</v>
      </c>
      <c r="AL1241" s="8">
        <f t="shared" si="78"/>
        <v>24</v>
      </c>
      <c r="AM1241">
        <f t="shared" si="76"/>
        <v>0</v>
      </c>
      <c r="AN1241">
        <f t="shared" si="77"/>
        <v>0</v>
      </c>
    </row>
    <row r="1242" spans="1:40" x14ac:dyDescent="0.35">
      <c r="A1242">
        <v>56.162500000000001</v>
      </c>
      <c r="B1242">
        <v>85.138999999999996</v>
      </c>
      <c r="C1242">
        <v>1.7250700000000001</v>
      </c>
      <c r="D1242">
        <v>0.03</v>
      </c>
      <c r="E1242">
        <v>0.02</v>
      </c>
      <c r="F1242">
        <v>2.96374</v>
      </c>
      <c r="G1242">
        <v>3.26614</v>
      </c>
      <c r="H1242">
        <v>0</v>
      </c>
      <c r="I1242">
        <v>0.55535199999999996</v>
      </c>
      <c r="J1242">
        <v>5.3222399999999999</v>
      </c>
      <c r="K1242" s="2">
        <v>138942000</v>
      </c>
      <c r="L1242" s="1">
        <v>0</v>
      </c>
      <c r="M1242" s="1">
        <v>0</v>
      </c>
      <c r="N1242" s="1">
        <v>0</v>
      </c>
      <c r="O1242" s="1">
        <v>0</v>
      </c>
      <c r="P1242" s="2">
        <v>4430710</v>
      </c>
      <c r="Q1242" s="1">
        <v>-72773.5</v>
      </c>
      <c r="R1242" s="1">
        <v>408539</v>
      </c>
      <c r="S1242">
        <v>91.923599999999993</v>
      </c>
      <c r="T1242">
        <v>98.274000000000001</v>
      </c>
      <c r="U1242">
        <v>2.6408700000000001</v>
      </c>
      <c r="V1242">
        <v>0</v>
      </c>
      <c r="W1242">
        <v>0</v>
      </c>
      <c r="X1242">
        <v>2.2891400000000002</v>
      </c>
      <c r="Y1242">
        <v>1.98674</v>
      </c>
      <c r="Z1242">
        <v>0</v>
      </c>
      <c r="AA1242">
        <v>1.7684599999999999</v>
      </c>
      <c r="AB1242">
        <v>2.9635199999999999</v>
      </c>
      <c r="AC1242" s="2">
        <v>621100000</v>
      </c>
      <c r="AD1242" s="1">
        <v>0</v>
      </c>
      <c r="AE1242" s="1">
        <v>0</v>
      </c>
      <c r="AF1242" s="1">
        <v>0</v>
      </c>
      <c r="AG1242" s="1">
        <v>0</v>
      </c>
      <c r="AH1242" s="2">
        <v>5922560</v>
      </c>
      <c r="AI1242" s="1">
        <v>949931</v>
      </c>
      <c r="AJ1242" s="1">
        <v>0</v>
      </c>
      <c r="AK1242" s="8">
        <f t="shared" si="79"/>
        <v>45</v>
      </c>
      <c r="AL1242" s="8">
        <f t="shared" si="78"/>
        <v>24</v>
      </c>
      <c r="AM1242">
        <f t="shared" si="76"/>
        <v>0</v>
      </c>
      <c r="AN1242">
        <f t="shared" si="77"/>
        <v>0</v>
      </c>
    </row>
    <row r="1243" spans="1:40" x14ac:dyDescent="0.35">
      <c r="A1243">
        <v>55.2684</v>
      </c>
      <c r="B1243">
        <v>85.138999999999996</v>
      </c>
      <c r="C1243">
        <v>1.96828</v>
      </c>
      <c r="D1243">
        <v>0.03</v>
      </c>
      <c r="E1243">
        <v>0.02</v>
      </c>
      <c r="F1243">
        <v>2.96401</v>
      </c>
      <c r="G1243">
        <v>3.26641</v>
      </c>
      <c r="H1243">
        <v>0</v>
      </c>
      <c r="I1243">
        <v>0.55540400000000001</v>
      </c>
      <c r="J1243">
        <v>5.3222399999999999</v>
      </c>
      <c r="K1243" s="2">
        <v>138870000</v>
      </c>
      <c r="L1243" s="1">
        <v>0</v>
      </c>
      <c r="M1243" s="1">
        <v>0</v>
      </c>
      <c r="N1243" s="1">
        <v>0</v>
      </c>
      <c r="O1243" s="1">
        <v>0</v>
      </c>
      <c r="P1243" s="2">
        <v>4431120</v>
      </c>
      <c r="Q1243" s="1">
        <v>-72745</v>
      </c>
      <c r="R1243" s="1">
        <v>408539</v>
      </c>
      <c r="S1243">
        <v>91.939099999999996</v>
      </c>
      <c r="T1243">
        <v>98.274000000000001</v>
      </c>
      <c r="U1243">
        <v>3.2147100000000002</v>
      </c>
      <c r="V1243">
        <v>0</v>
      </c>
      <c r="W1243">
        <v>0</v>
      </c>
      <c r="X1243">
        <v>2.28931</v>
      </c>
      <c r="Y1243">
        <v>1.98691</v>
      </c>
      <c r="Z1243">
        <v>0</v>
      </c>
      <c r="AA1243">
        <v>1.7685900000000001</v>
      </c>
      <c r="AB1243">
        <v>2.9635199999999999</v>
      </c>
      <c r="AC1243" s="2">
        <v>622050000</v>
      </c>
      <c r="AD1243" s="1">
        <v>0</v>
      </c>
      <c r="AE1243" s="1">
        <v>0</v>
      </c>
      <c r="AF1243" s="1">
        <v>0</v>
      </c>
      <c r="AG1243" s="1">
        <v>0</v>
      </c>
      <c r="AH1243" s="2">
        <v>5923000</v>
      </c>
      <c r="AI1243" s="1">
        <v>949945</v>
      </c>
      <c r="AJ1243" s="1">
        <v>0</v>
      </c>
      <c r="AK1243" s="8">
        <f t="shared" si="79"/>
        <v>46</v>
      </c>
      <c r="AL1243" s="8">
        <f t="shared" si="78"/>
        <v>24</v>
      </c>
      <c r="AM1243">
        <f t="shared" si="76"/>
        <v>0</v>
      </c>
      <c r="AN1243">
        <f t="shared" si="77"/>
        <v>0</v>
      </c>
    </row>
    <row r="1244" spans="1:40" x14ac:dyDescent="0.35">
      <c r="A1244">
        <v>55.592500000000001</v>
      </c>
      <c r="B1244">
        <v>85.138999999999996</v>
      </c>
      <c r="C1244">
        <v>3.24133</v>
      </c>
      <c r="D1244">
        <v>0.02</v>
      </c>
      <c r="E1244">
        <v>0.02</v>
      </c>
      <c r="F1244">
        <v>2.8799000000000001</v>
      </c>
      <c r="G1244">
        <v>3.1823000000000001</v>
      </c>
      <c r="H1244">
        <v>0</v>
      </c>
      <c r="I1244">
        <v>0.55545599999999995</v>
      </c>
      <c r="J1244">
        <v>5.3222399999999999</v>
      </c>
      <c r="K1244" s="2">
        <v>138788000</v>
      </c>
      <c r="L1244" s="1">
        <v>0</v>
      </c>
      <c r="M1244" s="1">
        <v>0</v>
      </c>
      <c r="N1244" s="1">
        <v>0</v>
      </c>
      <c r="O1244" s="1">
        <v>0</v>
      </c>
      <c r="P1244" s="2">
        <v>4305380</v>
      </c>
      <c r="Q1244" s="1">
        <v>-81391.600000000006</v>
      </c>
      <c r="R1244" s="1">
        <v>408539</v>
      </c>
      <c r="S1244">
        <v>92.244699999999995</v>
      </c>
      <c r="T1244">
        <v>98.274000000000001</v>
      </c>
      <c r="U1244">
        <v>4.0369099999999998</v>
      </c>
      <c r="V1244">
        <v>0</v>
      </c>
      <c r="W1244">
        <v>0</v>
      </c>
      <c r="X1244">
        <v>2.1980599999999999</v>
      </c>
      <c r="Y1244">
        <v>1.8956599999999999</v>
      </c>
      <c r="Z1244">
        <v>0</v>
      </c>
      <c r="AA1244">
        <v>1.7687200000000001</v>
      </c>
      <c r="AB1244">
        <v>2.9635199999999999</v>
      </c>
      <c r="AC1244" s="2">
        <v>622992000</v>
      </c>
      <c r="AD1244" s="1">
        <v>0</v>
      </c>
      <c r="AE1244" s="1">
        <v>0</v>
      </c>
      <c r="AF1244" s="1">
        <v>0</v>
      </c>
      <c r="AG1244" s="1">
        <v>0</v>
      </c>
      <c r="AH1244" s="2">
        <v>5686890</v>
      </c>
      <c r="AI1244" s="1">
        <v>942249</v>
      </c>
      <c r="AJ1244" s="1">
        <v>0</v>
      </c>
      <c r="AK1244" s="8">
        <f t="shared" si="79"/>
        <v>47</v>
      </c>
      <c r="AL1244" s="8">
        <f t="shared" si="78"/>
        <v>24</v>
      </c>
      <c r="AM1244">
        <f t="shared" si="76"/>
        <v>0</v>
      </c>
      <c r="AN1244">
        <f t="shared" si="77"/>
        <v>0</v>
      </c>
    </row>
    <row r="1245" spans="1:40" x14ac:dyDescent="0.35">
      <c r="A1245">
        <v>59.247399999999999</v>
      </c>
      <c r="B1245">
        <v>85.138999999999996</v>
      </c>
      <c r="C1245">
        <v>6.6824500000000002</v>
      </c>
      <c r="D1245">
        <v>0.02</v>
      </c>
      <c r="E1245">
        <v>0.02</v>
      </c>
      <c r="F1245">
        <v>2.8801700000000001</v>
      </c>
      <c r="G1245">
        <v>3.1825700000000001</v>
      </c>
      <c r="H1245">
        <v>0</v>
      </c>
      <c r="I1245">
        <v>0.53969400000000001</v>
      </c>
      <c r="J1245">
        <v>5.3222399999999999</v>
      </c>
      <c r="K1245" s="2">
        <v>138707000</v>
      </c>
      <c r="L1245" s="1">
        <v>0</v>
      </c>
      <c r="M1245" s="1">
        <v>0</v>
      </c>
      <c r="N1245" s="1">
        <v>0</v>
      </c>
      <c r="O1245" s="1">
        <v>0</v>
      </c>
      <c r="P1245" s="2">
        <v>4305790</v>
      </c>
      <c r="Q1245" s="1">
        <v>-81363.899999999994</v>
      </c>
      <c r="R1245" s="1">
        <v>408539</v>
      </c>
      <c r="S1245">
        <v>93.784700000000001</v>
      </c>
      <c r="T1245">
        <v>98.274000000000001</v>
      </c>
      <c r="U1245">
        <v>7.9276900000000001</v>
      </c>
      <c r="V1245">
        <v>0</v>
      </c>
      <c r="W1245">
        <v>0</v>
      </c>
      <c r="X1245">
        <v>2.1982200000000001</v>
      </c>
      <c r="Y1245">
        <v>1.8958200000000001</v>
      </c>
      <c r="Z1245">
        <v>0</v>
      </c>
      <c r="AA1245">
        <v>1.6982200000000001</v>
      </c>
      <c r="AB1245">
        <v>2.9635199999999999</v>
      </c>
      <c r="AC1245" s="2">
        <v>623934000</v>
      </c>
      <c r="AD1245" s="1">
        <v>0</v>
      </c>
      <c r="AE1245" s="1">
        <v>0</v>
      </c>
      <c r="AF1245" s="1">
        <v>0</v>
      </c>
      <c r="AG1245" s="1">
        <v>0</v>
      </c>
      <c r="AH1245" s="2">
        <v>5687310</v>
      </c>
      <c r="AI1245" s="1">
        <v>942263</v>
      </c>
      <c r="AJ1245" s="1">
        <v>0</v>
      </c>
      <c r="AK1245" s="8">
        <f t="shared" si="79"/>
        <v>48</v>
      </c>
      <c r="AL1245" s="8">
        <f t="shared" si="78"/>
        <v>24</v>
      </c>
      <c r="AM1245">
        <f t="shared" si="76"/>
        <v>0</v>
      </c>
      <c r="AN1245">
        <f t="shared" si="77"/>
        <v>0</v>
      </c>
    </row>
    <row r="1246" spans="1:40" x14ac:dyDescent="0.35">
      <c r="A1246">
        <v>61.188499999999998</v>
      </c>
      <c r="B1246">
        <v>85.138999999999996</v>
      </c>
      <c r="C1246">
        <v>4.9889999999999999</v>
      </c>
      <c r="D1246">
        <v>0.02</v>
      </c>
      <c r="E1246">
        <v>0.02</v>
      </c>
      <c r="F1246">
        <v>2.8804400000000001</v>
      </c>
      <c r="G1246">
        <v>3.1828400000000001</v>
      </c>
      <c r="H1246">
        <v>0</v>
      </c>
      <c r="I1246">
        <v>0.539744</v>
      </c>
      <c r="J1246">
        <v>5.3222399999999999</v>
      </c>
      <c r="K1246" s="2">
        <v>138626000</v>
      </c>
      <c r="L1246" s="1">
        <v>0</v>
      </c>
      <c r="M1246" s="1">
        <v>0</v>
      </c>
      <c r="N1246" s="1">
        <v>0</v>
      </c>
      <c r="O1246" s="1">
        <v>0</v>
      </c>
      <c r="P1246" s="2">
        <v>4306190</v>
      </c>
      <c r="Q1246" s="1">
        <v>-81336.100000000006</v>
      </c>
      <c r="R1246" s="1">
        <v>408539</v>
      </c>
      <c r="S1246">
        <v>95.135900000000007</v>
      </c>
      <c r="T1246">
        <v>98.274000000000001</v>
      </c>
      <c r="U1246">
        <v>6.0006700000000004</v>
      </c>
      <c r="V1246">
        <v>0</v>
      </c>
      <c r="W1246">
        <v>0</v>
      </c>
      <c r="X1246">
        <v>2.1983799999999998</v>
      </c>
      <c r="Y1246">
        <v>1.89598</v>
      </c>
      <c r="Z1246">
        <v>0</v>
      </c>
      <c r="AA1246">
        <v>1.69834</v>
      </c>
      <c r="AB1246">
        <v>2.9635199999999999</v>
      </c>
      <c r="AC1246" s="2">
        <v>624876000</v>
      </c>
      <c r="AD1246" s="1">
        <v>0</v>
      </c>
      <c r="AE1246" s="1">
        <v>0</v>
      </c>
      <c r="AF1246" s="1">
        <v>0</v>
      </c>
      <c r="AG1246" s="1">
        <v>0</v>
      </c>
      <c r="AH1246" s="2">
        <v>5687730</v>
      </c>
      <c r="AI1246" s="1">
        <v>942276</v>
      </c>
      <c r="AJ1246" s="1">
        <v>0</v>
      </c>
      <c r="AK1246" s="8">
        <f t="shared" si="79"/>
        <v>49</v>
      </c>
      <c r="AL1246" s="8">
        <f t="shared" si="78"/>
        <v>24</v>
      </c>
      <c r="AM1246">
        <f t="shared" si="76"/>
        <v>0</v>
      </c>
      <c r="AN1246">
        <f t="shared" si="77"/>
        <v>0</v>
      </c>
    </row>
    <row r="1247" spans="1:40" x14ac:dyDescent="0.35">
      <c r="A1247">
        <v>64.908500000000004</v>
      </c>
      <c r="B1247">
        <v>85.138999999999996</v>
      </c>
      <c r="C1247">
        <v>6.7877999999999998</v>
      </c>
      <c r="D1247">
        <v>0.02</v>
      </c>
      <c r="E1247">
        <v>0.02</v>
      </c>
      <c r="F1247">
        <v>2.8807100000000001</v>
      </c>
      <c r="G1247">
        <v>3.1831100000000001</v>
      </c>
      <c r="H1247">
        <v>0</v>
      </c>
      <c r="I1247">
        <v>0.53979500000000002</v>
      </c>
      <c r="J1247">
        <v>5.3222399999999999</v>
      </c>
      <c r="K1247" s="2">
        <v>138544000</v>
      </c>
      <c r="L1247" s="1">
        <v>0</v>
      </c>
      <c r="M1247" s="1">
        <v>0</v>
      </c>
      <c r="N1247" s="1">
        <v>0</v>
      </c>
      <c r="O1247" s="1">
        <v>0</v>
      </c>
      <c r="P1247" s="2">
        <v>4306590</v>
      </c>
      <c r="Q1247" s="1">
        <v>-81308.3</v>
      </c>
      <c r="R1247" s="1">
        <v>408539</v>
      </c>
      <c r="S1247">
        <v>96.451599999999999</v>
      </c>
      <c r="T1247">
        <v>98.274000000000001</v>
      </c>
      <c r="U1247">
        <v>7.0716099999999997</v>
      </c>
      <c r="V1247">
        <v>0</v>
      </c>
      <c r="W1247">
        <v>0</v>
      </c>
      <c r="X1247">
        <v>2.1985399999999999</v>
      </c>
      <c r="Y1247">
        <v>1.8961399999999999</v>
      </c>
      <c r="Z1247">
        <v>0</v>
      </c>
      <c r="AA1247">
        <v>1.6984699999999999</v>
      </c>
      <c r="AB1247">
        <v>2.9635199999999999</v>
      </c>
      <c r="AC1247" s="2">
        <v>625819000</v>
      </c>
      <c r="AD1247" s="1">
        <v>0</v>
      </c>
      <c r="AE1247" s="1">
        <v>0</v>
      </c>
      <c r="AF1247" s="1">
        <v>0</v>
      </c>
      <c r="AG1247" s="1">
        <v>0</v>
      </c>
      <c r="AH1247" s="2">
        <v>5688140</v>
      </c>
      <c r="AI1247" s="1">
        <v>942290</v>
      </c>
      <c r="AJ1247" s="1">
        <v>0</v>
      </c>
      <c r="AK1247" s="8">
        <f t="shared" si="79"/>
        <v>50</v>
      </c>
      <c r="AL1247" s="8">
        <f t="shared" si="78"/>
        <v>24</v>
      </c>
      <c r="AM1247">
        <f t="shared" si="76"/>
        <v>0</v>
      </c>
      <c r="AN1247">
        <f t="shared" si="77"/>
        <v>0</v>
      </c>
    </row>
    <row r="1248" spans="1:40" x14ac:dyDescent="0.35">
      <c r="A1248">
        <v>67.194999999999993</v>
      </c>
      <c r="B1248">
        <v>85.138999999999996</v>
      </c>
      <c r="C1248">
        <v>5.2169699999999999</v>
      </c>
      <c r="D1248">
        <v>0.02</v>
      </c>
      <c r="E1248">
        <v>0.02</v>
      </c>
      <c r="F1248">
        <v>2.6412399999999998</v>
      </c>
      <c r="G1248">
        <v>2.9436399999999998</v>
      </c>
      <c r="H1248">
        <v>0</v>
      </c>
      <c r="I1248">
        <v>0.53984600000000005</v>
      </c>
      <c r="J1248">
        <v>5.3222399999999999</v>
      </c>
      <c r="K1248" s="2">
        <v>138438000</v>
      </c>
      <c r="L1248" s="1">
        <v>0</v>
      </c>
      <c r="M1248" s="1">
        <v>0</v>
      </c>
      <c r="N1248" s="1">
        <v>0</v>
      </c>
      <c r="O1248" s="1">
        <v>0</v>
      </c>
      <c r="P1248" s="2">
        <v>3948580</v>
      </c>
      <c r="Q1248" s="1">
        <v>-105927</v>
      </c>
      <c r="R1248" s="1">
        <v>408539</v>
      </c>
      <c r="S1248">
        <v>96.912499999999994</v>
      </c>
      <c r="T1248">
        <v>98.274000000000001</v>
      </c>
      <c r="U1248">
        <v>4.4450900000000004</v>
      </c>
      <c r="V1248">
        <v>0</v>
      </c>
      <c r="W1248">
        <v>0</v>
      </c>
      <c r="X1248">
        <v>2.0082200000000001</v>
      </c>
      <c r="Y1248">
        <v>1.7058199999999999</v>
      </c>
      <c r="Z1248">
        <v>0</v>
      </c>
      <c r="AA1248">
        <v>1.69859</v>
      </c>
      <c r="AB1248">
        <v>2.9635199999999999</v>
      </c>
      <c r="AC1248" s="2">
        <v>626745000</v>
      </c>
      <c r="AD1248" s="1">
        <v>0</v>
      </c>
      <c r="AE1248" s="1">
        <v>0</v>
      </c>
      <c r="AF1248" s="1">
        <v>0</v>
      </c>
      <c r="AG1248" s="1">
        <v>0</v>
      </c>
      <c r="AH1248" s="2">
        <v>5195750</v>
      </c>
      <c r="AI1248" s="1">
        <v>926240</v>
      </c>
      <c r="AJ1248" s="1">
        <v>0</v>
      </c>
      <c r="AK1248" s="8">
        <f t="shared" si="79"/>
        <v>51</v>
      </c>
      <c r="AL1248" s="8">
        <f t="shared" si="78"/>
        <v>24</v>
      </c>
      <c r="AM1248">
        <f t="shared" si="76"/>
        <v>0</v>
      </c>
      <c r="AN1248">
        <f t="shared" si="77"/>
        <v>0</v>
      </c>
    </row>
    <row r="1249" spans="1:40" x14ac:dyDescent="0.35">
      <c r="A1249">
        <v>71.341099999999997</v>
      </c>
      <c r="B1249">
        <v>85.138999999999996</v>
      </c>
      <c r="C1249">
        <v>7.0798500000000004</v>
      </c>
      <c r="D1249">
        <v>0.02</v>
      </c>
      <c r="E1249">
        <v>0.02</v>
      </c>
      <c r="F1249">
        <v>2.6414900000000001</v>
      </c>
      <c r="G1249">
        <v>2.9438900000000001</v>
      </c>
      <c r="H1249">
        <v>0</v>
      </c>
      <c r="I1249">
        <v>0.49496800000000002</v>
      </c>
      <c r="J1249">
        <v>5.3222399999999999</v>
      </c>
      <c r="K1249" s="2">
        <v>138333000</v>
      </c>
      <c r="L1249" s="1">
        <v>0</v>
      </c>
      <c r="M1249" s="1">
        <v>0</v>
      </c>
      <c r="N1249" s="1">
        <v>0</v>
      </c>
      <c r="O1249" s="1">
        <v>0</v>
      </c>
      <c r="P1249" s="2">
        <v>3948960</v>
      </c>
      <c r="Q1249" s="1">
        <v>-105901</v>
      </c>
      <c r="R1249" s="1">
        <v>408539</v>
      </c>
      <c r="S1249">
        <v>97.597300000000004</v>
      </c>
      <c r="T1249">
        <v>98.274000000000001</v>
      </c>
      <c r="U1249">
        <v>4.1600999999999999</v>
      </c>
      <c r="V1249">
        <v>0</v>
      </c>
      <c r="W1249">
        <v>0</v>
      </c>
      <c r="X1249">
        <v>2.0083700000000002</v>
      </c>
      <c r="Y1249">
        <v>1.70597</v>
      </c>
      <c r="Z1249">
        <v>0</v>
      </c>
      <c r="AA1249">
        <v>1.55155</v>
      </c>
      <c r="AB1249">
        <v>2.9635199999999999</v>
      </c>
      <c r="AC1249" s="2">
        <v>627671000</v>
      </c>
      <c r="AD1249" s="1">
        <v>0</v>
      </c>
      <c r="AE1249" s="1">
        <v>0</v>
      </c>
      <c r="AF1249" s="1">
        <v>0</v>
      </c>
      <c r="AG1249" s="1">
        <v>0</v>
      </c>
      <c r="AH1249" s="2">
        <v>5196120</v>
      </c>
      <c r="AI1249" s="1">
        <v>926252</v>
      </c>
      <c r="AJ1249" s="1">
        <v>0</v>
      </c>
      <c r="AK1249" s="8">
        <f t="shared" si="79"/>
        <v>52</v>
      </c>
      <c r="AL1249" s="8">
        <f t="shared" si="78"/>
        <v>24</v>
      </c>
      <c r="AM1249">
        <f t="shared" si="76"/>
        <v>627671000</v>
      </c>
      <c r="AN1249">
        <f t="shared" si="77"/>
        <v>138333000</v>
      </c>
    </row>
    <row r="1250" spans="1:40" x14ac:dyDescent="0.35">
      <c r="A1250">
        <v>75.913600000000002</v>
      </c>
      <c r="B1250">
        <v>85.138999999999996</v>
      </c>
      <c r="C1250">
        <v>7.6491199999999999</v>
      </c>
      <c r="D1250">
        <v>0.02</v>
      </c>
      <c r="E1250">
        <v>0.02</v>
      </c>
      <c r="F1250">
        <v>2.64174</v>
      </c>
      <c r="G1250">
        <v>2.94414</v>
      </c>
      <c r="H1250">
        <v>0</v>
      </c>
      <c r="I1250">
        <v>0.49501499999999998</v>
      </c>
      <c r="J1250">
        <v>5.3222399999999999</v>
      </c>
      <c r="K1250" s="2">
        <v>138227000</v>
      </c>
      <c r="L1250" s="1">
        <v>0</v>
      </c>
      <c r="M1250" s="1">
        <v>0</v>
      </c>
      <c r="N1250" s="1">
        <v>0</v>
      </c>
      <c r="O1250" s="1">
        <v>0</v>
      </c>
      <c r="P1250" s="2">
        <v>3949330</v>
      </c>
      <c r="Q1250" s="1">
        <v>-105875</v>
      </c>
      <c r="R1250" s="1">
        <v>408539</v>
      </c>
      <c r="S1250">
        <v>98.387600000000006</v>
      </c>
      <c r="T1250">
        <v>98.274000000000001</v>
      </c>
      <c r="U1250">
        <v>4.2899200000000004</v>
      </c>
      <c r="V1250">
        <v>0</v>
      </c>
      <c r="W1250">
        <v>0</v>
      </c>
      <c r="X1250">
        <v>2.0085099999999998</v>
      </c>
      <c r="Y1250">
        <v>1.70611</v>
      </c>
      <c r="Z1250">
        <v>0</v>
      </c>
      <c r="AA1250">
        <v>1.55166</v>
      </c>
      <c r="AB1250">
        <v>2.9635199999999999</v>
      </c>
      <c r="AC1250" s="2">
        <v>628597000</v>
      </c>
      <c r="AD1250" s="1">
        <v>0</v>
      </c>
      <c r="AE1250" s="1">
        <v>0</v>
      </c>
      <c r="AF1250" s="1">
        <v>0</v>
      </c>
      <c r="AG1250" s="1">
        <v>0</v>
      </c>
      <c r="AH1250" s="2">
        <v>5196500</v>
      </c>
      <c r="AI1250" s="1">
        <v>926264</v>
      </c>
      <c r="AJ1250" s="1">
        <v>0</v>
      </c>
      <c r="AK1250" s="8">
        <f t="shared" si="79"/>
        <v>1</v>
      </c>
      <c r="AL1250" s="8">
        <f t="shared" si="78"/>
        <v>25</v>
      </c>
      <c r="AM1250">
        <f t="shared" si="76"/>
        <v>0</v>
      </c>
      <c r="AN1250">
        <f t="shared" si="77"/>
        <v>0</v>
      </c>
    </row>
    <row r="1251" spans="1:40" x14ac:dyDescent="0.35">
      <c r="A1251">
        <v>83.517499999999998</v>
      </c>
      <c r="B1251">
        <v>85.138999999999996</v>
      </c>
      <c r="C1251">
        <v>11.043799999999999</v>
      </c>
      <c r="D1251">
        <v>0</v>
      </c>
      <c r="E1251">
        <v>0.02</v>
      </c>
      <c r="F1251">
        <v>2.9443899999999998</v>
      </c>
      <c r="G1251">
        <v>2.9443899999999998</v>
      </c>
      <c r="H1251">
        <v>0</v>
      </c>
      <c r="I1251">
        <v>0.495062</v>
      </c>
      <c r="J1251">
        <v>5.3222399999999999</v>
      </c>
      <c r="K1251" s="2">
        <v>138529000</v>
      </c>
      <c r="L1251" s="1">
        <v>0</v>
      </c>
      <c r="M1251" s="1">
        <v>0</v>
      </c>
      <c r="N1251" s="1">
        <v>0</v>
      </c>
      <c r="O1251" s="1">
        <v>0</v>
      </c>
      <c r="P1251" s="2">
        <v>4401790</v>
      </c>
      <c r="Q1251" s="1">
        <v>302689</v>
      </c>
      <c r="R1251" s="1">
        <v>0</v>
      </c>
      <c r="S1251">
        <v>99.302199999999999</v>
      </c>
      <c r="T1251">
        <v>98.274000000000001</v>
      </c>
      <c r="U1251">
        <v>10.3482</v>
      </c>
      <c r="V1251">
        <v>0</v>
      </c>
      <c r="W1251">
        <v>0</v>
      </c>
      <c r="X1251">
        <v>1.7062600000000001</v>
      </c>
      <c r="Y1251">
        <v>1.7062600000000001</v>
      </c>
      <c r="Z1251">
        <v>0</v>
      </c>
      <c r="AA1251">
        <v>1.5517799999999999</v>
      </c>
      <c r="AB1251">
        <v>2.9635199999999999</v>
      </c>
      <c r="AC1251" s="2">
        <v>628741000</v>
      </c>
      <c r="AD1251" s="1">
        <v>0</v>
      </c>
      <c r="AE1251" s="1">
        <v>0</v>
      </c>
      <c r="AF1251" s="1">
        <v>0</v>
      </c>
      <c r="AG1251" s="1">
        <v>0</v>
      </c>
      <c r="AH1251" s="2">
        <v>4414490</v>
      </c>
      <c r="AI1251" s="1">
        <v>143895</v>
      </c>
      <c r="AJ1251" s="1">
        <v>0</v>
      </c>
      <c r="AK1251" s="8">
        <f t="shared" si="79"/>
        <v>2</v>
      </c>
      <c r="AL1251" s="8">
        <f t="shared" si="78"/>
        <v>25</v>
      </c>
      <c r="AM1251">
        <f t="shared" si="76"/>
        <v>0</v>
      </c>
      <c r="AN1251">
        <f t="shared" si="77"/>
        <v>0</v>
      </c>
    </row>
    <row r="1252" spans="1:40" x14ac:dyDescent="0.35">
      <c r="A1252">
        <v>85.138999999999996</v>
      </c>
      <c r="B1252">
        <v>85.138999999999996</v>
      </c>
      <c r="C1252">
        <v>12.0739</v>
      </c>
      <c r="D1252">
        <v>0</v>
      </c>
      <c r="E1252">
        <v>0.02</v>
      </c>
      <c r="F1252">
        <v>2.9446400000000001</v>
      </c>
      <c r="G1252">
        <v>2.9446400000000001</v>
      </c>
      <c r="H1252">
        <v>0</v>
      </c>
      <c r="I1252">
        <v>0.55177799999999999</v>
      </c>
      <c r="J1252">
        <v>5.3222399999999999</v>
      </c>
      <c r="K1252" s="2">
        <v>138832000</v>
      </c>
      <c r="L1252" s="1">
        <v>0</v>
      </c>
      <c r="M1252" s="1">
        <v>0</v>
      </c>
      <c r="N1252" s="1">
        <v>0</v>
      </c>
      <c r="O1252" s="1">
        <v>0</v>
      </c>
      <c r="P1252" s="2">
        <v>4402160</v>
      </c>
      <c r="Q1252" s="1">
        <v>302714</v>
      </c>
      <c r="R1252" s="1">
        <v>0</v>
      </c>
      <c r="S1252">
        <v>99.302199999999999</v>
      </c>
      <c r="T1252">
        <v>98.274000000000001</v>
      </c>
      <c r="U1252">
        <v>7.30802</v>
      </c>
      <c r="V1252">
        <v>0</v>
      </c>
      <c r="W1252">
        <v>0</v>
      </c>
      <c r="X1252">
        <v>1.7063999999999999</v>
      </c>
      <c r="Y1252">
        <v>1.7063999999999999</v>
      </c>
      <c r="Z1252">
        <v>0</v>
      </c>
      <c r="AA1252">
        <v>1.3182499999999999</v>
      </c>
      <c r="AB1252">
        <v>2.9635199999999999</v>
      </c>
      <c r="AC1252" s="2">
        <v>628885000</v>
      </c>
      <c r="AD1252" s="1">
        <v>0</v>
      </c>
      <c r="AE1252" s="1">
        <v>0</v>
      </c>
      <c r="AF1252" s="1">
        <v>0</v>
      </c>
      <c r="AG1252" s="1">
        <v>0</v>
      </c>
      <c r="AH1252" s="2">
        <v>4414870</v>
      </c>
      <c r="AI1252" s="1">
        <v>143908</v>
      </c>
      <c r="AJ1252" s="1">
        <v>0</v>
      </c>
      <c r="AK1252" s="8">
        <f t="shared" si="79"/>
        <v>3</v>
      </c>
      <c r="AL1252" s="8">
        <f t="shared" si="78"/>
        <v>25</v>
      </c>
      <c r="AM1252">
        <f t="shared" si="76"/>
        <v>0</v>
      </c>
      <c r="AN1252">
        <f t="shared" si="77"/>
        <v>0</v>
      </c>
    </row>
    <row r="1253" spans="1:40" x14ac:dyDescent="0.35">
      <c r="A1253">
        <v>85.138999999999996</v>
      </c>
      <c r="B1253">
        <v>85.138999999999996</v>
      </c>
      <c r="C1253">
        <v>6.2792300000000001</v>
      </c>
      <c r="D1253">
        <v>0</v>
      </c>
      <c r="E1253">
        <v>0.02</v>
      </c>
      <c r="F1253">
        <v>2.9446400000000001</v>
      </c>
      <c r="G1253">
        <v>2.9446400000000001</v>
      </c>
      <c r="H1253">
        <v>0</v>
      </c>
      <c r="I1253">
        <v>0.55182500000000001</v>
      </c>
      <c r="J1253">
        <v>5.3222399999999999</v>
      </c>
      <c r="K1253" s="2">
        <v>139135000</v>
      </c>
      <c r="L1253" s="1">
        <v>0</v>
      </c>
      <c r="M1253" s="1">
        <v>0</v>
      </c>
      <c r="N1253" s="1">
        <v>0</v>
      </c>
      <c r="O1253" s="1">
        <v>0</v>
      </c>
      <c r="P1253" s="2">
        <v>4402160</v>
      </c>
      <c r="Q1253" s="1">
        <v>302714</v>
      </c>
      <c r="R1253" s="1">
        <v>0</v>
      </c>
      <c r="S1253">
        <v>99.302199999999999</v>
      </c>
      <c r="T1253">
        <v>98.274000000000001</v>
      </c>
      <c r="U1253">
        <v>5.31487</v>
      </c>
      <c r="V1253">
        <v>0</v>
      </c>
      <c r="W1253">
        <v>0</v>
      </c>
      <c r="X1253">
        <v>1.7063999999999999</v>
      </c>
      <c r="Y1253">
        <v>1.7063999999999999</v>
      </c>
      <c r="Z1253">
        <v>0</v>
      </c>
      <c r="AA1253">
        <v>1.31837</v>
      </c>
      <c r="AB1253">
        <v>2.9635199999999999</v>
      </c>
      <c r="AC1253" s="2">
        <v>629029000</v>
      </c>
      <c r="AD1253" s="1">
        <v>0</v>
      </c>
      <c r="AE1253" s="1">
        <v>0</v>
      </c>
      <c r="AF1253" s="1">
        <v>0</v>
      </c>
      <c r="AG1253" s="1">
        <v>0</v>
      </c>
      <c r="AH1253" s="2">
        <v>4414870</v>
      </c>
      <c r="AI1253" s="1">
        <v>143908</v>
      </c>
      <c r="AJ1253" s="1">
        <v>0</v>
      </c>
      <c r="AK1253" s="8">
        <f t="shared" si="79"/>
        <v>4</v>
      </c>
      <c r="AL1253" s="8">
        <f t="shared" si="78"/>
        <v>25</v>
      </c>
      <c r="AM1253">
        <f t="shared" si="76"/>
        <v>0</v>
      </c>
      <c r="AN1253">
        <f t="shared" si="77"/>
        <v>0</v>
      </c>
    </row>
    <row r="1254" spans="1:40" x14ac:dyDescent="0.35">
      <c r="A1254">
        <v>85.138999999999996</v>
      </c>
      <c r="B1254">
        <v>85.138999999999996</v>
      </c>
      <c r="C1254">
        <v>5.9607299999999999</v>
      </c>
      <c r="D1254">
        <v>0</v>
      </c>
      <c r="E1254">
        <v>0.02</v>
      </c>
      <c r="F1254">
        <v>3.03714</v>
      </c>
      <c r="G1254">
        <v>3.03714</v>
      </c>
      <c r="H1254">
        <v>0</v>
      </c>
      <c r="I1254">
        <v>0.55182500000000001</v>
      </c>
      <c r="J1254">
        <v>5.3222399999999999</v>
      </c>
      <c r="K1254" s="2">
        <v>139447000</v>
      </c>
      <c r="L1254" s="1">
        <v>0</v>
      </c>
      <c r="M1254" s="1">
        <v>0</v>
      </c>
      <c r="N1254" s="1">
        <v>0</v>
      </c>
      <c r="O1254" s="1">
        <v>0</v>
      </c>
      <c r="P1254" s="2">
        <v>4540440</v>
      </c>
      <c r="Q1254" s="1">
        <v>312224</v>
      </c>
      <c r="R1254" s="1">
        <v>0</v>
      </c>
      <c r="S1254">
        <v>99.302199999999999</v>
      </c>
      <c r="T1254">
        <v>98.274000000000001</v>
      </c>
      <c r="U1254">
        <v>5.6964399999999999</v>
      </c>
      <c r="V1254">
        <v>0</v>
      </c>
      <c r="W1254">
        <v>0</v>
      </c>
      <c r="X1254">
        <v>1.76172</v>
      </c>
      <c r="Y1254">
        <v>1.76172</v>
      </c>
      <c r="Z1254">
        <v>0</v>
      </c>
      <c r="AA1254">
        <v>1.31837</v>
      </c>
      <c r="AB1254">
        <v>2.9635199999999999</v>
      </c>
      <c r="AC1254" s="2">
        <v>629178000</v>
      </c>
      <c r="AD1254" s="1">
        <v>0</v>
      </c>
      <c r="AE1254" s="1">
        <v>0</v>
      </c>
      <c r="AF1254" s="1">
        <v>0</v>
      </c>
      <c r="AG1254" s="1">
        <v>0</v>
      </c>
      <c r="AH1254" s="2">
        <v>4557990</v>
      </c>
      <c r="AI1254" s="1">
        <v>148573</v>
      </c>
      <c r="AJ1254" s="1">
        <v>0</v>
      </c>
      <c r="AK1254" s="8">
        <f t="shared" si="79"/>
        <v>5</v>
      </c>
      <c r="AL1254" s="8">
        <f t="shared" si="78"/>
        <v>25</v>
      </c>
      <c r="AM1254">
        <f t="shared" si="76"/>
        <v>0</v>
      </c>
      <c r="AN1254">
        <f t="shared" si="77"/>
        <v>0</v>
      </c>
    </row>
    <row r="1255" spans="1:40" x14ac:dyDescent="0.35">
      <c r="A1255">
        <v>85.138999999999996</v>
      </c>
      <c r="B1255">
        <v>85.138999999999996</v>
      </c>
      <c r="C1255">
        <v>6.2857000000000003</v>
      </c>
      <c r="D1255">
        <v>0</v>
      </c>
      <c r="E1255">
        <v>0.02</v>
      </c>
      <c r="F1255">
        <v>3.0373700000000001</v>
      </c>
      <c r="G1255">
        <v>3.0373700000000001</v>
      </c>
      <c r="H1255">
        <v>0</v>
      </c>
      <c r="I1255">
        <v>0.56915899999999997</v>
      </c>
      <c r="J1255">
        <v>5.3222399999999999</v>
      </c>
      <c r="K1255" s="2">
        <v>139759000</v>
      </c>
      <c r="L1255" s="1">
        <v>0</v>
      </c>
      <c r="M1255" s="1">
        <v>0</v>
      </c>
      <c r="N1255" s="1">
        <v>0</v>
      </c>
      <c r="O1255" s="1">
        <v>0</v>
      </c>
      <c r="P1255" s="2">
        <v>4540800</v>
      </c>
      <c r="Q1255" s="1">
        <v>312248</v>
      </c>
      <c r="R1255" s="1">
        <v>0</v>
      </c>
      <c r="S1255">
        <v>99.302199999999999</v>
      </c>
      <c r="T1255">
        <v>98.274000000000001</v>
      </c>
      <c r="U1255">
        <v>5.3582799999999997</v>
      </c>
      <c r="V1255">
        <v>0</v>
      </c>
      <c r="W1255">
        <v>0</v>
      </c>
      <c r="X1255">
        <v>1.76186</v>
      </c>
      <c r="Y1255">
        <v>1.76186</v>
      </c>
      <c r="Z1255">
        <v>0</v>
      </c>
      <c r="AA1255">
        <v>1.36111</v>
      </c>
      <c r="AB1255">
        <v>2.9635199999999999</v>
      </c>
      <c r="AC1255" s="2">
        <v>629326000</v>
      </c>
      <c r="AD1255" s="1">
        <v>0</v>
      </c>
      <c r="AE1255" s="1">
        <v>0</v>
      </c>
      <c r="AF1255" s="1">
        <v>0</v>
      </c>
      <c r="AG1255" s="1">
        <v>0</v>
      </c>
      <c r="AH1255" s="2">
        <v>4558350</v>
      </c>
      <c r="AI1255" s="1">
        <v>148585</v>
      </c>
      <c r="AJ1255" s="1">
        <v>0</v>
      </c>
      <c r="AK1255" s="8">
        <f t="shared" si="79"/>
        <v>6</v>
      </c>
      <c r="AL1255" s="8">
        <f t="shared" si="78"/>
        <v>25</v>
      </c>
      <c r="AM1255">
        <f t="shared" si="76"/>
        <v>0</v>
      </c>
      <c r="AN1255">
        <f t="shared" si="77"/>
        <v>0</v>
      </c>
    </row>
    <row r="1256" spans="1:40" x14ac:dyDescent="0.35">
      <c r="A1256">
        <v>85.138999999999996</v>
      </c>
      <c r="B1256">
        <v>85.138999999999996</v>
      </c>
      <c r="C1256">
        <v>3.6141000000000001</v>
      </c>
      <c r="D1256">
        <v>0</v>
      </c>
      <c r="E1256">
        <v>0.02</v>
      </c>
      <c r="F1256">
        <v>3.0376099999999999</v>
      </c>
      <c r="G1256">
        <v>3.0376099999999999</v>
      </c>
      <c r="H1256">
        <v>0</v>
      </c>
      <c r="I1256">
        <v>0.56920400000000004</v>
      </c>
      <c r="J1256">
        <v>5.3222399999999999</v>
      </c>
      <c r="K1256" s="2">
        <v>140072000</v>
      </c>
      <c r="L1256" s="1">
        <v>0</v>
      </c>
      <c r="M1256" s="1">
        <v>0</v>
      </c>
      <c r="N1256" s="1">
        <v>0</v>
      </c>
      <c r="O1256" s="1">
        <v>0</v>
      </c>
      <c r="P1256" s="2">
        <v>4541150</v>
      </c>
      <c r="Q1256" s="1">
        <v>312273</v>
      </c>
      <c r="R1256" s="1">
        <v>0</v>
      </c>
      <c r="S1256">
        <v>99.302199999999999</v>
      </c>
      <c r="T1256">
        <v>98.274000000000001</v>
      </c>
      <c r="U1256">
        <v>3.99837</v>
      </c>
      <c r="V1256">
        <v>0</v>
      </c>
      <c r="W1256">
        <v>0</v>
      </c>
      <c r="X1256">
        <v>1.762</v>
      </c>
      <c r="Y1256">
        <v>1.762</v>
      </c>
      <c r="Z1256">
        <v>0</v>
      </c>
      <c r="AA1256">
        <v>1.36121</v>
      </c>
      <c r="AB1256">
        <v>2.9635199999999999</v>
      </c>
      <c r="AC1256" s="2">
        <v>629475000</v>
      </c>
      <c r="AD1256" s="1">
        <v>0</v>
      </c>
      <c r="AE1256" s="1">
        <v>0</v>
      </c>
      <c r="AF1256" s="1">
        <v>0</v>
      </c>
      <c r="AG1256" s="1">
        <v>0</v>
      </c>
      <c r="AH1256" s="2">
        <v>4558710</v>
      </c>
      <c r="AI1256" s="1">
        <v>148596</v>
      </c>
      <c r="AJ1256" s="1">
        <v>0</v>
      </c>
      <c r="AK1256" s="8">
        <f t="shared" si="79"/>
        <v>7</v>
      </c>
      <c r="AL1256" s="8">
        <f t="shared" si="78"/>
        <v>25</v>
      </c>
      <c r="AM1256">
        <f t="shared" si="76"/>
        <v>0</v>
      </c>
      <c r="AN1256">
        <f t="shared" si="77"/>
        <v>0</v>
      </c>
    </row>
    <row r="1257" spans="1:40" x14ac:dyDescent="0.35">
      <c r="A1257">
        <v>84.634900000000002</v>
      </c>
      <c r="B1257">
        <v>85.138999999999996</v>
      </c>
      <c r="C1257">
        <v>3.03085</v>
      </c>
      <c r="D1257">
        <v>0</v>
      </c>
      <c r="E1257">
        <v>0.02</v>
      </c>
      <c r="F1257">
        <v>3.0378500000000002</v>
      </c>
      <c r="G1257">
        <v>3.0378500000000002</v>
      </c>
      <c r="H1257">
        <v>0</v>
      </c>
      <c r="I1257">
        <v>0.569249</v>
      </c>
      <c r="J1257">
        <v>5.3222399999999999</v>
      </c>
      <c r="K1257" s="2">
        <v>140384000</v>
      </c>
      <c r="L1257" s="1">
        <v>0</v>
      </c>
      <c r="M1257" s="1">
        <v>0</v>
      </c>
      <c r="N1257" s="1">
        <v>0</v>
      </c>
      <c r="O1257" s="1">
        <v>0</v>
      </c>
      <c r="P1257" s="2">
        <v>4541510</v>
      </c>
      <c r="Q1257" s="1">
        <v>312297</v>
      </c>
      <c r="R1257" s="1">
        <v>0</v>
      </c>
      <c r="S1257">
        <v>99.302199999999999</v>
      </c>
      <c r="T1257">
        <v>98.274000000000001</v>
      </c>
      <c r="U1257">
        <v>3.8154300000000001</v>
      </c>
      <c r="V1257">
        <v>0</v>
      </c>
      <c r="W1257">
        <v>0</v>
      </c>
      <c r="X1257">
        <v>1.76214</v>
      </c>
      <c r="Y1257">
        <v>1.76214</v>
      </c>
      <c r="Z1257">
        <v>0</v>
      </c>
      <c r="AA1257">
        <v>1.3613200000000001</v>
      </c>
      <c r="AB1257">
        <v>2.9635199999999999</v>
      </c>
      <c r="AC1257" s="2">
        <v>629623000</v>
      </c>
      <c r="AD1257" s="1">
        <v>0</v>
      </c>
      <c r="AE1257" s="1">
        <v>0</v>
      </c>
      <c r="AF1257" s="1">
        <v>0</v>
      </c>
      <c r="AG1257" s="1">
        <v>0</v>
      </c>
      <c r="AH1257" s="2">
        <v>4559070</v>
      </c>
      <c r="AI1257" s="1">
        <v>148608</v>
      </c>
      <c r="AJ1257" s="1">
        <v>0</v>
      </c>
      <c r="AK1257" s="8">
        <f t="shared" si="79"/>
        <v>8</v>
      </c>
      <c r="AL1257" s="8">
        <f t="shared" si="78"/>
        <v>25</v>
      </c>
      <c r="AM1257">
        <f t="shared" si="76"/>
        <v>0</v>
      </c>
      <c r="AN1257">
        <f t="shared" si="77"/>
        <v>0</v>
      </c>
    </row>
    <row r="1258" spans="1:40" x14ac:dyDescent="0.35">
      <c r="A1258">
        <v>84.578599999999994</v>
      </c>
      <c r="B1258">
        <v>85.138999999999996</v>
      </c>
      <c r="C1258">
        <v>3.7962799999999999</v>
      </c>
      <c r="D1258">
        <v>0</v>
      </c>
      <c r="E1258">
        <v>0.02</v>
      </c>
      <c r="F1258">
        <v>3.3344200000000002</v>
      </c>
      <c r="G1258">
        <v>3.3344200000000002</v>
      </c>
      <c r="H1258">
        <v>0</v>
      </c>
      <c r="I1258">
        <v>0.56929300000000005</v>
      </c>
      <c r="J1258">
        <v>5.3222399999999999</v>
      </c>
      <c r="K1258" s="2">
        <v>140727000</v>
      </c>
      <c r="L1258" s="1">
        <v>0</v>
      </c>
      <c r="M1258" s="1">
        <v>0</v>
      </c>
      <c r="N1258" s="1">
        <v>0</v>
      </c>
      <c r="O1258" s="1">
        <v>0</v>
      </c>
      <c r="P1258" s="2">
        <v>4984870</v>
      </c>
      <c r="Q1258" s="1">
        <v>342785</v>
      </c>
      <c r="R1258" s="1">
        <v>0</v>
      </c>
      <c r="S1258">
        <v>99.302199999999999</v>
      </c>
      <c r="T1258">
        <v>98.274000000000001</v>
      </c>
      <c r="U1258">
        <v>5.1029</v>
      </c>
      <c r="V1258">
        <v>0</v>
      </c>
      <c r="W1258">
        <v>0</v>
      </c>
      <c r="X1258">
        <v>1.9694799999999999</v>
      </c>
      <c r="Y1258">
        <v>1.9694799999999999</v>
      </c>
      <c r="Z1258">
        <v>0</v>
      </c>
      <c r="AA1258">
        <v>1.3614299999999999</v>
      </c>
      <c r="AB1258">
        <v>2.9635199999999999</v>
      </c>
      <c r="AC1258" s="2">
        <v>629790000</v>
      </c>
      <c r="AD1258" s="1">
        <v>0</v>
      </c>
      <c r="AE1258" s="1">
        <v>0</v>
      </c>
      <c r="AF1258" s="1">
        <v>0</v>
      </c>
      <c r="AG1258" s="1">
        <v>0</v>
      </c>
      <c r="AH1258" s="2">
        <v>5095520</v>
      </c>
      <c r="AI1258" s="1">
        <v>166094</v>
      </c>
      <c r="AJ1258" s="1">
        <v>0</v>
      </c>
      <c r="AK1258" s="8">
        <f t="shared" si="79"/>
        <v>9</v>
      </c>
      <c r="AL1258" s="8">
        <f t="shared" si="78"/>
        <v>25</v>
      </c>
      <c r="AM1258">
        <f t="shared" si="76"/>
        <v>0</v>
      </c>
      <c r="AN1258">
        <f t="shared" si="77"/>
        <v>0</v>
      </c>
    </row>
    <row r="1259" spans="1:40" x14ac:dyDescent="0.35">
      <c r="A1259">
        <v>84.656099999999995</v>
      </c>
      <c r="B1259">
        <v>85.138999999999996</v>
      </c>
      <c r="C1259">
        <v>3.9206400000000001</v>
      </c>
      <c r="D1259">
        <v>0</v>
      </c>
      <c r="E1259">
        <v>0.02</v>
      </c>
      <c r="F1259">
        <v>3.3346800000000001</v>
      </c>
      <c r="G1259">
        <v>3.3346800000000001</v>
      </c>
      <c r="H1259">
        <v>0</v>
      </c>
      <c r="I1259">
        <v>0.62487000000000004</v>
      </c>
      <c r="J1259">
        <v>5.3222399999999999</v>
      </c>
      <c r="K1259" s="2">
        <v>141069000</v>
      </c>
      <c r="L1259" s="1">
        <v>0</v>
      </c>
      <c r="M1259" s="1">
        <v>0</v>
      </c>
      <c r="N1259" s="1">
        <v>0</v>
      </c>
      <c r="O1259" s="1">
        <v>0</v>
      </c>
      <c r="P1259" s="2">
        <v>4985260</v>
      </c>
      <c r="Q1259" s="1">
        <v>342812</v>
      </c>
      <c r="R1259" s="1">
        <v>0</v>
      </c>
      <c r="S1259">
        <v>99.302199999999999</v>
      </c>
      <c r="T1259">
        <v>98.274000000000001</v>
      </c>
      <c r="U1259">
        <v>4.5736100000000004</v>
      </c>
      <c r="V1259">
        <v>0</v>
      </c>
      <c r="W1259">
        <v>0</v>
      </c>
      <c r="X1259">
        <v>1.9696400000000001</v>
      </c>
      <c r="Y1259">
        <v>1.9696400000000001</v>
      </c>
      <c r="Z1259">
        <v>0</v>
      </c>
      <c r="AA1259">
        <v>1.52162</v>
      </c>
      <c r="AB1259">
        <v>2.9635199999999999</v>
      </c>
      <c r="AC1259" s="2">
        <v>629956000</v>
      </c>
      <c r="AD1259" s="1">
        <v>0</v>
      </c>
      <c r="AE1259" s="1">
        <v>0</v>
      </c>
      <c r="AF1259" s="1">
        <v>0</v>
      </c>
      <c r="AG1259" s="1">
        <v>0</v>
      </c>
      <c r="AH1259" s="2">
        <v>5095920</v>
      </c>
      <c r="AI1259" s="1">
        <v>166107</v>
      </c>
      <c r="AJ1259" s="1">
        <v>0</v>
      </c>
      <c r="AK1259" s="8">
        <f t="shared" si="79"/>
        <v>10</v>
      </c>
      <c r="AL1259" s="8">
        <f t="shared" si="78"/>
        <v>25</v>
      </c>
      <c r="AM1259">
        <f t="shared" si="76"/>
        <v>0</v>
      </c>
      <c r="AN1259">
        <f t="shared" si="77"/>
        <v>0</v>
      </c>
    </row>
    <row r="1260" spans="1:40" x14ac:dyDescent="0.35">
      <c r="A1260">
        <v>84.198800000000006</v>
      </c>
      <c r="B1260">
        <v>85.138999999999996</v>
      </c>
      <c r="C1260">
        <v>3.3494799999999998</v>
      </c>
      <c r="D1260">
        <v>0</v>
      </c>
      <c r="E1260">
        <v>0.02</v>
      </c>
      <c r="F1260">
        <v>3.33494</v>
      </c>
      <c r="G1260">
        <v>3.33494</v>
      </c>
      <c r="H1260">
        <v>0</v>
      </c>
      <c r="I1260">
        <v>0.624919</v>
      </c>
      <c r="J1260">
        <v>5.3222399999999999</v>
      </c>
      <c r="K1260" s="2">
        <v>141412000</v>
      </c>
      <c r="L1260" s="1">
        <v>0</v>
      </c>
      <c r="M1260" s="1">
        <v>0</v>
      </c>
      <c r="N1260" s="1">
        <v>0</v>
      </c>
      <c r="O1260" s="1">
        <v>0</v>
      </c>
      <c r="P1260" s="2">
        <v>4985650</v>
      </c>
      <c r="Q1260" s="1">
        <v>342838</v>
      </c>
      <c r="R1260" s="1">
        <v>0</v>
      </c>
      <c r="S1260">
        <v>99.302199999999999</v>
      </c>
      <c r="T1260">
        <v>98.274000000000001</v>
      </c>
      <c r="U1260">
        <v>5.0266200000000003</v>
      </c>
      <c r="V1260">
        <v>0</v>
      </c>
      <c r="W1260">
        <v>0</v>
      </c>
      <c r="X1260">
        <v>1.9697899999999999</v>
      </c>
      <c r="Y1260">
        <v>1.9697899999999999</v>
      </c>
      <c r="Z1260">
        <v>0</v>
      </c>
      <c r="AA1260">
        <v>1.5217400000000001</v>
      </c>
      <c r="AB1260">
        <v>2.9635199999999999</v>
      </c>
      <c r="AC1260" s="2">
        <v>630122000</v>
      </c>
      <c r="AD1260" s="1">
        <v>0</v>
      </c>
      <c r="AE1260" s="1">
        <v>0</v>
      </c>
      <c r="AF1260" s="1">
        <v>0</v>
      </c>
      <c r="AG1260" s="1">
        <v>0</v>
      </c>
      <c r="AH1260" s="2">
        <v>5096320</v>
      </c>
      <c r="AI1260" s="1">
        <v>166120</v>
      </c>
      <c r="AJ1260" s="1">
        <v>0</v>
      </c>
      <c r="AK1260" s="8">
        <f t="shared" si="79"/>
        <v>11</v>
      </c>
      <c r="AL1260" s="8">
        <f t="shared" si="78"/>
        <v>25</v>
      </c>
      <c r="AM1260">
        <f t="shared" si="76"/>
        <v>0</v>
      </c>
      <c r="AN1260">
        <f t="shared" si="77"/>
        <v>0</v>
      </c>
    </row>
    <row r="1261" spans="1:40" x14ac:dyDescent="0.35">
      <c r="A1261">
        <v>84.632400000000004</v>
      </c>
      <c r="B1261">
        <v>85.138999999999996</v>
      </c>
      <c r="C1261">
        <v>4.24688</v>
      </c>
      <c r="D1261">
        <v>0</v>
      </c>
      <c r="E1261">
        <v>0.02</v>
      </c>
      <c r="F1261">
        <v>3.3351999999999999</v>
      </c>
      <c r="G1261">
        <v>3.3351999999999999</v>
      </c>
      <c r="H1261">
        <v>0</v>
      </c>
      <c r="I1261">
        <v>0.62496799999999997</v>
      </c>
      <c r="J1261">
        <v>5.3222399999999999</v>
      </c>
      <c r="K1261" s="2">
        <v>141755000</v>
      </c>
      <c r="L1261" s="1">
        <v>0</v>
      </c>
      <c r="M1261" s="1">
        <v>0</v>
      </c>
      <c r="N1261" s="1">
        <v>0</v>
      </c>
      <c r="O1261" s="1">
        <v>0</v>
      </c>
      <c r="P1261" s="2">
        <v>4986040</v>
      </c>
      <c r="Q1261" s="1">
        <v>342865</v>
      </c>
      <c r="R1261" s="1">
        <v>0</v>
      </c>
      <c r="S1261">
        <v>99.302199999999999</v>
      </c>
      <c r="T1261">
        <v>98.274000000000001</v>
      </c>
      <c r="U1261">
        <v>5.0972799999999996</v>
      </c>
      <c r="V1261">
        <v>0</v>
      </c>
      <c r="W1261">
        <v>0</v>
      </c>
      <c r="X1261">
        <v>1.96994</v>
      </c>
      <c r="Y1261">
        <v>1.96994</v>
      </c>
      <c r="Z1261">
        <v>0</v>
      </c>
      <c r="AA1261">
        <v>1.52186</v>
      </c>
      <c r="AB1261">
        <v>2.9635199999999999</v>
      </c>
      <c r="AC1261" s="2">
        <v>630288000</v>
      </c>
      <c r="AD1261" s="1">
        <v>0</v>
      </c>
      <c r="AE1261" s="1">
        <v>0</v>
      </c>
      <c r="AF1261" s="1">
        <v>0</v>
      </c>
      <c r="AG1261" s="1">
        <v>0</v>
      </c>
      <c r="AH1261" s="2">
        <v>5096720</v>
      </c>
      <c r="AI1261" s="1">
        <v>166133</v>
      </c>
      <c r="AJ1261" s="1">
        <v>0</v>
      </c>
      <c r="AK1261" s="8">
        <f t="shared" si="79"/>
        <v>12</v>
      </c>
      <c r="AL1261" s="8">
        <f t="shared" si="78"/>
        <v>25</v>
      </c>
      <c r="AM1261">
        <f t="shared" si="76"/>
        <v>0</v>
      </c>
      <c r="AN1261">
        <f t="shared" si="77"/>
        <v>0</v>
      </c>
    </row>
    <row r="1262" spans="1:40" x14ac:dyDescent="0.35">
      <c r="A1262">
        <v>85.138999999999996</v>
      </c>
      <c r="B1262">
        <v>85.138999999999996</v>
      </c>
      <c r="C1262">
        <v>5.8475799999999998</v>
      </c>
      <c r="D1262">
        <v>0</v>
      </c>
      <c r="E1262">
        <v>0.02</v>
      </c>
      <c r="F1262">
        <v>2.9126699999999999</v>
      </c>
      <c r="G1262">
        <v>2.9126699999999999</v>
      </c>
      <c r="H1262">
        <v>0</v>
      </c>
      <c r="I1262">
        <v>0.62501700000000004</v>
      </c>
      <c r="J1262">
        <v>5.3222399999999999</v>
      </c>
      <c r="K1262" s="2">
        <v>142055000</v>
      </c>
      <c r="L1262" s="1">
        <v>0</v>
      </c>
      <c r="M1262" s="1">
        <v>0</v>
      </c>
      <c r="N1262" s="1">
        <v>0</v>
      </c>
      <c r="O1262" s="1">
        <v>0</v>
      </c>
      <c r="P1262" s="2">
        <v>4354370</v>
      </c>
      <c r="Q1262" s="1">
        <v>299429</v>
      </c>
      <c r="R1262" s="1">
        <v>0</v>
      </c>
      <c r="S1262">
        <v>99.302199999999999</v>
      </c>
      <c r="T1262">
        <v>98.274000000000001</v>
      </c>
      <c r="U1262">
        <v>5.16845</v>
      </c>
      <c r="V1262">
        <v>0</v>
      </c>
      <c r="W1262">
        <v>0</v>
      </c>
      <c r="X1262">
        <v>1.69194</v>
      </c>
      <c r="Y1262">
        <v>1.69194</v>
      </c>
      <c r="Z1262">
        <v>0</v>
      </c>
      <c r="AA1262">
        <v>1.5219800000000001</v>
      </c>
      <c r="AB1262">
        <v>2.9635199999999999</v>
      </c>
      <c r="AC1262" s="2">
        <v>630431000</v>
      </c>
      <c r="AD1262" s="1">
        <v>0</v>
      </c>
      <c r="AE1262" s="1">
        <v>0</v>
      </c>
      <c r="AF1262" s="1">
        <v>0</v>
      </c>
      <c r="AG1262" s="1">
        <v>0</v>
      </c>
      <c r="AH1262" s="2">
        <v>4377450</v>
      </c>
      <c r="AI1262" s="1">
        <v>142688</v>
      </c>
      <c r="AJ1262" s="1">
        <v>0</v>
      </c>
      <c r="AK1262" s="8">
        <f t="shared" si="79"/>
        <v>13</v>
      </c>
      <c r="AL1262" s="8">
        <f t="shared" si="78"/>
        <v>25</v>
      </c>
      <c r="AM1262">
        <f t="shared" si="76"/>
        <v>0</v>
      </c>
      <c r="AN1262">
        <f t="shared" si="77"/>
        <v>0</v>
      </c>
    </row>
    <row r="1263" spans="1:40" x14ac:dyDescent="0.35">
      <c r="A1263">
        <v>85.138999999999996</v>
      </c>
      <c r="B1263">
        <v>85.138999999999996</v>
      </c>
      <c r="C1263">
        <v>5.1067600000000004</v>
      </c>
      <c r="D1263">
        <v>0</v>
      </c>
      <c r="E1263">
        <v>0.02</v>
      </c>
      <c r="F1263">
        <v>2.9129</v>
      </c>
      <c r="G1263">
        <v>2.9129</v>
      </c>
      <c r="H1263">
        <v>0</v>
      </c>
      <c r="I1263">
        <v>0.54583499999999996</v>
      </c>
      <c r="J1263">
        <v>5.3222399999999999</v>
      </c>
      <c r="K1263" s="2">
        <v>142354000</v>
      </c>
      <c r="L1263" s="1">
        <v>0</v>
      </c>
      <c r="M1263" s="1">
        <v>0</v>
      </c>
      <c r="N1263" s="1">
        <v>0</v>
      </c>
      <c r="O1263" s="1">
        <v>0</v>
      </c>
      <c r="P1263" s="2">
        <v>4354720</v>
      </c>
      <c r="Q1263" s="1">
        <v>299452</v>
      </c>
      <c r="R1263" s="1">
        <v>0</v>
      </c>
      <c r="S1263">
        <v>99.302199999999999</v>
      </c>
      <c r="T1263">
        <v>98.274000000000001</v>
      </c>
      <c r="U1263">
        <v>5.0718800000000002</v>
      </c>
      <c r="V1263">
        <v>0</v>
      </c>
      <c r="W1263">
        <v>0</v>
      </c>
      <c r="X1263">
        <v>1.69207</v>
      </c>
      <c r="Y1263">
        <v>1.69207</v>
      </c>
      <c r="Z1263">
        <v>0</v>
      </c>
      <c r="AA1263">
        <v>1.3071900000000001</v>
      </c>
      <c r="AB1263">
        <v>2.9635199999999999</v>
      </c>
      <c r="AC1263" s="2">
        <v>630573000</v>
      </c>
      <c r="AD1263" s="1">
        <v>0</v>
      </c>
      <c r="AE1263" s="1">
        <v>0</v>
      </c>
      <c r="AF1263" s="1">
        <v>0</v>
      </c>
      <c r="AG1263" s="1">
        <v>0</v>
      </c>
      <c r="AH1263" s="2">
        <v>4377790</v>
      </c>
      <c r="AI1263" s="1">
        <v>142699</v>
      </c>
      <c r="AJ1263" s="1">
        <v>0</v>
      </c>
      <c r="AK1263" s="8">
        <f t="shared" si="79"/>
        <v>14</v>
      </c>
      <c r="AL1263" s="8">
        <f t="shared" si="78"/>
        <v>25</v>
      </c>
      <c r="AM1263">
        <f t="shared" si="76"/>
        <v>0</v>
      </c>
      <c r="AN1263">
        <f t="shared" si="77"/>
        <v>0</v>
      </c>
    </row>
    <row r="1264" spans="1:40" x14ac:dyDescent="0.35">
      <c r="A1264">
        <v>85.138999999999996</v>
      </c>
      <c r="B1264">
        <v>85.138999999999996</v>
      </c>
      <c r="C1264">
        <v>4.7594500000000002</v>
      </c>
      <c r="D1264">
        <v>0</v>
      </c>
      <c r="E1264">
        <v>0.02</v>
      </c>
      <c r="F1264">
        <v>2.9131300000000002</v>
      </c>
      <c r="G1264">
        <v>2.9131300000000002</v>
      </c>
      <c r="H1264">
        <v>0</v>
      </c>
      <c r="I1264">
        <v>0.54587799999999997</v>
      </c>
      <c r="J1264">
        <v>5.3222399999999999</v>
      </c>
      <c r="K1264" s="2">
        <v>142653000</v>
      </c>
      <c r="L1264" s="1">
        <v>0</v>
      </c>
      <c r="M1264" s="1">
        <v>0</v>
      </c>
      <c r="N1264" s="1">
        <v>0</v>
      </c>
      <c r="O1264" s="1">
        <v>0</v>
      </c>
      <c r="P1264" s="2">
        <v>4355060</v>
      </c>
      <c r="Q1264" s="1">
        <v>299476</v>
      </c>
      <c r="R1264" s="1">
        <v>0</v>
      </c>
      <c r="S1264">
        <v>99.302199999999999</v>
      </c>
      <c r="T1264">
        <v>98.274000000000001</v>
      </c>
      <c r="U1264">
        <v>4.9203700000000001</v>
      </c>
      <c r="V1264">
        <v>0</v>
      </c>
      <c r="W1264">
        <v>0</v>
      </c>
      <c r="X1264">
        <v>1.6921999999999999</v>
      </c>
      <c r="Y1264">
        <v>1.6921999999999999</v>
      </c>
      <c r="Z1264">
        <v>0</v>
      </c>
      <c r="AA1264">
        <v>1.3072900000000001</v>
      </c>
      <c r="AB1264">
        <v>2.9635199999999999</v>
      </c>
      <c r="AC1264" s="2">
        <v>630716000</v>
      </c>
      <c r="AD1264" s="1">
        <v>0</v>
      </c>
      <c r="AE1264" s="1">
        <v>0</v>
      </c>
      <c r="AF1264" s="1">
        <v>0</v>
      </c>
      <c r="AG1264" s="1">
        <v>0</v>
      </c>
      <c r="AH1264" s="2">
        <v>4378140</v>
      </c>
      <c r="AI1264" s="1">
        <v>142710</v>
      </c>
      <c r="AJ1264" s="1">
        <v>0</v>
      </c>
      <c r="AK1264" s="8">
        <f t="shared" si="79"/>
        <v>15</v>
      </c>
      <c r="AL1264" s="8">
        <f t="shared" si="78"/>
        <v>25</v>
      </c>
      <c r="AM1264">
        <f t="shared" si="76"/>
        <v>0</v>
      </c>
      <c r="AN1264">
        <f t="shared" si="77"/>
        <v>0</v>
      </c>
    </row>
    <row r="1265" spans="1:40" x14ac:dyDescent="0.35">
      <c r="A1265">
        <v>85.138999999999996</v>
      </c>
      <c r="B1265">
        <v>85.138999999999996</v>
      </c>
      <c r="C1265">
        <v>4.8394300000000001</v>
      </c>
      <c r="D1265">
        <v>0</v>
      </c>
      <c r="E1265">
        <v>0.02</v>
      </c>
      <c r="F1265">
        <v>2.9133599999999999</v>
      </c>
      <c r="G1265">
        <v>2.9133599999999999</v>
      </c>
      <c r="H1265">
        <v>0</v>
      </c>
      <c r="I1265">
        <v>0.54592099999999999</v>
      </c>
      <c r="J1265">
        <v>5.3222399999999999</v>
      </c>
      <c r="K1265" s="2">
        <v>142953000</v>
      </c>
      <c r="L1265" s="1">
        <v>0</v>
      </c>
      <c r="M1265" s="1">
        <v>0</v>
      </c>
      <c r="N1265" s="1">
        <v>0</v>
      </c>
      <c r="O1265" s="1">
        <v>0</v>
      </c>
      <c r="P1265" s="2">
        <v>4355400</v>
      </c>
      <c r="Q1265" s="1">
        <v>299499</v>
      </c>
      <c r="R1265" s="1">
        <v>0</v>
      </c>
      <c r="S1265">
        <v>99.302199999999999</v>
      </c>
      <c r="T1265">
        <v>98.274000000000001</v>
      </c>
      <c r="U1265">
        <v>4.6798000000000002</v>
      </c>
      <c r="V1265">
        <v>0</v>
      </c>
      <c r="W1265">
        <v>0</v>
      </c>
      <c r="X1265">
        <v>1.69234</v>
      </c>
      <c r="Y1265">
        <v>1.69234</v>
      </c>
      <c r="Z1265">
        <v>0</v>
      </c>
      <c r="AA1265">
        <v>1.3073999999999999</v>
      </c>
      <c r="AB1265">
        <v>2.9635199999999999</v>
      </c>
      <c r="AC1265" s="2">
        <v>630859000</v>
      </c>
      <c r="AD1265" s="1">
        <v>0</v>
      </c>
      <c r="AE1265" s="1">
        <v>0</v>
      </c>
      <c r="AF1265" s="1">
        <v>0</v>
      </c>
      <c r="AG1265" s="1">
        <v>0</v>
      </c>
      <c r="AH1265" s="2">
        <v>4378480</v>
      </c>
      <c r="AI1265" s="1">
        <v>142722</v>
      </c>
      <c r="AJ1265" s="1">
        <v>0</v>
      </c>
      <c r="AK1265" s="8">
        <f t="shared" si="79"/>
        <v>16</v>
      </c>
      <c r="AL1265" s="8">
        <f t="shared" si="78"/>
        <v>25</v>
      </c>
      <c r="AM1265">
        <f t="shared" si="76"/>
        <v>0</v>
      </c>
      <c r="AN1265">
        <f t="shared" si="77"/>
        <v>0</v>
      </c>
    </row>
    <row r="1266" spans="1:40" x14ac:dyDescent="0.35">
      <c r="A1266">
        <v>85.138999999999996</v>
      </c>
      <c r="B1266">
        <v>85.138999999999996</v>
      </c>
      <c r="C1266">
        <v>5.7767999999999997</v>
      </c>
      <c r="D1266">
        <v>0</v>
      </c>
      <c r="E1266">
        <v>0.02</v>
      </c>
      <c r="F1266">
        <v>2.9135900000000001</v>
      </c>
      <c r="G1266">
        <v>2.9135900000000001</v>
      </c>
      <c r="H1266">
        <v>0</v>
      </c>
      <c r="I1266">
        <v>0.545964</v>
      </c>
      <c r="J1266">
        <v>5.3222399999999999</v>
      </c>
      <c r="K1266" s="2">
        <v>143252000</v>
      </c>
      <c r="L1266" s="1">
        <v>0</v>
      </c>
      <c r="M1266" s="1">
        <v>0</v>
      </c>
      <c r="N1266" s="1">
        <v>0</v>
      </c>
      <c r="O1266" s="1">
        <v>0</v>
      </c>
      <c r="P1266" s="2">
        <v>4355740</v>
      </c>
      <c r="Q1266" s="1">
        <v>299523</v>
      </c>
      <c r="R1266" s="1">
        <v>0</v>
      </c>
      <c r="S1266">
        <v>99.302199999999999</v>
      </c>
      <c r="T1266">
        <v>98.274000000000001</v>
      </c>
      <c r="U1266">
        <v>5.7960900000000004</v>
      </c>
      <c r="V1266">
        <v>0</v>
      </c>
      <c r="W1266">
        <v>0</v>
      </c>
      <c r="X1266">
        <v>1.6924699999999999</v>
      </c>
      <c r="Y1266">
        <v>1.6924699999999999</v>
      </c>
      <c r="Z1266">
        <v>0</v>
      </c>
      <c r="AA1266">
        <v>1.3075000000000001</v>
      </c>
      <c r="AB1266">
        <v>2.9635199999999999</v>
      </c>
      <c r="AC1266" s="2">
        <v>631001000</v>
      </c>
      <c r="AD1266" s="1">
        <v>0</v>
      </c>
      <c r="AE1266" s="1">
        <v>0</v>
      </c>
      <c r="AF1266" s="1">
        <v>0</v>
      </c>
      <c r="AG1266" s="1">
        <v>0</v>
      </c>
      <c r="AH1266" s="2">
        <v>4378820</v>
      </c>
      <c r="AI1266" s="1">
        <v>142733</v>
      </c>
      <c r="AJ1266" s="1">
        <v>0</v>
      </c>
      <c r="AK1266" s="8">
        <f t="shared" si="79"/>
        <v>17</v>
      </c>
      <c r="AL1266" s="8">
        <f t="shared" si="78"/>
        <v>25</v>
      </c>
      <c r="AM1266">
        <f t="shared" si="76"/>
        <v>0</v>
      </c>
      <c r="AN1266">
        <f t="shared" si="77"/>
        <v>0</v>
      </c>
    </row>
    <row r="1267" spans="1:40" x14ac:dyDescent="0.35">
      <c r="A1267">
        <v>85.138999999999996</v>
      </c>
      <c r="B1267">
        <v>85.138999999999996</v>
      </c>
      <c r="C1267">
        <v>5.4142599999999996</v>
      </c>
      <c r="D1267">
        <v>0</v>
      </c>
      <c r="E1267">
        <v>0.02</v>
      </c>
      <c r="F1267">
        <v>3.0202800000000001</v>
      </c>
      <c r="G1267">
        <v>3.0202800000000001</v>
      </c>
      <c r="H1267">
        <v>0</v>
      </c>
      <c r="I1267">
        <v>0.54600599999999999</v>
      </c>
      <c r="J1267">
        <v>5.3222399999999999</v>
      </c>
      <c r="K1267" s="2">
        <v>143563000</v>
      </c>
      <c r="L1267" s="1">
        <v>0</v>
      </c>
      <c r="M1267" s="1">
        <v>0</v>
      </c>
      <c r="N1267" s="1">
        <v>0</v>
      </c>
      <c r="O1267" s="1">
        <v>0</v>
      </c>
      <c r="P1267" s="2">
        <v>4515240</v>
      </c>
      <c r="Q1267" s="1">
        <v>310491</v>
      </c>
      <c r="R1267" s="1">
        <v>0</v>
      </c>
      <c r="S1267">
        <v>99.302199999999999</v>
      </c>
      <c r="T1267">
        <v>98.274000000000001</v>
      </c>
      <c r="U1267">
        <v>7.1154700000000002</v>
      </c>
      <c r="V1267">
        <v>0</v>
      </c>
      <c r="W1267">
        <v>0</v>
      </c>
      <c r="X1267">
        <v>1.76068</v>
      </c>
      <c r="Y1267">
        <v>1.76068</v>
      </c>
      <c r="Z1267">
        <v>0</v>
      </c>
      <c r="AA1267">
        <v>1.3076000000000001</v>
      </c>
      <c r="AB1267">
        <v>2.9635199999999999</v>
      </c>
      <c r="AC1267" s="2">
        <v>631150000</v>
      </c>
      <c r="AD1267" s="1">
        <v>0</v>
      </c>
      <c r="AE1267" s="1">
        <v>0</v>
      </c>
      <c r="AF1267" s="1">
        <v>0</v>
      </c>
      <c r="AG1267" s="1">
        <v>0</v>
      </c>
      <c r="AH1267" s="2">
        <v>4555290</v>
      </c>
      <c r="AI1267" s="1">
        <v>148485</v>
      </c>
      <c r="AJ1267" s="1">
        <v>0</v>
      </c>
      <c r="AK1267" s="8">
        <f t="shared" si="79"/>
        <v>18</v>
      </c>
      <c r="AL1267" s="8">
        <f t="shared" si="78"/>
        <v>25</v>
      </c>
      <c r="AM1267">
        <f t="shared" si="76"/>
        <v>0</v>
      </c>
      <c r="AN1267">
        <f t="shared" si="77"/>
        <v>0</v>
      </c>
    </row>
    <row r="1268" spans="1:40" x14ac:dyDescent="0.35">
      <c r="A1268">
        <v>85.138999999999996</v>
      </c>
      <c r="B1268">
        <v>85.138999999999996</v>
      </c>
      <c r="C1268">
        <v>6.02928</v>
      </c>
      <c r="D1268">
        <v>0</v>
      </c>
      <c r="E1268">
        <v>0.02</v>
      </c>
      <c r="F1268">
        <v>3.0205199999999999</v>
      </c>
      <c r="G1268">
        <v>3.0205199999999999</v>
      </c>
      <c r="H1268">
        <v>0</v>
      </c>
      <c r="I1268">
        <v>0.56600099999999998</v>
      </c>
      <c r="J1268">
        <v>5.3222399999999999</v>
      </c>
      <c r="K1268" s="2">
        <v>143873000</v>
      </c>
      <c r="L1268" s="1">
        <v>0</v>
      </c>
      <c r="M1268" s="1">
        <v>0</v>
      </c>
      <c r="N1268" s="1">
        <v>0</v>
      </c>
      <c r="O1268" s="1">
        <v>0</v>
      </c>
      <c r="P1268" s="2">
        <v>4515600</v>
      </c>
      <c r="Q1268" s="1">
        <v>310515</v>
      </c>
      <c r="R1268" s="1">
        <v>0</v>
      </c>
      <c r="S1268">
        <v>99.302199999999999</v>
      </c>
      <c r="T1268">
        <v>98.274000000000001</v>
      </c>
      <c r="U1268">
        <v>6.6636899999999999</v>
      </c>
      <c r="V1268">
        <v>0</v>
      </c>
      <c r="W1268">
        <v>0</v>
      </c>
      <c r="X1268">
        <v>1.7608200000000001</v>
      </c>
      <c r="Y1268">
        <v>1.7608200000000001</v>
      </c>
      <c r="Z1268">
        <v>0</v>
      </c>
      <c r="AA1268">
        <v>1.3603000000000001</v>
      </c>
      <c r="AB1268">
        <v>2.9635199999999999</v>
      </c>
      <c r="AC1268" s="2">
        <v>631298000</v>
      </c>
      <c r="AD1268" s="1">
        <v>0</v>
      </c>
      <c r="AE1268" s="1">
        <v>0</v>
      </c>
      <c r="AF1268" s="1">
        <v>0</v>
      </c>
      <c r="AG1268" s="1">
        <v>0</v>
      </c>
      <c r="AH1268" s="2">
        <v>4555650</v>
      </c>
      <c r="AI1268" s="1">
        <v>148497</v>
      </c>
      <c r="AJ1268" s="1">
        <v>0</v>
      </c>
      <c r="AK1268" s="8">
        <f t="shared" si="79"/>
        <v>19</v>
      </c>
      <c r="AL1268" s="8">
        <f t="shared" si="78"/>
        <v>25</v>
      </c>
      <c r="AM1268">
        <f t="shared" si="76"/>
        <v>0</v>
      </c>
      <c r="AN1268">
        <f t="shared" si="77"/>
        <v>0</v>
      </c>
    </row>
    <row r="1269" spans="1:40" x14ac:dyDescent="0.35">
      <c r="A1269">
        <v>85.138999999999996</v>
      </c>
      <c r="B1269">
        <v>85.138999999999996</v>
      </c>
      <c r="C1269">
        <v>4.9132300000000004</v>
      </c>
      <c r="D1269">
        <v>0</v>
      </c>
      <c r="E1269">
        <v>0.02</v>
      </c>
      <c r="F1269">
        <v>3.0207600000000001</v>
      </c>
      <c r="G1269">
        <v>3.0207600000000001</v>
      </c>
      <c r="H1269">
        <v>0</v>
      </c>
      <c r="I1269">
        <v>0.56604500000000002</v>
      </c>
      <c r="J1269">
        <v>5.3222399999999999</v>
      </c>
      <c r="K1269" s="2">
        <v>144184000</v>
      </c>
      <c r="L1269" s="1">
        <v>0</v>
      </c>
      <c r="M1269" s="1">
        <v>0</v>
      </c>
      <c r="N1269" s="1">
        <v>0</v>
      </c>
      <c r="O1269" s="1">
        <v>0</v>
      </c>
      <c r="P1269" s="2">
        <v>4515950</v>
      </c>
      <c r="Q1269" s="1">
        <v>310540</v>
      </c>
      <c r="R1269" s="1">
        <v>0</v>
      </c>
      <c r="S1269">
        <v>99.302199999999999</v>
      </c>
      <c r="T1269">
        <v>98.274000000000001</v>
      </c>
      <c r="U1269">
        <v>6.3990200000000002</v>
      </c>
      <c r="V1269">
        <v>0</v>
      </c>
      <c r="W1269">
        <v>0</v>
      </c>
      <c r="X1269">
        <v>1.76095</v>
      </c>
      <c r="Y1269">
        <v>1.76095</v>
      </c>
      <c r="Z1269">
        <v>0</v>
      </c>
      <c r="AA1269">
        <v>1.3604099999999999</v>
      </c>
      <c r="AB1269">
        <v>2.9635199999999999</v>
      </c>
      <c r="AC1269" s="2">
        <v>631447000</v>
      </c>
      <c r="AD1269" s="1">
        <v>0</v>
      </c>
      <c r="AE1269" s="1">
        <v>0</v>
      </c>
      <c r="AF1269" s="1">
        <v>0</v>
      </c>
      <c r="AG1269" s="1">
        <v>0</v>
      </c>
      <c r="AH1269" s="2">
        <v>4556010</v>
      </c>
      <c r="AI1269" s="1">
        <v>148508</v>
      </c>
      <c r="AJ1269" s="1">
        <v>0</v>
      </c>
      <c r="AK1269" s="8">
        <f t="shared" si="79"/>
        <v>20</v>
      </c>
      <c r="AL1269" s="8">
        <f t="shared" si="78"/>
        <v>25</v>
      </c>
      <c r="AM1269">
        <f t="shared" si="76"/>
        <v>0</v>
      </c>
      <c r="AN1269">
        <f t="shared" si="77"/>
        <v>0</v>
      </c>
    </row>
    <row r="1270" spans="1:40" x14ac:dyDescent="0.35">
      <c r="A1270">
        <v>85.138999999999996</v>
      </c>
      <c r="B1270">
        <v>85.138999999999996</v>
      </c>
      <c r="C1270">
        <v>3.8161800000000001</v>
      </c>
      <c r="D1270">
        <v>0</v>
      </c>
      <c r="E1270">
        <v>0.02</v>
      </c>
      <c r="F1270">
        <v>3.0209899999999998</v>
      </c>
      <c r="G1270">
        <v>3.0209899999999998</v>
      </c>
      <c r="H1270">
        <v>0</v>
      </c>
      <c r="I1270">
        <v>0.56608999999999998</v>
      </c>
      <c r="J1270">
        <v>5.3222399999999999</v>
      </c>
      <c r="K1270" s="2">
        <v>144495000</v>
      </c>
      <c r="L1270" s="1">
        <v>0</v>
      </c>
      <c r="M1270" s="1">
        <v>0</v>
      </c>
      <c r="N1270" s="1">
        <v>0</v>
      </c>
      <c r="O1270" s="1">
        <v>0</v>
      </c>
      <c r="P1270" s="2">
        <v>4516310</v>
      </c>
      <c r="Q1270" s="1">
        <v>310564</v>
      </c>
      <c r="R1270" s="1">
        <v>0</v>
      </c>
      <c r="S1270">
        <v>99.302199999999999</v>
      </c>
      <c r="T1270">
        <v>98.274000000000001</v>
      </c>
      <c r="U1270">
        <v>4.3828199999999997</v>
      </c>
      <c r="V1270">
        <v>0</v>
      </c>
      <c r="W1270">
        <v>0</v>
      </c>
      <c r="X1270">
        <v>1.76109</v>
      </c>
      <c r="Y1270">
        <v>1.76109</v>
      </c>
      <c r="Z1270">
        <v>0</v>
      </c>
      <c r="AA1270">
        <v>1.3605100000000001</v>
      </c>
      <c r="AB1270">
        <v>2.9635199999999999</v>
      </c>
      <c r="AC1270" s="2">
        <v>631595000</v>
      </c>
      <c r="AD1270" s="1">
        <v>0</v>
      </c>
      <c r="AE1270" s="1">
        <v>0</v>
      </c>
      <c r="AF1270" s="1">
        <v>0</v>
      </c>
      <c r="AG1270" s="1">
        <v>0</v>
      </c>
      <c r="AH1270" s="2">
        <v>4556370</v>
      </c>
      <c r="AI1270" s="1">
        <v>148520</v>
      </c>
      <c r="AJ1270" s="1">
        <v>0</v>
      </c>
      <c r="AK1270" s="8">
        <f t="shared" si="79"/>
        <v>21</v>
      </c>
      <c r="AL1270" s="8">
        <f t="shared" si="78"/>
        <v>25</v>
      </c>
      <c r="AM1270">
        <f t="shared" si="76"/>
        <v>0</v>
      </c>
      <c r="AN1270">
        <f t="shared" si="77"/>
        <v>0</v>
      </c>
    </row>
    <row r="1271" spans="1:40" x14ac:dyDescent="0.35">
      <c r="A1271">
        <v>84.936700000000002</v>
      </c>
      <c r="B1271">
        <v>85.138999999999996</v>
      </c>
      <c r="C1271">
        <v>3.1755300000000002</v>
      </c>
      <c r="D1271">
        <v>0</v>
      </c>
      <c r="E1271">
        <v>0.02</v>
      </c>
      <c r="F1271">
        <v>2.97959</v>
      </c>
      <c r="G1271">
        <v>2.97959</v>
      </c>
      <c r="H1271">
        <v>0</v>
      </c>
      <c r="I1271">
        <v>0.56613400000000003</v>
      </c>
      <c r="J1271">
        <v>5.3222399999999999</v>
      </c>
      <c r="K1271" s="2">
        <v>144801000</v>
      </c>
      <c r="L1271" s="1">
        <v>0</v>
      </c>
      <c r="M1271" s="1">
        <v>0</v>
      </c>
      <c r="N1271" s="1">
        <v>0</v>
      </c>
      <c r="O1271" s="1">
        <v>0</v>
      </c>
      <c r="P1271" s="2">
        <v>4454410</v>
      </c>
      <c r="Q1271" s="1">
        <v>306308</v>
      </c>
      <c r="R1271" s="1">
        <v>0</v>
      </c>
      <c r="S1271">
        <v>99.302199999999999</v>
      </c>
      <c r="T1271">
        <v>98.274000000000001</v>
      </c>
      <c r="U1271">
        <v>4.5962899999999998</v>
      </c>
      <c r="V1271">
        <v>0</v>
      </c>
      <c r="W1271">
        <v>0</v>
      </c>
      <c r="X1271">
        <v>1.73478</v>
      </c>
      <c r="Y1271">
        <v>1.73478</v>
      </c>
      <c r="Z1271">
        <v>0</v>
      </c>
      <c r="AA1271">
        <v>1.3606199999999999</v>
      </c>
      <c r="AB1271">
        <v>2.9635199999999999</v>
      </c>
      <c r="AC1271" s="2">
        <v>631742000</v>
      </c>
      <c r="AD1271" s="1">
        <v>0</v>
      </c>
      <c r="AE1271" s="1">
        <v>0</v>
      </c>
      <c r="AF1271" s="1">
        <v>0</v>
      </c>
      <c r="AG1271" s="1">
        <v>0</v>
      </c>
      <c r="AH1271" s="2">
        <v>4488300</v>
      </c>
      <c r="AI1271" s="1">
        <v>146301</v>
      </c>
      <c r="AJ1271" s="1">
        <v>0</v>
      </c>
      <c r="AK1271" s="8">
        <f t="shared" si="79"/>
        <v>22</v>
      </c>
      <c r="AL1271" s="8">
        <f t="shared" si="78"/>
        <v>25</v>
      </c>
      <c r="AM1271">
        <f t="shared" si="76"/>
        <v>0</v>
      </c>
      <c r="AN1271">
        <f t="shared" si="77"/>
        <v>0</v>
      </c>
    </row>
    <row r="1272" spans="1:40" x14ac:dyDescent="0.35">
      <c r="A1272">
        <v>84.450699999999998</v>
      </c>
      <c r="B1272">
        <v>85.138999999999996</v>
      </c>
      <c r="C1272">
        <v>2.8749099999999999</v>
      </c>
      <c r="D1272">
        <v>0</v>
      </c>
      <c r="E1272">
        <v>0.02</v>
      </c>
      <c r="F1272">
        <v>2.9798200000000001</v>
      </c>
      <c r="G1272">
        <v>2.9798200000000001</v>
      </c>
      <c r="H1272">
        <v>0</v>
      </c>
      <c r="I1272">
        <v>0.55837499999999995</v>
      </c>
      <c r="J1272">
        <v>5.3222399999999999</v>
      </c>
      <c r="K1272" s="2">
        <v>145107000</v>
      </c>
      <c r="L1272" s="1">
        <v>0</v>
      </c>
      <c r="M1272" s="1">
        <v>0</v>
      </c>
      <c r="N1272" s="1">
        <v>0</v>
      </c>
      <c r="O1272" s="1">
        <v>0</v>
      </c>
      <c r="P1272" s="2">
        <v>4454760</v>
      </c>
      <c r="Q1272" s="1">
        <v>306332</v>
      </c>
      <c r="R1272" s="1">
        <v>0</v>
      </c>
      <c r="S1272">
        <v>99.302199999999999</v>
      </c>
      <c r="T1272">
        <v>98.274000000000001</v>
      </c>
      <c r="U1272">
        <v>3.8896299999999999</v>
      </c>
      <c r="V1272">
        <v>0</v>
      </c>
      <c r="W1272">
        <v>0</v>
      </c>
      <c r="X1272">
        <v>1.73492</v>
      </c>
      <c r="Y1272">
        <v>1.73492</v>
      </c>
      <c r="Z1272">
        <v>0</v>
      </c>
      <c r="AA1272">
        <v>1.34029</v>
      </c>
      <c r="AB1272">
        <v>2.9635199999999999</v>
      </c>
      <c r="AC1272" s="2">
        <v>631888000</v>
      </c>
      <c r="AD1272" s="1">
        <v>0</v>
      </c>
      <c r="AE1272" s="1">
        <v>0</v>
      </c>
      <c r="AF1272" s="1">
        <v>0</v>
      </c>
      <c r="AG1272" s="1">
        <v>0</v>
      </c>
      <c r="AH1272" s="2">
        <v>4488650</v>
      </c>
      <c r="AI1272" s="1">
        <v>146313</v>
      </c>
      <c r="AJ1272" s="1">
        <v>0</v>
      </c>
      <c r="AK1272" s="8">
        <f t="shared" si="79"/>
        <v>23</v>
      </c>
      <c r="AL1272" s="8">
        <f t="shared" si="78"/>
        <v>25</v>
      </c>
      <c r="AM1272">
        <f t="shared" si="76"/>
        <v>0</v>
      </c>
      <c r="AN1272">
        <f t="shared" si="77"/>
        <v>0</v>
      </c>
    </row>
    <row r="1273" spans="1:40" x14ac:dyDescent="0.35">
      <c r="A1273">
        <v>84.522499999999994</v>
      </c>
      <c r="B1273">
        <v>85.138999999999996</v>
      </c>
      <c r="C1273">
        <v>3.4277199999999999</v>
      </c>
      <c r="D1273">
        <v>0</v>
      </c>
      <c r="E1273">
        <v>0.02</v>
      </c>
      <c r="F1273">
        <v>2.9800599999999999</v>
      </c>
      <c r="G1273">
        <v>2.9800599999999999</v>
      </c>
      <c r="H1273">
        <v>0</v>
      </c>
      <c r="I1273">
        <v>0.558419</v>
      </c>
      <c r="J1273">
        <v>5.3222399999999999</v>
      </c>
      <c r="K1273" s="2">
        <v>145414000</v>
      </c>
      <c r="L1273" s="1">
        <v>0</v>
      </c>
      <c r="M1273" s="1">
        <v>0</v>
      </c>
      <c r="N1273" s="1">
        <v>0</v>
      </c>
      <c r="O1273" s="1">
        <v>0</v>
      </c>
      <c r="P1273" s="2">
        <v>4455110</v>
      </c>
      <c r="Q1273" s="1">
        <v>306356</v>
      </c>
      <c r="R1273" s="1">
        <v>0</v>
      </c>
      <c r="S1273">
        <v>99.302199999999999</v>
      </c>
      <c r="T1273">
        <v>98.274000000000001</v>
      </c>
      <c r="U1273">
        <v>4.0883799999999999</v>
      </c>
      <c r="V1273">
        <v>0</v>
      </c>
      <c r="W1273">
        <v>0</v>
      </c>
      <c r="X1273">
        <v>1.73506</v>
      </c>
      <c r="Y1273">
        <v>1.73506</v>
      </c>
      <c r="Z1273">
        <v>0</v>
      </c>
      <c r="AA1273">
        <v>1.3404</v>
      </c>
      <c r="AB1273">
        <v>2.9635199999999999</v>
      </c>
      <c r="AC1273" s="2">
        <v>632034000</v>
      </c>
      <c r="AD1273" s="1">
        <v>0</v>
      </c>
      <c r="AE1273" s="1">
        <v>0</v>
      </c>
      <c r="AF1273" s="1">
        <v>0</v>
      </c>
      <c r="AG1273" s="1">
        <v>0</v>
      </c>
      <c r="AH1273" s="2">
        <v>4489000</v>
      </c>
      <c r="AI1273" s="1">
        <v>146324</v>
      </c>
      <c r="AJ1273" s="1">
        <v>0</v>
      </c>
      <c r="AK1273" s="8">
        <f t="shared" si="79"/>
        <v>24</v>
      </c>
      <c r="AL1273" s="8">
        <f t="shared" si="78"/>
        <v>25</v>
      </c>
      <c r="AM1273">
        <f t="shared" si="76"/>
        <v>0</v>
      </c>
      <c r="AN1273">
        <f t="shared" si="77"/>
        <v>0</v>
      </c>
    </row>
    <row r="1274" spans="1:40" x14ac:dyDescent="0.35">
      <c r="A1274">
        <v>83.904399999999995</v>
      </c>
      <c r="B1274">
        <v>85.138999999999996</v>
      </c>
      <c r="C1274">
        <v>2.6263200000000002</v>
      </c>
      <c r="D1274">
        <v>0</v>
      </c>
      <c r="E1274">
        <v>0.02</v>
      </c>
      <c r="F1274">
        <v>2.9802900000000001</v>
      </c>
      <c r="G1274">
        <v>2.9802900000000001</v>
      </c>
      <c r="H1274">
        <v>0</v>
      </c>
      <c r="I1274">
        <v>0.55846300000000004</v>
      </c>
      <c r="J1274">
        <v>5.3222399999999999</v>
      </c>
      <c r="K1274" s="2">
        <v>145720000</v>
      </c>
      <c r="L1274" s="1">
        <v>0</v>
      </c>
      <c r="M1274" s="1">
        <v>0</v>
      </c>
      <c r="N1274" s="1">
        <v>0</v>
      </c>
      <c r="O1274" s="1">
        <v>0</v>
      </c>
      <c r="P1274" s="2">
        <v>4455460</v>
      </c>
      <c r="Q1274" s="1">
        <v>306380</v>
      </c>
      <c r="R1274" s="1">
        <v>0</v>
      </c>
      <c r="S1274">
        <v>99.302199999999999</v>
      </c>
      <c r="T1274">
        <v>98.274000000000001</v>
      </c>
      <c r="U1274">
        <v>3.84362</v>
      </c>
      <c r="V1274">
        <v>0</v>
      </c>
      <c r="W1274">
        <v>0</v>
      </c>
      <c r="X1274">
        <v>1.73519</v>
      </c>
      <c r="Y1274">
        <v>1.73519</v>
      </c>
      <c r="Z1274">
        <v>0</v>
      </c>
      <c r="AA1274">
        <v>1.3405</v>
      </c>
      <c r="AB1274">
        <v>2.9635199999999999</v>
      </c>
      <c r="AC1274" s="2">
        <v>632181000</v>
      </c>
      <c r="AD1274" s="1">
        <v>0</v>
      </c>
      <c r="AE1274" s="1">
        <v>0</v>
      </c>
      <c r="AF1274" s="1">
        <v>0</v>
      </c>
      <c r="AG1274" s="1">
        <v>0</v>
      </c>
      <c r="AH1274" s="2">
        <v>4489350</v>
      </c>
      <c r="AI1274" s="1">
        <v>146336</v>
      </c>
      <c r="AJ1274" s="1">
        <v>0</v>
      </c>
      <c r="AK1274" s="8">
        <f t="shared" si="79"/>
        <v>25</v>
      </c>
      <c r="AL1274" s="8">
        <f t="shared" si="78"/>
        <v>25</v>
      </c>
      <c r="AM1274">
        <f t="shared" si="76"/>
        <v>0</v>
      </c>
      <c r="AN1274">
        <f t="shared" si="77"/>
        <v>0</v>
      </c>
    </row>
    <row r="1275" spans="1:40" x14ac:dyDescent="0.35">
      <c r="A1275">
        <v>82.956500000000005</v>
      </c>
      <c r="B1275">
        <v>85.138999999999996</v>
      </c>
      <c r="C1275">
        <v>2.3836300000000001</v>
      </c>
      <c r="D1275">
        <v>0</v>
      </c>
      <c r="E1275">
        <v>0.02</v>
      </c>
      <c r="F1275">
        <v>3.1219100000000002</v>
      </c>
      <c r="G1275">
        <v>3.1219100000000002</v>
      </c>
      <c r="H1275">
        <v>0</v>
      </c>
      <c r="I1275">
        <v>0.55850699999999998</v>
      </c>
      <c r="J1275">
        <v>5.3222399999999999</v>
      </c>
      <c r="K1275" s="2">
        <v>146041000</v>
      </c>
      <c r="L1275" s="1">
        <v>0</v>
      </c>
      <c r="M1275" s="1">
        <v>0</v>
      </c>
      <c r="N1275" s="1">
        <v>0</v>
      </c>
      <c r="O1275" s="1">
        <v>0</v>
      </c>
      <c r="P1275" s="2">
        <v>4667180</v>
      </c>
      <c r="Q1275" s="1">
        <v>320939</v>
      </c>
      <c r="R1275" s="1">
        <v>0</v>
      </c>
      <c r="S1275">
        <v>99.302199999999999</v>
      </c>
      <c r="T1275">
        <v>98.274000000000001</v>
      </c>
      <c r="U1275">
        <v>3.2959100000000001</v>
      </c>
      <c r="V1275">
        <v>0</v>
      </c>
      <c r="W1275">
        <v>0</v>
      </c>
      <c r="X1275">
        <v>1.8291500000000001</v>
      </c>
      <c r="Y1275">
        <v>1.8291500000000001</v>
      </c>
      <c r="Z1275">
        <v>0</v>
      </c>
      <c r="AA1275">
        <v>1.3406100000000001</v>
      </c>
      <c r="AB1275">
        <v>2.9635199999999999</v>
      </c>
      <c r="AC1275" s="2">
        <v>632335000</v>
      </c>
      <c r="AD1275" s="1">
        <v>0</v>
      </c>
      <c r="AE1275" s="1">
        <v>0</v>
      </c>
      <c r="AF1275" s="1">
        <v>0</v>
      </c>
      <c r="AG1275" s="1">
        <v>0</v>
      </c>
      <c r="AH1275" s="2">
        <v>4732440</v>
      </c>
      <c r="AI1275" s="1">
        <v>154259</v>
      </c>
      <c r="AJ1275" s="1">
        <v>0</v>
      </c>
      <c r="AK1275" s="8">
        <f t="shared" si="79"/>
        <v>26</v>
      </c>
      <c r="AL1275" s="8">
        <f t="shared" si="78"/>
        <v>25</v>
      </c>
      <c r="AM1275">
        <f t="shared" si="76"/>
        <v>0</v>
      </c>
      <c r="AN1275">
        <f t="shared" si="77"/>
        <v>0</v>
      </c>
    </row>
    <row r="1276" spans="1:40" x14ac:dyDescent="0.35">
      <c r="A1276">
        <v>81.954899999999995</v>
      </c>
      <c r="B1276">
        <v>85.138999999999996</v>
      </c>
      <c r="C1276">
        <v>2.3121200000000002</v>
      </c>
      <c r="D1276">
        <v>0</v>
      </c>
      <c r="E1276">
        <v>0.02</v>
      </c>
      <c r="F1276">
        <v>3.12216</v>
      </c>
      <c r="G1276">
        <v>3.12216</v>
      </c>
      <c r="H1276">
        <v>0</v>
      </c>
      <c r="I1276">
        <v>0.58504599999999995</v>
      </c>
      <c r="J1276">
        <v>5.3222399999999999</v>
      </c>
      <c r="K1276" s="2">
        <v>146362000</v>
      </c>
      <c r="L1276" s="1">
        <v>0</v>
      </c>
      <c r="M1276" s="1">
        <v>0</v>
      </c>
      <c r="N1276" s="1">
        <v>0</v>
      </c>
      <c r="O1276" s="1">
        <v>0</v>
      </c>
      <c r="P1276" s="2">
        <v>4667550</v>
      </c>
      <c r="Q1276" s="1">
        <v>320964</v>
      </c>
      <c r="R1276" s="1">
        <v>0</v>
      </c>
      <c r="S1276">
        <v>99.302199999999999</v>
      </c>
      <c r="T1276">
        <v>98.274000000000001</v>
      </c>
      <c r="U1276">
        <v>3.0064500000000001</v>
      </c>
      <c r="V1276">
        <v>0</v>
      </c>
      <c r="W1276">
        <v>0</v>
      </c>
      <c r="X1276">
        <v>1.8292900000000001</v>
      </c>
      <c r="Y1276">
        <v>1.8292900000000001</v>
      </c>
      <c r="Z1276">
        <v>0</v>
      </c>
      <c r="AA1276">
        <v>1.4132</v>
      </c>
      <c r="AB1276">
        <v>2.9635199999999999</v>
      </c>
      <c r="AC1276" s="2">
        <v>632489000</v>
      </c>
      <c r="AD1276" s="1">
        <v>0</v>
      </c>
      <c r="AE1276" s="1">
        <v>0</v>
      </c>
      <c r="AF1276" s="1">
        <v>0</v>
      </c>
      <c r="AG1276" s="1">
        <v>0</v>
      </c>
      <c r="AH1276" s="2">
        <v>4732820</v>
      </c>
      <c r="AI1276" s="1">
        <v>154272</v>
      </c>
      <c r="AJ1276" s="1">
        <v>0</v>
      </c>
      <c r="AK1276" s="8">
        <f t="shared" si="79"/>
        <v>27</v>
      </c>
      <c r="AL1276" s="8">
        <f t="shared" si="78"/>
        <v>25</v>
      </c>
      <c r="AM1276">
        <f t="shared" si="76"/>
        <v>0</v>
      </c>
      <c r="AN1276">
        <f t="shared" si="77"/>
        <v>0</v>
      </c>
    </row>
    <row r="1277" spans="1:40" x14ac:dyDescent="0.35">
      <c r="A1277">
        <v>80.707700000000003</v>
      </c>
      <c r="B1277">
        <v>85.138999999999996</v>
      </c>
      <c r="C1277">
        <v>2.0293800000000002</v>
      </c>
      <c r="D1277">
        <v>0</v>
      </c>
      <c r="E1277">
        <v>0.02</v>
      </c>
      <c r="F1277">
        <v>3.1223999999999998</v>
      </c>
      <c r="G1277">
        <v>3.1223999999999998</v>
      </c>
      <c r="H1277">
        <v>0</v>
      </c>
      <c r="I1277">
        <v>0.58509199999999995</v>
      </c>
      <c r="J1277">
        <v>5.3222399999999999</v>
      </c>
      <c r="K1277" s="2">
        <v>146683000</v>
      </c>
      <c r="L1277" s="1">
        <v>0</v>
      </c>
      <c r="M1277" s="1">
        <v>0</v>
      </c>
      <c r="N1277" s="1">
        <v>0</v>
      </c>
      <c r="O1277" s="1">
        <v>0</v>
      </c>
      <c r="P1277" s="2">
        <v>4667910</v>
      </c>
      <c r="Q1277" s="1">
        <v>320989</v>
      </c>
      <c r="R1277" s="1">
        <v>0</v>
      </c>
      <c r="S1277">
        <v>99.302199999999999</v>
      </c>
      <c r="T1277">
        <v>98.274000000000001</v>
      </c>
      <c r="U1277">
        <v>2.8131200000000001</v>
      </c>
      <c r="V1277">
        <v>0</v>
      </c>
      <c r="W1277">
        <v>0</v>
      </c>
      <c r="X1277">
        <v>1.82944</v>
      </c>
      <c r="Y1277">
        <v>1.82944</v>
      </c>
      <c r="Z1277">
        <v>0</v>
      </c>
      <c r="AA1277">
        <v>1.4133100000000001</v>
      </c>
      <c r="AB1277">
        <v>2.9635199999999999</v>
      </c>
      <c r="AC1277" s="2">
        <v>632644000</v>
      </c>
      <c r="AD1277" s="1">
        <v>0</v>
      </c>
      <c r="AE1277" s="1">
        <v>0</v>
      </c>
      <c r="AF1277" s="1">
        <v>0</v>
      </c>
      <c r="AG1277" s="1">
        <v>0</v>
      </c>
      <c r="AH1277" s="2">
        <v>4733190</v>
      </c>
      <c r="AI1277" s="1">
        <v>154284</v>
      </c>
      <c r="AJ1277" s="1">
        <v>0</v>
      </c>
      <c r="AK1277" s="8">
        <f t="shared" si="79"/>
        <v>28</v>
      </c>
      <c r="AL1277" s="8">
        <f t="shared" si="78"/>
        <v>25</v>
      </c>
      <c r="AM1277">
        <f t="shared" si="76"/>
        <v>0</v>
      </c>
      <c r="AN1277">
        <f t="shared" si="77"/>
        <v>0</v>
      </c>
    </row>
    <row r="1278" spans="1:40" x14ac:dyDescent="0.35">
      <c r="A1278">
        <v>79.401799999999994</v>
      </c>
      <c r="B1278">
        <v>85.138999999999996</v>
      </c>
      <c r="C1278">
        <v>1.91568</v>
      </c>
      <c r="D1278">
        <v>0</v>
      </c>
      <c r="E1278">
        <v>0.02</v>
      </c>
      <c r="F1278">
        <v>3.1226500000000001</v>
      </c>
      <c r="G1278">
        <v>3.1226500000000001</v>
      </c>
      <c r="H1278">
        <v>0</v>
      </c>
      <c r="I1278">
        <v>0.58513800000000005</v>
      </c>
      <c r="J1278">
        <v>5.3222399999999999</v>
      </c>
      <c r="K1278" s="2">
        <v>147004000</v>
      </c>
      <c r="L1278" s="1">
        <v>0</v>
      </c>
      <c r="M1278" s="1">
        <v>0</v>
      </c>
      <c r="N1278" s="1">
        <v>0</v>
      </c>
      <c r="O1278" s="1">
        <v>0</v>
      </c>
      <c r="P1278" s="2">
        <v>4668280</v>
      </c>
      <c r="Q1278" s="1">
        <v>321014</v>
      </c>
      <c r="R1278" s="1">
        <v>0</v>
      </c>
      <c r="S1278">
        <v>99.263400000000004</v>
      </c>
      <c r="T1278">
        <v>98.274000000000001</v>
      </c>
      <c r="U1278">
        <v>2.68825</v>
      </c>
      <c r="V1278">
        <v>0</v>
      </c>
      <c r="W1278">
        <v>0</v>
      </c>
      <c r="X1278">
        <v>1.82958</v>
      </c>
      <c r="Y1278">
        <v>1.82958</v>
      </c>
      <c r="Z1278">
        <v>0</v>
      </c>
      <c r="AA1278">
        <v>1.4134199999999999</v>
      </c>
      <c r="AB1278">
        <v>2.9635199999999999</v>
      </c>
      <c r="AC1278" s="2">
        <v>632798000</v>
      </c>
      <c r="AD1278" s="1">
        <v>0</v>
      </c>
      <c r="AE1278" s="1">
        <v>0</v>
      </c>
      <c r="AF1278" s="1">
        <v>0</v>
      </c>
      <c r="AG1278" s="1">
        <v>0</v>
      </c>
      <c r="AH1278" s="2">
        <v>4733560</v>
      </c>
      <c r="AI1278" s="1">
        <v>154296</v>
      </c>
      <c r="AJ1278" s="1">
        <v>0</v>
      </c>
      <c r="AK1278" s="8">
        <f t="shared" si="79"/>
        <v>29</v>
      </c>
      <c r="AL1278" s="8">
        <f t="shared" si="78"/>
        <v>25</v>
      </c>
      <c r="AM1278">
        <f t="shared" si="76"/>
        <v>0</v>
      </c>
      <c r="AN1278">
        <f t="shared" si="77"/>
        <v>0</v>
      </c>
    </row>
    <row r="1279" spans="1:40" x14ac:dyDescent="0.35">
      <c r="A1279">
        <v>77.904399999999995</v>
      </c>
      <c r="B1279">
        <v>85.138999999999996</v>
      </c>
      <c r="C1279">
        <v>1.7189700000000001</v>
      </c>
      <c r="D1279">
        <v>0</v>
      </c>
      <c r="E1279">
        <v>0.02</v>
      </c>
      <c r="F1279">
        <v>3.1228899999999999</v>
      </c>
      <c r="G1279">
        <v>3.1228899999999999</v>
      </c>
      <c r="H1279">
        <v>0</v>
      </c>
      <c r="I1279">
        <v>0.58518400000000004</v>
      </c>
      <c r="J1279">
        <v>5.3222399999999999</v>
      </c>
      <c r="K1279" s="2">
        <v>147325000</v>
      </c>
      <c r="L1279" s="1">
        <v>0</v>
      </c>
      <c r="M1279" s="1">
        <v>0</v>
      </c>
      <c r="N1279" s="1">
        <v>0</v>
      </c>
      <c r="O1279" s="1">
        <v>0</v>
      </c>
      <c r="P1279" s="2">
        <v>4668650</v>
      </c>
      <c r="Q1279" s="1">
        <v>321039</v>
      </c>
      <c r="R1279" s="1">
        <v>0</v>
      </c>
      <c r="S1279">
        <v>99.028700000000001</v>
      </c>
      <c r="T1279">
        <v>98.274000000000001</v>
      </c>
      <c r="U1279">
        <v>2.1943600000000001</v>
      </c>
      <c r="V1279">
        <v>0</v>
      </c>
      <c r="W1279">
        <v>0</v>
      </c>
      <c r="X1279">
        <v>1.82972</v>
      </c>
      <c r="Y1279">
        <v>1.82972</v>
      </c>
      <c r="Z1279">
        <v>0</v>
      </c>
      <c r="AA1279">
        <v>1.41353</v>
      </c>
      <c r="AB1279">
        <v>2.9635199999999999</v>
      </c>
      <c r="AC1279" s="2">
        <v>632952000</v>
      </c>
      <c r="AD1279" s="1">
        <v>0</v>
      </c>
      <c r="AE1279" s="1">
        <v>0</v>
      </c>
      <c r="AF1279" s="1">
        <v>0</v>
      </c>
      <c r="AG1279" s="1">
        <v>0</v>
      </c>
      <c r="AH1279" s="2">
        <v>4733930</v>
      </c>
      <c r="AI1279" s="1">
        <v>154308</v>
      </c>
      <c r="AJ1279" s="1">
        <v>0</v>
      </c>
      <c r="AK1279" s="8">
        <f t="shared" si="79"/>
        <v>30</v>
      </c>
      <c r="AL1279" s="8">
        <f t="shared" si="78"/>
        <v>25</v>
      </c>
      <c r="AM1279">
        <f t="shared" si="76"/>
        <v>0</v>
      </c>
      <c r="AN1279">
        <f t="shared" si="77"/>
        <v>0</v>
      </c>
    </row>
    <row r="1280" spans="1:40" x14ac:dyDescent="0.35">
      <c r="A1280">
        <v>76.537899999999993</v>
      </c>
      <c r="B1280">
        <v>85.138999999999996</v>
      </c>
      <c r="C1280">
        <v>1.5650299999999999</v>
      </c>
      <c r="D1280">
        <v>0.01</v>
      </c>
      <c r="E1280">
        <v>0.02</v>
      </c>
      <c r="F1280">
        <v>2.79277</v>
      </c>
      <c r="G1280">
        <v>3.09517</v>
      </c>
      <c r="H1280">
        <v>0</v>
      </c>
      <c r="I1280">
        <v>0.58523000000000003</v>
      </c>
      <c r="J1280">
        <v>5.3222399999999999</v>
      </c>
      <c r="K1280" s="2">
        <v>147235000</v>
      </c>
      <c r="L1280" s="1">
        <v>0</v>
      </c>
      <c r="M1280" s="1">
        <v>0</v>
      </c>
      <c r="N1280" s="1">
        <v>0</v>
      </c>
      <c r="O1280" s="1">
        <v>0</v>
      </c>
      <c r="P1280" s="2">
        <v>4175110</v>
      </c>
      <c r="Q1280" s="1">
        <v>-90349.5</v>
      </c>
      <c r="R1280" s="1">
        <v>408539</v>
      </c>
      <c r="S1280">
        <v>98.484999999999999</v>
      </c>
      <c r="T1280">
        <v>98.274000000000001</v>
      </c>
      <c r="U1280">
        <v>2.0337999999999998</v>
      </c>
      <c r="V1280">
        <v>0</v>
      </c>
      <c r="W1280">
        <v>0</v>
      </c>
      <c r="X1280">
        <v>2.1838500000000001</v>
      </c>
      <c r="Y1280">
        <v>1.8814500000000001</v>
      </c>
      <c r="Z1280">
        <v>0</v>
      </c>
      <c r="AA1280">
        <v>1.41364</v>
      </c>
      <c r="AB1280">
        <v>2.9635199999999999</v>
      </c>
      <c r="AC1280" s="2">
        <v>633893000</v>
      </c>
      <c r="AD1280" s="1">
        <v>0</v>
      </c>
      <c r="AE1280" s="1">
        <v>0</v>
      </c>
      <c r="AF1280" s="1">
        <v>0</v>
      </c>
      <c r="AG1280" s="1">
        <v>0</v>
      </c>
      <c r="AH1280" s="2">
        <v>5650150</v>
      </c>
      <c r="AI1280" s="1">
        <v>941051</v>
      </c>
      <c r="AJ1280" s="1">
        <v>0</v>
      </c>
      <c r="AK1280" s="8">
        <f t="shared" si="79"/>
        <v>31</v>
      </c>
      <c r="AL1280" s="8">
        <f t="shared" si="78"/>
        <v>25</v>
      </c>
      <c r="AM1280">
        <f t="shared" si="76"/>
        <v>0</v>
      </c>
      <c r="AN1280">
        <f t="shared" si="77"/>
        <v>0</v>
      </c>
    </row>
    <row r="1281" spans="1:40" x14ac:dyDescent="0.35">
      <c r="A1281">
        <v>75.047799999999995</v>
      </c>
      <c r="B1281">
        <v>85.138999999999996</v>
      </c>
      <c r="C1281">
        <v>1.4283999999999999</v>
      </c>
      <c r="D1281">
        <v>0.01</v>
      </c>
      <c r="E1281">
        <v>0.02</v>
      </c>
      <c r="F1281">
        <v>2.7930100000000002</v>
      </c>
      <c r="G1281">
        <v>3.0954100000000002</v>
      </c>
      <c r="H1281">
        <v>0</v>
      </c>
      <c r="I1281">
        <v>0.52336400000000005</v>
      </c>
      <c r="J1281">
        <v>5.3222399999999999</v>
      </c>
      <c r="K1281" s="2">
        <v>147144000</v>
      </c>
      <c r="L1281" s="1">
        <v>0</v>
      </c>
      <c r="M1281" s="1">
        <v>0</v>
      </c>
      <c r="N1281" s="1">
        <v>0</v>
      </c>
      <c r="O1281" s="1">
        <v>0</v>
      </c>
      <c r="P1281" s="2">
        <v>4175480</v>
      </c>
      <c r="Q1281" s="1">
        <v>-90324.5</v>
      </c>
      <c r="R1281" s="1">
        <v>408539</v>
      </c>
      <c r="S1281">
        <v>97.893699999999995</v>
      </c>
      <c r="T1281">
        <v>98.274000000000001</v>
      </c>
      <c r="U1281">
        <v>1.8689800000000001</v>
      </c>
      <c r="V1281">
        <v>0</v>
      </c>
      <c r="W1281">
        <v>0</v>
      </c>
      <c r="X1281">
        <v>2.1840000000000002</v>
      </c>
      <c r="Y1281">
        <v>1.8815999999999999</v>
      </c>
      <c r="Z1281">
        <v>0</v>
      </c>
      <c r="AA1281">
        <v>1.6872400000000001</v>
      </c>
      <c r="AB1281">
        <v>2.9635199999999999</v>
      </c>
      <c r="AC1281" s="2">
        <v>634834000</v>
      </c>
      <c r="AD1281" s="1">
        <v>0</v>
      </c>
      <c r="AE1281" s="1">
        <v>0</v>
      </c>
      <c r="AF1281" s="1">
        <v>0</v>
      </c>
      <c r="AG1281" s="1">
        <v>0</v>
      </c>
      <c r="AH1281" s="2">
        <v>5650530</v>
      </c>
      <c r="AI1281" s="1">
        <v>941064</v>
      </c>
      <c r="AJ1281" s="1">
        <v>0</v>
      </c>
      <c r="AK1281" s="8">
        <f t="shared" si="79"/>
        <v>32</v>
      </c>
      <c r="AL1281" s="8">
        <f t="shared" si="78"/>
        <v>25</v>
      </c>
      <c r="AM1281">
        <f t="shared" si="76"/>
        <v>0</v>
      </c>
      <c r="AN1281">
        <f t="shared" si="77"/>
        <v>0</v>
      </c>
    </row>
    <row r="1282" spans="1:40" x14ac:dyDescent="0.35">
      <c r="A1282">
        <v>73.466399999999993</v>
      </c>
      <c r="B1282">
        <v>85.138999999999996</v>
      </c>
      <c r="C1282">
        <v>1.30393</v>
      </c>
      <c r="D1282">
        <v>0.01</v>
      </c>
      <c r="E1282">
        <v>0.02</v>
      </c>
      <c r="F1282">
        <v>2.79325</v>
      </c>
      <c r="G1282">
        <v>3.09565</v>
      </c>
      <c r="H1282">
        <v>0</v>
      </c>
      <c r="I1282">
        <v>0.52341000000000004</v>
      </c>
      <c r="J1282">
        <v>5.3222399999999999</v>
      </c>
      <c r="K1282" s="2">
        <v>147054000</v>
      </c>
      <c r="L1282" s="1">
        <v>0</v>
      </c>
      <c r="M1282" s="1">
        <v>0</v>
      </c>
      <c r="N1282" s="1">
        <v>0</v>
      </c>
      <c r="O1282" s="1">
        <v>0</v>
      </c>
      <c r="P1282" s="2">
        <v>4175840</v>
      </c>
      <c r="Q1282" s="1">
        <v>-90299.5</v>
      </c>
      <c r="R1282" s="1">
        <v>408539</v>
      </c>
      <c r="S1282">
        <v>97.183899999999994</v>
      </c>
      <c r="T1282">
        <v>98.274000000000001</v>
      </c>
      <c r="U1282">
        <v>1.79148</v>
      </c>
      <c r="V1282">
        <v>0</v>
      </c>
      <c r="W1282">
        <v>0</v>
      </c>
      <c r="X1282">
        <v>2.1841499999999998</v>
      </c>
      <c r="Y1282">
        <v>1.88175</v>
      </c>
      <c r="Z1282">
        <v>0</v>
      </c>
      <c r="AA1282">
        <v>1.68736</v>
      </c>
      <c r="AB1282">
        <v>2.9635199999999999</v>
      </c>
      <c r="AC1282" s="2">
        <v>635775000</v>
      </c>
      <c r="AD1282" s="1">
        <v>0</v>
      </c>
      <c r="AE1282" s="1">
        <v>0</v>
      </c>
      <c r="AF1282" s="1">
        <v>0</v>
      </c>
      <c r="AG1282" s="1">
        <v>0</v>
      </c>
      <c r="AH1282" s="2">
        <v>5650910</v>
      </c>
      <c r="AI1282" s="1">
        <v>941076</v>
      </c>
      <c r="AJ1282" s="1">
        <v>0</v>
      </c>
      <c r="AK1282" s="8">
        <f t="shared" si="79"/>
        <v>33</v>
      </c>
      <c r="AL1282" s="8">
        <f t="shared" si="78"/>
        <v>25</v>
      </c>
      <c r="AM1282">
        <f t="shared" si="76"/>
        <v>0</v>
      </c>
      <c r="AN1282">
        <f t="shared" si="77"/>
        <v>0</v>
      </c>
    </row>
    <row r="1283" spans="1:40" x14ac:dyDescent="0.35">
      <c r="A1283">
        <v>71.801000000000002</v>
      </c>
      <c r="B1283">
        <v>85.138999999999996</v>
      </c>
      <c r="C1283">
        <v>1.18109</v>
      </c>
      <c r="D1283">
        <v>0.02</v>
      </c>
      <c r="E1283">
        <v>0.02</v>
      </c>
      <c r="F1283">
        <v>2.7934999999999999</v>
      </c>
      <c r="G1283">
        <v>3.0958999999999999</v>
      </c>
      <c r="H1283">
        <v>0</v>
      </c>
      <c r="I1283">
        <v>0.523455</v>
      </c>
      <c r="J1283">
        <v>5.3222399999999999</v>
      </c>
      <c r="K1283" s="2">
        <v>146964000</v>
      </c>
      <c r="L1283" s="1">
        <v>0</v>
      </c>
      <c r="M1283" s="1">
        <v>0</v>
      </c>
      <c r="N1283" s="1">
        <v>0</v>
      </c>
      <c r="O1283" s="1">
        <v>0</v>
      </c>
      <c r="P1283" s="2">
        <v>4176200</v>
      </c>
      <c r="Q1283" s="1">
        <v>-90274.5</v>
      </c>
      <c r="R1283" s="1">
        <v>408539</v>
      </c>
      <c r="S1283">
        <v>96.309700000000007</v>
      </c>
      <c r="T1283">
        <v>98.274000000000001</v>
      </c>
      <c r="U1283">
        <v>1.58955</v>
      </c>
      <c r="V1283">
        <v>0</v>
      </c>
      <c r="W1283">
        <v>0</v>
      </c>
      <c r="X1283">
        <v>2.1842999999999999</v>
      </c>
      <c r="Y1283">
        <v>1.8818999999999999</v>
      </c>
      <c r="Z1283">
        <v>0</v>
      </c>
      <c r="AA1283">
        <v>1.68747</v>
      </c>
      <c r="AB1283">
        <v>2.9635199999999999</v>
      </c>
      <c r="AC1283" s="2">
        <v>636716000</v>
      </c>
      <c r="AD1283" s="1">
        <v>0</v>
      </c>
      <c r="AE1283" s="1">
        <v>0</v>
      </c>
      <c r="AF1283" s="1">
        <v>0</v>
      </c>
      <c r="AG1283" s="1">
        <v>0</v>
      </c>
      <c r="AH1283" s="2">
        <v>5651290</v>
      </c>
      <c r="AI1283" s="1">
        <v>941089</v>
      </c>
      <c r="AJ1283" s="1">
        <v>0</v>
      </c>
      <c r="AK1283" s="8">
        <f t="shared" si="79"/>
        <v>34</v>
      </c>
      <c r="AL1283" s="8">
        <f t="shared" si="78"/>
        <v>25</v>
      </c>
      <c r="AM1283">
        <f t="shared" ref="AM1283:AM1346" si="80">IF(AK1283=52,AC1283,0)</f>
        <v>0</v>
      </c>
      <c r="AN1283">
        <f t="shared" ref="AN1283:AN1346" si="81">IF(AK1283=52,K1283,0)</f>
        <v>0</v>
      </c>
    </row>
    <row r="1284" spans="1:40" x14ac:dyDescent="0.35">
      <c r="A1284">
        <v>69.999899999999997</v>
      </c>
      <c r="B1284">
        <v>85.138999999999996</v>
      </c>
      <c r="C1284">
        <v>1.0841000000000001</v>
      </c>
      <c r="D1284">
        <v>0.02</v>
      </c>
      <c r="E1284">
        <v>0.02</v>
      </c>
      <c r="F1284">
        <v>2.8660000000000001</v>
      </c>
      <c r="G1284">
        <v>3.1684000000000001</v>
      </c>
      <c r="H1284">
        <v>0</v>
      </c>
      <c r="I1284">
        <v>0.52350099999999999</v>
      </c>
      <c r="J1284">
        <v>5.3222399999999999</v>
      </c>
      <c r="K1284" s="2">
        <v>146881000</v>
      </c>
      <c r="L1284" s="1">
        <v>0</v>
      </c>
      <c r="M1284" s="1">
        <v>0</v>
      </c>
      <c r="N1284" s="1">
        <v>0</v>
      </c>
      <c r="O1284" s="1">
        <v>0</v>
      </c>
      <c r="P1284" s="2">
        <v>4284590</v>
      </c>
      <c r="Q1284" s="1">
        <v>-82821.3</v>
      </c>
      <c r="R1284" s="1">
        <v>408539</v>
      </c>
      <c r="S1284">
        <v>95.450500000000005</v>
      </c>
      <c r="T1284">
        <v>98.274000000000001</v>
      </c>
      <c r="U1284">
        <v>1.4116599999999999</v>
      </c>
      <c r="V1284">
        <v>0</v>
      </c>
      <c r="W1284">
        <v>0</v>
      </c>
      <c r="X1284">
        <v>2.2304300000000001</v>
      </c>
      <c r="Y1284">
        <v>1.9280299999999999</v>
      </c>
      <c r="Z1284">
        <v>0</v>
      </c>
      <c r="AA1284">
        <v>1.6875899999999999</v>
      </c>
      <c r="AB1284">
        <v>2.9635199999999999</v>
      </c>
      <c r="AC1284" s="2">
        <v>637661000</v>
      </c>
      <c r="AD1284" s="1">
        <v>0</v>
      </c>
      <c r="AE1284" s="1">
        <v>0</v>
      </c>
      <c r="AF1284" s="1">
        <v>0</v>
      </c>
      <c r="AG1284" s="1">
        <v>0</v>
      </c>
      <c r="AH1284" s="2">
        <v>5770660</v>
      </c>
      <c r="AI1284" s="1">
        <v>944979</v>
      </c>
      <c r="AJ1284" s="1">
        <v>0</v>
      </c>
      <c r="AK1284" s="8">
        <f t="shared" si="79"/>
        <v>35</v>
      </c>
      <c r="AL1284" s="8">
        <f t="shared" ref="AL1284:AL1347" si="82">IF(AK1283=52,AL1283+1,AL1283)</f>
        <v>25</v>
      </c>
      <c r="AM1284">
        <f t="shared" si="80"/>
        <v>0</v>
      </c>
      <c r="AN1284">
        <f t="shared" si="81"/>
        <v>0</v>
      </c>
    </row>
    <row r="1285" spans="1:40" x14ac:dyDescent="0.35">
      <c r="A1285">
        <v>68.188699999999997</v>
      </c>
      <c r="B1285">
        <v>85.138999999999996</v>
      </c>
      <c r="C1285">
        <v>1.05952</v>
      </c>
      <c r="D1285">
        <v>0.02</v>
      </c>
      <c r="E1285">
        <v>0.02</v>
      </c>
      <c r="F1285">
        <v>2.8662399999999999</v>
      </c>
      <c r="G1285">
        <v>3.1686399999999999</v>
      </c>
      <c r="H1285">
        <v>0</v>
      </c>
      <c r="I1285">
        <v>0.53708800000000001</v>
      </c>
      <c r="J1285">
        <v>5.3222399999999999</v>
      </c>
      <c r="K1285" s="2">
        <v>146798000</v>
      </c>
      <c r="L1285" s="1">
        <v>0</v>
      </c>
      <c r="M1285" s="1">
        <v>0</v>
      </c>
      <c r="N1285" s="1">
        <v>0</v>
      </c>
      <c r="O1285" s="1">
        <v>0</v>
      </c>
      <c r="P1285" s="2">
        <v>4284960</v>
      </c>
      <c r="Q1285" s="1">
        <v>-82795.7</v>
      </c>
      <c r="R1285" s="1">
        <v>408539</v>
      </c>
      <c r="S1285">
        <v>94.534700000000001</v>
      </c>
      <c r="T1285">
        <v>98.274000000000001</v>
      </c>
      <c r="U1285">
        <v>1.4746900000000001</v>
      </c>
      <c r="V1285">
        <v>0</v>
      </c>
      <c r="W1285">
        <v>0</v>
      </c>
      <c r="X1285">
        <v>2.2305799999999998</v>
      </c>
      <c r="Y1285">
        <v>1.92818</v>
      </c>
      <c r="Z1285">
        <v>0</v>
      </c>
      <c r="AA1285">
        <v>1.72323</v>
      </c>
      <c r="AB1285">
        <v>2.9635199999999999</v>
      </c>
      <c r="AC1285" s="2">
        <v>638606000</v>
      </c>
      <c r="AD1285" s="1">
        <v>0</v>
      </c>
      <c r="AE1285" s="1">
        <v>0</v>
      </c>
      <c r="AF1285" s="1">
        <v>0</v>
      </c>
      <c r="AG1285" s="1">
        <v>0</v>
      </c>
      <c r="AH1285" s="2">
        <v>5771050</v>
      </c>
      <c r="AI1285" s="1">
        <v>944992</v>
      </c>
      <c r="AJ1285" s="1">
        <v>0</v>
      </c>
      <c r="AK1285" s="8">
        <f t="shared" si="79"/>
        <v>36</v>
      </c>
      <c r="AL1285" s="8">
        <f t="shared" si="82"/>
        <v>25</v>
      </c>
      <c r="AM1285">
        <f t="shared" si="80"/>
        <v>0</v>
      </c>
      <c r="AN1285">
        <f t="shared" si="81"/>
        <v>0</v>
      </c>
    </row>
    <row r="1286" spans="1:40" x14ac:dyDescent="0.35">
      <c r="A1286">
        <v>66.330299999999994</v>
      </c>
      <c r="B1286">
        <v>85.138999999999996</v>
      </c>
      <c r="C1286">
        <v>0.98856900000000003</v>
      </c>
      <c r="D1286">
        <v>0.02</v>
      </c>
      <c r="E1286">
        <v>0.02</v>
      </c>
      <c r="F1286">
        <v>2.8664900000000002</v>
      </c>
      <c r="G1286">
        <v>3.1688900000000002</v>
      </c>
      <c r="H1286">
        <v>0</v>
      </c>
      <c r="I1286">
        <v>0.537134</v>
      </c>
      <c r="J1286">
        <v>5.3222399999999999</v>
      </c>
      <c r="K1286" s="2">
        <v>146715000</v>
      </c>
      <c r="L1286" s="1">
        <v>0</v>
      </c>
      <c r="M1286" s="1">
        <v>0</v>
      </c>
      <c r="N1286" s="1">
        <v>0</v>
      </c>
      <c r="O1286" s="1">
        <v>0</v>
      </c>
      <c r="P1286" s="2">
        <v>4285330</v>
      </c>
      <c r="Q1286" s="1">
        <v>-82770.2</v>
      </c>
      <c r="R1286" s="1">
        <v>408539</v>
      </c>
      <c r="S1286">
        <v>93.530699999999996</v>
      </c>
      <c r="T1286">
        <v>98.274000000000001</v>
      </c>
      <c r="U1286">
        <v>1.38771</v>
      </c>
      <c r="V1286">
        <v>0</v>
      </c>
      <c r="W1286">
        <v>0</v>
      </c>
      <c r="X1286">
        <v>2.2307299999999999</v>
      </c>
      <c r="Y1286">
        <v>1.9283300000000001</v>
      </c>
      <c r="Z1286">
        <v>0</v>
      </c>
      <c r="AA1286">
        <v>1.7233499999999999</v>
      </c>
      <c r="AB1286">
        <v>2.9635199999999999</v>
      </c>
      <c r="AC1286" s="2">
        <v>639551000</v>
      </c>
      <c r="AD1286" s="1">
        <v>0</v>
      </c>
      <c r="AE1286" s="1">
        <v>0</v>
      </c>
      <c r="AF1286" s="1">
        <v>0</v>
      </c>
      <c r="AG1286" s="1">
        <v>0</v>
      </c>
      <c r="AH1286" s="2">
        <v>5771440</v>
      </c>
      <c r="AI1286" s="1">
        <v>945005</v>
      </c>
      <c r="AJ1286" s="1">
        <v>0</v>
      </c>
      <c r="AK1286" s="8">
        <f t="shared" si="79"/>
        <v>37</v>
      </c>
      <c r="AL1286" s="8">
        <f t="shared" si="82"/>
        <v>25</v>
      </c>
      <c r="AM1286">
        <f t="shared" si="80"/>
        <v>0</v>
      </c>
      <c r="AN1286">
        <f t="shared" si="81"/>
        <v>0</v>
      </c>
    </row>
    <row r="1287" spans="1:40" x14ac:dyDescent="0.35">
      <c r="A1287">
        <v>64.413799999999995</v>
      </c>
      <c r="B1287">
        <v>85.138999999999996</v>
      </c>
      <c r="C1287">
        <v>0.90723399999999998</v>
      </c>
      <c r="D1287">
        <v>0.02</v>
      </c>
      <c r="E1287">
        <v>0.02</v>
      </c>
      <c r="F1287">
        <v>2.8667400000000001</v>
      </c>
      <c r="G1287">
        <v>3.1691400000000001</v>
      </c>
      <c r="H1287">
        <v>0</v>
      </c>
      <c r="I1287">
        <v>0.53718100000000002</v>
      </c>
      <c r="J1287">
        <v>5.3222399999999999</v>
      </c>
      <c r="K1287" s="2">
        <v>146633000</v>
      </c>
      <c r="L1287" s="1">
        <v>0</v>
      </c>
      <c r="M1287" s="1">
        <v>0</v>
      </c>
      <c r="N1287" s="1">
        <v>0</v>
      </c>
      <c r="O1287" s="1">
        <v>0</v>
      </c>
      <c r="P1287" s="2">
        <v>4285710</v>
      </c>
      <c r="Q1287" s="1">
        <v>-82744.600000000006</v>
      </c>
      <c r="R1287" s="1">
        <v>408539</v>
      </c>
      <c r="S1287">
        <v>92.5261</v>
      </c>
      <c r="T1287">
        <v>98.274000000000001</v>
      </c>
      <c r="U1287">
        <v>1.3064</v>
      </c>
      <c r="V1287">
        <v>0</v>
      </c>
      <c r="W1287">
        <v>0</v>
      </c>
      <c r="X1287">
        <v>2.23089</v>
      </c>
      <c r="Y1287">
        <v>1.92849</v>
      </c>
      <c r="Z1287">
        <v>0</v>
      </c>
      <c r="AA1287">
        <v>1.7234700000000001</v>
      </c>
      <c r="AB1287">
        <v>2.9635199999999999</v>
      </c>
      <c r="AC1287" s="2">
        <v>640496000</v>
      </c>
      <c r="AD1287" s="1">
        <v>0</v>
      </c>
      <c r="AE1287" s="1">
        <v>0</v>
      </c>
      <c r="AF1287" s="1">
        <v>0</v>
      </c>
      <c r="AG1287" s="1">
        <v>0</v>
      </c>
      <c r="AH1287" s="2">
        <v>5771830</v>
      </c>
      <c r="AI1287" s="1">
        <v>945018</v>
      </c>
      <c r="AJ1287" s="1">
        <v>0</v>
      </c>
      <c r="AK1287" s="8">
        <f t="shared" si="79"/>
        <v>38</v>
      </c>
      <c r="AL1287" s="8">
        <f t="shared" si="82"/>
        <v>25</v>
      </c>
      <c r="AM1287">
        <f t="shared" si="80"/>
        <v>0</v>
      </c>
      <c r="AN1287">
        <f t="shared" si="81"/>
        <v>0</v>
      </c>
    </row>
    <row r="1288" spans="1:40" x14ac:dyDescent="0.35">
      <c r="A1288">
        <v>62.383000000000003</v>
      </c>
      <c r="B1288">
        <v>85.138999999999996</v>
      </c>
      <c r="C1288">
        <v>0.93410499999999996</v>
      </c>
      <c r="D1288">
        <v>0.02</v>
      </c>
      <c r="E1288">
        <v>0.02</v>
      </c>
      <c r="F1288">
        <v>3.0786600000000002</v>
      </c>
      <c r="G1288">
        <v>3.3810600000000002</v>
      </c>
      <c r="H1288">
        <v>0</v>
      </c>
      <c r="I1288">
        <v>0.53722700000000001</v>
      </c>
      <c r="J1288">
        <v>5.3222399999999999</v>
      </c>
      <c r="K1288" s="2">
        <v>146572000</v>
      </c>
      <c r="L1288" s="1">
        <v>0</v>
      </c>
      <c r="M1288" s="1">
        <v>0</v>
      </c>
      <c r="N1288" s="1">
        <v>0</v>
      </c>
      <c r="O1288" s="1">
        <v>0</v>
      </c>
      <c r="P1288" s="2">
        <v>4602520</v>
      </c>
      <c r="Q1288" s="1">
        <v>-60958.9</v>
      </c>
      <c r="R1288" s="1">
        <v>408539</v>
      </c>
      <c r="S1288">
        <v>91.420500000000004</v>
      </c>
      <c r="T1288">
        <v>98.274000000000001</v>
      </c>
      <c r="U1288">
        <v>1.2671600000000001</v>
      </c>
      <c r="V1288">
        <v>0</v>
      </c>
      <c r="W1288">
        <v>0</v>
      </c>
      <c r="X1288">
        <v>2.3970899999999999</v>
      </c>
      <c r="Y1288">
        <v>2.0946899999999999</v>
      </c>
      <c r="Z1288">
        <v>0</v>
      </c>
      <c r="AA1288">
        <v>1.7235799999999999</v>
      </c>
      <c r="AB1288">
        <v>2.9635199999999999</v>
      </c>
      <c r="AC1288" s="2">
        <v>641455000</v>
      </c>
      <c r="AD1288" s="1">
        <v>0</v>
      </c>
      <c r="AE1288" s="1">
        <v>0</v>
      </c>
      <c r="AF1288" s="1">
        <v>0</v>
      </c>
      <c r="AG1288" s="1">
        <v>0</v>
      </c>
      <c r="AH1288" s="2">
        <v>6201830</v>
      </c>
      <c r="AI1288" s="1">
        <v>959034</v>
      </c>
      <c r="AJ1288" s="1">
        <v>0</v>
      </c>
      <c r="AK1288" s="8">
        <f t="shared" ref="AK1288:AK1351" si="83">IF(AK1287=52, 1, AK1287+1)</f>
        <v>39</v>
      </c>
      <c r="AL1288" s="8">
        <f t="shared" si="82"/>
        <v>25</v>
      </c>
      <c r="AM1288">
        <f t="shared" si="80"/>
        <v>0</v>
      </c>
      <c r="AN1288">
        <f t="shared" si="81"/>
        <v>0</v>
      </c>
    </row>
    <row r="1289" spans="1:40" x14ac:dyDescent="0.35">
      <c r="A1289">
        <v>60.414900000000003</v>
      </c>
      <c r="B1289">
        <v>85.138999999999996</v>
      </c>
      <c r="C1289">
        <v>0.99056500000000003</v>
      </c>
      <c r="D1289">
        <v>0.02</v>
      </c>
      <c r="E1289">
        <v>0.02</v>
      </c>
      <c r="F1289">
        <v>3.0789300000000002</v>
      </c>
      <c r="G1289">
        <v>3.3813300000000002</v>
      </c>
      <c r="H1289">
        <v>0</v>
      </c>
      <c r="I1289">
        <v>0.57694100000000004</v>
      </c>
      <c r="J1289">
        <v>5.3222399999999999</v>
      </c>
      <c r="K1289" s="2">
        <v>146511000</v>
      </c>
      <c r="L1289" s="1">
        <v>0</v>
      </c>
      <c r="M1289" s="1">
        <v>0</v>
      </c>
      <c r="N1289" s="1">
        <v>0</v>
      </c>
      <c r="O1289" s="1">
        <v>0</v>
      </c>
      <c r="P1289" s="2">
        <v>4602920</v>
      </c>
      <c r="Q1289" s="1">
        <v>-60931.6</v>
      </c>
      <c r="R1289" s="1">
        <v>408539</v>
      </c>
      <c r="S1289">
        <v>90.123699999999999</v>
      </c>
      <c r="T1289">
        <v>98.274000000000001</v>
      </c>
      <c r="U1289">
        <v>1.3116399999999999</v>
      </c>
      <c r="V1289">
        <v>0</v>
      </c>
      <c r="W1289">
        <v>0</v>
      </c>
      <c r="X1289">
        <v>2.3972500000000001</v>
      </c>
      <c r="Y1289">
        <v>2.0948500000000001</v>
      </c>
      <c r="Z1289">
        <v>0</v>
      </c>
      <c r="AA1289">
        <v>1.85199</v>
      </c>
      <c r="AB1289">
        <v>2.9635199999999999</v>
      </c>
      <c r="AC1289" s="2">
        <v>642414000</v>
      </c>
      <c r="AD1289" s="1">
        <v>0</v>
      </c>
      <c r="AE1289" s="1">
        <v>0</v>
      </c>
      <c r="AF1289" s="1">
        <v>0</v>
      </c>
      <c r="AG1289" s="1">
        <v>0</v>
      </c>
      <c r="AH1289" s="2">
        <v>6202260</v>
      </c>
      <c r="AI1289" s="1">
        <v>959048</v>
      </c>
      <c r="AJ1289" s="1">
        <v>0</v>
      </c>
      <c r="AK1289" s="8">
        <f t="shared" si="83"/>
        <v>40</v>
      </c>
      <c r="AL1289" s="8">
        <f t="shared" si="82"/>
        <v>25</v>
      </c>
      <c r="AM1289">
        <f t="shared" si="80"/>
        <v>0</v>
      </c>
      <c r="AN1289">
        <f t="shared" si="81"/>
        <v>0</v>
      </c>
    </row>
    <row r="1290" spans="1:40" x14ac:dyDescent="0.35">
      <c r="A1290">
        <v>58.278199999999998</v>
      </c>
      <c r="B1290">
        <v>85.138999999999996</v>
      </c>
      <c r="C1290">
        <v>0.80268200000000001</v>
      </c>
      <c r="D1290">
        <v>0.02</v>
      </c>
      <c r="E1290">
        <v>0.02</v>
      </c>
      <c r="F1290">
        <v>3.0791900000000001</v>
      </c>
      <c r="G1290">
        <v>3.3815900000000001</v>
      </c>
      <c r="H1290">
        <v>0</v>
      </c>
      <c r="I1290">
        <v>0.57699100000000003</v>
      </c>
      <c r="J1290">
        <v>5.3222399999999999</v>
      </c>
      <c r="K1290" s="2">
        <v>146450000</v>
      </c>
      <c r="L1290" s="1">
        <v>0</v>
      </c>
      <c r="M1290" s="1">
        <v>0</v>
      </c>
      <c r="N1290" s="1">
        <v>0</v>
      </c>
      <c r="O1290" s="1">
        <v>0</v>
      </c>
      <c r="P1290" s="2">
        <v>4603310</v>
      </c>
      <c r="Q1290" s="1">
        <v>-60904.4</v>
      </c>
      <c r="R1290" s="1">
        <v>408539</v>
      </c>
      <c r="S1290">
        <v>89.307500000000005</v>
      </c>
      <c r="T1290">
        <v>98.274000000000001</v>
      </c>
      <c r="U1290">
        <v>0.95944600000000002</v>
      </c>
      <c r="V1290">
        <v>0</v>
      </c>
      <c r="W1290">
        <v>0</v>
      </c>
      <c r="X1290">
        <v>2.3974099999999998</v>
      </c>
      <c r="Y1290">
        <v>2.0950099999999998</v>
      </c>
      <c r="Z1290">
        <v>0</v>
      </c>
      <c r="AA1290">
        <v>1.8521099999999999</v>
      </c>
      <c r="AB1290">
        <v>2.9635199999999999</v>
      </c>
      <c r="AC1290" s="2">
        <v>643374000</v>
      </c>
      <c r="AD1290" s="1">
        <v>0</v>
      </c>
      <c r="AE1290" s="1">
        <v>0</v>
      </c>
      <c r="AF1290" s="1">
        <v>0</v>
      </c>
      <c r="AG1290" s="1">
        <v>0</v>
      </c>
      <c r="AH1290" s="2">
        <v>6202680</v>
      </c>
      <c r="AI1290" s="1">
        <v>959062</v>
      </c>
      <c r="AJ1290" s="1">
        <v>0</v>
      </c>
      <c r="AK1290" s="8">
        <f t="shared" si="83"/>
        <v>41</v>
      </c>
      <c r="AL1290" s="8">
        <f t="shared" si="82"/>
        <v>25</v>
      </c>
      <c r="AM1290">
        <f t="shared" si="80"/>
        <v>0</v>
      </c>
      <c r="AN1290">
        <f t="shared" si="81"/>
        <v>0</v>
      </c>
    </row>
    <row r="1291" spans="1:40" x14ac:dyDescent="0.35">
      <c r="A1291">
        <v>56.337899999999998</v>
      </c>
      <c r="B1291">
        <v>85.138999999999996</v>
      </c>
      <c r="C1291">
        <v>0.96393200000000001</v>
      </c>
      <c r="D1291">
        <v>0.03</v>
      </c>
      <c r="E1291">
        <v>0.02</v>
      </c>
      <c r="F1291">
        <v>3.0794600000000001</v>
      </c>
      <c r="G1291">
        <v>3.3818600000000001</v>
      </c>
      <c r="H1291">
        <v>0</v>
      </c>
      <c r="I1291">
        <v>0.57704</v>
      </c>
      <c r="J1291">
        <v>5.3222399999999999</v>
      </c>
      <c r="K1291" s="2">
        <v>146389000</v>
      </c>
      <c r="L1291" s="1">
        <v>0</v>
      </c>
      <c r="M1291" s="1">
        <v>0</v>
      </c>
      <c r="N1291" s="1">
        <v>0</v>
      </c>
      <c r="O1291" s="1">
        <v>0</v>
      </c>
      <c r="P1291" s="2">
        <v>4603710</v>
      </c>
      <c r="Q1291" s="1">
        <v>-60877.1</v>
      </c>
      <c r="R1291" s="1">
        <v>408539</v>
      </c>
      <c r="S1291">
        <v>88.375299999999996</v>
      </c>
      <c r="T1291">
        <v>98.274000000000001</v>
      </c>
      <c r="U1291">
        <v>1.6397699999999999</v>
      </c>
      <c r="V1291">
        <v>0</v>
      </c>
      <c r="W1291">
        <v>0</v>
      </c>
      <c r="X1291">
        <v>2.39758</v>
      </c>
      <c r="Y1291">
        <v>2.09518</v>
      </c>
      <c r="Z1291">
        <v>0</v>
      </c>
      <c r="AA1291">
        <v>1.8522400000000001</v>
      </c>
      <c r="AB1291">
        <v>2.9635199999999999</v>
      </c>
      <c r="AC1291" s="2">
        <v>644333000</v>
      </c>
      <c r="AD1291" s="1">
        <v>0</v>
      </c>
      <c r="AE1291" s="1">
        <v>0</v>
      </c>
      <c r="AF1291" s="1">
        <v>0</v>
      </c>
      <c r="AG1291" s="1">
        <v>0</v>
      </c>
      <c r="AH1291" s="2">
        <v>6203110</v>
      </c>
      <c r="AI1291" s="1">
        <v>959076</v>
      </c>
      <c r="AJ1291" s="1">
        <v>0</v>
      </c>
      <c r="AK1291" s="8">
        <f t="shared" si="83"/>
        <v>42</v>
      </c>
      <c r="AL1291" s="8">
        <f t="shared" si="82"/>
        <v>25</v>
      </c>
      <c r="AM1291">
        <f t="shared" si="80"/>
        <v>0</v>
      </c>
      <c r="AN1291">
        <f t="shared" si="81"/>
        <v>0</v>
      </c>
    </row>
    <row r="1292" spans="1:40" x14ac:dyDescent="0.35">
      <c r="A1292">
        <v>54.3215</v>
      </c>
      <c r="B1292">
        <v>85.138999999999996</v>
      </c>
      <c r="C1292">
        <v>0.875556</v>
      </c>
      <c r="D1292">
        <v>0.03</v>
      </c>
      <c r="E1292">
        <v>0.02</v>
      </c>
      <c r="F1292">
        <v>3.07972</v>
      </c>
      <c r="G1292">
        <v>3.38212</v>
      </c>
      <c r="H1292">
        <v>0</v>
      </c>
      <c r="I1292">
        <v>0.57708999999999999</v>
      </c>
      <c r="J1292">
        <v>5.3222399999999999</v>
      </c>
      <c r="K1292" s="2">
        <v>146328000</v>
      </c>
      <c r="L1292" s="1">
        <v>0</v>
      </c>
      <c r="M1292" s="1">
        <v>0</v>
      </c>
      <c r="N1292" s="1">
        <v>0</v>
      </c>
      <c r="O1292" s="1">
        <v>0</v>
      </c>
      <c r="P1292" s="2">
        <v>4604110</v>
      </c>
      <c r="Q1292" s="1">
        <v>-60849.8</v>
      </c>
      <c r="R1292" s="1">
        <v>408539</v>
      </c>
      <c r="S1292">
        <v>87.159599999999998</v>
      </c>
      <c r="T1292">
        <v>98.274000000000001</v>
      </c>
      <c r="U1292">
        <v>1.3537699999999999</v>
      </c>
      <c r="V1292">
        <v>0</v>
      </c>
      <c r="W1292">
        <v>0</v>
      </c>
      <c r="X1292">
        <v>2.3977400000000002</v>
      </c>
      <c r="Y1292">
        <v>2.0953400000000002</v>
      </c>
      <c r="Z1292">
        <v>0</v>
      </c>
      <c r="AA1292">
        <v>1.8523700000000001</v>
      </c>
      <c r="AB1292">
        <v>2.9635199999999999</v>
      </c>
      <c r="AC1292" s="2">
        <v>645292000</v>
      </c>
      <c r="AD1292" s="1">
        <v>0</v>
      </c>
      <c r="AE1292" s="1">
        <v>0</v>
      </c>
      <c r="AF1292" s="1">
        <v>0</v>
      </c>
      <c r="AG1292" s="1">
        <v>0</v>
      </c>
      <c r="AH1292" s="2">
        <v>6203530</v>
      </c>
      <c r="AI1292" s="1">
        <v>959089</v>
      </c>
      <c r="AJ1292" s="1">
        <v>0</v>
      </c>
      <c r="AK1292" s="8">
        <f t="shared" si="83"/>
        <v>43</v>
      </c>
      <c r="AL1292" s="8">
        <f t="shared" si="82"/>
        <v>25</v>
      </c>
      <c r="AM1292">
        <f t="shared" si="80"/>
        <v>0</v>
      </c>
      <c r="AN1292">
        <f t="shared" si="81"/>
        <v>0</v>
      </c>
    </row>
    <row r="1293" spans="1:40" x14ac:dyDescent="0.35">
      <c r="A1293">
        <v>52.217700000000001</v>
      </c>
      <c r="B1293">
        <v>85.138999999999996</v>
      </c>
      <c r="C1293">
        <v>0.65156099999999995</v>
      </c>
      <c r="D1293">
        <v>7.0000000000000007E-2</v>
      </c>
      <c r="E1293">
        <v>0.02</v>
      </c>
      <c r="F1293">
        <v>2.9767899999999998</v>
      </c>
      <c r="G1293">
        <v>3.2791899999999998</v>
      </c>
      <c r="H1293">
        <v>0</v>
      </c>
      <c r="I1293">
        <v>0.57713999999999999</v>
      </c>
      <c r="J1293">
        <v>5.3222399999999999</v>
      </c>
      <c r="K1293" s="2">
        <v>146257000</v>
      </c>
      <c r="L1293" s="1">
        <v>0</v>
      </c>
      <c r="M1293" s="1">
        <v>0</v>
      </c>
      <c r="N1293" s="1">
        <v>0</v>
      </c>
      <c r="O1293" s="1">
        <v>0</v>
      </c>
      <c r="P1293" s="2">
        <v>4450220</v>
      </c>
      <c r="Q1293" s="1">
        <v>-71431.7</v>
      </c>
      <c r="R1293" s="1">
        <v>408539</v>
      </c>
      <c r="S1293">
        <v>86.105800000000002</v>
      </c>
      <c r="T1293">
        <v>98.274000000000001</v>
      </c>
      <c r="U1293">
        <v>1.01353</v>
      </c>
      <c r="V1293">
        <v>0</v>
      </c>
      <c r="W1293">
        <v>0</v>
      </c>
      <c r="X1293">
        <v>2.2970799999999998</v>
      </c>
      <c r="Y1293">
        <v>1.99468</v>
      </c>
      <c r="Z1293">
        <v>0</v>
      </c>
      <c r="AA1293">
        <v>1.8525</v>
      </c>
      <c r="AB1293">
        <v>2.9635199999999999</v>
      </c>
      <c r="AC1293" s="2">
        <v>646242000</v>
      </c>
      <c r="AD1293" s="1">
        <v>0</v>
      </c>
      <c r="AE1293" s="1">
        <v>0</v>
      </c>
      <c r="AF1293" s="1">
        <v>0</v>
      </c>
      <c r="AG1293" s="1">
        <v>0</v>
      </c>
      <c r="AH1293" s="2">
        <v>5943100</v>
      </c>
      <c r="AI1293" s="1">
        <v>950600</v>
      </c>
      <c r="AJ1293" s="1">
        <v>0</v>
      </c>
      <c r="AK1293" s="8">
        <f t="shared" si="83"/>
        <v>44</v>
      </c>
      <c r="AL1293" s="8">
        <f t="shared" si="82"/>
        <v>25</v>
      </c>
      <c r="AM1293">
        <f t="shared" si="80"/>
        <v>0</v>
      </c>
      <c r="AN1293">
        <f t="shared" si="81"/>
        <v>0</v>
      </c>
    </row>
    <row r="1294" spans="1:40" x14ac:dyDescent="0.35">
      <c r="A1294">
        <v>50.271599999999999</v>
      </c>
      <c r="B1294">
        <v>85.138999999999996</v>
      </c>
      <c r="C1294">
        <v>0.79579800000000001</v>
      </c>
      <c r="D1294">
        <v>7.0000000000000007E-2</v>
      </c>
      <c r="E1294">
        <v>0.02</v>
      </c>
      <c r="F1294">
        <v>2.9770400000000001</v>
      </c>
      <c r="G1294">
        <v>3.2794400000000001</v>
      </c>
      <c r="H1294">
        <v>0</v>
      </c>
      <c r="I1294">
        <v>0.55784999999999996</v>
      </c>
      <c r="J1294">
        <v>5.3222399999999999</v>
      </c>
      <c r="K1294" s="2">
        <v>146185000</v>
      </c>
      <c r="L1294" s="1">
        <v>0</v>
      </c>
      <c r="M1294" s="1">
        <v>0</v>
      </c>
      <c r="N1294" s="1">
        <v>0</v>
      </c>
      <c r="O1294" s="1">
        <v>0</v>
      </c>
      <c r="P1294" s="2">
        <v>4450610</v>
      </c>
      <c r="Q1294" s="1">
        <v>-71405.3</v>
      </c>
      <c r="R1294" s="1">
        <v>408539</v>
      </c>
      <c r="S1294">
        <v>85.646500000000003</v>
      </c>
      <c r="T1294">
        <v>98.274000000000001</v>
      </c>
      <c r="U1294">
        <v>1.1271899999999999</v>
      </c>
      <c r="V1294">
        <v>0</v>
      </c>
      <c r="W1294">
        <v>0</v>
      </c>
      <c r="X1294">
        <v>2.2972399999999999</v>
      </c>
      <c r="Y1294">
        <v>1.9948399999999999</v>
      </c>
      <c r="Z1294">
        <v>0</v>
      </c>
      <c r="AA1294">
        <v>1.7747299999999999</v>
      </c>
      <c r="AB1294">
        <v>2.9635199999999999</v>
      </c>
      <c r="AC1294" s="2">
        <v>647193000</v>
      </c>
      <c r="AD1294" s="1">
        <v>0</v>
      </c>
      <c r="AE1294" s="1">
        <v>0</v>
      </c>
      <c r="AF1294" s="1">
        <v>0</v>
      </c>
      <c r="AG1294" s="1">
        <v>0</v>
      </c>
      <c r="AH1294" s="2">
        <v>5943510</v>
      </c>
      <c r="AI1294" s="1">
        <v>950614</v>
      </c>
      <c r="AJ1294" s="1">
        <v>0</v>
      </c>
      <c r="AK1294" s="8">
        <f t="shared" si="83"/>
        <v>45</v>
      </c>
      <c r="AL1294" s="8">
        <f t="shared" si="82"/>
        <v>25</v>
      </c>
      <c r="AM1294">
        <f t="shared" si="80"/>
        <v>0</v>
      </c>
      <c r="AN1294">
        <f t="shared" si="81"/>
        <v>0</v>
      </c>
    </row>
    <row r="1295" spans="1:40" x14ac:dyDescent="0.35">
      <c r="A1295">
        <v>49.5989</v>
      </c>
      <c r="B1295">
        <v>85.138999999999996</v>
      </c>
      <c r="C1295">
        <v>2.1461000000000001</v>
      </c>
      <c r="D1295">
        <v>7.0000000000000007E-2</v>
      </c>
      <c r="E1295">
        <v>0.02</v>
      </c>
      <c r="F1295">
        <v>2.9773000000000001</v>
      </c>
      <c r="G1295">
        <v>3.2797000000000001</v>
      </c>
      <c r="H1295">
        <v>0</v>
      </c>
      <c r="I1295">
        <v>0.55789800000000001</v>
      </c>
      <c r="J1295">
        <v>5.3222399999999999</v>
      </c>
      <c r="K1295" s="2">
        <v>146114000</v>
      </c>
      <c r="L1295" s="1">
        <v>0</v>
      </c>
      <c r="M1295" s="1">
        <v>0</v>
      </c>
      <c r="N1295" s="1">
        <v>0</v>
      </c>
      <c r="O1295" s="1">
        <v>0</v>
      </c>
      <c r="P1295" s="2">
        <v>4450990</v>
      </c>
      <c r="Q1295" s="1">
        <v>-71378.8</v>
      </c>
      <c r="R1295" s="1">
        <v>408539</v>
      </c>
      <c r="S1295">
        <v>84.789500000000004</v>
      </c>
      <c r="T1295">
        <v>98.274000000000001</v>
      </c>
      <c r="U1295">
        <v>2.5415399999999999</v>
      </c>
      <c r="V1295">
        <v>0</v>
      </c>
      <c r="W1295">
        <v>0</v>
      </c>
      <c r="X1295">
        <v>2.2974000000000001</v>
      </c>
      <c r="Y1295">
        <v>1.9950000000000001</v>
      </c>
      <c r="Z1295">
        <v>0</v>
      </c>
      <c r="AA1295">
        <v>1.77485</v>
      </c>
      <c r="AB1295">
        <v>2.9635199999999999</v>
      </c>
      <c r="AC1295" s="2">
        <v>648144000</v>
      </c>
      <c r="AD1295" s="1">
        <v>0</v>
      </c>
      <c r="AE1295" s="1">
        <v>0</v>
      </c>
      <c r="AF1295" s="1">
        <v>0</v>
      </c>
      <c r="AG1295" s="1">
        <v>0</v>
      </c>
      <c r="AH1295" s="2">
        <v>5943910</v>
      </c>
      <c r="AI1295" s="1">
        <v>950627</v>
      </c>
      <c r="AJ1295" s="1">
        <v>0</v>
      </c>
      <c r="AK1295" s="8">
        <f t="shared" si="83"/>
        <v>46</v>
      </c>
      <c r="AL1295" s="8">
        <f t="shared" si="82"/>
        <v>25</v>
      </c>
      <c r="AM1295">
        <f t="shared" si="80"/>
        <v>0</v>
      </c>
      <c r="AN1295">
        <f t="shared" si="81"/>
        <v>0</v>
      </c>
    </row>
    <row r="1296" spans="1:40" x14ac:dyDescent="0.35">
      <c r="A1296">
        <v>48.043999999999997</v>
      </c>
      <c r="B1296">
        <v>85.138999999999996</v>
      </c>
      <c r="C1296">
        <v>1.2352799999999999</v>
      </c>
      <c r="D1296">
        <v>0.11</v>
      </c>
      <c r="E1296">
        <v>0.02</v>
      </c>
      <c r="F1296">
        <v>2.97756</v>
      </c>
      <c r="G1296">
        <v>3.27996</v>
      </c>
      <c r="H1296">
        <v>0</v>
      </c>
      <c r="I1296">
        <v>0.55794600000000005</v>
      </c>
      <c r="J1296">
        <v>5.3222399999999999</v>
      </c>
      <c r="K1296" s="2">
        <v>146042000</v>
      </c>
      <c r="L1296" s="1">
        <v>0</v>
      </c>
      <c r="M1296" s="1">
        <v>0</v>
      </c>
      <c r="N1296" s="1">
        <v>0</v>
      </c>
      <c r="O1296" s="1">
        <v>0</v>
      </c>
      <c r="P1296" s="2">
        <v>4451380</v>
      </c>
      <c r="Q1296" s="1">
        <v>-71352.3</v>
      </c>
      <c r="R1296" s="1">
        <v>408539</v>
      </c>
      <c r="S1296">
        <v>83.826300000000003</v>
      </c>
      <c r="T1296">
        <v>98.274000000000001</v>
      </c>
      <c r="U1296">
        <v>1.24844</v>
      </c>
      <c r="V1296">
        <v>0</v>
      </c>
      <c r="W1296">
        <v>0</v>
      </c>
      <c r="X1296">
        <v>2.2975500000000002</v>
      </c>
      <c r="Y1296">
        <v>1.99515</v>
      </c>
      <c r="Z1296">
        <v>0</v>
      </c>
      <c r="AA1296">
        <v>1.7749699999999999</v>
      </c>
      <c r="AB1296">
        <v>2.9635199999999999</v>
      </c>
      <c r="AC1296" s="2">
        <v>649094000</v>
      </c>
      <c r="AD1296" s="1">
        <v>0</v>
      </c>
      <c r="AE1296" s="1">
        <v>0</v>
      </c>
      <c r="AF1296" s="1">
        <v>0</v>
      </c>
      <c r="AG1296" s="1">
        <v>0</v>
      </c>
      <c r="AH1296" s="2">
        <v>5944320</v>
      </c>
      <c r="AI1296" s="1">
        <v>950640</v>
      </c>
      <c r="AJ1296" s="1">
        <v>0</v>
      </c>
      <c r="AK1296" s="8">
        <f t="shared" si="83"/>
        <v>47</v>
      </c>
      <c r="AL1296" s="8">
        <f t="shared" si="82"/>
        <v>25</v>
      </c>
      <c r="AM1296">
        <f t="shared" si="80"/>
        <v>0</v>
      </c>
      <c r="AN1296">
        <f t="shared" si="81"/>
        <v>0</v>
      </c>
    </row>
    <row r="1297" spans="1:40" x14ac:dyDescent="0.35">
      <c r="A1297">
        <v>46.6297</v>
      </c>
      <c r="B1297">
        <v>85.138999999999996</v>
      </c>
      <c r="C1297">
        <v>1.3099400000000001</v>
      </c>
      <c r="D1297">
        <v>0.11</v>
      </c>
      <c r="E1297">
        <v>0.02</v>
      </c>
      <c r="F1297">
        <v>2.8930799999999999</v>
      </c>
      <c r="G1297">
        <v>3.1954799999999999</v>
      </c>
      <c r="H1297">
        <v>0</v>
      </c>
      <c r="I1297">
        <v>0.55799500000000002</v>
      </c>
      <c r="J1297">
        <v>5.3222399999999999</v>
      </c>
      <c r="K1297" s="2">
        <v>145962000</v>
      </c>
      <c r="L1297" s="1">
        <v>0</v>
      </c>
      <c r="M1297" s="1">
        <v>0</v>
      </c>
      <c r="N1297" s="1">
        <v>0</v>
      </c>
      <c r="O1297" s="1">
        <v>0</v>
      </c>
      <c r="P1297" s="2">
        <v>4325080</v>
      </c>
      <c r="Q1297" s="1">
        <v>-80036.899999999994</v>
      </c>
      <c r="R1297" s="1">
        <v>408539</v>
      </c>
      <c r="S1297">
        <v>82.808899999999994</v>
      </c>
      <c r="T1297">
        <v>98.274000000000001</v>
      </c>
      <c r="U1297">
        <v>1.1928700000000001</v>
      </c>
      <c r="V1297">
        <v>0</v>
      </c>
      <c r="W1297">
        <v>0</v>
      </c>
      <c r="X1297">
        <v>2.2059099999999998</v>
      </c>
      <c r="Y1297">
        <v>1.90351</v>
      </c>
      <c r="Z1297">
        <v>0</v>
      </c>
      <c r="AA1297">
        <v>1.7750900000000001</v>
      </c>
      <c r="AB1297">
        <v>2.9635199999999999</v>
      </c>
      <c r="AC1297" s="2">
        <v>650037000</v>
      </c>
      <c r="AD1297" s="1">
        <v>0</v>
      </c>
      <c r="AE1297" s="1">
        <v>0</v>
      </c>
      <c r="AF1297" s="1">
        <v>0</v>
      </c>
      <c r="AG1297" s="1">
        <v>0</v>
      </c>
      <c r="AH1297" s="2">
        <v>5707200</v>
      </c>
      <c r="AI1297" s="1">
        <v>942911</v>
      </c>
      <c r="AJ1297" s="1">
        <v>0</v>
      </c>
      <c r="AK1297" s="8">
        <f t="shared" si="83"/>
        <v>48</v>
      </c>
      <c r="AL1297" s="8">
        <f t="shared" si="82"/>
        <v>25</v>
      </c>
      <c r="AM1297">
        <f t="shared" si="80"/>
        <v>0</v>
      </c>
      <c r="AN1297">
        <f t="shared" si="81"/>
        <v>0</v>
      </c>
    </row>
    <row r="1298" spans="1:40" x14ac:dyDescent="0.35">
      <c r="A1298">
        <v>45.069200000000002</v>
      </c>
      <c r="B1298">
        <v>85.138999999999996</v>
      </c>
      <c r="C1298">
        <v>1.16618</v>
      </c>
      <c r="D1298">
        <v>0.1</v>
      </c>
      <c r="E1298">
        <v>0.02</v>
      </c>
      <c r="F1298">
        <v>2.8933300000000002</v>
      </c>
      <c r="G1298">
        <v>3.1957300000000002</v>
      </c>
      <c r="H1298">
        <v>0</v>
      </c>
      <c r="I1298">
        <v>0.54216299999999995</v>
      </c>
      <c r="J1298">
        <v>5.3222399999999999</v>
      </c>
      <c r="K1298" s="2">
        <v>145882000</v>
      </c>
      <c r="L1298" s="1">
        <v>0</v>
      </c>
      <c r="M1298" s="1">
        <v>0</v>
      </c>
      <c r="N1298" s="1">
        <v>0</v>
      </c>
      <c r="O1298" s="1">
        <v>0</v>
      </c>
      <c r="P1298" s="2">
        <v>4325460</v>
      </c>
      <c r="Q1298" s="1">
        <v>-80011.100000000006</v>
      </c>
      <c r="R1298" s="1">
        <v>408539</v>
      </c>
      <c r="S1298">
        <v>82.485500000000002</v>
      </c>
      <c r="T1298">
        <v>98.274000000000001</v>
      </c>
      <c r="U1298">
        <v>0.870946</v>
      </c>
      <c r="V1298">
        <v>0</v>
      </c>
      <c r="W1298">
        <v>0</v>
      </c>
      <c r="X1298">
        <v>2.2060499999999998</v>
      </c>
      <c r="Y1298">
        <v>1.9036500000000001</v>
      </c>
      <c r="Z1298">
        <v>0</v>
      </c>
      <c r="AA1298">
        <v>1.70428</v>
      </c>
      <c r="AB1298">
        <v>2.9635199999999999</v>
      </c>
      <c r="AC1298" s="2">
        <v>650980000</v>
      </c>
      <c r="AD1298" s="1">
        <v>0</v>
      </c>
      <c r="AE1298" s="1">
        <v>0</v>
      </c>
      <c r="AF1298" s="1">
        <v>0</v>
      </c>
      <c r="AG1298" s="1">
        <v>0</v>
      </c>
      <c r="AH1298" s="2">
        <v>5707590</v>
      </c>
      <c r="AI1298" s="1">
        <v>942924</v>
      </c>
      <c r="AJ1298" s="1">
        <v>0</v>
      </c>
      <c r="AK1298" s="8">
        <f t="shared" si="83"/>
        <v>49</v>
      </c>
      <c r="AL1298" s="8">
        <f t="shared" si="82"/>
        <v>25</v>
      </c>
      <c r="AM1298">
        <f t="shared" si="80"/>
        <v>0</v>
      </c>
      <c r="AN1298">
        <f t="shared" si="81"/>
        <v>0</v>
      </c>
    </row>
    <row r="1299" spans="1:40" x14ac:dyDescent="0.35">
      <c r="A1299">
        <v>43.886400000000002</v>
      </c>
      <c r="B1299">
        <v>85.138999999999996</v>
      </c>
      <c r="C1299">
        <v>1.53996</v>
      </c>
      <c r="D1299">
        <v>0.1</v>
      </c>
      <c r="E1299">
        <v>0.02</v>
      </c>
      <c r="F1299">
        <v>2.89358</v>
      </c>
      <c r="G1299">
        <v>3.19598</v>
      </c>
      <c r="H1299">
        <v>0</v>
      </c>
      <c r="I1299">
        <v>0.54220999999999997</v>
      </c>
      <c r="J1299">
        <v>5.3222399999999999</v>
      </c>
      <c r="K1299" s="2">
        <v>145802000</v>
      </c>
      <c r="L1299" s="1">
        <v>0</v>
      </c>
      <c r="M1299" s="1">
        <v>0</v>
      </c>
      <c r="N1299" s="1">
        <v>0</v>
      </c>
      <c r="O1299" s="1">
        <v>0</v>
      </c>
      <c r="P1299" s="2">
        <v>4325830</v>
      </c>
      <c r="Q1299" s="1">
        <v>-79985.3</v>
      </c>
      <c r="R1299" s="1">
        <v>408539</v>
      </c>
      <c r="S1299">
        <v>82.110600000000005</v>
      </c>
      <c r="T1299">
        <v>98.274000000000001</v>
      </c>
      <c r="U1299">
        <v>2.0841099999999999</v>
      </c>
      <c r="V1299">
        <v>0</v>
      </c>
      <c r="W1299">
        <v>0</v>
      </c>
      <c r="X1299">
        <v>2.2061999999999999</v>
      </c>
      <c r="Y1299">
        <v>1.9037999999999999</v>
      </c>
      <c r="Z1299">
        <v>0</v>
      </c>
      <c r="AA1299">
        <v>1.7043999999999999</v>
      </c>
      <c r="AB1299">
        <v>2.9635199999999999</v>
      </c>
      <c r="AC1299" s="2">
        <v>651923000</v>
      </c>
      <c r="AD1299" s="1">
        <v>0</v>
      </c>
      <c r="AE1299" s="1">
        <v>0</v>
      </c>
      <c r="AF1299" s="1">
        <v>0</v>
      </c>
      <c r="AG1299" s="1">
        <v>0</v>
      </c>
      <c r="AH1299" s="2">
        <v>5707980</v>
      </c>
      <c r="AI1299" s="1">
        <v>942936</v>
      </c>
      <c r="AJ1299" s="1">
        <v>0</v>
      </c>
      <c r="AK1299" s="8">
        <f t="shared" si="83"/>
        <v>50</v>
      </c>
      <c r="AL1299" s="8">
        <f t="shared" si="82"/>
        <v>25</v>
      </c>
      <c r="AM1299">
        <f t="shared" si="80"/>
        <v>0</v>
      </c>
      <c r="AN1299">
        <f t="shared" si="81"/>
        <v>0</v>
      </c>
    </row>
    <row r="1300" spans="1:40" x14ac:dyDescent="0.35">
      <c r="A1300">
        <v>45.172499999999999</v>
      </c>
      <c r="B1300">
        <v>85.138999999999996</v>
      </c>
      <c r="C1300">
        <v>4.19747</v>
      </c>
      <c r="D1300">
        <v>0.13</v>
      </c>
      <c r="E1300">
        <v>0.02</v>
      </c>
      <c r="F1300">
        <v>2.8938299999999999</v>
      </c>
      <c r="G1300">
        <v>3.1962299999999999</v>
      </c>
      <c r="H1300">
        <v>0</v>
      </c>
      <c r="I1300">
        <v>0.54225699999999999</v>
      </c>
      <c r="J1300">
        <v>5.3222399999999999</v>
      </c>
      <c r="K1300" s="2">
        <v>145722000</v>
      </c>
      <c r="L1300" s="1">
        <v>0</v>
      </c>
      <c r="M1300" s="1">
        <v>0</v>
      </c>
      <c r="N1300" s="1">
        <v>0</v>
      </c>
      <c r="O1300" s="1">
        <v>0</v>
      </c>
      <c r="P1300" s="2">
        <v>4326210</v>
      </c>
      <c r="Q1300" s="1">
        <v>-79959.5</v>
      </c>
      <c r="R1300" s="1">
        <v>408539</v>
      </c>
      <c r="S1300">
        <v>82.311700000000002</v>
      </c>
      <c r="T1300">
        <v>98.274000000000001</v>
      </c>
      <c r="U1300">
        <v>3.9769000000000001</v>
      </c>
      <c r="V1300">
        <v>0</v>
      </c>
      <c r="W1300">
        <v>0</v>
      </c>
      <c r="X1300">
        <v>2.20635</v>
      </c>
      <c r="Y1300">
        <v>1.90395</v>
      </c>
      <c r="Z1300">
        <v>0</v>
      </c>
      <c r="AA1300">
        <v>1.70451</v>
      </c>
      <c r="AB1300">
        <v>2.9635199999999999</v>
      </c>
      <c r="AC1300" s="2">
        <v>652866000</v>
      </c>
      <c r="AD1300" s="1">
        <v>0</v>
      </c>
      <c r="AE1300" s="1">
        <v>0</v>
      </c>
      <c r="AF1300" s="1">
        <v>0</v>
      </c>
      <c r="AG1300" s="1">
        <v>0</v>
      </c>
      <c r="AH1300" s="2">
        <v>5708360</v>
      </c>
      <c r="AI1300" s="1">
        <v>942949</v>
      </c>
      <c r="AJ1300" s="1">
        <v>0</v>
      </c>
      <c r="AK1300" s="8">
        <f t="shared" si="83"/>
        <v>51</v>
      </c>
      <c r="AL1300" s="8">
        <f t="shared" si="82"/>
        <v>25</v>
      </c>
      <c r="AM1300">
        <f t="shared" si="80"/>
        <v>0</v>
      </c>
      <c r="AN1300">
        <f t="shared" si="81"/>
        <v>0</v>
      </c>
    </row>
    <row r="1301" spans="1:40" x14ac:dyDescent="0.35">
      <c r="A1301">
        <v>46.3596</v>
      </c>
      <c r="B1301">
        <v>85.138999999999996</v>
      </c>
      <c r="C1301">
        <v>3.8092600000000001</v>
      </c>
      <c r="D1301">
        <v>0.1</v>
      </c>
      <c r="E1301">
        <v>0.02</v>
      </c>
      <c r="F1301">
        <v>2.6533500000000001</v>
      </c>
      <c r="G1301">
        <v>2.9557500000000001</v>
      </c>
      <c r="H1301">
        <v>0</v>
      </c>
      <c r="I1301">
        <v>0.54230400000000001</v>
      </c>
      <c r="J1301">
        <v>5.3222399999999999</v>
      </c>
      <c r="K1301" s="2">
        <v>145618000</v>
      </c>
      <c r="L1301" s="1">
        <v>0</v>
      </c>
      <c r="M1301" s="1">
        <v>0</v>
      </c>
      <c r="N1301" s="1">
        <v>0</v>
      </c>
      <c r="O1301" s="1">
        <v>0</v>
      </c>
      <c r="P1301" s="2">
        <v>3966700</v>
      </c>
      <c r="Q1301" s="1">
        <v>-104681</v>
      </c>
      <c r="R1301" s="1">
        <v>408539</v>
      </c>
      <c r="S1301">
        <v>82.402699999999996</v>
      </c>
      <c r="T1301">
        <v>98.274000000000001</v>
      </c>
      <c r="U1301">
        <v>3.5322900000000002</v>
      </c>
      <c r="V1301">
        <v>0</v>
      </c>
      <c r="W1301">
        <v>0</v>
      </c>
      <c r="X1301">
        <v>2.0152399999999999</v>
      </c>
      <c r="Y1301">
        <v>1.7128399999999999</v>
      </c>
      <c r="Z1301">
        <v>0</v>
      </c>
      <c r="AA1301">
        <v>1.7046300000000001</v>
      </c>
      <c r="AB1301">
        <v>2.9635199999999999</v>
      </c>
      <c r="AC1301" s="2">
        <v>653793000</v>
      </c>
      <c r="AD1301" s="1">
        <v>0</v>
      </c>
      <c r="AE1301" s="1">
        <v>0</v>
      </c>
      <c r="AF1301" s="1">
        <v>0</v>
      </c>
      <c r="AG1301" s="1">
        <v>0</v>
      </c>
      <c r="AH1301" s="2">
        <v>5213910</v>
      </c>
      <c r="AI1301" s="1">
        <v>926832</v>
      </c>
      <c r="AJ1301" s="1">
        <v>0</v>
      </c>
      <c r="AK1301" s="8">
        <f t="shared" si="83"/>
        <v>52</v>
      </c>
      <c r="AL1301" s="8">
        <f t="shared" si="82"/>
        <v>25</v>
      </c>
      <c r="AM1301">
        <f t="shared" si="80"/>
        <v>653793000</v>
      </c>
      <c r="AN1301">
        <f t="shared" si="81"/>
        <v>145618000</v>
      </c>
    </row>
    <row r="1302" spans="1:40" x14ac:dyDescent="0.35">
      <c r="A1302">
        <v>46.465499999999999</v>
      </c>
      <c r="B1302">
        <v>85.138999999999996</v>
      </c>
      <c r="C1302">
        <v>2.7812199999999998</v>
      </c>
      <c r="D1302">
        <v>0.1</v>
      </c>
      <c r="E1302">
        <v>0.02</v>
      </c>
      <c r="F1302">
        <v>2.6535799999999998</v>
      </c>
      <c r="G1302">
        <v>2.9559799999999998</v>
      </c>
      <c r="H1302">
        <v>0</v>
      </c>
      <c r="I1302">
        <v>0.49723800000000001</v>
      </c>
      <c r="J1302">
        <v>5.3222399999999999</v>
      </c>
      <c r="K1302" s="2">
        <v>145513000</v>
      </c>
      <c r="L1302" s="1">
        <v>0</v>
      </c>
      <c r="M1302" s="1">
        <v>0</v>
      </c>
      <c r="N1302" s="1">
        <v>0</v>
      </c>
      <c r="O1302" s="1">
        <v>0</v>
      </c>
      <c r="P1302" s="2">
        <v>3967040</v>
      </c>
      <c r="Q1302" s="1">
        <v>-104658</v>
      </c>
      <c r="R1302" s="1">
        <v>408539</v>
      </c>
      <c r="S1302">
        <v>82.196799999999996</v>
      </c>
      <c r="T1302">
        <v>98.274000000000001</v>
      </c>
      <c r="U1302">
        <v>2.7442099999999998</v>
      </c>
      <c r="V1302">
        <v>0</v>
      </c>
      <c r="W1302">
        <v>0</v>
      </c>
      <c r="X1302">
        <v>2.0153799999999999</v>
      </c>
      <c r="Y1302">
        <v>1.7129799999999999</v>
      </c>
      <c r="Z1302">
        <v>0</v>
      </c>
      <c r="AA1302">
        <v>1.55698</v>
      </c>
      <c r="AB1302">
        <v>2.9635199999999999</v>
      </c>
      <c r="AC1302" s="2">
        <v>654720000</v>
      </c>
      <c r="AD1302" s="1">
        <v>0</v>
      </c>
      <c r="AE1302" s="1">
        <v>0</v>
      </c>
      <c r="AF1302" s="1">
        <v>0</v>
      </c>
      <c r="AG1302" s="1">
        <v>0</v>
      </c>
      <c r="AH1302" s="2">
        <v>5214260</v>
      </c>
      <c r="AI1302" s="1">
        <v>926843</v>
      </c>
      <c r="AJ1302" s="1">
        <v>0</v>
      </c>
      <c r="AK1302" s="8">
        <f t="shared" si="83"/>
        <v>1</v>
      </c>
      <c r="AL1302" s="8">
        <f t="shared" si="82"/>
        <v>26</v>
      </c>
      <c r="AM1302">
        <f t="shared" si="80"/>
        <v>0</v>
      </c>
      <c r="AN1302">
        <f t="shared" si="81"/>
        <v>0</v>
      </c>
    </row>
    <row r="1303" spans="1:40" x14ac:dyDescent="0.35">
      <c r="A1303">
        <v>46.543799999999997</v>
      </c>
      <c r="B1303">
        <v>85.138999999999996</v>
      </c>
      <c r="C1303">
        <v>2.76146</v>
      </c>
      <c r="D1303">
        <v>0.09</v>
      </c>
      <c r="E1303">
        <v>0.02</v>
      </c>
      <c r="F1303">
        <v>2.6538200000000001</v>
      </c>
      <c r="G1303">
        <v>2.9562200000000001</v>
      </c>
      <c r="H1303">
        <v>0</v>
      </c>
      <c r="I1303">
        <v>0.497282</v>
      </c>
      <c r="J1303">
        <v>5.3222399999999999</v>
      </c>
      <c r="K1303" s="2">
        <v>145408000</v>
      </c>
      <c r="L1303" s="1">
        <v>0</v>
      </c>
      <c r="M1303" s="1">
        <v>0</v>
      </c>
      <c r="N1303" s="1">
        <v>0</v>
      </c>
      <c r="O1303" s="1">
        <v>0</v>
      </c>
      <c r="P1303" s="2">
        <v>3967390</v>
      </c>
      <c r="Q1303" s="1">
        <v>-104634</v>
      </c>
      <c r="R1303" s="1">
        <v>408539</v>
      </c>
      <c r="S1303">
        <v>81.962599999999995</v>
      </c>
      <c r="T1303">
        <v>98.274000000000001</v>
      </c>
      <c r="U1303">
        <v>2.5318999999999998</v>
      </c>
      <c r="V1303">
        <v>0</v>
      </c>
      <c r="W1303">
        <v>0</v>
      </c>
      <c r="X1303">
        <v>2.0155099999999999</v>
      </c>
      <c r="Y1303">
        <v>1.7131099999999999</v>
      </c>
      <c r="Z1303">
        <v>0</v>
      </c>
      <c r="AA1303">
        <v>1.55708</v>
      </c>
      <c r="AB1303">
        <v>2.9635199999999999</v>
      </c>
      <c r="AC1303" s="2">
        <v>655646000</v>
      </c>
      <c r="AD1303" s="1">
        <v>0</v>
      </c>
      <c r="AE1303" s="1">
        <v>0</v>
      </c>
      <c r="AF1303" s="1">
        <v>0</v>
      </c>
      <c r="AG1303" s="1">
        <v>0</v>
      </c>
      <c r="AH1303" s="2">
        <v>5214610</v>
      </c>
      <c r="AI1303" s="1">
        <v>926854</v>
      </c>
      <c r="AJ1303" s="1">
        <v>0</v>
      </c>
      <c r="AK1303" s="8">
        <f t="shared" si="83"/>
        <v>2</v>
      </c>
      <c r="AL1303" s="8">
        <f t="shared" si="82"/>
        <v>26</v>
      </c>
      <c r="AM1303">
        <f t="shared" si="80"/>
        <v>0</v>
      </c>
      <c r="AN1303">
        <f t="shared" si="81"/>
        <v>0</v>
      </c>
    </row>
    <row r="1304" spans="1:40" x14ac:dyDescent="0.35">
      <c r="A1304">
        <v>47.741700000000002</v>
      </c>
      <c r="B1304">
        <v>85.138999999999996</v>
      </c>
      <c r="C1304">
        <v>3.9870399999999999</v>
      </c>
      <c r="D1304">
        <v>0.09</v>
      </c>
      <c r="E1304">
        <v>0.02</v>
      </c>
      <c r="F1304">
        <v>2.6540499999999998</v>
      </c>
      <c r="G1304">
        <v>2.9564499999999998</v>
      </c>
      <c r="H1304">
        <v>0</v>
      </c>
      <c r="I1304">
        <v>0.49732500000000002</v>
      </c>
      <c r="J1304">
        <v>5.3222399999999999</v>
      </c>
      <c r="K1304" s="2">
        <v>145304000</v>
      </c>
      <c r="L1304" s="1">
        <v>0</v>
      </c>
      <c r="M1304" s="1">
        <v>0</v>
      </c>
      <c r="N1304" s="1">
        <v>0</v>
      </c>
      <c r="O1304" s="1">
        <v>0</v>
      </c>
      <c r="P1304" s="2">
        <v>3967740</v>
      </c>
      <c r="Q1304" s="1">
        <v>-104610</v>
      </c>
      <c r="R1304" s="1">
        <v>408539</v>
      </c>
      <c r="S1304">
        <v>82.177999999999997</v>
      </c>
      <c r="T1304">
        <v>98.274000000000001</v>
      </c>
      <c r="U1304">
        <v>3.2834400000000001</v>
      </c>
      <c r="V1304">
        <v>0</v>
      </c>
      <c r="W1304">
        <v>0</v>
      </c>
      <c r="X1304">
        <v>2.0156499999999999</v>
      </c>
      <c r="Y1304">
        <v>1.7132499999999999</v>
      </c>
      <c r="Z1304">
        <v>0</v>
      </c>
      <c r="AA1304">
        <v>1.55718</v>
      </c>
      <c r="AB1304">
        <v>2.9635199999999999</v>
      </c>
      <c r="AC1304" s="2">
        <v>656573000</v>
      </c>
      <c r="AD1304" s="1">
        <v>0</v>
      </c>
      <c r="AE1304" s="1">
        <v>0</v>
      </c>
      <c r="AF1304" s="1">
        <v>0</v>
      </c>
      <c r="AG1304" s="1">
        <v>0</v>
      </c>
      <c r="AH1304" s="2">
        <v>5214960</v>
      </c>
      <c r="AI1304" s="1">
        <v>926866</v>
      </c>
      <c r="AJ1304" s="1">
        <v>0</v>
      </c>
      <c r="AK1304" s="8">
        <f t="shared" si="83"/>
        <v>3</v>
      </c>
      <c r="AL1304" s="8">
        <f t="shared" si="82"/>
        <v>26</v>
      </c>
      <c r="AM1304">
        <f t="shared" si="80"/>
        <v>0</v>
      </c>
      <c r="AN1304">
        <f t="shared" si="81"/>
        <v>0</v>
      </c>
    </row>
    <row r="1305" spans="1:40" x14ac:dyDescent="0.35">
      <c r="A1305">
        <v>48.5398</v>
      </c>
      <c r="B1305">
        <v>85.138999999999996</v>
      </c>
      <c r="C1305">
        <v>3.64364</v>
      </c>
      <c r="D1305">
        <v>0.09</v>
      </c>
      <c r="E1305">
        <v>0.02</v>
      </c>
      <c r="F1305">
        <v>2.65428</v>
      </c>
      <c r="G1305">
        <v>2.95668</v>
      </c>
      <c r="H1305">
        <v>0</v>
      </c>
      <c r="I1305">
        <v>0.49736900000000001</v>
      </c>
      <c r="J1305">
        <v>5.3222399999999999</v>
      </c>
      <c r="K1305" s="2">
        <v>145199000</v>
      </c>
      <c r="L1305" s="1">
        <v>0</v>
      </c>
      <c r="M1305" s="1">
        <v>0</v>
      </c>
      <c r="N1305" s="1">
        <v>0</v>
      </c>
      <c r="O1305" s="1">
        <v>0</v>
      </c>
      <c r="P1305" s="2">
        <v>3968080</v>
      </c>
      <c r="Q1305" s="1">
        <v>-104586</v>
      </c>
      <c r="R1305" s="1">
        <v>408539</v>
      </c>
      <c r="S1305">
        <v>82.440700000000007</v>
      </c>
      <c r="T1305">
        <v>98.274000000000001</v>
      </c>
      <c r="U1305">
        <v>3.3526500000000001</v>
      </c>
      <c r="V1305">
        <v>0</v>
      </c>
      <c r="W1305">
        <v>0</v>
      </c>
      <c r="X1305">
        <v>2.0157799999999999</v>
      </c>
      <c r="Y1305">
        <v>1.7133799999999999</v>
      </c>
      <c r="Z1305">
        <v>0</v>
      </c>
      <c r="AA1305">
        <v>1.5572900000000001</v>
      </c>
      <c r="AB1305">
        <v>2.9635199999999999</v>
      </c>
      <c r="AC1305" s="2">
        <v>657500000</v>
      </c>
      <c r="AD1305" s="1">
        <v>0</v>
      </c>
      <c r="AE1305" s="1">
        <v>0</v>
      </c>
      <c r="AF1305" s="1">
        <v>0</v>
      </c>
      <c r="AG1305" s="1">
        <v>0</v>
      </c>
      <c r="AH1305" s="2">
        <v>5215300</v>
      </c>
      <c r="AI1305" s="1">
        <v>926877</v>
      </c>
      <c r="AJ1305" s="1">
        <v>0</v>
      </c>
      <c r="AK1305" s="8">
        <f t="shared" si="83"/>
        <v>4</v>
      </c>
      <c r="AL1305" s="8">
        <f t="shared" si="82"/>
        <v>26</v>
      </c>
      <c r="AM1305">
        <f t="shared" si="80"/>
        <v>0</v>
      </c>
      <c r="AN1305">
        <f t="shared" si="81"/>
        <v>0</v>
      </c>
    </row>
    <row r="1306" spans="1:40" x14ac:dyDescent="0.35">
      <c r="A1306">
        <v>50.320999999999998</v>
      </c>
      <c r="B1306">
        <v>85.138999999999996</v>
      </c>
      <c r="C1306">
        <v>4.7175599999999998</v>
      </c>
      <c r="D1306">
        <v>0.09</v>
      </c>
      <c r="E1306">
        <v>0.02</v>
      </c>
      <c r="F1306">
        <v>2.7471399999999999</v>
      </c>
      <c r="G1306">
        <v>3.0495399999999999</v>
      </c>
      <c r="H1306">
        <v>0</v>
      </c>
      <c r="I1306">
        <v>0.49741200000000002</v>
      </c>
      <c r="J1306">
        <v>5.3222399999999999</v>
      </c>
      <c r="K1306" s="2">
        <v>145104000</v>
      </c>
      <c r="L1306" s="1">
        <v>0</v>
      </c>
      <c r="M1306" s="1">
        <v>0</v>
      </c>
      <c r="N1306" s="1">
        <v>0</v>
      </c>
      <c r="O1306" s="1">
        <v>0</v>
      </c>
      <c r="P1306" s="2">
        <v>4106900</v>
      </c>
      <c r="Q1306" s="1">
        <v>-95040.1</v>
      </c>
      <c r="R1306" s="1">
        <v>408539</v>
      </c>
      <c r="S1306">
        <v>82.730699999999999</v>
      </c>
      <c r="T1306">
        <v>98.274000000000001</v>
      </c>
      <c r="U1306">
        <v>3.9585300000000001</v>
      </c>
      <c r="V1306">
        <v>0</v>
      </c>
      <c r="W1306">
        <v>0</v>
      </c>
      <c r="X1306">
        <v>2.0713200000000001</v>
      </c>
      <c r="Y1306">
        <v>1.76892</v>
      </c>
      <c r="Z1306">
        <v>0</v>
      </c>
      <c r="AA1306">
        <v>1.5573900000000001</v>
      </c>
      <c r="AB1306">
        <v>2.9635199999999999</v>
      </c>
      <c r="AC1306" s="2">
        <v>658432000</v>
      </c>
      <c r="AD1306" s="1">
        <v>0</v>
      </c>
      <c r="AE1306" s="1">
        <v>0</v>
      </c>
      <c r="AF1306" s="1">
        <v>0</v>
      </c>
      <c r="AG1306" s="1">
        <v>0</v>
      </c>
      <c r="AH1306" s="2">
        <v>5358990</v>
      </c>
      <c r="AI1306" s="1">
        <v>931561</v>
      </c>
      <c r="AJ1306" s="1">
        <v>0</v>
      </c>
      <c r="AK1306" s="8">
        <f t="shared" si="83"/>
        <v>5</v>
      </c>
      <c r="AL1306" s="8">
        <f t="shared" si="82"/>
        <v>26</v>
      </c>
      <c r="AM1306">
        <f t="shared" si="80"/>
        <v>0</v>
      </c>
      <c r="AN1306">
        <f t="shared" si="81"/>
        <v>0</v>
      </c>
    </row>
    <row r="1307" spans="1:40" x14ac:dyDescent="0.35">
      <c r="A1307">
        <v>52.271599999999999</v>
      </c>
      <c r="B1307">
        <v>85.138999999999996</v>
      </c>
      <c r="C1307">
        <v>4.9795299999999996</v>
      </c>
      <c r="D1307">
        <v>0.08</v>
      </c>
      <c r="E1307">
        <v>0.02</v>
      </c>
      <c r="F1307">
        <v>2.74736</v>
      </c>
      <c r="G1307">
        <v>3.04976</v>
      </c>
      <c r="H1307">
        <v>0</v>
      </c>
      <c r="I1307">
        <v>0.51481399999999999</v>
      </c>
      <c r="J1307">
        <v>5.3222399999999999</v>
      </c>
      <c r="K1307" s="2">
        <v>145009000</v>
      </c>
      <c r="L1307" s="1">
        <v>0</v>
      </c>
      <c r="M1307" s="1">
        <v>0</v>
      </c>
      <c r="N1307" s="1">
        <v>0</v>
      </c>
      <c r="O1307" s="1">
        <v>0</v>
      </c>
      <c r="P1307" s="2">
        <v>4107230</v>
      </c>
      <c r="Q1307" s="1">
        <v>-95017.5</v>
      </c>
      <c r="R1307" s="1">
        <v>408539</v>
      </c>
      <c r="S1307">
        <v>83.073899999999995</v>
      </c>
      <c r="T1307">
        <v>98.274000000000001</v>
      </c>
      <c r="U1307">
        <v>3.7443200000000001</v>
      </c>
      <c r="V1307">
        <v>0</v>
      </c>
      <c r="W1307">
        <v>0</v>
      </c>
      <c r="X1307">
        <v>2.0714399999999999</v>
      </c>
      <c r="Y1307">
        <v>1.7690399999999999</v>
      </c>
      <c r="Z1307">
        <v>0</v>
      </c>
      <c r="AA1307">
        <v>1.6003000000000001</v>
      </c>
      <c r="AB1307">
        <v>2.9635199999999999</v>
      </c>
      <c r="AC1307" s="2">
        <v>659363000</v>
      </c>
      <c r="AD1307" s="1">
        <v>0</v>
      </c>
      <c r="AE1307" s="1">
        <v>0</v>
      </c>
      <c r="AF1307" s="1">
        <v>0</v>
      </c>
      <c r="AG1307" s="1">
        <v>0</v>
      </c>
      <c r="AH1307" s="2">
        <v>5359320</v>
      </c>
      <c r="AI1307" s="1">
        <v>931571</v>
      </c>
      <c r="AJ1307" s="1">
        <v>0</v>
      </c>
      <c r="AK1307" s="8">
        <f t="shared" si="83"/>
        <v>6</v>
      </c>
      <c r="AL1307" s="8">
        <f t="shared" si="82"/>
        <v>26</v>
      </c>
      <c r="AM1307">
        <f t="shared" si="80"/>
        <v>0</v>
      </c>
      <c r="AN1307">
        <f t="shared" si="81"/>
        <v>0</v>
      </c>
    </row>
    <row r="1308" spans="1:40" x14ac:dyDescent="0.35">
      <c r="A1308">
        <v>52.275300000000001</v>
      </c>
      <c r="B1308">
        <v>85.138999999999996</v>
      </c>
      <c r="C1308">
        <v>2.8601000000000001</v>
      </c>
      <c r="D1308">
        <v>7.0000000000000007E-2</v>
      </c>
      <c r="E1308">
        <v>0.02</v>
      </c>
      <c r="F1308">
        <v>2.7475800000000001</v>
      </c>
      <c r="G1308">
        <v>3.0499800000000001</v>
      </c>
      <c r="H1308">
        <v>0</v>
      </c>
      <c r="I1308">
        <v>0.51485499999999995</v>
      </c>
      <c r="J1308">
        <v>5.3222399999999999</v>
      </c>
      <c r="K1308" s="2">
        <v>144914000</v>
      </c>
      <c r="L1308" s="1">
        <v>0</v>
      </c>
      <c r="M1308" s="1">
        <v>0</v>
      </c>
      <c r="N1308" s="1">
        <v>0</v>
      </c>
      <c r="O1308" s="1">
        <v>0</v>
      </c>
      <c r="P1308" s="2">
        <v>4107560</v>
      </c>
      <c r="Q1308" s="1">
        <v>-94994.8</v>
      </c>
      <c r="R1308" s="1">
        <v>408539</v>
      </c>
      <c r="S1308">
        <v>83.087199999999996</v>
      </c>
      <c r="T1308">
        <v>98.274000000000001</v>
      </c>
      <c r="U1308">
        <v>2.7867099999999998</v>
      </c>
      <c r="V1308">
        <v>0</v>
      </c>
      <c r="W1308">
        <v>0</v>
      </c>
      <c r="X1308">
        <v>2.0715699999999999</v>
      </c>
      <c r="Y1308">
        <v>1.7691699999999999</v>
      </c>
      <c r="Z1308">
        <v>0</v>
      </c>
      <c r="AA1308">
        <v>1.6004</v>
      </c>
      <c r="AB1308">
        <v>2.9635199999999999</v>
      </c>
      <c r="AC1308" s="2">
        <v>660295000</v>
      </c>
      <c r="AD1308" s="1">
        <v>0</v>
      </c>
      <c r="AE1308" s="1">
        <v>0</v>
      </c>
      <c r="AF1308" s="1">
        <v>0</v>
      </c>
      <c r="AG1308" s="1">
        <v>0</v>
      </c>
      <c r="AH1308" s="2">
        <v>5359650</v>
      </c>
      <c r="AI1308" s="1">
        <v>931582</v>
      </c>
      <c r="AJ1308" s="1">
        <v>0</v>
      </c>
      <c r="AK1308" s="8">
        <f t="shared" si="83"/>
        <v>7</v>
      </c>
      <c r="AL1308" s="8">
        <f t="shared" si="82"/>
        <v>26</v>
      </c>
      <c r="AM1308">
        <f t="shared" si="80"/>
        <v>0</v>
      </c>
      <c r="AN1308">
        <f t="shared" si="81"/>
        <v>0</v>
      </c>
    </row>
    <row r="1309" spans="1:40" x14ac:dyDescent="0.35">
      <c r="A1309">
        <v>51.768599999999999</v>
      </c>
      <c r="B1309">
        <v>85.138999999999996</v>
      </c>
      <c r="C1309">
        <v>2.3594499999999998</v>
      </c>
      <c r="D1309">
        <v>0.08</v>
      </c>
      <c r="E1309">
        <v>0.02</v>
      </c>
      <c r="F1309">
        <v>2.7477999999999998</v>
      </c>
      <c r="G1309">
        <v>3.0501999999999998</v>
      </c>
      <c r="H1309">
        <v>0</v>
      </c>
      <c r="I1309">
        <v>0.51489600000000002</v>
      </c>
      <c r="J1309">
        <v>5.3222399999999999</v>
      </c>
      <c r="K1309" s="2">
        <v>144819000</v>
      </c>
      <c r="L1309" s="1">
        <v>0</v>
      </c>
      <c r="M1309" s="1">
        <v>0</v>
      </c>
      <c r="N1309" s="1">
        <v>0</v>
      </c>
      <c r="O1309" s="1">
        <v>0</v>
      </c>
      <c r="P1309" s="2">
        <v>4107890</v>
      </c>
      <c r="Q1309" s="1">
        <v>-94972.2</v>
      </c>
      <c r="R1309" s="1">
        <v>408539</v>
      </c>
      <c r="S1309">
        <v>82.692499999999995</v>
      </c>
      <c r="T1309">
        <v>98.274000000000001</v>
      </c>
      <c r="U1309">
        <v>2.6610999999999998</v>
      </c>
      <c r="V1309">
        <v>0</v>
      </c>
      <c r="W1309">
        <v>0</v>
      </c>
      <c r="X1309">
        <v>2.0716999999999999</v>
      </c>
      <c r="Y1309">
        <v>1.7693000000000001</v>
      </c>
      <c r="Z1309">
        <v>0</v>
      </c>
      <c r="AA1309">
        <v>1.6005</v>
      </c>
      <c r="AB1309">
        <v>2.9635199999999999</v>
      </c>
      <c r="AC1309" s="2">
        <v>661226000</v>
      </c>
      <c r="AD1309" s="1">
        <v>0</v>
      </c>
      <c r="AE1309" s="1">
        <v>0</v>
      </c>
      <c r="AF1309" s="1">
        <v>0</v>
      </c>
      <c r="AG1309" s="1">
        <v>0</v>
      </c>
      <c r="AH1309" s="2">
        <v>5359980</v>
      </c>
      <c r="AI1309" s="1">
        <v>931593</v>
      </c>
      <c r="AJ1309" s="1">
        <v>0</v>
      </c>
      <c r="AK1309" s="8">
        <f t="shared" si="83"/>
        <v>8</v>
      </c>
      <c r="AL1309" s="8">
        <f t="shared" si="82"/>
        <v>26</v>
      </c>
      <c r="AM1309">
        <f t="shared" si="80"/>
        <v>0</v>
      </c>
      <c r="AN1309">
        <f t="shared" si="81"/>
        <v>0</v>
      </c>
    </row>
    <row r="1310" spans="1:40" x14ac:dyDescent="0.35">
      <c r="A1310">
        <v>52.694499999999998</v>
      </c>
      <c r="B1310">
        <v>85.138999999999996</v>
      </c>
      <c r="C1310">
        <v>4.1256399999999998</v>
      </c>
      <c r="D1310">
        <v>0.09</v>
      </c>
      <c r="E1310">
        <v>0.02</v>
      </c>
      <c r="F1310">
        <v>3.04555</v>
      </c>
      <c r="G1310">
        <v>3.34795</v>
      </c>
      <c r="H1310">
        <v>0</v>
      </c>
      <c r="I1310">
        <v>0.51493699999999998</v>
      </c>
      <c r="J1310">
        <v>5.3222399999999999</v>
      </c>
      <c r="K1310" s="2">
        <v>144755000</v>
      </c>
      <c r="L1310" s="1">
        <v>0</v>
      </c>
      <c r="M1310" s="1">
        <v>0</v>
      </c>
      <c r="N1310" s="1">
        <v>0</v>
      </c>
      <c r="O1310" s="1">
        <v>0</v>
      </c>
      <c r="P1310" s="2">
        <v>4553020</v>
      </c>
      <c r="Q1310" s="1">
        <v>-64362.8</v>
      </c>
      <c r="R1310" s="1">
        <v>408539</v>
      </c>
      <c r="S1310">
        <v>83.053200000000004</v>
      </c>
      <c r="T1310">
        <v>98.274000000000001</v>
      </c>
      <c r="U1310">
        <v>2.73691</v>
      </c>
      <c r="V1310">
        <v>0</v>
      </c>
      <c r="W1310">
        <v>0</v>
      </c>
      <c r="X1310">
        <v>2.2798699999999998</v>
      </c>
      <c r="Y1310">
        <v>1.9774700000000001</v>
      </c>
      <c r="Z1310">
        <v>0</v>
      </c>
      <c r="AA1310">
        <v>1.60059</v>
      </c>
      <c r="AB1310">
        <v>2.9635199999999999</v>
      </c>
      <c r="AC1310" s="2">
        <v>662176000</v>
      </c>
      <c r="AD1310" s="1">
        <v>0</v>
      </c>
      <c r="AE1310" s="1">
        <v>0</v>
      </c>
      <c r="AF1310" s="1">
        <v>0</v>
      </c>
      <c r="AG1310" s="1">
        <v>0</v>
      </c>
      <c r="AH1310" s="2">
        <v>5898580</v>
      </c>
      <c r="AI1310" s="1">
        <v>949149</v>
      </c>
      <c r="AJ1310" s="1">
        <v>0</v>
      </c>
      <c r="AK1310" s="8">
        <f t="shared" si="83"/>
        <v>9</v>
      </c>
      <c r="AL1310" s="8">
        <f t="shared" si="82"/>
        <v>26</v>
      </c>
      <c r="AM1310">
        <f t="shared" si="80"/>
        <v>0</v>
      </c>
      <c r="AN1310">
        <f t="shared" si="81"/>
        <v>0</v>
      </c>
    </row>
    <row r="1311" spans="1:40" x14ac:dyDescent="0.35">
      <c r="A1311">
        <v>53.501600000000003</v>
      </c>
      <c r="B1311">
        <v>85.138999999999996</v>
      </c>
      <c r="C1311">
        <v>4.0656100000000004</v>
      </c>
      <c r="D1311">
        <v>0.08</v>
      </c>
      <c r="E1311">
        <v>0.02</v>
      </c>
      <c r="F1311">
        <v>3.0457900000000002</v>
      </c>
      <c r="G1311">
        <v>3.3481900000000002</v>
      </c>
      <c r="H1311">
        <v>0</v>
      </c>
      <c r="I1311">
        <v>0.57073600000000002</v>
      </c>
      <c r="J1311">
        <v>5.3222399999999999</v>
      </c>
      <c r="K1311" s="2">
        <v>144691000</v>
      </c>
      <c r="L1311" s="1">
        <v>0</v>
      </c>
      <c r="M1311" s="1">
        <v>0</v>
      </c>
      <c r="N1311" s="1">
        <v>0</v>
      </c>
      <c r="O1311" s="1">
        <v>0</v>
      </c>
      <c r="P1311" s="2">
        <v>4553380</v>
      </c>
      <c r="Q1311" s="1">
        <v>-64338</v>
      </c>
      <c r="R1311" s="1">
        <v>408539</v>
      </c>
      <c r="S1311">
        <v>83.65</v>
      </c>
      <c r="T1311">
        <v>98.274000000000001</v>
      </c>
      <c r="U1311">
        <v>4.3506999999999998</v>
      </c>
      <c r="V1311">
        <v>0</v>
      </c>
      <c r="W1311">
        <v>0</v>
      </c>
      <c r="X1311">
        <v>2.2800199999999999</v>
      </c>
      <c r="Y1311">
        <v>1.9776199999999999</v>
      </c>
      <c r="Z1311">
        <v>0</v>
      </c>
      <c r="AA1311">
        <v>1.7614300000000001</v>
      </c>
      <c r="AB1311">
        <v>2.9635199999999999</v>
      </c>
      <c r="AC1311" s="2">
        <v>663125000</v>
      </c>
      <c r="AD1311" s="1">
        <v>0</v>
      </c>
      <c r="AE1311" s="1">
        <v>0</v>
      </c>
      <c r="AF1311" s="1">
        <v>0</v>
      </c>
      <c r="AG1311" s="1">
        <v>0</v>
      </c>
      <c r="AH1311" s="2">
        <v>5898940</v>
      </c>
      <c r="AI1311" s="1">
        <v>949161</v>
      </c>
      <c r="AJ1311" s="1">
        <v>0</v>
      </c>
      <c r="AK1311" s="8">
        <f t="shared" si="83"/>
        <v>10</v>
      </c>
      <c r="AL1311" s="8">
        <f t="shared" si="82"/>
        <v>26</v>
      </c>
      <c r="AM1311">
        <f t="shared" si="80"/>
        <v>0</v>
      </c>
      <c r="AN1311">
        <f t="shared" si="81"/>
        <v>0</v>
      </c>
    </row>
    <row r="1312" spans="1:40" x14ac:dyDescent="0.35">
      <c r="A1312">
        <v>54.363599999999998</v>
      </c>
      <c r="B1312">
        <v>85.138999999999996</v>
      </c>
      <c r="C1312">
        <v>4.2493699999999999</v>
      </c>
      <c r="D1312">
        <v>0.08</v>
      </c>
      <c r="E1312">
        <v>0.02</v>
      </c>
      <c r="F1312">
        <v>3.04603</v>
      </c>
      <c r="G1312">
        <v>3.34843</v>
      </c>
      <c r="H1312">
        <v>0</v>
      </c>
      <c r="I1312">
        <v>0.57078099999999998</v>
      </c>
      <c r="J1312">
        <v>5.3222399999999999</v>
      </c>
      <c r="K1312" s="2">
        <v>144626000</v>
      </c>
      <c r="L1312" s="1">
        <v>0</v>
      </c>
      <c r="M1312" s="1">
        <v>0</v>
      </c>
      <c r="N1312" s="1">
        <v>0</v>
      </c>
      <c r="O1312" s="1">
        <v>0</v>
      </c>
      <c r="P1312" s="2">
        <v>4553740</v>
      </c>
      <c r="Q1312" s="1">
        <v>-64313.1</v>
      </c>
      <c r="R1312" s="1">
        <v>408539</v>
      </c>
      <c r="S1312">
        <v>83.774500000000003</v>
      </c>
      <c r="T1312">
        <v>98.274000000000001</v>
      </c>
      <c r="U1312">
        <v>3.1669800000000001</v>
      </c>
      <c r="V1312">
        <v>0</v>
      </c>
      <c r="W1312">
        <v>0</v>
      </c>
      <c r="X1312">
        <v>2.28016</v>
      </c>
      <c r="Y1312">
        <v>1.97776</v>
      </c>
      <c r="Z1312">
        <v>0</v>
      </c>
      <c r="AA1312">
        <v>1.7615400000000001</v>
      </c>
      <c r="AB1312">
        <v>2.9635199999999999</v>
      </c>
      <c r="AC1312" s="2">
        <v>664074000</v>
      </c>
      <c r="AD1312" s="1">
        <v>0</v>
      </c>
      <c r="AE1312" s="1">
        <v>0</v>
      </c>
      <c r="AF1312" s="1">
        <v>0</v>
      </c>
      <c r="AG1312" s="1">
        <v>0</v>
      </c>
      <c r="AH1312" s="2">
        <v>5899310</v>
      </c>
      <c r="AI1312" s="1">
        <v>949173</v>
      </c>
      <c r="AJ1312" s="1">
        <v>0</v>
      </c>
      <c r="AK1312" s="8">
        <f t="shared" si="83"/>
        <v>11</v>
      </c>
      <c r="AL1312" s="8">
        <f t="shared" si="82"/>
        <v>26</v>
      </c>
      <c r="AM1312">
        <f t="shared" si="80"/>
        <v>0</v>
      </c>
      <c r="AN1312">
        <f t="shared" si="81"/>
        <v>0</v>
      </c>
    </row>
    <row r="1313" spans="1:40" x14ac:dyDescent="0.35">
      <c r="A1313">
        <v>58.2194</v>
      </c>
      <c r="B1313">
        <v>85.138999999999996</v>
      </c>
      <c r="C1313">
        <v>7.3327600000000004</v>
      </c>
      <c r="D1313">
        <v>0.09</v>
      </c>
      <c r="E1313">
        <v>0.02</v>
      </c>
      <c r="F1313">
        <v>3.0462699999999998</v>
      </c>
      <c r="G1313">
        <v>3.3486699999999998</v>
      </c>
      <c r="H1313">
        <v>0</v>
      </c>
      <c r="I1313">
        <v>0.57082699999999997</v>
      </c>
      <c r="J1313">
        <v>5.3222399999999999</v>
      </c>
      <c r="K1313" s="2">
        <v>144562000</v>
      </c>
      <c r="L1313" s="1">
        <v>0</v>
      </c>
      <c r="M1313" s="1">
        <v>0</v>
      </c>
      <c r="N1313" s="1">
        <v>0</v>
      </c>
      <c r="O1313" s="1">
        <v>0</v>
      </c>
      <c r="P1313" s="2">
        <v>4554100</v>
      </c>
      <c r="Q1313" s="1">
        <v>-64288.3</v>
      </c>
      <c r="R1313" s="1">
        <v>408539</v>
      </c>
      <c r="S1313">
        <v>84.001599999999996</v>
      </c>
      <c r="T1313">
        <v>98.274000000000001</v>
      </c>
      <c r="U1313">
        <v>4.5221299999999998</v>
      </c>
      <c r="V1313">
        <v>0</v>
      </c>
      <c r="W1313">
        <v>0</v>
      </c>
      <c r="X1313">
        <v>2.2803</v>
      </c>
      <c r="Y1313">
        <v>1.9779</v>
      </c>
      <c r="Z1313">
        <v>0</v>
      </c>
      <c r="AA1313">
        <v>1.7616499999999999</v>
      </c>
      <c r="AB1313">
        <v>2.9635199999999999</v>
      </c>
      <c r="AC1313" s="2">
        <v>665023000</v>
      </c>
      <c r="AD1313" s="1">
        <v>0</v>
      </c>
      <c r="AE1313" s="1">
        <v>0</v>
      </c>
      <c r="AF1313" s="1">
        <v>0</v>
      </c>
      <c r="AG1313" s="1">
        <v>0</v>
      </c>
      <c r="AH1313" s="2">
        <v>5899680</v>
      </c>
      <c r="AI1313" s="1">
        <v>949185</v>
      </c>
      <c r="AJ1313" s="1">
        <v>0</v>
      </c>
      <c r="AK1313" s="8">
        <f t="shared" si="83"/>
        <v>12</v>
      </c>
      <c r="AL1313" s="8">
        <f t="shared" si="82"/>
        <v>26</v>
      </c>
      <c r="AM1313">
        <f t="shared" si="80"/>
        <v>0</v>
      </c>
      <c r="AN1313">
        <f t="shared" si="81"/>
        <v>0</v>
      </c>
    </row>
    <row r="1314" spans="1:40" x14ac:dyDescent="0.35">
      <c r="A1314">
        <v>61.492400000000004</v>
      </c>
      <c r="B1314">
        <v>85.138999999999996</v>
      </c>
      <c r="C1314">
        <v>6.4668999999999999</v>
      </c>
      <c r="D1314">
        <v>0.05</v>
      </c>
      <c r="E1314">
        <v>0.02</v>
      </c>
      <c r="F1314">
        <v>2.62202</v>
      </c>
      <c r="G1314">
        <v>2.92442</v>
      </c>
      <c r="H1314">
        <v>0</v>
      </c>
      <c r="I1314">
        <v>0.57087200000000005</v>
      </c>
      <c r="J1314">
        <v>5.3222399999999999</v>
      </c>
      <c r="K1314" s="2">
        <v>144454000</v>
      </c>
      <c r="L1314" s="1">
        <v>0</v>
      </c>
      <c r="M1314" s="1">
        <v>0</v>
      </c>
      <c r="N1314" s="1">
        <v>0</v>
      </c>
      <c r="O1314" s="1">
        <v>0</v>
      </c>
      <c r="P1314" s="2">
        <v>3919850</v>
      </c>
      <c r="Q1314" s="1">
        <v>-107903</v>
      </c>
      <c r="R1314" s="1">
        <v>408539</v>
      </c>
      <c r="S1314">
        <v>88.013800000000003</v>
      </c>
      <c r="T1314">
        <v>98.274000000000001</v>
      </c>
      <c r="U1314">
        <v>9.5127500000000005</v>
      </c>
      <c r="V1314">
        <v>0</v>
      </c>
      <c r="W1314">
        <v>0</v>
      </c>
      <c r="X1314">
        <v>2.00116</v>
      </c>
      <c r="Y1314">
        <v>1.69876</v>
      </c>
      <c r="Z1314">
        <v>0</v>
      </c>
      <c r="AA1314">
        <v>1.76176</v>
      </c>
      <c r="AB1314">
        <v>2.9635199999999999</v>
      </c>
      <c r="AC1314" s="2">
        <v>665949000</v>
      </c>
      <c r="AD1314" s="1">
        <v>0</v>
      </c>
      <c r="AE1314" s="1">
        <v>0</v>
      </c>
      <c r="AF1314" s="1">
        <v>0</v>
      </c>
      <c r="AG1314" s="1">
        <v>0</v>
      </c>
      <c r="AH1314" s="2">
        <v>5177480</v>
      </c>
      <c r="AI1314" s="1">
        <v>925644</v>
      </c>
      <c r="AJ1314" s="1">
        <v>0</v>
      </c>
      <c r="AK1314" s="8">
        <f t="shared" si="83"/>
        <v>13</v>
      </c>
      <c r="AL1314" s="8">
        <f t="shared" si="82"/>
        <v>26</v>
      </c>
      <c r="AM1314">
        <f t="shared" si="80"/>
        <v>0</v>
      </c>
      <c r="AN1314">
        <f t="shared" si="81"/>
        <v>0</v>
      </c>
    </row>
    <row r="1315" spans="1:40" x14ac:dyDescent="0.35">
      <c r="A1315">
        <v>64.110900000000001</v>
      </c>
      <c r="B1315">
        <v>85.138999999999996</v>
      </c>
      <c r="C1315">
        <v>5.7892400000000004</v>
      </c>
      <c r="D1315">
        <v>0.05</v>
      </c>
      <c r="E1315">
        <v>0.02</v>
      </c>
      <c r="F1315">
        <v>2.6222300000000001</v>
      </c>
      <c r="G1315">
        <v>2.9246300000000001</v>
      </c>
      <c r="H1315">
        <v>0</v>
      </c>
      <c r="I1315">
        <v>0.491367</v>
      </c>
      <c r="J1315">
        <v>5.3222399999999999</v>
      </c>
      <c r="K1315" s="2">
        <v>144346000</v>
      </c>
      <c r="L1315" s="1">
        <v>0</v>
      </c>
      <c r="M1315" s="1">
        <v>0</v>
      </c>
      <c r="N1315" s="1">
        <v>0</v>
      </c>
      <c r="O1315" s="1">
        <v>0</v>
      </c>
      <c r="P1315" s="2">
        <v>3920170</v>
      </c>
      <c r="Q1315" s="1">
        <v>-107881</v>
      </c>
      <c r="R1315" s="1">
        <v>408539</v>
      </c>
      <c r="S1315">
        <v>91.472300000000004</v>
      </c>
      <c r="T1315">
        <v>98.274000000000001</v>
      </c>
      <c r="U1315">
        <v>9.0712100000000007</v>
      </c>
      <c r="V1315">
        <v>0</v>
      </c>
      <c r="W1315">
        <v>0</v>
      </c>
      <c r="X1315">
        <v>2.0012799999999999</v>
      </c>
      <c r="Y1315">
        <v>1.6988799999999999</v>
      </c>
      <c r="Z1315">
        <v>0</v>
      </c>
      <c r="AA1315">
        <v>1.5461</v>
      </c>
      <c r="AB1315">
        <v>2.9635199999999999</v>
      </c>
      <c r="AC1315" s="2">
        <v>666874000</v>
      </c>
      <c r="AD1315" s="1">
        <v>0</v>
      </c>
      <c r="AE1315" s="1">
        <v>0</v>
      </c>
      <c r="AF1315" s="1">
        <v>0</v>
      </c>
      <c r="AG1315" s="1">
        <v>0</v>
      </c>
      <c r="AH1315" s="2">
        <v>5177800</v>
      </c>
      <c r="AI1315" s="1">
        <v>925655</v>
      </c>
      <c r="AJ1315" s="1">
        <v>0</v>
      </c>
      <c r="AK1315" s="8">
        <f t="shared" si="83"/>
        <v>14</v>
      </c>
      <c r="AL1315" s="8">
        <f t="shared" si="82"/>
        <v>26</v>
      </c>
      <c r="AM1315">
        <f t="shared" si="80"/>
        <v>0</v>
      </c>
      <c r="AN1315">
        <f t="shared" si="81"/>
        <v>0</v>
      </c>
    </row>
    <row r="1316" spans="1:40" x14ac:dyDescent="0.35">
      <c r="A1316">
        <v>68.764899999999997</v>
      </c>
      <c r="B1316">
        <v>85.138999999999996</v>
      </c>
      <c r="C1316">
        <v>7.9788800000000002</v>
      </c>
      <c r="D1316">
        <v>0.05</v>
      </c>
      <c r="E1316">
        <v>0.02</v>
      </c>
      <c r="F1316">
        <v>2.6224400000000001</v>
      </c>
      <c r="G1316">
        <v>2.9248400000000001</v>
      </c>
      <c r="H1316">
        <v>0</v>
      </c>
      <c r="I1316">
        <v>0.49140600000000001</v>
      </c>
      <c r="J1316">
        <v>5.3222399999999999</v>
      </c>
      <c r="K1316" s="2">
        <v>144238000</v>
      </c>
      <c r="L1316" s="1">
        <v>0</v>
      </c>
      <c r="M1316" s="1">
        <v>0</v>
      </c>
      <c r="N1316" s="1">
        <v>0</v>
      </c>
      <c r="O1316" s="1">
        <v>0</v>
      </c>
      <c r="P1316" s="2">
        <v>3920480</v>
      </c>
      <c r="Q1316" s="1">
        <v>-107859</v>
      </c>
      <c r="R1316" s="1">
        <v>408539</v>
      </c>
      <c r="S1316">
        <v>95.571399999999997</v>
      </c>
      <c r="T1316">
        <v>98.274000000000001</v>
      </c>
      <c r="U1316">
        <v>10.5312</v>
      </c>
      <c r="V1316">
        <v>0</v>
      </c>
      <c r="W1316">
        <v>0</v>
      </c>
      <c r="X1316">
        <v>2.0014099999999999</v>
      </c>
      <c r="Y1316">
        <v>1.6990099999999999</v>
      </c>
      <c r="Z1316">
        <v>0</v>
      </c>
      <c r="AA1316">
        <v>1.54619</v>
      </c>
      <c r="AB1316">
        <v>2.9635199999999999</v>
      </c>
      <c r="AC1316" s="2">
        <v>667800000</v>
      </c>
      <c r="AD1316" s="1">
        <v>0</v>
      </c>
      <c r="AE1316" s="1">
        <v>0</v>
      </c>
      <c r="AF1316" s="1">
        <v>0</v>
      </c>
      <c r="AG1316" s="1">
        <v>0</v>
      </c>
      <c r="AH1316" s="2">
        <v>5178120</v>
      </c>
      <c r="AI1316" s="1">
        <v>925665</v>
      </c>
      <c r="AJ1316" s="1">
        <v>0</v>
      </c>
      <c r="AK1316" s="8">
        <f t="shared" si="83"/>
        <v>15</v>
      </c>
      <c r="AL1316" s="8">
        <f t="shared" si="82"/>
        <v>26</v>
      </c>
      <c r="AM1316">
        <f t="shared" si="80"/>
        <v>0</v>
      </c>
      <c r="AN1316">
        <f t="shared" si="81"/>
        <v>0</v>
      </c>
    </row>
    <row r="1317" spans="1:40" x14ac:dyDescent="0.35">
      <c r="A1317">
        <v>72.370900000000006</v>
      </c>
      <c r="B1317">
        <v>85.138999999999996</v>
      </c>
      <c r="C1317">
        <v>6.9633200000000004</v>
      </c>
      <c r="D1317">
        <v>0.05</v>
      </c>
      <c r="E1317">
        <v>0.02</v>
      </c>
      <c r="F1317">
        <v>2.6226500000000001</v>
      </c>
      <c r="G1317">
        <v>2.9250500000000001</v>
      </c>
      <c r="H1317">
        <v>0</v>
      </c>
      <c r="I1317">
        <v>0.49144599999999999</v>
      </c>
      <c r="J1317">
        <v>5.3222399999999999</v>
      </c>
      <c r="K1317" s="2">
        <v>144130000</v>
      </c>
      <c r="L1317" s="1">
        <v>0</v>
      </c>
      <c r="M1317" s="1">
        <v>0</v>
      </c>
      <c r="N1317" s="1">
        <v>0</v>
      </c>
      <c r="O1317" s="1">
        <v>0</v>
      </c>
      <c r="P1317" s="2">
        <v>3920800</v>
      </c>
      <c r="Q1317" s="1">
        <v>-107837</v>
      </c>
      <c r="R1317" s="1">
        <v>408539</v>
      </c>
      <c r="S1317">
        <v>99.134500000000003</v>
      </c>
      <c r="T1317">
        <v>98.274000000000001</v>
      </c>
      <c r="U1317">
        <v>9.6069899999999997</v>
      </c>
      <c r="V1317">
        <v>0</v>
      </c>
      <c r="W1317">
        <v>0</v>
      </c>
      <c r="X1317">
        <v>2.0015299999999998</v>
      </c>
      <c r="Y1317">
        <v>1.69913</v>
      </c>
      <c r="Z1317">
        <v>0</v>
      </c>
      <c r="AA1317">
        <v>1.5462899999999999</v>
      </c>
      <c r="AB1317">
        <v>2.9635199999999999</v>
      </c>
      <c r="AC1317" s="2">
        <v>668726000</v>
      </c>
      <c r="AD1317" s="1">
        <v>0</v>
      </c>
      <c r="AE1317" s="1">
        <v>0</v>
      </c>
      <c r="AF1317" s="1">
        <v>0</v>
      </c>
      <c r="AG1317" s="1">
        <v>0</v>
      </c>
      <c r="AH1317" s="2">
        <v>5178440</v>
      </c>
      <c r="AI1317" s="1">
        <v>925675</v>
      </c>
      <c r="AJ1317" s="1">
        <v>0</v>
      </c>
      <c r="AK1317" s="8">
        <f t="shared" si="83"/>
        <v>16</v>
      </c>
      <c r="AL1317" s="8">
        <f t="shared" si="82"/>
        <v>26</v>
      </c>
      <c r="AM1317">
        <f t="shared" si="80"/>
        <v>0</v>
      </c>
      <c r="AN1317">
        <f t="shared" si="81"/>
        <v>0</v>
      </c>
    </row>
    <row r="1318" spans="1:40" x14ac:dyDescent="0.35">
      <c r="A1318">
        <v>78.928100000000001</v>
      </c>
      <c r="B1318">
        <v>85.138999999999996</v>
      </c>
      <c r="C1318">
        <v>10.3491</v>
      </c>
      <c r="D1318">
        <v>0.03</v>
      </c>
      <c r="E1318">
        <v>0.02</v>
      </c>
      <c r="F1318">
        <v>2.6228600000000002</v>
      </c>
      <c r="G1318">
        <v>2.9252600000000002</v>
      </c>
      <c r="H1318">
        <v>0</v>
      </c>
      <c r="I1318">
        <v>0.49148500000000001</v>
      </c>
      <c r="J1318">
        <v>5.3222399999999999</v>
      </c>
      <c r="K1318" s="2">
        <v>144023000</v>
      </c>
      <c r="L1318" s="1">
        <v>0</v>
      </c>
      <c r="M1318" s="1">
        <v>0</v>
      </c>
      <c r="N1318" s="1">
        <v>0</v>
      </c>
      <c r="O1318" s="1">
        <v>0</v>
      </c>
      <c r="P1318" s="2">
        <v>3921120</v>
      </c>
      <c r="Q1318" s="1">
        <v>-107816</v>
      </c>
      <c r="R1318" s="1">
        <v>408539</v>
      </c>
      <c r="S1318">
        <v>99.302199999999999</v>
      </c>
      <c r="T1318">
        <v>98.274000000000001</v>
      </c>
      <c r="U1318">
        <v>16.429500000000001</v>
      </c>
      <c r="V1318">
        <v>0</v>
      </c>
      <c r="W1318">
        <v>0</v>
      </c>
      <c r="X1318">
        <v>2.0016500000000002</v>
      </c>
      <c r="Y1318">
        <v>1.6992499999999999</v>
      </c>
      <c r="Z1318">
        <v>0</v>
      </c>
      <c r="AA1318">
        <v>1.5463800000000001</v>
      </c>
      <c r="AB1318">
        <v>2.9635199999999999</v>
      </c>
      <c r="AC1318" s="2">
        <v>669651000</v>
      </c>
      <c r="AD1318" s="1">
        <v>0</v>
      </c>
      <c r="AE1318" s="1">
        <v>0</v>
      </c>
      <c r="AF1318" s="1">
        <v>0</v>
      </c>
      <c r="AG1318" s="1">
        <v>0</v>
      </c>
      <c r="AH1318" s="2">
        <v>5178750</v>
      </c>
      <c r="AI1318" s="1">
        <v>925686</v>
      </c>
      <c r="AJ1318" s="1">
        <v>0</v>
      </c>
      <c r="AK1318" s="8">
        <f t="shared" si="83"/>
        <v>17</v>
      </c>
      <c r="AL1318" s="8">
        <f t="shared" si="82"/>
        <v>26</v>
      </c>
      <c r="AM1318">
        <f t="shared" si="80"/>
        <v>0</v>
      </c>
      <c r="AN1318">
        <f t="shared" si="81"/>
        <v>0</v>
      </c>
    </row>
    <row r="1319" spans="1:40" x14ac:dyDescent="0.35">
      <c r="A1319">
        <v>82.477800000000002</v>
      </c>
      <c r="B1319">
        <v>85.138999999999996</v>
      </c>
      <c r="C1319">
        <v>7.55945</v>
      </c>
      <c r="D1319">
        <v>0</v>
      </c>
      <c r="E1319">
        <v>0.02</v>
      </c>
      <c r="F1319">
        <v>3.0323699999999998</v>
      </c>
      <c r="G1319">
        <v>3.0323699999999998</v>
      </c>
      <c r="H1319">
        <v>0</v>
      </c>
      <c r="I1319">
        <v>0.49152499999999999</v>
      </c>
      <c r="J1319">
        <v>5.3222399999999999</v>
      </c>
      <c r="K1319" s="2">
        <v>144334000</v>
      </c>
      <c r="L1319" s="1">
        <v>0</v>
      </c>
      <c r="M1319" s="1">
        <v>0</v>
      </c>
      <c r="N1319" s="1">
        <v>0</v>
      </c>
      <c r="O1319" s="1">
        <v>0</v>
      </c>
      <c r="P1319" s="2">
        <v>4533310</v>
      </c>
      <c r="Q1319" s="1">
        <v>311733</v>
      </c>
      <c r="R1319" s="1">
        <v>0</v>
      </c>
      <c r="S1319">
        <v>99.302199999999999</v>
      </c>
      <c r="T1319">
        <v>98.274000000000001</v>
      </c>
      <c r="U1319">
        <v>15.6915</v>
      </c>
      <c r="V1319">
        <v>0</v>
      </c>
      <c r="W1319">
        <v>0</v>
      </c>
      <c r="X1319">
        <v>1.76772</v>
      </c>
      <c r="Y1319">
        <v>1.76772</v>
      </c>
      <c r="Z1319">
        <v>0</v>
      </c>
      <c r="AA1319">
        <v>1.5464800000000001</v>
      </c>
      <c r="AB1319">
        <v>2.9635199999999999</v>
      </c>
      <c r="AC1319" s="2">
        <v>669801000</v>
      </c>
      <c r="AD1319" s="1">
        <v>0</v>
      </c>
      <c r="AE1319" s="1">
        <v>0</v>
      </c>
      <c r="AF1319" s="1">
        <v>0</v>
      </c>
      <c r="AG1319" s="1">
        <v>0</v>
      </c>
      <c r="AH1319" s="2">
        <v>4573520</v>
      </c>
      <c r="AI1319" s="1">
        <v>149079</v>
      </c>
      <c r="AJ1319" s="1">
        <v>0</v>
      </c>
      <c r="AK1319" s="8">
        <f t="shared" si="83"/>
        <v>18</v>
      </c>
      <c r="AL1319" s="8">
        <f t="shared" si="82"/>
        <v>26</v>
      </c>
      <c r="AM1319">
        <f t="shared" si="80"/>
        <v>0</v>
      </c>
      <c r="AN1319">
        <f t="shared" si="81"/>
        <v>0</v>
      </c>
    </row>
    <row r="1320" spans="1:40" x14ac:dyDescent="0.35">
      <c r="A1320">
        <v>85.138999999999996</v>
      </c>
      <c r="B1320">
        <v>85.138999999999996</v>
      </c>
      <c r="C1320">
        <v>6.54901</v>
      </c>
      <c r="D1320">
        <v>0</v>
      </c>
      <c r="E1320">
        <v>0.02</v>
      </c>
      <c r="F1320">
        <v>3.0325899999999999</v>
      </c>
      <c r="G1320">
        <v>3.0325899999999999</v>
      </c>
      <c r="H1320">
        <v>0</v>
      </c>
      <c r="I1320">
        <v>0.56826500000000002</v>
      </c>
      <c r="J1320">
        <v>5.3222399999999999</v>
      </c>
      <c r="K1320" s="2">
        <v>144646000</v>
      </c>
      <c r="L1320" s="1">
        <v>0</v>
      </c>
      <c r="M1320" s="1">
        <v>0</v>
      </c>
      <c r="N1320" s="1">
        <v>0</v>
      </c>
      <c r="O1320" s="1">
        <v>0</v>
      </c>
      <c r="P1320" s="2">
        <v>4533640</v>
      </c>
      <c r="Q1320" s="1">
        <v>311756</v>
      </c>
      <c r="R1320" s="1">
        <v>0</v>
      </c>
      <c r="S1320">
        <v>99.302199999999999</v>
      </c>
      <c r="T1320">
        <v>98.274000000000001</v>
      </c>
      <c r="U1320">
        <v>12.111599999999999</v>
      </c>
      <c r="V1320">
        <v>0</v>
      </c>
      <c r="W1320">
        <v>0</v>
      </c>
      <c r="X1320">
        <v>1.7678499999999999</v>
      </c>
      <c r="Y1320">
        <v>1.7678499999999999</v>
      </c>
      <c r="Z1320">
        <v>0</v>
      </c>
      <c r="AA1320">
        <v>1.36574</v>
      </c>
      <c r="AB1320">
        <v>2.9635199999999999</v>
      </c>
      <c r="AC1320" s="2">
        <v>669950000</v>
      </c>
      <c r="AD1320" s="1">
        <v>0</v>
      </c>
      <c r="AE1320" s="1">
        <v>0</v>
      </c>
      <c r="AF1320" s="1">
        <v>0</v>
      </c>
      <c r="AG1320" s="1">
        <v>0</v>
      </c>
      <c r="AH1320" s="2">
        <v>4573850</v>
      </c>
      <c r="AI1320" s="1">
        <v>149090</v>
      </c>
      <c r="AJ1320" s="1">
        <v>0</v>
      </c>
      <c r="AK1320" s="8">
        <f t="shared" si="83"/>
        <v>19</v>
      </c>
      <c r="AL1320" s="8">
        <f t="shared" si="82"/>
        <v>26</v>
      </c>
      <c r="AM1320">
        <f t="shared" si="80"/>
        <v>0</v>
      </c>
      <c r="AN1320">
        <f t="shared" si="81"/>
        <v>0</v>
      </c>
    </row>
    <row r="1321" spans="1:40" x14ac:dyDescent="0.35">
      <c r="A1321">
        <v>85.138999999999996</v>
      </c>
      <c r="B1321">
        <v>85.138999999999996</v>
      </c>
      <c r="C1321">
        <v>5.3112500000000002</v>
      </c>
      <c r="D1321">
        <v>0</v>
      </c>
      <c r="E1321">
        <v>0.02</v>
      </c>
      <c r="F1321">
        <v>3.0327999999999999</v>
      </c>
      <c r="G1321">
        <v>3.0327999999999999</v>
      </c>
      <c r="H1321">
        <v>0</v>
      </c>
      <c r="I1321">
        <v>0.56830599999999998</v>
      </c>
      <c r="J1321">
        <v>5.3222399999999999</v>
      </c>
      <c r="K1321" s="2">
        <v>144958000</v>
      </c>
      <c r="L1321" s="1">
        <v>0</v>
      </c>
      <c r="M1321" s="1">
        <v>0</v>
      </c>
      <c r="N1321" s="1">
        <v>0</v>
      </c>
      <c r="O1321" s="1">
        <v>0</v>
      </c>
      <c r="P1321" s="2">
        <v>4533970</v>
      </c>
      <c r="Q1321" s="1">
        <v>311778</v>
      </c>
      <c r="R1321" s="1">
        <v>0</v>
      </c>
      <c r="S1321">
        <v>99.302199999999999</v>
      </c>
      <c r="T1321">
        <v>98.274000000000001</v>
      </c>
      <c r="U1321">
        <v>8.9607700000000001</v>
      </c>
      <c r="V1321">
        <v>0</v>
      </c>
      <c r="W1321">
        <v>0</v>
      </c>
      <c r="X1321">
        <v>1.7679800000000001</v>
      </c>
      <c r="Y1321">
        <v>1.7679800000000001</v>
      </c>
      <c r="Z1321">
        <v>0</v>
      </c>
      <c r="AA1321">
        <v>1.3658399999999999</v>
      </c>
      <c r="AB1321">
        <v>2.9635199999999999</v>
      </c>
      <c r="AC1321" s="2">
        <v>670099000</v>
      </c>
      <c r="AD1321" s="1">
        <v>0</v>
      </c>
      <c r="AE1321" s="1">
        <v>0</v>
      </c>
      <c r="AF1321" s="1">
        <v>0</v>
      </c>
      <c r="AG1321" s="1">
        <v>0</v>
      </c>
      <c r="AH1321" s="2">
        <v>4574180</v>
      </c>
      <c r="AI1321" s="1">
        <v>149101</v>
      </c>
      <c r="AJ1321" s="1">
        <v>0</v>
      </c>
      <c r="AK1321" s="8">
        <f t="shared" si="83"/>
        <v>20</v>
      </c>
      <c r="AL1321" s="8">
        <f t="shared" si="82"/>
        <v>26</v>
      </c>
      <c r="AM1321">
        <f t="shared" si="80"/>
        <v>0</v>
      </c>
      <c r="AN1321">
        <f t="shared" si="81"/>
        <v>0</v>
      </c>
    </row>
    <row r="1322" spans="1:40" x14ac:dyDescent="0.35">
      <c r="A1322">
        <v>85.138999999999996</v>
      </c>
      <c r="B1322">
        <v>85.138999999999996</v>
      </c>
      <c r="C1322">
        <v>4.1292900000000001</v>
      </c>
      <c r="D1322">
        <v>0</v>
      </c>
      <c r="E1322">
        <v>0.02</v>
      </c>
      <c r="F1322">
        <v>3.03302</v>
      </c>
      <c r="G1322">
        <v>3.03302</v>
      </c>
      <c r="H1322">
        <v>0</v>
      </c>
      <c r="I1322">
        <v>0.56834700000000005</v>
      </c>
      <c r="J1322">
        <v>5.3222399999999999</v>
      </c>
      <c r="K1322" s="2">
        <v>145270000</v>
      </c>
      <c r="L1322" s="1">
        <v>0</v>
      </c>
      <c r="M1322" s="1">
        <v>0</v>
      </c>
      <c r="N1322" s="1">
        <v>0</v>
      </c>
      <c r="O1322" s="1">
        <v>0</v>
      </c>
      <c r="P1322" s="2">
        <v>4534290</v>
      </c>
      <c r="Q1322" s="1">
        <v>311801</v>
      </c>
      <c r="R1322" s="1">
        <v>0</v>
      </c>
      <c r="S1322">
        <v>99.302199999999999</v>
      </c>
      <c r="T1322">
        <v>98.274000000000001</v>
      </c>
      <c r="U1322">
        <v>6.7194900000000004</v>
      </c>
      <c r="V1322">
        <v>0</v>
      </c>
      <c r="W1322">
        <v>0</v>
      </c>
      <c r="X1322">
        <v>1.7681100000000001</v>
      </c>
      <c r="Y1322">
        <v>1.7681100000000001</v>
      </c>
      <c r="Z1322">
        <v>0</v>
      </c>
      <c r="AA1322">
        <v>1.3659399999999999</v>
      </c>
      <c r="AB1322">
        <v>2.9635199999999999</v>
      </c>
      <c r="AC1322" s="2">
        <v>670248000</v>
      </c>
      <c r="AD1322" s="1">
        <v>0</v>
      </c>
      <c r="AE1322" s="1">
        <v>0</v>
      </c>
      <c r="AF1322" s="1">
        <v>0</v>
      </c>
      <c r="AG1322" s="1">
        <v>0</v>
      </c>
      <c r="AH1322" s="2">
        <v>4574510</v>
      </c>
      <c r="AI1322" s="1">
        <v>149111</v>
      </c>
      <c r="AJ1322" s="1">
        <v>0</v>
      </c>
      <c r="AK1322" s="8">
        <f t="shared" si="83"/>
        <v>21</v>
      </c>
      <c r="AL1322" s="8">
        <f t="shared" si="82"/>
        <v>26</v>
      </c>
      <c r="AM1322">
        <f t="shared" si="80"/>
        <v>0</v>
      </c>
      <c r="AN1322">
        <f t="shared" si="81"/>
        <v>0</v>
      </c>
    </row>
    <row r="1323" spans="1:40" x14ac:dyDescent="0.35">
      <c r="A1323">
        <v>85.138999999999996</v>
      </c>
      <c r="B1323">
        <v>85.138999999999996</v>
      </c>
      <c r="C1323">
        <v>3.82572</v>
      </c>
      <c r="D1323">
        <v>0</v>
      </c>
      <c r="E1323">
        <v>0.02</v>
      </c>
      <c r="F1323">
        <v>2.9914399999999999</v>
      </c>
      <c r="G1323">
        <v>2.9914399999999999</v>
      </c>
      <c r="H1323">
        <v>0</v>
      </c>
      <c r="I1323">
        <v>0.568388</v>
      </c>
      <c r="J1323">
        <v>5.3222399999999999</v>
      </c>
      <c r="K1323" s="2">
        <v>145577000</v>
      </c>
      <c r="L1323" s="1">
        <v>0</v>
      </c>
      <c r="M1323" s="1">
        <v>0</v>
      </c>
      <c r="N1323" s="1">
        <v>0</v>
      </c>
      <c r="O1323" s="1">
        <v>0</v>
      </c>
      <c r="P1323" s="2">
        <v>4472120</v>
      </c>
      <c r="Q1323" s="1">
        <v>307525</v>
      </c>
      <c r="R1323" s="1">
        <v>0</v>
      </c>
      <c r="S1323">
        <v>99.302199999999999</v>
      </c>
      <c r="T1323">
        <v>98.274000000000001</v>
      </c>
      <c r="U1323">
        <v>6.0742700000000003</v>
      </c>
      <c r="V1323">
        <v>0</v>
      </c>
      <c r="W1323">
        <v>0</v>
      </c>
      <c r="X1323">
        <v>1.7416799999999999</v>
      </c>
      <c r="Y1323">
        <v>1.7416799999999999</v>
      </c>
      <c r="Z1323">
        <v>0</v>
      </c>
      <c r="AA1323">
        <v>1.3660399999999999</v>
      </c>
      <c r="AB1323">
        <v>2.9635199999999999</v>
      </c>
      <c r="AC1323" s="2">
        <v>670395000</v>
      </c>
      <c r="AD1323" s="1">
        <v>0</v>
      </c>
      <c r="AE1323" s="1">
        <v>0</v>
      </c>
      <c r="AF1323" s="1">
        <v>0</v>
      </c>
      <c r="AG1323" s="1">
        <v>0</v>
      </c>
      <c r="AH1323" s="2">
        <v>4506140</v>
      </c>
      <c r="AI1323" s="1">
        <v>146883</v>
      </c>
      <c r="AJ1323" s="1">
        <v>0</v>
      </c>
      <c r="AK1323" s="8">
        <f t="shared" si="83"/>
        <v>22</v>
      </c>
      <c r="AL1323" s="8">
        <f t="shared" si="82"/>
        <v>26</v>
      </c>
      <c r="AM1323">
        <f t="shared" si="80"/>
        <v>0</v>
      </c>
      <c r="AN1323">
        <f t="shared" si="81"/>
        <v>0</v>
      </c>
    </row>
    <row r="1324" spans="1:40" x14ac:dyDescent="0.35">
      <c r="A1324">
        <v>84.828800000000001</v>
      </c>
      <c r="B1324">
        <v>85.138999999999996</v>
      </c>
      <c r="C1324">
        <v>3.1390400000000001</v>
      </c>
      <c r="D1324">
        <v>0</v>
      </c>
      <c r="E1324">
        <v>0.02</v>
      </c>
      <c r="F1324">
        <v>2.9916499999999999</v>
      </c>
      <c r="G1324">
        <v>2.9916499999999999</v>
      </c>
      <c r="H1324">
        <v>0</v>
      </c>
      <c r="I1324">
        <v>0.56059499999999995</v>
      </c>
      <c r="J1324">
        <v>5.3222399999999999</v>
      </c>
      <c r="K1324" s="2">
        <v>145885000</v>
      </c>
      <c r="L1324" s="1">
        <v>0</v>
      </c>
      <c r="M1324" s="1">
        <v>0</v>
      </c>
      <c r="N1324" s="1">
        <v>0</v>
      </c>
      <c r="O1324" s="1">
        <v>0</v>
      </c>
      <c r="P1324" s="2">
        <v>4472440</v>
      </c>
      <c r="Q1324" s="1">
        <v>307548</v>
      </c>
      <c r="R1324" s="1">
        <v>0</v>
      </c>
      <c r="S1324">
        <v>99.302199999999999</v>
      </c>
      <c r="T1324">
        <v>98.274000000000001</v>
      </c>
      <c r="U1324">
        <v>3.8087</v>
      </c>
      <c r="V1324">
        <v>0</v>
      </c>
      <c r="W1324">
        <v>0</v>
      </c>
      <c r="X1324">
        <v>1.7418100000000001</v>
      </c>
      <c r="Y1324">
        <v>1.7418100000000001</v>
      </c>
      <c r="Z1324">
        <v>0</v>
      </c>
      <c r="AA1324">
        <v>1.34562</v>
      </c>
      <c r="AB1324">
        <v>2.9635199999999999</v>
      </c>
      <c r="AC1324" s="2">
        <v>670542000</v>
      </c>
      <c r="AD1324" s="1">
        <v>0</v>
      </c>
      <c r="AE1324" s="1">
        <v>0</v>
      </c>
      <c r="AF1324" s="1">
        <v>0</v>
      </c>
      <c r="AG1324" s="1">
        <v>0</v>
      </c>
      <c r="AH1324" s="2">
        <v>4506470</v>
      </c>
      <c r="AI1324" s="1">
        <v>146893</v>
      </c>
      <c r="AJ1324" s="1">
        <v>0</v>
      </c>
      <c r="AK1324" s="8">
        <f t="shared" si="83"/>
        <v>23</v>
      </c>
      <c r="AL1324" s="8">
        <f t="shared" si="82"/>
        <v>26</v>
      </c>
      <c r="AM1324">
        <f t="shared" si="80"/>
        <v>0</v>
      </c>
      <c r="AN1324">
        <f t="shared" si="81"/>
        <v>0</v>
      </c>
    </row>
    <row r="1325" spans="1:40" x14ac:dyDescent="0.35">
      <c r="A1325">
        <v>84.210499999999996</v>
      </c>
      <c r="B1325">
        <v>85.138999999999996</v>
      </c>
      <c r="C1325">
        <v>2.7252800000000001</v>
      </c>
      <c r="D1325">
        <v>0</v>
      </c>
      <c r="E1325">
        <v>0.02</v>
      </c>
      <c r="F1325">
        <v>2.99187</v>
      </c>
      <c r="G1325">
        <v>2.99187</v>
      </c>
      <c r="H1325">
        <v>0</v>
      </c>
      <c r="I1325">
        <v>0.56063600000000002</v>
      </c>
      <c r="J1325">
        <v>5.3222399999999999</v>
      </c>
      <c r="K1325" s="2">
        <v>146192000</v>
      </c>
      <c r="L1325" s="1">
        <v>0</v>
      </c>
      <c r="M1325" s="1">
        <v>0</v>
      </c>
      <c r="N1325" s="1">
        <v>0</v>
      </c>
      <c r="O1325" s="1">
        <v>0</v>
      </c>
      <c r="P1325" s="2">
        <v>4472770</v>
      </c>
      <c r="Q1325" s="1">
        <v>307570</v>
      </c>
      <c r="R1325" s="1">
        <v>0</v>
      </c>
      <c r="S1325">
        <v>99.302199999999999</v>
      </c>
      <c r="T1325">
        <v>98.274000000000001</v>
      </c>
      <c r="U1325">
        <v>3.46469</v>
      </c>
      <c r="V1325">
        <v>0</v>
      </c>
      <c r="W1325">
        <v>0</v>
      </c>
      <c r="X1325">
        <v>1.74193</v>
      </c>
      <c r="Y1325">
        <v>1.74193</v>
      </c>
      <c r="Z1325">
        <v>0</v>
      </c>
      <c r="AA1325">
        <v>1.34572</v>
      </c>
      <c r="AB1325">
        <v>2.9635199999999999</v>
      </c>
      <c r="AC1325" s="2">
        <v>670689000</v>
      </c>
      <c r="AD1325" s="1">
        <v>0</v>
      </c>
      <c r="AE1325" s="1">
        <v>0</v>
      </c>
      <c r="AF1325" s="1">
        <v>0</v>
      </c>
      <c r="AG1325" s="1">
        <v>0</v>
      </c>
      <c r="AH1325" s="2">
        <v>4506790</v>
      </c>
      <c r="AI1325" s="1">
        <v>146904</v>
      </c>
      <c r="AJ1325" s="1">
        <v>0</v>
      </c>
      <c r="AK1325" s="8">
        <f t="shared" si="83"/>
        <v>24</v>
      </c>
      <c r="AL1325" s="8">
        <f t="shared" si="82"/>
        <v>26</v>
      </c>
      <c r="AM1325">
        <f t="shared" si="80"/>
        <v>0</v>
      </c>
      <c r="AN1325">
        <f t="shared" si="81"/>
        <v>0</v>
      </c>
    </row>
    <row r="1326" spans="1:40" x14ac:dyDescent="0.35">
      <c r="A1326">
        <v>83.415499999999994</v>
      </c>
      <c r="B1326">
        <v>85.138999999999996</v>
      </c>
      <c r="C1326">
        <v>2.5027400000000002</v>
      </c>
      <c r="D1326">
        <v>0</v>
      </c>
      <c r="E1326">
        <v>0.02</v>
      </c>
      <c r="F1326">
        <v>2.9920800000000001</v>
      </c>
      <c r="G1326">
        <v>2.9920800000000001</v>
      </c>
      <c r="H1326">
        <v>0</v>
      </c>
      <c r="I1326">
        <v>0.56067599999999995</v>
      </c>
      <c r="J1326">
        <v>5.3222399999999999</v>
      </c>
      <c r="K1326" s="2">
        <v>146500000</v>
      </c>
      <c r="L1326" s="1">
        <v>0</v>
      </c>
      <c r="M1326" s="1">
        <v>0</v>
      </c>
      <c r="N1326" s="1">
        <v>0</v>
      </c>
      <c r="O1326" s="1">
        <v>0</v>
      </c>
      <c r="P1326" s="2">
        <v>4473090</v>
      </c>
      <c r="Q1326" s="1">
        <v>307592</v>
      </c>
      <c r="R1326" s="1">
        <v>0</v>
      </c>
      <c r="S1326">
        <v>99.302199999999999</v>
      </c>
      <c r="T1326">
        <v>98.274000000000001</v>
      </c>
      <c r="U1326">
        <v>2.9616099999999999</v>
      </c>
      <c r="V1326">
        <v>0</v>
      </c>
      <c r="W1326">
        <v>0</v>
      </c>
      <c r="X1326">
        <v>1.7420599999999999</v>
      </c>
      <c r="Y1326">
        <v>1.7420599999999999</v>
      </c>
      <c r="Z1326">
        <v>0</v>
      </c>
      <c r="AA1326">
        <v>1.34582</v>
      </c>
      <c r="AB1326">
        <v>2.9635199999999999</v>
      </c>
      <c r="AC1326" s="2">
        <v>670835000</v>
      </c>
      <c r="AD1326" s="1">
        <v>0</v>
      </c>
      <c r="AE1326" s="1">
        <v>0</v>
      </c>
      <c r="AF1326" s="1">
        <v>0</v>
      </c>
      <c r="AG1326" s="1">
        <v>0</v>
      </c>
      <c r="AH1326" s="2">
        <v>4507120</v>
      </c>
      <c r="AI1326" s="1">
        <v>146915</v>
      </c>
      <c r="AJ1326" s="1">
        <v>0</v>
      </c>
      <c r="AK1326" s="8">
        <f t="shared" si="83"/>
        <v>25</v>
      </c>
      <c r="AL1326" s="8">
        <f t="shared" si="82"/>
        <v>26</v>
      </c>
      <c r="AM1326">
        <f t="shared" si="80"/>
        <v>0</v>
      </c>
      <c r="AN1326">
        <f t="shared" si="81"/>
        <v>0</v>
      </c>
    </row>
    <row r="1327" spans="1:40" x14ac:dyDescent="0.35">
      <c r="A1327">
        <v>82.654300000000006</v>
      </c>
      <c r="B1327">
        <v>85.138999999999996</v>
      </c>
      <c r="C1327">
        <v>2.6051199999999999</v>
      </c>
      <c r="D1327">
        <v>0</v>
      </c>
      <c r="E1327">
        <v>0.02</v>
      </c>
      <c r="F1327">
        <v>3.1342500000000002</v>
      </c>
      <c r="G1327">
        <v>3.1342500000000002</v>
      </c>
      <c r="H1327">
        <v>0</v>
      </c>
      <c r="I1327">
        <v>0.56071700000000002</v>
      </c>
      <c r="J1327">
        <v>5.3222399999999999</v>
      </c>
      <c r="K1327" s="2">
        <v>146822000</v>
      </c>
      <c r="L1327" s="1">
        <v>0</v>
      </c>
      <c r="M1327" s="1">
        <v>0</v>
      </c>
      <c r="N1327" s="1">
        <v>0</v>
      </c>
      <c r="O1327" s="1">
        <v>0</v>
      </c>
      <c r="P1327" s="2">
        <v>4685620</v>
      </c>
      <c r="Q1327" s="1">
        <v>322207</v>
      </c>
      <c r="R1327" s="1">
        <v>0</v>
      </c>
      <c r="S1327">
        <v>99.302199999999999</v>
      </c>
      <c r="T1327">
        <v>98.274000000000001</v>
      </c>
      <c r="U1327">
        <v>3.2428499999999998</v>
      </c>
      <c r="V1327">
        <v>0</v>
      </c>
      <c r="W1327">
        <v>0</v>
      </c>
      <c r="X1327">
        <v>1.8363700000000001</v>
      </c>
      <c r="Y1327">
        <v>1.8363700000000001</v>
      </c>
      <c r="Z1327">
        <v>0</v>
      </c>
      <c r="AA1327">
        <v>1.3459099999999999</v>
      </c>
      <c r="AB1327">
        <v>2.9635199999999999</v>
      </c>
      <c r="AC1327" s="2">
        <v>670990000</v>
      </c>
      <c r="AD1327" s="1">
        <v>0</v>
      </c>
      <c r="AE1327" s="1">
        <v>0</v>
      </c>
      <c r="AF1327" s="1">
        <v>0</v>
      </c>
      <c r="AG1327" s="1">
        <v>0</v>
      </c>
      <c r="AH1327" s="2">
        <v>4751140</v>
      </c>
      <c r="AI1327" s="1">
        <v>154869</v>
      </c>
      <c r="AJ1327" s="1">
        <v>0</v>
      </c>
      <c r="AK1327" s="8">
        <f t="shared" si="83"/>
        <v>26</v>
      </c>
      <c r="AL1327" s="8">
        <f t="shared" si="82"/>
        <v>26</v>
      </c>
      <c r="AM1327">
        <f t="shared" si="80"/>
        <v>0</v>
      </c>
      <c r="AN1327">
        <f t="shared" si="81"/>
        <v>0</v>
      </c>
    </row>
    <row r="1328" spans="1:40" x14ac:dyDescent="0.35">
      <c r="A1328">
        <v>81.776700000000005</v>
      </c>
      <c r="B1328">
        <v>85.138999999999996</v>
      </c>
      <c r="C1328">
        <v>2.4832299999999998</v>
      </c>
      <c r="D1328">
        <v>0</v>
      </c>
      <c r="E1328">
        <v>0.02</v>
      </c>
      <c r="F1328">
        <v>3.1344699999999999</v>
      </c>
      <c r="G1328">
        <v>3.1344699999999999</v>
      </c>
      <c r="H1328">
        <v>0</v>
      </c>
      <c r="I1328">
        <v>0.58735800000000005</v>
      </c>
      <c r="J1328">
        <v>5.3222399999999999</v>
      </c>
      <c r="K1328" s="2">
        <v>147144000</v>
      </c>
      <c r="L1328" s="1">
        <v>0</v>
      </c>
      <c r="M1328" s="1">
        <v>0</v>
      </c>
      <c r="N1328" s="1">
        <v>0</v>
      </c>
      <c r="O1328" s="1">
        <v>0</v>
      </c>
      <c r="P1328" s="2">
        <v>4685960</v>
      </c>
      <c r="Q1328" s="1">
        <v>322230</v>
      </c>
      <c r="R1328" s="1">
        <v>0</v>
      </c>
      <c r="S1328">
        <v>99.277600000000007</v>
      </c>
      <c r="T1328">
        <v>98.274000000000001</v>
      </c>
      <c r="U1328">
        <v>2.9058299999999999</v>
      </c>
      <c r="V1328">
        <v>0</v>
      </c>
      <c r="W1328">
        <v>0</v>
      </c>
      <c r="X1328">
        <v>1.8365100000000001</v>
      </c>
      <c r="Y1328">
        <v>1.8365100000000001</v>
      </c>
      <c r="Z1328">
        <v>0</v>
      </c>
      <c r="AA1328">
        <v>1.4187799999999999</v>
      </c>
      <c r="AB1328">
        <v>2.9635199999999999</v>
      </c>
      <c r="AC1328" s="2">
        <v>671145000</v>
      </c>
      <c r="AD1328" s="1">
        <v>0</v>
      </c>
      <c r="AE1328" s="1">
        <v>0</v>
      </c>
      <c r="AF1328" s="1">
        <v>0</v>
      </c>
      <c r="AG1328" s="1">
        <v>0</v>
      </c>
      <c r="AH1328" s="2">
        <v>4751480</v>
      </c>
      <c r="AI1328" s="1">
        <v>154880</v>
      </c>
      <c r="AJ1328" s="1">
        <v>0</v>
      </c>
      <c r="AK1328" s="8">
        <f t="shared" si="83"/>
        <v>27</v>
      </c>
      <c r="AL1328" s="8">
        <f t="shared" si="82"/>
        <v>26</v>
      </c>
      <c r="AM1328">
        <f t="shared" si="80"/>
        <v>0</v>
      </c>
      <c r="AN1328">
        <f t="shared" si="81"/>
        <v>0</v>
      </c>
    </row>
    <row r="1329" spans="1:40" x14ac:dyDescent="0.35">
      <c r="A1329">
        <v>80.643799999999999</v>
      </c>
      <c r="B1329">
        <v>85.138999999999996</v>
      </c>
      <c r="C1329">
        <v>2.1945100000000002</v>
      </c>
      <c r="D1329">
        <v>0</v>
      </c>
      <c r="E1329">
        <v>0.02</v>
      </c>
      <c r="F1329">
        <v>3.1347</v>
      </c>
      <c r="G1329">
        <v>3.1347</v>
      </c>
      <c r="H1329">
        <v>0</v>
      </c>
      <c r="I1329">
        <v>0.58740000000000003</v>
      </c>
      <c r="J1329">
        <v>5.3222399999999999</v>
      </c>
      <c r="K1329" s="2">
        <v>147467000</v>
      </c>
      <c r="L1329" s="1">
        <v>0</v>
      </c>
      <c r="M1329" s="1">
        <v>0</v>
      </c>
      <c r="N1329" s="1">
        <v>0</v>
      </c>
      <c r="O1329" s="1">
        <v>0</v>
      </c>
      <c r="P1329" s="2">
        <v>4686290</v>
      </c>
      <c r="Q1329" s="1">
        <v>322253</v>
      </c>
      <c r="R1329" s="1">
        <v>0</v>
      </c>
      <c r="S1329">
        <v>99.302199999999999</v>
      </c>
      <c r="T1329">
        <v>98.274000000000001</v>
      </c>
      <c r="U1329">
        <v>2.6029200000000001</v>
      </c>
      <c r="V1329">
        <v>0</v>
      </c>
      <c r="W1329">
        <v>0</v>
      </c>
      <c r="X1329">
        <v>1.8366400000000001</v>
      </c>
      <c r="Y1329">
        <v>1.8366400000000001</v>
      </c>
      <c r="Z1329">
        <v>0</v>
      </c>
      <c r="AA1329">
        <v>1.41889</v>
      </c>
      <c r="AB1329">
        <v>2.9635199999999999</v>
      </c>
      <c r="AC1329" s="2">
        <v>671300000</v>
      </c>
      <c r="AD1329" s="1">
        <v>0</v>
      </c>
      <c r="AE1329" s="1">
        <v>0</v>
      </c>
      <c r="AF1329" s="1">
        <v>0</v>
      </c>
      <c r="AG1329" s="1">
        <v>0</v>
      </c>
      <c r="AH1329" s="2">
        <v>4751830</v>
      </c>
      <c r="AI1329" s="1">
        <v>154891</v>
      </c>
      <c r="AJ1329" s="1">
        <v>0</v>
      </c>
      <c r="AK1329" s="8">
        <f t="shared" si="83"/>
        <v>28</v>
      </c>
      <c r="AL1329" s="8">
        <f t="shared" si="82"/>
        <v>26</v>
      </c>
      <c r="AM1329">
        <f t="shared" si="80"/>
        <v>0</v>
      </c>
      <c r="AN1329">
        <f t="shared" si="81"/>
        <v>0</v>
      </c>
    </row>
    <row r="1330" spans="1:40" x14ac:dyDescent="0.35">
      <c r="A1330">
        <v>79.367599999999996</v>
      </c>
      <c r="B1330">
        <v>85.138999999999996</v>
      </c>
      <c r="C1330">
        <v>2.0036</v>
      </c>
      <c r="D1330">
        <v>0</v>
      </c>
      <c r="E1330">
        <v>0.02</v>
      </c>
      <c r="F1330">
        <v>3.1349200000000002</v>
      </c>
      <c r="G1330">
        <v>3.1349200000000002</v>
      </c>
      <c r="H1330">
        <v>0</v>
      </c>
      <c r="I1330">
        <v>0.58744200000000002</v>
      </c>
      <c r="J1330">
        <v>5.3222399999999999</v>
      </c>
      <c r="K1330" s="2">
        <v>147789000</v>
      </c>
      <c r="L1330" s="1">
        <v>0</v>
      </c>
      <c r="M1330" s="1">
        <v>0</v>
      </c>
      <c r="N1330" s="1">
        <v>0</v>
      </c>
      <c r="O1330" s="1">
        <v>0</v>
      </c>
      <c r="P1330" s="2">
        <v>4686630</v>
      </c>
      <c r="Q1330" s="1">
        <v>322276</v>
      </c>
      <c r="R1330" s="1">
        <v>0</v>
      </c>
      <c r="S1330">
        <v>99.302199999999999</v>
      </c>
      <c r="T1330">
        <v>98.274000000000001</v>
      </c>
      <c r="U1330">
        <v>2.7441</v>
      </c>
      <c r="V1330">
        <v>0</v>
      </c>
      <c r="W1330">
        <v>0</v>
      </c>
      <c r="X1330">
        <v>1.83677</v>
      </c>
      <c r="Y1330">
        <v>1.83677</v>
      </c>
      <c r="Z1330">
        <v>0</v>
      </c>
      <c r="AA1330">
        <v>1.41899</v>
      </c>
      <c r="AB1330">
        <v>2.9635199999999999</v>
      </c>
      <c r="AC1330" s="2">
        <v>671455000</v>
      </c>
      <c r="AD1330" s="1">
        <v>0</v>
      </c>
      <c r="AE1330" s="1">
        <v>0</v>
      </c>
      <c r="AF1330" s="1">
        <v>0</v>
      </c>
      <c r="AG1330" s="1">
        <v>0</v>
      </c>
      <c r="AH1330" s="2">
        <v>4752170</v>
      </c>
      <c r="AI1330" s="1">
        <v>154902</v>
      </c>
      <c r="AJ1330" s="1">
        <v>0</v>
      </c>
      <c r="AK1330" s="8">
        <f t="shared" si="83"/>
        <v>29</v>
      </c>
      <c r="AL1330" s="8">
        <f t="shared" si="82"/>
        <v>26</v>
      </c>
      <c r="AM1330">
        <f t="shared" si="80"/>
        <v>0</v>
      </c>
      <c r="AN1330">
        <f t="shared" si="81"/>
        <v>0</v>
      </c>
    </row>
    <row r="1331" spans="1:40" x14ac:dyDescent="0.35">
      <c r="A1331">
        <v>78.400000000000006</v>
      </c>
      <c r="B1331">
        <v>85.138999999999996</v>
      </c>
      <c r="C1331">
        <v>2.2920199999999999</v>
      </c>
      <c r="D1331">
        <v>0</v>
      </c>
      <c r="E1331">
        <v>0.02</v>
      </c>
      <c r="F1331">
        <v>3.1351499999999999</v>
      </c>
      <c r="G1331">
        <v>3.1351499999999999</v>
      </c>
      <c r="H1331">
        <v>0</v>
      </c>
      <c r="I1331">
        <v>0.58748500000000003</v>
      </c>
      <c r="J1331">
        <v>5.3222399999999999</v>
      </c>
      <c r="K1331" s="2">
        <v>148111000</v>
      </c>
      <c r="L1331" s="1">
        <v>0</v>
      </c>
      <c r="M1331" s="1">
        <v>0</v>
      </c>
      <c r="N1331" s="1">
        <v>0</v>
      </c>
      <c r="O1331" s="1">
        <v>0</v>
      </c>
      <c r="P1331" s="2">
        <v>4686970</v>
      </c>
      <c r="Q1331" s="1">
        <v>322300</v>
      </c>
      <c r="R1331" s="1">
        <v>0</v>
      </c>
      <c r="S1331">
        <v>99.302199999999999</v>
      </c>
      <c r="T1331">
        <v>98.274000000000001</v>
      </c>
      <c r="U1331">
        <v>2.6472600000000002</v>
      </c>
      <c r="V1331">
        <v>0</v>
      </c>
      <c r="W1331">
        <v>0</v>
      </c>
      <c r="X1331">
        <v>1.83691</v>
      </c>
      <c r="Y1331">
        <v>1.83691</v>
      </c>
      <c r="Z1331">
        <v>0</v>
      </c>
      <c r="AA1331">
        <v>1.41909</v>
      </c>
      <c r="AB1331">
        <v>2.9635199999999999</v>
      </c>
      <c r="AC1331" s="2">
        <v>671610000</v>
      </c>
      <c r="AD1331" s="1">
        <v>0</v>
      </c>
      <c r="AE1331" s="1">
        <v>0</v>
      </c>
      <c r="AF1331" s="1">
        <v>0</v>
      </c>
      <c r="AG1331" s="1">
        <v>0</v>
      </c>
      <c r="AH1331" s="2">
        <v>4752510</v>
      </c>
      <c r="AI1331" s="1">
        <v>154914</v>
      </c>
      <c r="AJ1331" s="1">
        <v>0</v>
      </c>
      <c r="AK1331" s="8">
        <f t="shared" si="83"/>
        <v>30</v>
      </c>
      <c r="AL1331" s="8">
        <f t="shared" si="82"/>
        <v>26</v>
      </c>
      <c r="AM1331">
        <f t="shared" si="80"/>
        <v>0</v>
      </c>
      <c r="AN1331">
        <f t="shared" si="81"/>
        <v>0</v>
      </c>
    </row>
    <row r="1332" spans="1:40" x14ac:dyDescent="0.35">
      <c r="A1332">
        <v>77.903599999999997</v>
      </c>
      <c r="B1332">
        <v>85.138999999999996</v>
      </c>
      <c r="C1332">
        <v>2.4765899999999998</v>
      </c>
      <c r="D1332">
        <v>0.01</v>
      </c>
      <c r="E1332">
        <v>0.02</v>
      </c>
      <c r="F1332">
        <v>2.8048999999999999</v>
      </c>
      <c r="G1332">
        <v>3.1073</v>
      </c>
      <c r="H1332">
        <v>0</v>
      </c>
      <c r="I1332">
        <v>0.58752700000000002</v>
      </c>
      <c r="J1332">
        <v>5.3222399999999999</v>
      </c>
      <c r="K1332" s="2">
        <v>148022000</v>
      </c>
      <c r="L1332" s="1">
        <v>0</v>
      </c>
      <c r="M1332" s="1">
        <v>0</v>
      </c>
      <c r="N1332" s="1">
        <v>0</v>
      </c>
      <c r="O1332" s="1">
        <v>0</v>
      </c>
      <c r="P1332" s="2">
        <v>4193250</v>
      </c>
      <c r="Q1332" s="1">
        <v>-89102.5</v>
      </c>
      <c r="R1332" s="1">
        <v>408539</v>
      </c>
      <c r="S1332">
        <v>99.136899999999997</v>
      </c>
      <c r="T1332">
        <v>98.274000000000001</v>
      </c>
      <c r="U1332">
        <v>2.60419</v>
      </c>
      <c r="V1332">
        <v>0</v>
      </c>
      <c r="W1332">
        <v>0</v>
      </c>
      <c r="X1332">
        <v>2.19123</v>
      </c>
      <c r="Y1332">
        <v>1.88883</v>
      </c>
      <c r="Z1332">
        <v>0</v>
      </c>
      <c r="AA1332">
        <v>1.41919</v>
      </c>
      <c r="AB1332">
        <v>2.9635199999999999</v>
      </c>
      <c r="AC1332" s="2">
        <v>672552000</v>
      </c>
      <c r="AD1332" s="1">
        <v>0</v>
      </c>
      <c r="AE1332" s="1">
        <v>0</v>
      </c>
      <c r="AF1332" s="1">
        <v>0</v>
      </c>
      <c r="AG1332" s="1">
        <v>0</v>
      </c>
      <c r="AH1332" s="2">
        <v>5669220</v>
      </c>
      <c r="AI1332" s="1">
        <v>941673</v>
      </c>
      <c r="AJ1332" s="1">
        <v>0</v>
      </c>
      <c r="AK1332" s="8">
        <f t="shared" si="83"/>
        <v>31</v>
      </c>
      <c r="AL1332" s="8">
        <f t="shared" si="82"/>
        <v>26</v>
      </c>
      <c r="AM1332">
        <f t="shared" si="80"/>
        <v>0</v>
      </c>
      <c r="AN1332">
        <f t="shared" si="81"/>
        <v>0</v>
      </c>
    </row>
    <row r="1333" spans="1:40" x14ac:dyDescent="0.35">
      <c r="A1333">
        <v>77.305800000000005</v>
      </c>
      <c r="B1333">
        <v>85.138999999999996</v>
      </c>
      <c r="C1333">
        <v>2.3480099999999999</v>
      </c>
      <c r="D1333">
        <v>0.01</v>
      </c>
      <c r="E1333">
        <v>0.02</v>
      </c>
      <c r="F1333">
        <v>2.8051200000000001</v>
      </c>
      <c r="G1333">
        <v>3.1075200000000001</v>
      </c>
      <c r="H1333">
        <v>0</v>
      </c>
      <c r="I1333">
        <v>0.52563700000000002</v>
      </c>
      <c r="J1333">
        <v>5.3222399999999999</v>
      </c>
      <c r="K1333" s="2">
        <v>147933000</v>
      </c>
      <c r="L1333" s="1">
        <v>0</v>
      </c>
      <c r="M1333" s="1">
        <v>0</v>
      </c>
      <c r="N1333" s="1">
        <v>0</v>
      </c>
      <c r="O1333" s="1">
        <v>0</v>
      </c>
      <c r="P1333" s="2">
        <v>4193580</v>
      </c>
      <c r="Q1333" s="1">
        <v>-89079.5</v>
      </c>
      <c r="R1333" s="1">
        <v>408539</v>
      </c>
      <c r="S1333">
        <v>98.928200000000004</v>
      </c>
      <c r="T1333">
        <v>98.274000000000001</v>
      </c>
      <c r="U1333">
        <v>2.5337499999999999</v>
      </c>
      <c r="V1333">
        <v>0</v>
      </c>
      <c r="W1333">
        <v>0</v>
      </c>
      <c r="X1333">
        <v>2.19136</v>
      </c>
      <c r="Y1333">
        <v>1.88896</v>
      </c>
      <c r="Z1333">
        <v>0</v>
      </c>
      <c r="AA1333">
        <v>1.6929399999999999</v>
      </c>
      <c r="AB1333">
        <v>2.9635199999999999</v>
      </c>
      <c r="AC1333" s="2">
        <v>673493000</v>
      </c>
      <c r="AD1333" s="1">
        <v>0</v>
      </c>
      <c r="AE1333" s="1">
        <v>0</v>
      </c>
      <c r="AF1333" s="1">
        <v>0</v>
      </c>
      <c r="AG1333" s="1">
        <v>0</v>
      </c>
      <c r="AH1333" s="2">
        <v>5669580</v>
      </c>
      <c r="AI1333" s="1">
        <v>941685</v>
      </c>
      <c r="AJ1333" s="1">
        <v>0</v>
      </c>
      <c r="AK1333" s="8">
        <f t="shared" si="83"/>
        <v>32</v>
      </c>
      <c r="AL1333" s="8">
        <f t="shared" si="82"/>
        <v>26</v>
      </c>
      <c r="AM1333">
        <f t="shared" si="80"/>
        <v>0</v>
      </c>
      <c r="AN1333">
        <f t="shared" si="81"/>
        <v>0</v>
      </c>
    </row>
    <row r="1334" spans="1:40" x14ac:dyDescent="0.35">
      <c r="A1334">
        <v>76.578100000000006</v>
      </c>
      <c r="B1334">
        <v>85.138999999999996</v>
      </c>
      <c r="C1334">
        <v>2.1994899999999999</v>
      </c>
      <c r="D1334">
        <v>0.01</v>
      </c>
      <c r="E1334">
        <v>0.02</v>
      </c>
      <c r="F1334">
        <v>2.8053400000000002</v>
      </c>
      <c r="G1334">
        <v>3.1077400000000002</v>
      </c>
      <c r="H1334">
        <v>0</v>
      </c>
      <c r="I1334">
        <v>0.52567900000000001</v>
      </c>
      <c r="J1334">
        <v>5.3222399999999999</v>
      </c>
      <c r="K1334" s="2">
        <v>147844000</v>
      </c>
      <c r="L1334" s="1">
        <v>0</v>
      </c>
      <c r="M1334" s="1">
        <v>0</v>
      </c>
      <c r="N1334" s="1">
        <v>0</v>
      </c>
      <c r="O1334" s="1">
        <v>0</v>
      </c>
      <c r="P1334" s="2">
        <v>4193920</v>
      </c>
      <c r="Q1334" s="1">
        <v>-89056.4</v>
      </c>
      <c r="R1334" s="1">
        <v>408539</v>
      </c>
      <c r="S1334">
        <v>98.546700000000001</v>
      </c>
      <c r="T1334">
        <v>98.274000000000001</v>
      </c>
      <c r="U1334">
        <v>2.3718599999999999</v>
      </c>
      <c r="V1334">
        <v>0</v>
      </c>
      <c r="W1334">
        <v>0</v>
      </c>
      <c r="X1334">
        <v>2.1915</v>
      </c>
      <c r="Y1334">
        <v>1.8891</v>
      </c>
      <c r="Z1334">
        <v>0</v>
      </c>
      <c r="AA1334">
        <v>1.6930499999999999</v>
      </c>
      <c r="AB1334">
        <v>2.9635199999999999</v>
      </c>
      <c r="AC1334" s="2">
        <v>674435000</v>
      </c>
      <c r="AD1334" s="1">
        <v>0</v>
      </c>
      <c r="AE1334" s="1">
        <v>0</v>
      </c>
      <c r="AF1334" s="1">
        <v>0</v>
      </c>
      <c r="AG1334" s="1">
        <v>0</v>
      </c>
      <c r="AH1334" s="2">
        <v>5669930</v>
      </c>
      <c r="AI1334" s="1">
        <v>941696</v>
      </c>
      <c r="AJ1334" s="1">
        <v>0</v>
      </c>
      <c r="AK1334" s="8">
        <f t="shared" si="83"/>
        <v>33</v>
      </c>
      <c r="AL1334" s="8">
        <f t="shared" si="82"/>
        <v>26</v>
      </c>
      <c r="AM1334">
        <f t="shared" si="80"/>
        <v>0</v>
      </c>
      <c r="AN1334">
        <f t="shared" si="81"/>
        <v>0</v>
      </c>
    </row>
    <row r="1335" spans="1:40" x14ac:dyDescent="0.35">
      <c r="A1335">
        <v>75.7376</v>
      </c>
      <c r="B1335">
        <v>85.138999999999996</v>
      </c>
      <c r="C1335">
        <v>2.0694599999999999</v>
      </c>
      <c r="D1335">
        <v>0.01</v>
      </c>
      <c r="E1335">
        <v>0.02</v>
      </c>
      <c r="F1335">
        <v>2.8055699999999999</v>
      </c>
      <c r="G1335">
        <v>3.1079699999999999</v>
      </c>
      <c r="H1335">
        <v>0</v>
      </c>
      <c r="I1335">
        <v>0.52572200000000002</v>
      </c>
      <c r="J1335">
        <v>5.3222399999999999</v>
      </c>
      <c r="K1335" s="2">
        <v>147755000</v>
      </c>
      <c r="L1335" s="1">
        <v>0</v>
      </c>
      <c r="M1335" s="1">
        <v>0</v>
      </c>
      <c r="N1335" s="1">
        <v>0</v>
      </c>
      <c r="O1335" s="1">
        <v>0</v>
      </c>
      <c r="P1335" s="2">
        <v>4194250</v>
      </c>
      <c r="Q1335" s="1">
        <v>-89033.3</v>
      </c>
      <c r="R1335" s="1">
        <v>408539</v>
      </c>
      <c r="S1335">
        <v>97.991299999999995</v>
      </c>
      <c r="T1335">
        <v>98.274000000000001</v>
      </c>
      <c r="U1335">
        <v>2.2330800000000002</v>
      </c>
      <c r="V1335">
        <v>0</v>
      </c>
      <c r="W1335">
        <v>0</v>
      </c>
      <c r="X1335">
        <v>2.19163</v>
      </c>
      <c r="Y1335">
        <v>1.88923</v>
      </c>
      <c r="Z1335">
        <v>0</v>
      </c>
      <c r="AA1335">
        <v>1.6931499999999999</v>
      </c>
      <c r="AB1335">
        <v>2.9635199999999999</v>
      </c>
      <c r="AC1335" s="2">
        <v>675377000</v>
      </c>
      <c r="AD1335" s="1">
        <v>0</v>
      </c>
      <c r="AE1335" s="1">
        <v>0</v>
      </c>
      <c r="AF1335" s="1">
        <v>0</v>
      </c>
      <c r="AG1335" s="1">
        <v>0</v>
      </c>
      <c r="AH1335" s="2">
        <v>5670280</v>
      </c>
      <c r="AI1335" s="1">
        <v>941708</v>
      </c>
      <c r="AJ1335" s="1">
        <v>0</v>
      </c>
      <c r="AK1335" s="8">
        <f t="shared" si="83"/>
        <v>34</v>
      </c>
      <c r="AL1335" s="8">
        <f t="shared" si="82"/>
        <v>26</v>
      </c>
      <c r="AM1335">
        <f t="shared" si="80"/>
        <v>0</v>
      </c>
      <c r="AN1335">
        <f t="shared" si="81"/>
        <v>0</v>
      </c>
    </row>
    <row r="1336" spans="1:40" x14ac:dyDescent="0.35">
      <c r="A1336">
        <v>74.519599999999997</v>
      </c>
      <c r="B1336">
        <v>85.138999999999996</v>
      </c>
      <c r="C1336">
        <v>1.7529600000000001</v>
      </c>
      <c r="D1336">
        <v>0.01</v>
      </c>
      <c r="E1336">
        <v>0.02</v>
      </c>
      <c r="F1336">
        <v>2.8783300000000001</v>
      </c>
      <c r="G1336">
        <v>3.1807300000000001</v>
      </c>
      <c r="H1336">
        <v>0</v>
      </c>
      <c r="I1336">
        <v>0.52576400000000001</v>
      </c>
      <c r="J1336">
        <v>5.3222399999999999</v>
      </c>
      <c r="K1336" s="2">
        <v>147673000</v>
      </c>
      <c r="L1336" s="1">
        <v>0</v>
      </c>
      <c r="M1336" s="1">
        <v>0</v>
      </c>
      <c r="N1336" s="1">
        <v>0</v>
      </c>
      <c r="O1336" s="1">
        <v>0</v>
      </c>
      <c r="P1336" s="2">
        <v>4303030</v>
      </c>
      <c r="Q1336" s="1">
        <v>-81553.100000000006</v>
      </c>
      <c r="R1336" s="1">
        <v>408539</v>
      </c>
      <c r="S1336">
        <v>97.265699999999995</v>
      </c>
      <c r="T1336">
        <v>98.274000000000001</v>
      </c>
      <c r="U1336">
        <v>1.86625</v>
      </c>
      <c r="V1336">
        <v>0</v>
      </c>
      <c r="W1336">
        <v>0</v>
      </c>
      <c r="X1336">
        <v>2.23794</v>
      </c>
      <c r="Y1336">
        <v>1.93554</v>
      </c>
      <c r="Z1336">
        <v>0</v>
      </c>
      <c r="AA1336">
        <v>1.69326</v>
      </c>
      <c r="AB1336">
        <v>2.9635199999999999</v>
      </c>
      <c r="AC1336" s="2">
        <v>676322000</v>
      </c>
      <c r="AD1336" s="1">
        <v>0</v>
      </c>
      <c r="AE1336" s="1">
        <v>0</v>
      </c>
      <c r="AF1336" s="1">
        <v>0</v>
      </c>
      <c r="AG1336" s="1">
        <v>0</v>
      </c>
      <c r="AH1336" s="2">
        <v>5790080</v>
      </c>
      <c r="AI1336" s="1">
        <v>945613</v>
      </c>
      <c r="AJ1336" s="1">
        <v>0</v>
      </c>
      <c r="AK1336" s="8">
        <f t="shared" si="83"/>
        <v>35</v>
      </c>
      <c r="AL1336" s="8">
        <f t="shared" si="82"/>
        <v>26</v>
      </c>
      <c r="AM1336">
        <f t="shared" si="80"/>
        <v>0</v>
      </c>
      <c r="AN1336">
        <f t="shared" si="81"/>
        <v>0</v>
      </c>
    </row>
    <row r="1337" spans="1:40" x14ac:dyDescent="0.35">
      <c r="A1337">
        <v>73.202100000000002</v>
      </c>
      <c r="B1337">
        <v>85.138999999999996</v>
      </c>
      <c r="C1337">
        <v>1.6136600000000001</v>
      </c>
      <c r="D1337">
        <v>0.01</v>
      </c>
      <c r="E1337">
        <v>0.02</v>
      </c>
      <c r="F1337">
        <v>2.8785599999999998</v>
      </c>
      <c r="G1337">
        <v>3.1809599999999998</v>
      </c>
      <c r="H1337">
        <v>0</v>
      </c>
      <c r="I1337">
        <v>0.53939899999999996</v>
      </c>
      <c r="J1337">
        <v>5.3222399999999999</v>
      </c>
      <c r="K1337" s="2">
        <v>147592000</v>
      </c>
      <c r="L1337" s="1">
        <v>0</v>
      </c>
      <c r="M1337" s="1">
        <v>0</v>
      </c>
      <c r="N1337" s="1">
        <v>0</v>
      </c>
      <c r="O1337" s="1">
        <v>0</v>
      </c>
      <c r="P1337" s="2">
        <v>4303380</v>
      </c>
      <c r="Q1337" s="1">
        <v>-81529.5</v>
      </c>
      <c r="R1337" s="1">
        <v>408539</v>
      </c>
      <c r="S1337">
        <v>96.362200000000001</v>
      </c>
      <c r="T1337">
        <v>98.274000000000001</v>
      </c>
      <c r="U1337">
        <v>1.7674700000000001</v>
      </c>
      <c r="V1337">
        <v>0</v>
      </c>
      <c r="W1337">
        <v>0</v>
      </c>
      <c r="X1337">
        <v>2.2380800000000001</v>
      </c>
      <c r="Y1337">
        <v>1.9356800000000001</v>
      </c>
      <c r="Z1337">
        <v>0</v>
      </c>
      <c r="AA1337">
        <v>1.7290300000000001</v>
      </c>
      <c r="AB1337">
        <v>2.9635199999999999</v>
      </c>
      <c r="AC1337" s="2">
        <v>677268000</v>
      </c>
      <c r="AD1337" s="1">
        <v>0</v>
      </c>
      <c r="AE1337" s="1">
        <v>0</v>
      </c>
      <c r="AF1337" s="1">
        <v>0</v>
      </c>
      <c r="AG1337" s="1">
        <v>0</v>
      </c>
      <c r="AH1337" s="2">
        <v>5790440</v>
      </c>
      <c r="AI1337" s="1">
        <v>945624</v>
      </c>
      <c r="AJ1337" s="1">
        <v>0</v>
      </c>
      <c r="AK1337" s="8">
        <f t="shared" si="83"/>
        <v>36</v>
      </c>
      <c r="AL1337" s="8">
        <f t="shared" si="82"/>
        <v>26</v>
      </c>
      <c r="AM1337">
        <f t="shared" si="80"/>
        <v>0</v>
      </c>
      <c r="AN1337">
        <f t="shared" si="81"/>
        <v>0</v>
      </c>
    </row>
    <row r="1338" spans="1:40" x14ac:dyDescent="0.35">
      <c r="A1338">
        <v>71.759</v>
      </c>
      <c r="B1338">
        <v>85.138999999999996</v>
      </c>
      <c r="C1338">
        <v>1.4689700000000001</v>
      </c>
      <c r="D1338">
        <v>0.01</v>
      </c>
      <c r="E1338">
        <v>0.02</v>
      </c>
      <c r="F1338">
        <v>2.87879</v>
      </c>
      <c r="G1338">
        <v>3.18119</v>
      </c>
      <c r="H1338">
        <v>0</v>
      </c>
      <c r="I1338">
        <v>0.53944199999999998</v>
      </c>
      <c r="J1338">
        <v>5.3222399999999999</v>
      </c>
      <c r="K1338" s="2">
        <v>147510000</v>
      </c>
      <c r="L1338" s="1">
        <v>0</v>
      </c>
      <c r="M1338" s="1">
        <v>0</v>
      </c>
      <c r="N1338" s="1">
        <v>0</v>
      </c>
      <c r="O1338" s="1">
        <v>0</v>
      </c>
      <c r="P1338" s="2">
        <v>4303720</v>
      </c>
      <c r="Q1338" s="1">
        <v>-81505.899999999994</v>
      </c>
      <c r="R1338" s="1">
        <v>408539</v>
      </c>
      <c r="S1338">
        <v>95.795100000000005</v>
      </c>
      <c r="T1338">
        <v>98.274000000000001</v>
      </c>
      <c r="U1338">
        <v>1.5543499999999999</v>
      </c>
      <c r="V1338">
        <v>0</v>
      </c>
      <c r="W1338">
        <v>0</v>
      </c>
      <c r="X1338">
        <v>2.2382200000000001</v>
      </c>
      <c r="Y1338">
        <v>1.9358200000000001</v>
      </c>
      <c r="Z1338">
        <v>0</v>
      </c>
      <c r="AA1338">
        <v>1.7291399999999999</v>
      </c>
      <c r="AB1338">
        <v>2.9635199999999999</v>
      </c>
      <c r="AC1338" s="2">
        <v>678214000</v>
      </c>
      <c r="AD1338" s="1">
        <v>0</v>
      </c>
      <c r="AE1338" s="1">
        <v>0</v>
      </c>
      <c r="AF1338" s="1">
        <v>0</v>
      </c>
      <c r="AG1338" s="1">
        <v>0</v>
      </c>
      <c r="AH1338" s="2">
        <v>5790800</v>
      </c>
      <c r="AI1338" s="1">
        <v>945636</v>
      </c>
      <c r="AJ1338" s="1">
        <v>0</v>
      </c>
      <c r="AK1338" s="8">
        <f t="shared" si="83"/>
        <v>37</v>
      </c>
      <c r="AL1338" s="8">
        <f t="shared" si="82"/>
        <v>26</v>
      </c>
      <c r="AM1338">
        <f t="shared" si="80"/>
        <v>0</v>
      </c>
      <c r="AN1338">
        <f t="shared" si="81"/>
        <v>0</v>
      </c>
    </row>
    <row r="1339" spans="1:40" x14ac:dyDescent="0.35">
      <c r="A1339">
        <v>70.514399999999995</v>
      </c>
      <c r="B1339">
        <v>85.138999999999996</v>
      </c>
      <c r="C1339">
        <v>1.65073</v>
      </c>
      <c r="D1339">
        <v>0.01</v>
      </c>
      <c r="E1339">
        <v>0.02</v>
      </c>
      <c r="F1339">
        <v>2.8790200000000001</v>
      </c>
      <c r="G1339">
        <v>3.1814200000000001</v>
      </c>
      <c r="H1339">
        <v>0</v>
      </c>
      <c r="I1339">
        <v>0.53948499999999999</v>
      </c>
      <c r="J1339">
        <v>5.3222399999999999</v>
      </c>
      <c r="K1339" s="2">
        <v>147429000</v>
      </c>
      <c r="L1339" s="1">
        <v>0</v>
      </c>
      <c r="M1339" s="1">
        <v>0</v>
      </c>
      <c r="N1339" s="1">
        <v>0</v>
      </c>
      <c r="O1339" s="1">
        <v>0</v>
      </c>
      <c r="P1339" s="2">
        <v>4304060</v>
      </c>
      <c r="Q1339" s="1">
        <v>-81482.3</v>
      </c>
      <c r="R1339" s="1">
        <v>408539</v>
      </c>
      <c r="S1339">
        <v>94.978999999999999</v>
      </c>
      <c r="T1339">
        <v>98.274000000000001</v>
      </c>
      <c r="U1339">
        <v>2.0701299999999998</v>
      </c>
      <c r="V1339">
        <v>0</v>
      </c>
      <c r="W1339">
        <v>0</v>
      </c>
      <c r="X1339">
        <v>2.2383600000000001</v>
      </c>
      <c r="Y1339">
        <v>1.9359599999999999</v>
      </c>
      <c r="Z1339">
        <v>0</v>
      </c>
      <c r="AA1339">
        <v>1.72925</v>
      </c>
      <c r="AB1339">
        <v>2.9635199999999999</v>
      </c>
      <c r="AC1339" s="2">
        <v>679159000</v>
      </c>
      <c r="AD1339" s="1">
        <v>0</v>
      </c>
      <c r="AE1339" s="1">
        <v>0</v>
      </c>
      <c r="AF1339" s="1">
        <v>0</v>
      </c>
      <c r="AG1339" s="1">
        <v>0</v>
      </c>
      <c r="AH1339" s="2">
        <v>5791170</v>
      </c>
      <c r="AI1339" s="1">
        <v>945648</v>
      </c>
      <c r="AJ1339" s="1">
        <v>0</v>
      </c>
      <c r="AK1339" s="8">
        <f t="shared" si="83"/>
        <v>38</v>
      </c>
      <c r="AL1339" s="8">
        <f t="shared" si="82"/>
        <v>26</v>
      </c>
      <c r="AM1339">
        <f t="shared" si="80"/>
        <v>0</v>
      </c>
      <c r="AN1339">
        <f t="shared" si="81"/>
        <v>0</v>
      </c>
    </row>
    <row r="1340" spans="1:40" x14ac:dyDescent="0.35">
      <c r="A1340">
        <v>68.874700000000004</v>
      </c>
      <c r="B1340">
        <v>85.138999999999996</v>
      </c>
      <c r="C1340">
        <v>1.40689</v>
      </c>
      <c r="D1340">
        <v>0.01</v>
      </c>
      <c r="E1340">
        <v>0.02</v>
      </c>
      <c r="F1340">
        <v>3.0917400000000002</v>
      </c>
      <c r="G1340">
        <v>3.3941400000000002</v>
      </c>
      <c r="H1340">
        <v>0</v>
      </c>
      <c r="I1340">
        <v>0.53952800000000001</v>
      </c>
      <c r="J1340">
        <v>5.3222399999999999</v>
      </c>
      <c r="K1340" s="2">
        <v>147369000</v>
      </c>
      <c r="L1340" s="1">
        <v>0</v>
      </c>
      <c r="M1340" s="1">
        <v>0</v>
      </c>
      <c r="N1340" s="1">
        <v>0</v>
      </c>
      <c r="O1340" s="1">
        <v>0</v>
      </c>
      <c r="P1340" s="2">
        <v>4622070</v>
      </c>
      <c r="Q1340" s="1">
        <v>-59614.5</v>
      </c>
      <c r="R1340" s="1">
        <v>408539</v>
      </c>
      <c r="S1340">
        <v>94.0976</v>
      </c>
      <c r="T1340">
        <v>98.274000000000001</v>
      </c>
      <c r="U1340">
        <v>1.57961</v>
      </c>
      <c r="V1340">
        <v>0</v>
      </c>
      <c r="W1340">
        <v>0</v>
      </c>
      <c r="X1340">
        <v>2.4051900000000002</v>
      </c>
      <c r="Y1340">
        <v>2.1027900000000002</v>
      </c>
      <c r="Z1340">
        <v>0</v>
      </c>
      <c r="AA1340">
        <v>1.72936</v>
      </c>
      <c r="AB1340">
        <v>2.9635199999999999</v>
      </c>
      <c r="AC1340" s="2">
        <v>680119000</v>
      </c>
      <c r="AD1340" s="1">
        <v>0</v>
      </c>
      <c r="AE1340" s="1">
        <v>0</v>
      </c>
      <c r="AF1340" s="1">
        <v>0</v>
      </c>
      <c r="AG1340" s="1">
        <v>0</v>
      </c>
      <c r="AH1340" s="2">
        <v>6222790</v>
      </c>
      <c r="AI1340" s="1">
        <v>959717</v>
      </c>
      <c r="AJ1340" s="1">
        <v>0</v>
      </c>
      <c r="AK1340" s="8">
        <f t="shared" si="83"/>
        <v>39</v>
      </c>
      <c r="AL1340" s="8">
        <f t="shared" si="82"/>
        <v>26</v>
      </c>
      <c r="AM1340">
        <f t="shared" si="80"/>
        <v>0</v>
      </c>
      <c r="AN1340">
        <f t="shared" si="81"/>
        <v>0</v>
      </c>
    </row>
    <row r="1341" spans="1:40" x14ac:dyDescent="0.35">
      <c r="A1341">
        <v>67.293599999999998</v>
      </c>
      <c r="B1341">
        <v>85.138999999999996</v>
      </c>
      <c r="C1341">
        <v>1.46753</v>
      </c>
      <c r="D1341">
        <v>0.01</v>
      </c>
      <c r="E1341">
        <v>0.02</v>
      </c>
      <c r="F1341">
        <v>3.09198</v>
      </c>
      <c r="G1341">
        <v>3.39438</v>
      </c>
      <c r="H1341">
        <v>0</v>
      </c>
      <c r="I1341">
        <v>0.57939200000000002</v>
      </c>
      <c r="J1341">
        <v>5.3222399999999999</v>
      </c>
      <c r="K1341" s="2">
        <v>147310000</v>
      </c>
      <c r="L1341" s="1">
        <v>0</v>
      </c>
      <c r="M1341" s="1">
        <v>0</v>
      </c>
      <c r="N1341" s="1">
        <v>0</v>
      </c>
      <c r="O1341" s="1">
        <v>0</v>
      </c>
      <c r="P1341" s="2">
        <v>4622440</v>
      </c>
      <c r="Q1341" s="1">
        <v>-59589.3</v>
      </c>
      <c r="R1341" s="1">
        <v>408539</v>
      </c>
      <c r="S1341">
        <v>93.051100000000005</v>
      </c>
      <c r="T1341">
        <v>98.274000000000001</v>
      </c>
      <c r="U1341">
        <v>1.6220600000000001</v>
      </c>
      <c r="V1341">
        <v>0</v>
      </c>
      <c r="W1341">
        <v>0</v>
      </c>
      <c r="X1341">
        <v>2.4053399999999998</v>
      </c>
      <c r="Y1341">
        <v>2.1029399999999998</v>
      </c>
      <c r="Z1341">
        <v>0</v>
      </c>
      <c r="AA1341">
        <v>1.85825</v>
      </c>
      <c r="AB1341">
        <v>2.9635199999999999</v>
      </c>
      <c r="AC1341" s="2">
        <v>681079000</v>
      </c>
      <c r="AD1341" s="1">
        <v>0</v>
      </c>
      <c r="AE1341" s="1">
        <v>0</v>
      </c>
      <c r="AF1341" s="1">
        <v>0</v>
      </c>
      <c r="AG1341" s="1">
        <v>0</v>
      </c>
      <c r="AH1341" s="2">
        <v>6223190</v>
      </c>
      <c r="AI1341" s="1">
        <v>959730</v>
      </c>
      <c r="AJ1341" s="1">
        <v>0</v>
      </c>
      <c r="AK1341" s="8">
        <f t="shared" si="83"/>
        <v>40</v>
      </c>
      <c r="AL1341" s="8">
        <f t="shared" si="82"/>
        <v>26</v>
      </c>
      <c r="AM1341">
        <f t="shared" si="80"/>
        <v>0</v>
      </c>
      <c r="AN1341">
        <f t="shared" si="81"/>
        <v>0</v>
      </c>
    </row>
    <row r="1342" spans="1:40" x14ac:dyDescent="0.35">
      <c r="A1342">
        <v>65.4452</v>
      </c>
      <c r="B1342">
        <v>85.138999999999996</v>
      </c>
      <c r="C1342">
        <v>1.19641</v>
      </c>
      <c r="D1342">
        <v>0.01</v>
      </c>
      <c r="E1342">
        <v>0.02</v>
      </c>
      <c r="F1342">
        <v>3.0922299999999998</v>
      </c>
      <c r="G1342">
        <v>3.3946299999999998</v>
      </c>
      <c r="H1342">
        <v>0</v>
      </c>
      <c r="I1342">
        <v>0.57943800000000001</v>
      </c>
      <c r="J1342">
        <v>5.3222399999999999</v>
      </c>
      <c r="K1342" s="2">
        <v>147250000</v>
      </c>
      <c r="L1342" s="1">
        <v>0</v>
      </c>
      <c r="M1342" s="1">
        <v>0</v>
      </c>
      <c r="N1342" s="1">
        <v>0</v>
      </c>
      <c r="O1342" s="1">
        <v>0</v>
      </c>
      <c r="P1342" s="2">
        <v>4622800</v>
      </c>
      <c r="Q1342" s="1">
        <v>-59564.1</v>
      </c>
      <c r="R1342" s="1">
        <v>408539</v>
      </c>
      <c r="S1342">
        <v>92.394300000000001</v>
      </c>
      <c r="T1342">
        <v>98.274000000000001</v>
      </c>
      <c r="U1342">
        <v>1.22909</v>
      </c>
      <c r="V1342">
        <v>0</v>
      </c>
      <c r="W1342">
        <v>0</v>
      </c>
      <c r="X1342">
        <v>2.4054899999999999</v>
      </c>
      <c r="Y1342">
        <v>2.1030899999999999</v>
      </c>
      <c r="Z1342">
        <v>0</v>
      </c>
      <c r="AA1342">
        <v>1.8583700000000001</v>
      </c>
      <c r="AB1342">
        <v>2.9635199999999999</v>
      </c>
      <c r="AC1342" s="2">
        <v>682038000</v>
      </c>
      <c r="AD1342" s="1">
        <v>0</v>
      </c>
      <c r="AE1342" s="1">
        <v>0</v>
      </c>
      <c r="AF1342" s="1">
        <v>0</v>
      </c>
      <c r="AG1342" s="1">
        <v>0</v>
      </c>
      <c r="AH1342" s="2">
        <v>6223580</v>
      </c>
      <c r="AI1342" s="1">
        <v>959743</v>
      </c>
      <c r="AJ1342" s="1">
        <v>0</v>
      </c>
      <c r="AK1342" s="8">
        <f t="shared" si="83"/>
        <v>41</v>
      </c>
      <c r="AL1342" s="8">
        <f t="shared" si="82"/>
        <v>26</v>
      </c>
      <c r="AM1342">
        <f t="shared" si="80"/>
        <v>0</v>
      </c>
      <c r="AN1342">
        <f t="shared" si="81"/>
        <v>0</v>
      </c>
    </row>
    <row r="1343" spans="1:40" x14ac:dyDescent="0.35">
      <c r="A1343">
        <v>63.603700000000003</v>
      </c>
      <c r="B1343">
        <v>85.138999999999996</v>
      </c>
      <c r="C1343">
        <v>1.4135899999999999</v>
      </c>
      <c r="D1343">
        <v>0</v>
      </c>
      <c r="E1343">
        <v>0.02</v>
      </c>
      <c r="F1343">
        <v>3.3948700000000001</v>
      </c>
      <c r="G1343">
        <v>3.3948700000000001</v>
      </c>
      <c r="H1343">
        <v>0</v>
      </c>
      <c r="I1343">
        <v>0.579484</v>
      </c>
      <c r="J1343">
        <v>5.3222399999999999</v>
      </c>
      <c r="K1343" s="2">
        <v>147599000</v>
      </c>
      <c r="L1343" s="1">
        <v>0</v>
      </c>
      <c r="M1343" s="1">
        <v>0</v>
      </c>
      <c r="N1343" s="1">
        <v>0</v>
      </c>
      <c r="O1343" s="1">
        <v>0</v>
      </c>
      <c r="P1343" s="2">
        <v>5075250</v>
      </c>
      <c r="Q1343" s="1">
        <v>349000</v>
      </c>
      <c r="R1343" s="1">
        <v>0</v>
      </c>
      <c r="S1343">
        <v>91.826300000000003</v>
      </c>
      <c r="T1343">
        <v>98.274000000000001</v>
      </c>
      <c r="U1343">
        <v>1.98224</v>
      </c>
      <c r="V1343">
        <v>0</v>
      </c>
      <c r="W1343">
        <v>0</v>
      </c>
      <c r="X1343">
        <v>2.10324</v>
      </c>
      <c r="Y1343">
        <v>2.10324</v>
      </c>
      <c r="Z1343">
        <v>0</v>
      </c>
      <c r="AA1343">
        <v>1.8584799999999999</v>
      </c>
      <c r="AB1343">
        <v>2.9635199999999999</v>
      </c>
      <c r="AC1343" s="2">
        <v>682216000</v>
      </c>
      <c r="AD1343" s="1">
        <v>0</v>
      </c>
      <c r="AE1343" s="1">
        <v>0</v>
      </c>
      <c r="AF1343" s="1">
        <v>0</v>
      </c>
      <c r="AG1343" s="1">
        <v>0</v>
      </c>
      <c r="AH1343" s="2">
        <v>5441590</v>
      </c>
      <c r="AI1343" s="1">
        <v>177375</v>
      </c>
      <c r="AJ1343" s="1">
        <v>0</v>
      </c>
      <c r="AK1343" s="8">
        <f t="shared" si="83"/>
        <v>42</v>
      </c>
      <c r="AL1343" s="8">
        <f t="shared" si="82"/>
        <v>26</v>
      </c>
      <c r="AM1343">
        <f t="shared" si="80"/>
        <v>0</v>
      </c>
      <c r="AN1343">
        <f t="shared" si="81"/>
        <v>0</v>
      </c>
    </row>
    <row r="1344" spans="1:40" x14ac:dyDescent="0.35">
      <c r="A1344">
        <v>61.595399999999998</v>
      </c>
      <c r="B1344">
        <v>85.138999999999996</v>
      </c>
      <c r="C1344">
        <v>1.2412700000000001</v>
      </c>
      <c r="D1344">
        <v>0</v>
      </c>
      <c r="E1344">
        <v>0.02</v>
      </c>
      <c r="F1344">
        <v>3.3951199999999999</v>
      </c>
      <c r="G1344">
        <v>3.3951199999999999</v>
      </c>
      <c r="H1344">
        <v>0</v>
      </c>
      <c r="I1344">
        <v>0.63619899999999996</v>
      </c>
      <c r="J1344">
        <v>5.3222399999999999</v>
      </c>
      <c r="K1344" s="2">
        <v>147948000</v>
      </c>
      <c r="L1344" s="1">
        <v>0</v>
      </c>
      <c r="M1344" s="1">
        <v>0</v>
      </c>
      <c r="N1344" s="1">
        <v>0</v>
      </c>
      <c r="O1344" s="1">
        <v>0</v>
      </c>
      <c r="P1344" s="2">
        <v>5075620</v>
      </c>
      <c r="Q1344" s="1">
        <v>349025</v>
      </c>
      <c r="R1344" s="1">
        <v>0</v>
      </c>
      <c r="S1344">
        <v>91.469899999999996</v>
      </c>
      <c r="T1344">
        <v>98.274000000000001</v>
      </c>
      <c r="U1344">
        <v>1.8178300000000001</v>
      </c>
      <c r="V1344">
        <v>0</v>
      </c>
      <c r="W1344">
        <v>0</v>
      </c>
      <c r="X1344">
        <v>2.1033900000000001</v>
      </c>
      <c r="Y1344">
        <v>2.1033900000000001</v>
      </c>
      <c r="Z1344">
        <v>0</v>
      </c>
      <c r="AA1344">
        <v>1.62497</v>
      </c>
      <c r="AB1344">
        <v>2.9635199999999999</v>
      </c>
      <c r="AC1344" s="2">
        <v>682393000</v>
      </c>
      <c r="AD1344" s="1">
        <v>0</v>
      </c>
      <c r="AE1344" s="1">
        <v>0</v>
      </c>
      <c r="AF1344" s="1">
        <v>0</v>
      </c>
      <c r="AG1344" s="1">
        <v>0</v>
      </c>
      <c r="AH1344" s="2">
        <v>5441980</v>
      </c>
      <c r="AI1344" s="1">
        <v>177388</v>
      </c>
      <c r="AJ1344" s="1">
        <v>0</v>
      </c>
      <c r="AK1344" s="8">
        <f t="shared" si="83"/>
        <v>43</v>
      </c>
      <c r="AL1344" s="8">
        <f t="shared" si="82"/>
        <v>26</v>
      </c>
      <c r="AM1344">
        <f t="shared" si="80"/>
        <v>0</v>
      </c>
      <c r="AN1344">
        <f t="shared" si="81"/>
        <v>0</v>
      </c>
    </row>
    <row r="1345" spans="1:40" x14ac:dyDescent="0.35">
      <c r="A1345">
        <v>59.935899999999997</v>
      </c>
      <c r="B1345">
        <v>85.138999999999996</v>
      </c>
      <c r="C1345">
        <v>1.49329</v>
      </c>
      <c r="D1345">
        <v>0</v>
      </c>
      <c r="E1345">
        <v>0.02</v>
      </c>
      <c r="F1345">
        <v>3.2917700000000001</v>
      </c>
      <c r="G1345">
        <v>3.2917700000000001</v>
      </c>
      <c r="H1345">
        <v>0</v>
      </c>
      <c r="I1345">
        <v>0.63624499999999995</v>
      </c>
      <c r="J1345">
        <v>5.3222399999999999</v>
      </c>
      <c r="K1345" s="2">
        <v>148287000</v>
      </c>
      <c r="L1345" s="1">
        <v>0</v>
      </c>
      <c r="M1345" s="1">
        <v>0</v>
      </c>
      <c r="N1345" s="1">
        <v>0</v>
      </c>
      <c r="O1345" s="1">
        <v>0</v>
      </c>
      <c r="P1345" s="2">
        <v>4921110</v>
      </c>
      <c r="Q1345" s="1">
        <v>338400</v>
      </c>
      <c r="R1345" s="1">
        <v>0</v>
      </c>
      <c r="S1345">
        <v>91.250200000000007</v>
      </c>
      <c r="T1345">
        <v>98.274000000000001</v>
      </c>
      <c r="U1345">
        <v>2.2405900000000001</v>
      </c>
      <c r="V1345">
        <v>0</v>
      </c>
      <c r="W1345">
        <v>0</v>
      </c>
      <c r="X1345">
        <v>2.0023399999999998</v>
      </c>
      <c r="Y1345">
        <v>2.0023399999999998</v>
      </c>
      <c r="Z1345">
        <v>0</v>
      </c>
      <c r="AA1345">
        <v>1.6250800000000001</v>
      </c>
      <c r="AB1345">
        <v>2.9635199999999999</v>
      </c>
      <c r="AC1345" s="2">
        <v>682562000</v>
      </c>
      <c r="AD1345" s="1">
        <v>0</v>
      </c>
      <c r="AE1345" s="1">
        <v>0</v>
      </c>
      <c r="AF1345" s="1">
        <v>0</v>
      </c>
      <c r="AG1345" s="1">
        <v>0</v>
      </c>
      <c r="AH1345" s="2">
        <v>5180520</v>
      </c>
      <c r="AI1345" s="1">
        <v>168865</v>
      </c>
      <c r="AJ1345" s="1">
        <v>0</v>
      </c>
      <c r="AK1345" s="8">
        <f t="shared" si="83"/>
        <v>44</v>
      </c>
      <c r="AL1345" s="8">
        <f t="shared" si="82"/>
        <v>26</v>
      </c>
      <c r="AM1345">
        <f t="shared" si="80"/>
        <v>0</v>
      </c>
      <c r="AN1345">
        <f t="shared" si="81"/>
        <v>0</v>
      </c>
    </row>
    <row r="1346" spans="1:40" x14ac:dyDescent="0.35">
      <c r="A1346">
        <v>58.551200000000001</v>
      </c>
      <c r="B1346">
        <v>85.138999999999996</v>
      </c>
      <c r="C1346">
        <v>1.77661</v>
      </c>
      <c r="D1346">
        <v>0</v>
      </c>
      <c r="E1346">
        <v>0.02</v>
      </c>
      <c r="F1346">
        <v>3.2920099999999999</v>
      </c>
      <c r="G1346">
        <v>3.2920099999999999</v>
      </c>
      <c r="H1346">
        <v>0</v>
      </c>
      <c r="I1346">
        <v>0.61687700000000001</v>
      </c>
      <c r="J1346">
        <v>5.3222399999999999</v>
      </c>
      <c r="K1346" s="2">
        <v>148625000</v>
      </c>
      <c r="L1346" s="1">
        <v>0</v>
      </c>
      <c r="M1346" s="1">
        <v>0</v>
      </c>
      <c r="N1346" s="1">
        <v>0</v>
      </c>
      <c r="O1346" s="1">
        <v>0</v>
      </c>
      <c r="P1346" s="2">
        <v>4921460</v>
      </c>
      <c r="Q1346" s="1">
        <v>338425</v>
      </c>
      <c r="R1346" s="1">
        <v>0</v>
      </c>
      <c r="S1346">
        <v>91.086500000000001</v>
      </c>
      <c r="T1346">
        <v>98.274000000000001</v>
      </c>
      <c r="U1346">
        <v>2.17964</v>
      </c>
      <c r="V1346">
        <v>0</v>
      </c>
      <c r="W1346">
        <v>0</v>
      </c>
      <c r="X1346">
        <v>2.0024799999999998</v>
      </c>
      <c r="Y1346">
        <v>2.0024799999999998</v>
      </c>
      <c r="Z1346">
        <v>0</v>
      </c>
      <c r="AA1346">
        <v>1.5469999999999999</v>
      </c>
      <c r="AB1346">
        <v>2.9635199999999999</v>
      </c>
      <c r="AC1346" s="2">
        <v>682731000</v>
      </c>
      <c r="AD1346" s="1">
        <v>0</v>
      </c>
      <c r="AE1346" s="1">
        <v>0</v>
      </c>
      <c r="AF1346" s="1">
        <v>0</v>
      </c>
      <c r="AG1346" s="1">
        <v>0</v>
      </c>
      <c r="AH1346" s="2">
        <v>5180890</v>
      </c>
      <c r="AI1346" s="1">
        <v>168877</v>
      </c>
      <c r="AJ1346" s="1">
        <v>0</v>
      </c>
      <c r="AK1346" s="8">
        <f t="shared" si="83"/>
        <v>45</v>
      </c>
      <c r="AL1346" s="8">
        <f t="shared" si="82"/>
        <v>26</v>
      </c>
      <c r="AM1346">
        <f t="shared" si="80"/>
        <v>0</v>
      </c>
      <c r="AN1346">
        <f t="shared" si="81"/>
        <v>0</v>
      </c>
    </row>
    <row r="1347" spans="1:40" x14ac:dyDescent="0.35">
      <c r="A1347">
        <v>58.080599999999997</v>
      </c>
      <c r="B1347">
        <v>85.138999999999996</v>
      </c>
      <c r="C1347">
        <v>2.7654899999999998</v>
      </c>
      <c r="D1347">
        <v>0</v>
      </c>
      <c r="E1347">
        <v>0.02</v>
      </c>
      <c r="F1347">
        <v>3.2922400000000001</v>
      </c>
      <c r="G1347">
        <v>3.2922400000000001</v>
      </c>
      <c r="H1347">
        <v>0</v>
      </c>
      <c r="I1347">
        <v>0.61692199999999997</v>
      </c>
      <c r="J1347">
        <v>5.3222399999999999</v>
      </c>
      <c r="K1347" s="2">
        <v>148963000</v>
      </c>
      <c r="L1347" s="1">
        <v>0</v>
      </c>
      <c r="M1347" s="1">
        <v>0</v>
      </c>
      <c r="N1347" s="1">
        <v>0</v>
      </c>
      <c r="O1347" s="1">
        <v>0</v>
      </c>
      <c r="P1347" s="2">
        <v>4921820</v>
      </c>
      <c r="Q1347" s="1">
        <v>338449</v>
      </c>
      <c r="R1347" s="1">
        <v>0</v>
      </c>
      <c r="S1347">
        <v>91.395099999999999</v>
      </c>
      <c r="T1347">
        <v>98.274000000000001</v>
      </c>
      <c r="U1347">
        <v>3.8108</v>
      </c>
      <c r="V1347">
        <v>0</v>
      </c>
      <c r="W1347">
        <v>0</v>
      </c>
      <c r="X1347">
        <v>2.0026199999999998</v>
      </c>
      <c r="Y1347">
        <v>2.0026199999999998</v>
      </c>
      <c r="Z1347">
        <v>0</v>
      </c>
      <c r="AA1347">
        <v>1.5471200000000001</v>
      </c>
      <c r="AB1347">
        <v>2.9635199999999999</v>
      </c>
      <c r="AC1347" s="2">
        <v>682900000</v>
      </c>
      <c r="AD1347" s="1">
        <v>0</v>
      </c>
      <c r="AE1347" s="1">
        <v>0</v>
      </c>
      <c r="AF1347" s="1">
        <v>0</v>
      </c>
      <c r="AG1347" s="1">
        <v>0</v>
      </c>
      <c r="AH1347" s="2">
        <v>5181270</v>
      </c>
      <c r="AI1347" s="1">
        <v>168889</v>
      </c>
      <c r="AJ1347" s="1">
        <v>0</v>
      </c>
      <c r="AK1347" s="8">
        <f t="shared" si="83"/>
        <v>46</v>
      </c>
      <c r="AL1347" s="8">
        <f t="shared" si="82"/>
        <v>26</v>
      </c>
      <c r="AM1347">
        <f t="shared" ref="AM1347:AM1410" si="84">IF(AK1347=52,AC1347,0)</f>
        <v>0</v>
      </c>
      <c r="AN1347">
        <f t="shared" ref="AN1347:AN1410" si="85">IF(AK1347=52,K1347,0)</f>
        <v>0</v>
      </c>
    </row>
    <row r="1348" spans="1:40" x14ac:dyDescent="0.35">
      <c r="A1348">
        <v>57.187399999999997</v>
      </c>
      <c r="B1348">
        <v>85.138999999999996</v>
      </c>
      <c r="C1348">
        <v>2.4339200000000001</v>
      </c>
      <c r="D1348">
        <v>0</v>
      </c>
      <c r="E1348">
        <v>0.02</v>
      </c>
      <c r="F1348">
        <v>3.2924799999999999</v>
      </c>
      <c r="G1348">
        <v>3.2924799999999999</v>
      </c>
      <c r="H1348">
        <v>0</v>
      </c>
      <c r="I1348">
        <v>0.61696600000000001</v>
      </c>
      <c r="J1348">
        <v>5.3222399999999999</v>
      </c>
      <c r="K1348" s="2">
        <v>149302000</v>
      </c>
      <c r="L1348" s="1">
        <v>0</v>
      </c>
      <c r="M1348" s="1">
        <v>0</v>
      </c>
      <c r="N1348" s="1">
        <v>0</v>
      </c>
      <c r="O1348" s="1">
        <v>0</v>
      </c>
      <c r="P1348" s="2">
        <v>4922180</v>
      </c>
      <c r="Q1348" s="1">
        <v>338473</v>
      </c>
      <c r="R1348" s="1">
        <v>0</v>
      </c>
      <c r="S1348">
        <v>91.460999999999999</v>
      </c>
      <c r="T1348">
        <v>98.274000000000001</v>
      </c>
      <c r="U1348">
        <v>2.9726400000000002</v>
      </c>
      <c r="V1348">
        <v>0</v>
      </c>
      <c r="W1348">
        <v>0</v>
      </c>
      <c r="X1348">
        <v>2.0027699999999999</v>
      </c>
      <c r="Y1348">
        <v>2.0027699999999999</v>
      </c>
      <c r="Z1348">
        <v>0</v>
      </c>
      <c r="AA1348">
        <v>1.5472300000000001</v>
      </c>
      <c r="AB1348">
        <v>2.9635199999999999</v>
      </c>
      <c r="AC1348" s="2">
        <v>683069000</v>
      </c>
      <c r="AD1348" s="1">
        <v>0</v>
      </c>
      <c r="AE1348" s="1">
        <v>0</v>
      </c>
      <c r="AF1348" s="1">
        <v>0</v>
      </c>
      <c r="AG1348" s="1">
        <v>0</v>
      </c>
      <c r="AH1348" s="2">
        <v>5181640</v>
      </c>
      <c r="AI1348" s="1">
        <v>168902</v>
      </c>
      <c r="AJ1348" s="1">
        <v>0</v>
      </c>
      <c r="AK1348" s="8">
        <f t="shared" si="83"/>
        <v>47</v>
      </c>
      <c r="AL1348" s="8">
        <f t="shared" ref="AL1348:AL1411" si="86">IF(AK1347=52,AL1347+1,AL1347)</f>
        <v>26</v>
      </c>
      <c r="AM1348">
        <f t="shared" si="84"/>
        <v>0</v>
      </c>
      <c r="AN1348">
        <f t="shared" si="85"/>
        <v>0</v>
      </c>
    </row>
    <row r="1349" spans="1:40" x14ac:dyDescent="0.35">
      <c r="A1349">
        <v>57.123600000000003</v>
      </c>
      <c r="B1349">
        <v>85.138999999999996</v>
      </c>
      <c r="C1349">
        <v>3.2203200000000001</v>
      </c>
      <c r="D1349">
        <v>0</v>
      </c>
      <c r="E1349">
        <v>0.02</v>
      </c>
      <c r="F1349">
        <v>3.2076600000000002</v>
      </c>
      <c r="G1349">
        <v>3.2076600000000002</v>
      </c>
      <c r="H1349">
        <v>0</v>
      </c>
      <c r="I1349">
        <v>0.61701099999999998</v>
      </c>
      <c r="J1349">
        <v>5.3222399999999999</v>
      </c>
      <c r="K1349" s="2">
        <v>149632000</v>
      </c>
      <c r="L1349" s="1">
        <v>0</v>
      </c>
      <c r="M1349" s="1">
        <v>0</v>
      </c>
      <c r="N1349" s="1">
        <v>0</v>
      </c>
      <c r="O1349" s="1">
        <v>0</v>
      </c>
      <c r="P1349" s="2">
        <v>4795370</v>
      </c>
      <c r="Q1349" s="1">
        <v>329754</v>
      </c>
      <c r="R1349" s="1">
        <v>0</v>
      </c>
      <c r="S1349">
        <v>91.618099999999998</v>
      </c>
      <c r="T1349">
        <v>98.274000000000001</v>
      </c>
      <c r="U1349">
        <v>3.07572</v>
      </c>
      <c r="V1349">
        <v>0</v>
      </c>
      <c r="W1349">
        <v>0</v>
      </c>
      <c r="X1349">
        <v>1.91076</v>
      </c>
      <c r="Y1349">
        <v>1.91076</v>
      </c>
      <c r="Z1349">
        <v>0</v>
      </c>
      <c r="AA1349">
        <v>1.5473399999999999</v>
      </c>
      <c r="AB1349">
        <v>2.9635199999999999</v>
      </c>
      <c r="AC1349" s="2">
        <v>683230000</v>
      </c>
      <c r="AD1349" s="1">
        <v>0</v>
      </c>
      <c r="AE1349" s="1">
        <v>0</v>
      </c>
      <c r="AF1349" s="1">
        <v>0</v>
      </c>
      <c r="AG1349" s="1">
        <v>0</v>
      </c>
      <c r="AH1349" s="2">
        <v>4943590</v>
      </c>
      <c r="AI1349" s="1">
        <v>161142</v>
      </c>
      <c r="AJ1349" s="1">
        <v>0</v>
      </c>
      <c r="AK1349" s="8">
        <f t="shared" si="83"/>
        <v>48</v>
      </c>
      <c r="AL1349" s="8">
        <f t="shared" si="86"/>
        <v>26</v>
      </c>
      <c r="AM1349">
        <f t="shared" si="84"/>
        <v>0</v>
      </c>
      <c r="AN1349">
        <f t="shared" si="85"/>
        <v>0</v>
      </c>
    </row>
    <row r="1350" spans="1:40" x14ac:dyDescent="0.35">
      <c r="A1350">
        <v>57.063099999999999</v>
      </c>
      <c r="B1350">
        <v>85.138999999999996</v>
      </c>
      <c r="C1350">
        <v>3.2281499999999999</v>
      </c>
      <c r="D1350">
        <v>0</v>
      </c>
      <c r="E1350">
        <v>0.02</v>
      </c>
      <c r="F1350">
        <v>3.2078899999999999</v>
      </c>
      <c r="G1350">
        <v>3.2078899999999999</v>
      </c>
      <c r="H1350">
        <v>0</v>
      </c>
      <c r="I1350">
        <v>0.60111499999999995</v>
      </c>
      <c r="J1350">
        <v>5.3222399999999999</v>
      </c>
      <c r="K1350" s="2">
        <v>149961000</v>
      </c>
      <c r="L1350" s="1">
        <v>0</v>
      </c>
      <c r="M1350" s="1">
        <v>0</v>
      </c>
      <c r="N1350" s="1">
        <v>0</v>
      </c>
      <c r="O1350" s="1">
        <v>0</v>
      </c>
      <c r="P1350" s="2">
        <v>4795720</v>
      </c>
      <c r="Q1350" s="1">
        <v>329777</v>
      </c>
      <c r="R1350" s="1">
        <v>0</v>
      </c>
      <c r="S1350">
        <v>91.783100000000005</v>
      </c>
      <c r="T1350">
        <v>98.274000000000001</v>
      </c>
      <c r="U1350">
        <v>3.2240700000000002</v>
      </c>
      <c r="V1350">
        <v>0</v>
      </c>
      <c r="W1350">
        <v>0</v>
      </c>
      <c r="X1350">
        <v>1.9109</v>
      </c>
      <c r="Y1350">
        <v>1.9109</v>
      </c>
      <c r="Z1350">
        <v>0</v>
      </c>
      <c r="AA1350">
        <v>1.4762500000000001</v>
      </c>
      <c r="AB1350">
        <v>2.9635199999999999</v>
      </c>
      <c r="AC1350" s="2">
        <v>683391000</v>
      </c>
      <c r="AD1350" s="1">
        <v>0</v>
      </c>
      <c r="AE1350" s="1">
        <v>0</v>
      </c>
      <c r="AF1350" s="1">
        <v>0</v>
      </c>
      <c r="AG1350" s="1">
        <v>0</v>
      </c>
      <c r="AH1350" s="2">
        <v>4943950</v>
      </c>
      <c r="AI1350" s="1">
        <v>161154</v>
      </c>
      <c r="AJ1350" s="1">
        <v>0</v>
      </c>
      <c r="AK1350" s="8">
        <f t="shared" si="83"/>
        <v>49</v>
      </c>
      <c r="AL1350" s="8">
        <f t="shared" si="86"/>
        <v>26</v>
      </c>
      <c r="AM1350">
        <f t="shared" si="84"/>
        <v>0</v>
      </c>
      <c r="AN1350">
        <f t="shared" si="85"/>
        <v>0</v>
      </c>
    </row>
    <row r="1351" spans="1:40" x14ac:dyDescent="0.35">
      <c r="A1351">
        <v>57.278799999999997</v>
      </c>
      <c r="B1351">
        <v>85.138999999999996</v>
      </c>
      <c r="C1351">
        <v>3.51362</v>
      </c>
      <c r="D1351">
        <v>0</v>
      </c>
      <c r="E1351">
        <v>0.02</v>
      </c>
      <c r="F1351">
        <v>3.2081200000000001</v>
      </c>
      <c r="G1351">
        <v>3.2081200000000001</v>
      </c>
      <c r="H1351">
        <v>0</v>
      </c>
      <c r="I1351">
        <v>0.601159</v>
      </c>
      <c r="J1351">
        <v>5.3222399999999999</v>
      </c>
      <c r="K1351" s="2">
        <v>150291000</v>
      </c>
      <c r="L1351" s="1">
        <v>0</v>
      </c>
      <c r="M1351" s="1">
        <v>0</v>
      </c>
      <c r="N1351" s="1">
        <v>0</v>
      </c>
      <c r="O1351" s="1">
        <v>0</v>
      </c>
      <c r="P1351" s="2">
        <v>4796060</v>
      </c>
      <c r="Q1351" s="1">
        <v>329801</v>
      </c>
      <c r="R1351" s="1">
        <v>0</v>
      </c>
      <c r="S1351">
        <v>92.644499999999994</v>
      </c>
      <c r="T1351">
        <v>98.274000000000001</v>
      </c>
      <c r="U1351">
        <v>4.5401600000000002</v>
      </c>
      <c r="V1351">
        <v>0</v>
      </c>
      <c r="W1351">
        <v>0</v>
      </c>
      <c r="X1351">
        <v>1.9110400000000001</v>
      </c>
      <c r="Y1351">
        <v>1.9110400000000001</v>
      </c>
      <c r="Z1351">
        <v>0</v>
      </c>
      <c r="AA1351">
        <v>1.4763599999999999</v>
      </c>
      <c r="AB1351">
        <v>2.9635199999999999</v>
      </c>
      <c r="AC1351" s="2">
        <v>683552000</v>
      </c>
      <c r="AD1351" s="1">
        <v>0</v>
      </c>
      <c r="AE1351" s="1">
        <v>0</v>
      </c>
      <c r="AF1351" s="1">
        <v>0</v>
      </c>
      <c r="AG1351" s="1">
        <v>0</v>
      </c>
      <c r="AH1351" s="2">
        <v>4944310</v>
      </c>
      <c r="AI1351" s="1">
        <v>161165</v>
      </c>
      <c r="AJ1351" s="1">
        <v>0</v>
      </c>
      <c r="AK1351" s="8">
        <f t="shared" si="83"/>
        <v>50</v>
      </c>
      <c r="AL1351" s="8">
        <f t="shared" si="86"/>
        <v>26</v>
      </c>
      <c r="AM1351">
        <f t="shared" si="84"/>
        <v>0</v>
      </c>
      <c r="AN1351">
        <f t="shared" si="85"/>
        <v>0</v>
      </c>
    </row>
    <row r="1352" spans="1:40" x14ac:dyDescent="0.35">
      <c r="A1352">
        <v>57.067</v>
      </c>
      <c r="B1352">
        <v>85.138999999999996</v>
      </c>
      <c r="C1352">
        <v>3.1088399999999998</v>
      </c>
      <c r="D1352">
        <v>0</v>
      </c>
      <c r="E1352">
        <v>0.02</v>
      </c>
      <c r="F1352">
        <v>3.2083499999999998</v>
      </c>
      <c r="G1352">
        <v>3.2083499999999998</v>
      </c>
      <c r="H1352">
        <v>0</v>
      </c>
      <c r="I1352">
        <v>0.60120200000000001</v>
      </c>
      <c r="J1352">
        <v>5.3222399999999999</v>
      </c>
      <c r="K1352" s="2">
        <v>150621000</v>
      </c>
      <c r="L1352" s="1">
        <v>0</v>
      </c>
      <c r="M1352" s="1">
        <v>0</v>
      </c>
      <c r="N1352" s="1">
        <v>0</v>
      </c>
      <c r="O1352" s="1">
        <v>0</v>
      </c>
      <c r="P1352" s="2">
        <v>4796410</v>
      </c>
      <c r="Q1352" s="1">
        <v>329825</v>
      </c>
      <c r="R1352" s="1">
        <v>0</v>
      </c>
      <c r="S1352">
        <v>93.467100000000002</v>
      </c>
      <c r="T1352">
        <v>98.274000000000001</v>
      </c>
      <c r="U1352">
        <v>4.3407299999999998</v>
      </c>
      <c r="V1352">
        <v>0</v>
      </c>
      <c r="W1352">
        <v>0</v>
      </c>
      <c r="X1352">
        <v>1.91117</v>
      </c>
      <c r="Y1352">
        <v>1.91117</v>
      </c>
      <c r="Z1352">
        <v>0</v>
      </c>
      <c r="AA1352">
        <v>1.4764699999999999</v>
      </c>
      <c r="AB1352">
        <v>2.9635199999999999</v>
      </c>
      <c r="AC1352" s="2">
        <v>683713000</v>
      </c>
      <c r="AD1352" s="1">
        <v>0</v>
      </c>
      <c r="AE1352" s="1">
        <v>0</v>
      </c>
      <c r="AF1352" s="1">
        <v>0</v>
      </c>
      <c r="AG1352" s="1">
        <v>0</v>
      </c>
      <c r="AH1352" s="2">
        <v>4944660</v>
      </c>
      <c r="AI1352" s="1">
        <v>161177</v>
      </c>
      <c r="AJ1352" s="1">
        <v>0</v>
      </c>
      <c r="AK1352" s="8">
        <f t="shared" ref="AK1352:AK1415" si="87">IF(AK1351=52, 1, AK1351+1)</f>
        <v>51</v>
      </c>
      <c r="AL1352" s="8">
        <f t="shared" si="86"/>
        <v>26</v>
      </c>
      <c r="AM1352">
        <f t="shared" si="84"/>
        <v>0</v>
      </c>
      <c r="AN1352">
        <f t="shared" si="85"/>
        <v>0</v>
      </c>
    </row>
    <row r="1353" spans="1:40" x14ac:dyDescent="0.35">
      <c r="A1353">
        <v>56.872</v>
      </c>
      <c r="B1353">
        <v>85.138999999999996</v>
      </c>
      <c r="C1353">
        <v>3.0862599999999998</v>
      </c>
      <c r="D1353">
        <v>0</v>
      </c>
      <c r="E1353">
        <v>0.02</v>
      </c>
      <c r="F1353">
        <v>2.9669400000000001</v>
      </c>
      <c r="G1353">
        <v>2.9669400000000001</v>
      </c>
      <c r="H1353">
        <v>0</v>
      </c>
      <c r="I1353">
        <v>0.60124599999999995</v>
      </c>
      <c r="J1353">
        <v>5.3222399999999999</v>
      </c>
      <c r="K1353" s="2">
        <v>150926000</v>
      </c>
      <c r="L1353" s="1">
        <v>0</v>
      </c>
      <c r="M1353" s="1">
        <v>0</v>
      </c>
      <c r="N1353" s="1">
        <v>0</v>
      </c>
      <c r="O1353" s="1">
        <v>0</v>
      </c>
      <c r="P1353" s="2">
        <v>4435500</v>
      </c>
      <c r="Q1353" s="1">
        <v>305007</v>
      </c>
      <c r="R1353" s="1">
        <v>0</v>
      </c>
      <c r="S1353">
        <v>94.3078</v>
      </c>
      <c r="T1353">
        <v>98.274000000000001</v>
      </c>
      <c r="U1353">
        <v>4.5531699999999997</v>
      </c>
      <c r="V1353">
        <v>0</v>
      </c>
      <c r="W1353">
        <v>0</v>
      </c>
      <c r="X1353">
        <v>1.71933</v>
      </c>
      <c r="Y1353">
        <v>1.71933</v>
      </c>
      <c r="Z1353">
        <v>0</v>
      </c>
      <c r="AA1353">
        <v>1.4765699999999999</v>
      </c>
      <c r="AB1353">
        <v>2.9635199999999999</v>
      </c>
      <c r="AC1353" s="2">
        <v>683858000</v>
      </c>
      <c r="AD1353" s="1">
        <v>0</v>
      </c>
      <c r="AE1353" s="1">
        <v>0</v>
      </c>
      <c r="AF1353" s="1">
        <v>0</v>
      </c>
      <c r="AG1353" s="1">
        <v>0</v>
      </c>
      <c r="AH1353" s="2">
        <v>4448310</v>
      </c>
      <c r="AI1353" s="1">
        <v>144998</v>
      </c>
      <c r="AJ1353" s="1">
        <v>0</v>
      </c>
      <c r="AK1353" s="8">
        <f t="shared" si="87"/>
        <v>52</v>
      </c>
      <c r="AL1353" s="8">
        <f t="shared" si="86"/>
        <v>26</v>
      </c>
      <c r="AM1353">
        <f t="shared" si="84"/>
        <v>683858000</v>
      </c>
      <c r="AN1353">
        <f t="shared" si="85"/>
        <v>150926000</v>
      </c>
    </row>
    <row r="1354" spans="1:40" x14ac:dyDescent="0.35">
      <c r="A1354">
        <v>56.573099999999997</v>
      </c>
      <c r="B1354">
        <v>85.138999999999996</v>
      </c>
      <c r="C1354">
        <v>2.9521799999999998</v>
      </c>
      <c r="D1354">
        <v>0</v>
      </c>
      <c r="E1354">
        <v>0.02</v>
      </c>
      <c r="F1354">
        <v>2.9671599999999998</v>
      </c>
      <c r="G1354">
        <v>2.9671599999999998</v>
      </c>
      <c r="H1354">
        <v>0</v>
      </c>
      <c r="I1354">
        <v>0.55600499999999997</v>
      </c>
      <c r="J1354">
        <v>5.3222399999999999</v>
      </c>
      <c r="K1354" s="2">
        <v>151231000</v>
      </c>
      <c r="L1354" s="1">
        <v>0</v>
      </c>
      <c r="M1354" s="1">
        <v>0</v>
      </c>
      <c r="N1354" s="1">
        <v>0</v>
      </c>
      <c r="O1354" s="1">
        <v>0</v>
      </c>
      <c r="P1354" s="2">
        <v>4435820</v>
      </c>
      <c r="Q1354" s="1">
        <v>305029</v>
      </c>
      <c r="R1354" s="1">
        <v>0</v>
      </c>
      <c r="S1354">
        <v>95.0642</v>
      </c>
      <c r="T1354">
        <v>98.274000000000001</v>
      </c>
      <c r="U1354">
        <v>4.9213300000000002</v>
      </c>
      <c r="V1354">
        <v>0</v>
      </c>
      <c r="W1354">
        <v>0</v>
      </c>
      <c r="X1354">
        <v>1.7194499999999999</v>
      </c>
      <c r="Y1354">
        <v>1.7194499999999999</v>
      </c>
      <c r="Z1354">
        <v>0</v>
      </c>
      <c r="AA1354">
        <v>1.3283499999999999</v>
      </c>
      <c r="AB1354">
        <v>2.9635199999999999</v>
      </c>
      <c r="AC1354" s="2">
        <v>684003000</v>
      </c>
      <c r="AD1354" s="1">
        <v>0</v>
      </c>
      <c r="AE1354" s="1">
        <v>0</v>
      </c>
      <c r="AF1354" s="1">
        <v>0</v>
      </c>
      <c r="AG1354" s="1">
        <v>0</v>
      </c>
      <c r="AH1354" s="2">
        <v>4448630</v>
      </c>
      <c r="AI1354" s="1">
        <v>145008</v>
      </c>
      <c r="AJ1354" s="1">
        <v>0</v>
      </c>
      <c r="AK1354" s="8">
        <f t="shared" si="87"/>
        <v>1</v>
      </c>
      <c r="AL1354" s="8">
        <f t="shared" si="86"/>
        <v>27</v>
      </c>
      <c r="AM1354">
        <f t="shared" si="84"/>
        <v>0</v>
      </c>
      <c r="AN1354">
        <f t="shared" si="85"/>
        <v>0</v>
      </c>
    </row>
    <row r="1355" spans="1:40" x14ac:dyDescent="0.35">
      <c r="A1355">
        <v>58.068600000000004</v>
      </c>
      <c r="B1355">
        <v>85.138999999999996</v>
      </c>
      <c r="C1355">
        <v>4.7008400000000004</v>
      </c>
      <c r="D1355">
        <v>0</v>
      </c>
      <c r="E1355">
        <v>0.02</v>
      </c>
      <c r="F1355">
        <v>2.9673699999999998</v>
      </c>
      <c r="G1355">
        <v>2.9673699999999998</v>
      </c>
      <c r="H1355">
        <v>0</v>
      </c>
      <c r="I1355">
        <v>0.55604500000000001</v>
      </c>
      <c r="J1355">
        <v>5.3222399999999999</v>
      </c>
      <c r="K1355" s="2">
        <v>151536000</v>
      </c>
      <c r="L1355" s="1">
        <v>0</v>
      </c>
      <c r="M1355" s="1">
        <v>0</v>
      </c>
      <c r="N1355" s="1">
        <v>0</v>
      </c>
      <c r="O1355" s="1">
        <v>0</v>
      </c>
      <c r="P1355" s="2">
        <v>4436140</v>
      </c>
      <c r="Q1355" s="1">
        <v>305051</v>
      </c>
      <c r="R1355" s="1">
        <v>0</v>
      </c>
      <c r="S1355">
        <v>96.235200000000006</v>
      </c>
      <c r="T1355">
        <v>98.274000000000001</v>
      </c>
      <c r="U1355">
        <v>6.6618599999999999</v>
      </c>
      <c r="V1355">
        <v>0</v>
      </c>
      <c r="W1355">
        <v>0</v>
      </c>
      <c r="X1355">
        <v>1.7195800000000001</v>
      </c>
      <c r="Y1355">
        <v>1.7195800000000001</v>
      </c>
      <c r="Z1355">
        <v>0</v>
      </c>
      <c r="AA1355">
        <v>1.3284499999999999</v>
      </c>
      <c r="AB1355">
        <v>2.9635199999999999</v>
      </c>
      <c r="AC1355" s="2">
        <v>684148000</v>
      </c>
      <c r="AD1355" s="1">
        <v>0</v>
      </c>
      <c r="AE1355" s="1">
        <v>0</v>
      </c>
      <c r="AF1355" s="1">
        <v>0</v>
      </c>
      <c r="AG1355" s="1">
        <v>0</v>
      </c>
      <c r="AH1355" s="2">
        <v>4448950</v>
      </c>
      <c r="AI1355" s="1">
        <v>145019</v>
      </c>
      <c r="AJ1355" s="1">
        <v>0</v>
      </c>
      <c r="AK1355" s="8">
        <f t="shared" si="87"/>
        <v>2</v>
      </c>
      <c r="AL1355" s="8">
        <f t="shared" si="86"/>
        <v>27</v>
      </c>
      <c r="AM1355">
        <f t="shared" si="84"/>
        <v>0</v>
      </c>
      <c r="AN1355">
        <f t="shared" si="85"/>
        <v>0</v>
      </c>
    </row>
    <row r="1356" spans="1:40" x14ac:dyDescent="0.35">
      <c r="A1356">
        <v>60.049300000000002</v>
      </c>
      <c r="B1356">
        <v>85.138999999999996</v>
      </c>
      <c r="C1356">
        <v>5.2675900000000002</v>
      </c>
      <c r="D1356">
        <v>0</v>
      </c>
      <c r="E1356">
        <v>0.02</v>
      </c>
      <c r="F1356">
        <v>2.96759</v>
      </c>
      <c r="G1356">
        <v>2.96759</v>
      </c>
      <c r="H1356">
        <v>0</v>
      </c>
      <c r="I1356">
        <v>0.55608500000000005</v>
      </c>
      <c r="J1356">
        <v>5.3222399999999999</v>
      </c>
      <c r="K1356" s="2">
        <v>151841000</v>
      </c>
      <c r="L1356" s="1">
        <v>0</v>
      </c>
      <c r="M1356" s="1">
        <v>0</v>
      </c>
      <c r="N1356" s="1">
        <v>0</v>
      </c>
      <c r="O1356" s="1">
        <v>0</v>
      </c>
      <c r="P1356" s="2">
        <v>4436460</v>
      </c>
      <c r="Q1356" s="1">
        <v>305074</v>
      </c>
      <c r="R1356" s="1">
        <v>0</v>
      </c>
      <c r="S1356">
        <v>97.305899999999994</v>
      </c>
      <c r="T1356">
        <v>98.274000000000001</v>
      </c>
      <c r="U1356">
        <v>6.3839800000000002</v>
      </c>
      <c r="V1356">
        <v>0</v>
      </c>
      <c r="W1356">
        <v>0</v>
      </c>
      <c r="X1356">
        <v>1.7197</v>
      </c>
      <c r="Y1356">
        <v>1.7197</v>
      </c>
      <c r="Z1356">
        <v>0</v>
      </c>
      <c r="AA1356">
        <v>1.3285400000000001</v>
      </c>
      <c r="AB1356">
        <v>2.9635199999999999</v>
      </c>
      <c r="AC1356" s="2">
        <v>684293000</v>
      </c>
      <c r="AD1356" s="1">
        <v>0</v>
      </c>
      <c r="AE1356" s="1">
        <v>0</v>
      </c>
      <c r="AF1356" s="1">
        <v>0</v>
      </c>
      <c r="AG1356" s="1">
        <v>0</v>
      </c>
      <c r="AH1356" s="2">
        <v>4449270</v>
      </c>
      <c r="AI1356" s="1">
        <v>145029</v>
      </c>
      <c r="AJ1356" s="1">
        <v>0</v>
      </c>
      <c r="AK1356" s="8">
        <f t="shared" si="87"/>
        <v>3</v>
      </c>
      <c r="AL1356" s="8">
        <f t="shared" si="86"/>
        <v>27</v>
      </c>
      <c r="AM1356">
        <f t="shared" si="84"/>
        <v>0</v>
      </c>
      <c r="AN1356">
        <f t="shared" si="85"/>
        <v>0</v>
      </c>
    </row>
    <row r="1357" spans="1:40" x14ac:dyDescent="0.35">
      <c r="A1357">
        <v>64.305599999999998</v>
      </c>
      <c r="B1357">
        <v>85.138999999999996</v>
      </c>
      <c r="C1357">
        <v>7.7166499999999996</v>
      </c>
      <c r="D1357">
        <v>0</v>
      </c>
      <c r="E1357">
        <v>0.02</v>
      </c>
      <c r="F1357">
        <v>2.9678</v>
      </c>
      <c r="G1357">
        <v>2.9678</v>
      </c>
      <c r="H1357">
        <v>0</v>
      </c>
      <c r="I1357">
        <v>0.55612499999999998</v>
      </c>
      <c r="J1357">
        <v>5.3222399999999999</v>
      </c>
      <c r="K1357" s="2">
        <v>152146000</v>
      </c>
      <c r="L1357" s="1">
        <v>0</v>
      </c>
      <c r="M1357" s="1">
        <v>0</v>
      </c>
      <c r="N1357" s="1">
        <v>0</v>
      </c>
      <c r="O1357" s="1">
        <v>0</v>
      </c>
      <c r="P1357" s="2">
        <v>4436780</v>
      </c>
      <c r="Q1357" s="1">
        <v>305096</v>
      </c>
      <c r="R1357" s="1">
        <v>0</v>
      </c>
      <c r="S1357">
        <v>99.302199999999999</v>
      </c>
      <c r="T1357">
        <v>98.274000000000001</v>
      </c>
      <c r="U1357">
        <v>8.3633900000000008</v>
      </c>
      <c r="V1357">
        <v>0</v>
      </c>
      <c r="W1357">
        <v>0</v>
      </c>
      <c r="X1357">
        <v>1.7198199999999999</v>
      </c>
      <c r="Y1357">
        <v>1.7198199999999999</v>
      </c>
      <c r="Z1357">
        <v>0</v>
      </c>
      <c r="AA1357">
        <v>1.32864</v>
      </c>
      <c r="AB1357">
        <v>2.9635199999999999</v>
      </c>
      <c r="AC1357" s="2">
        <v>684438000</v>
      </c>
      <c r="AD1357" s="1">
        <v>0</v>
      </c>
      <c r="AE1357" s="1">
        <v>0</v>
      </c>
      <c r="AF1357" s="1">
        <v>0</v>
      </c>
      <c r="AG1357" s="1">
        <v>0</v>
      </c>
      <c r="AH1357" s="2">
        <v>4449590</v>
      </c>
      <c r="AI1357" s="1">
        <v>145040</v>
      </c>
      <c r="AJ1357" s="1">
        <v>0</v>
      </c>
      <c r="AK1357" s="8">
        <f t="shared" si="87"/>
        <v>4</v>
      </c>
      <c r="AL1357" s="8">
        <f t="shared" si="86"/>
        <v>27</v>
      </c>
      <c r="AM1357">
        <f t="shared" si="84"/>
        <v>0</v>
      </c>
      <c r="AN1357">
        <f t="shared" si="85"/>
        <v>0</v>
      </c>
    </row>
    <row r="1358" spans="1:40" x14ac:dyDescent="0.35">
      <c r="A1358">
        <v>71.877200000000002</v>
      </c>
      <c r="B1358">
        <v>85.138999999999996</v>
      </c>
      <c r="C1358">
        <v>11.4869</v>
      </c>
      <c r="D1358">
        <v>0</v>
      </c>
      <c r="E1358">
        <v>0.02</v>
      </c>
      <c r="F1358">
        <v>3.0609899999999999</v>
      </c>
      <c r="G1358">
        <v>3.0609899999999999</v>
      </c>
      <c r="H1358">
        <v>0</v>
      </c>
      <c r="I1358">
        <v>0.55616600000000005</v>
      </c>
      <c r="J1358">
        <v>5.3222399999999999</v>
      </c>
      <c r="K1358" s="2">
        <v>152461000</v>
      </c>
      <c r="L1358" s="1">
        <v>0</v>
      </c>
      <c r="M1358" s="1">
        <v>0</v>
      </c>
      <c r="N1358" s="1">
        <v>0</v>
      </c>
      <c r="O1358" s="1">
        <v>0</v>
      </c>
      <c r="P1358" s="2">
        <v>4576100</v>
      </c>
      <c r="Q1358" s="1">
        <v>314675</v>
      </c>
      <c r="R1358" s="1">
        <v>0</v>
      </c>
      <c r="S1358">
        <v>99.302199999999999</v>
      </c>
      <c r="T1358">
        <v>98.274000000000001</v>
      </c>
      <c r="U1358">
        <v>13.9146</v>
      </c>
      <c r="V1358">
        <v>0</v>
      </c>
      <c r="W1358">
        <v>0</v>
      </c>
      <c r="X1358">
        <v>1.77556</v>
      </c>
      <c r="Y1358">
        <v>1.77556</v>
      </c>
      <c r="Z1358">
        <v>0</v>
      </c>
      <c r="AA1358">
        <v>1.32874</v>
      </c>
      <c r="AB1358">
        <v>2.9635199999999999</v>
      </c>
      <c r="AC1358" s="2">
        <v>684588000</v>
      </c>
      <c r="AD1358" s="1">
        <v>0</v>
      </c>
      <c r="AE1358" s="1">
        <v>0</v>
      </c>
      <c r="AF1358" s="1">
        <v>0</v>
      </c>
      <c r="AG1358" s="1">
        <v>0</v>
      </c>
      <c r="AH1358" s="2">
        <v>4593790</v>
      </c>
      <c r="AI1358" s="1">
        <v>149740</v>
      </c>
      <c r="AJ1358" s="1">
        <v>0</v>
      </c>
      <c r="AK1358" s="8">
        <f t="shared" si="87"/>
        <v>5</v>
      </c>
      <c r="AL1358" s="8">
        <f t="shared" si="86"/>
        <v>27</v>
      </c>
      <c r="AM1358">
        <f t="shared" si="84"/>
        <v>0</v>
      </c>
      <c r="AN1358">
        <f t="shared" si="85"/>
        <v>0</v>
      </c>
    </row>
    <row r="1359" spans="1:40" x14ac:dyDescent="0.35">
      <c r="A1359">
        <v>78.609399999999994</v>
      </c>
      <c r="B1359">
        <v>85.138999999999996</v>
      </c>
      <c r="C1359">
        <v>10.727499999999999</v>
      </c>
      <c r="D1359">
        <v>0</v>
      </c>
      <c r="E1359">
        <v>0.02</v>
      </c>
      <c r="F1359">
        <v>3.0611899999999999</v>
      </c>
      <c r="G1359">
        <v>3.0611899999999999</v>
      </c>
      <c r="H1359">
        <v>0</v>
      </c>
      <c r="I1359">
        <v>0.57362899999999994</v>
      </c>
      <c r="J1359">
        <v>5.3222399999999999</v>
      </c>
      <c r="K1359" s="2">
        <v>152776000</v>
      </c>
      <c r="L1359" s="1">
        <v>0</v>
      </c>
      <c r="M1359" s="1">
        <v>0</v>
      </c>
      <c r="N1359" s="1">
        <v>0</v>
      </c>
      <c r="O1359" s="1">
        <v>0</v>
      </c>
      <c r="P1359" s="2">
        <v>4576400</v>
      </c>
      <c r="Q1359" s="1">
        <v>314696</v>
      </c>
      <c r="R1359" s="1">
        <v>0</v>
      </c>
      <c r="S1359">
        <v>99.302199999999999</v>
      </c>
      <c r="T1359">
        <v>98.274000000000001</v>
      </c>
      <c r="U1359">
        <v>13.926299999999999</v>
      </c>
      <c r="V1359">
        <v>0</v>
      </c>
      <c r="W1359">
        <v>0</v>
      </c>
      <c r="X1359">
        <v>1.7756700000000001</v>
      </c>
      <c r="Y1359">
        <v>1.7756700000000001</v>
      </c>
      <c r="Z1359">
        <v>0</v>
      </c>
      <c r="AA1359">
        <v>1.3717900000000001</v>
      </c>
      <c r="AB1359">
        <v>2.9635199999999999</v>
      </c>
      <c r="AC1359" s="2">
        <v>684738000</v>
      </c>
      <c r="AD1359" s="1">
        <v>0</v>
      </c>
      <c r="AE1359" s="1">
        <v>0</v>
      </c>
      <c r="AF1359" s="1">
        <v>0</v>
      </c>
      <c r="AG1359" s="1">
        <v>0</v>
      </c>
      <c r="AH1359" s="2">
        <v>4594090</v>
      </c>
      <c r="AI1359" s="1">
        <v>149750</v>
      </c>
      <c r="AJ1359" s="1">
        <v>0</v>
      </c>
      <c r="AK1359" s="8">
        <f t="shared" si="87"/>
        <v>6</v>
      </c>
      <c r="AL1359" s="8">
        <f t="shared" si="86"/>
        <v>27</v>
      </c>
      <c r="AM1359">
        <f t="shared" si="84"/>
        <v>0</v>
      </c>
      <c r="AN1359">
        <f t="shared" si="85"/>
        <v>0</v>
      </c>
    </row>
    <row r="1360" spans="1:40" x14ac:dyDescent="0.35">
      <c r="A1360">
        <v>81.642499999999998</v>
      </c>
      <c r="B1360">
        <v>85.138999999999996</v>
      </c>
      <c r="C1360">
        <v>6.8547099999999999</v>
      </c>
      <c r="D1360">
        <v>0</v>
      </c>
      <c r="E1360">
        <v>0.02</v>
      </c>
      <c r="F1360">
        <v>3.0613899999999998</v>
      </c>
      <c r="G1360">
        <v>3.0613899999999998</v>
      </c>
      <c r="H1360">
        <v>0</v>
      </c>
      <c r="I1360">
        <v>0.57366700000000004</v>
      </c>
      <c r="J1360">
        <v>5.3222399999999999</v>
      </c>
      <c r="K1360" s="2">
        <v>153090000</v>
      </c>
      <c r="L1360" s="1">
        <v>0</v>
      </c>
      <c r="M1360" s="1">
        <v>0</v>
      </c>
      <c r="N1360" s="1">
        <v>0</v>
      </c>
      <c r="O1360" s="1">
        <v>0</v>
      </c>
      <c r="P1360" s="2">
        <v>4576700</v>
      </c>
      <c r="Q1360" s="1">
        <v>314717</v>
      </c>
      <c r="R1360" s="1">
        <v>0</v>
      </c>
      <c r="S1360">
        <v>99.302199999999999</v>
      </c>
      <c r="T1360">
        <v>98.274000000000001</v>
      </c>
      <c r="U1360">
        <v>7.7263299999999999</v>
      </c>
      <c r="V1360">
        <v>0</v>
      </c>
      <c r="W1360">
        <v>0</v>
      </c>
      <c r="X1360">
        <v>1.77579</v>
      </c>
      <c r="Y1360">
        <v>1.77579</v>
      </c>
      <c r="Z1360">
        <v>0</v>
      </c>
      <c r="AA1360">
        <v>1.3718900000000001</v>
      </c>
      <c r="AB1360">
        <v>2.9635199999999999</v>
      </c>
      <c r="AC1360" s="2">
        <v>684888000</v>
      </c>
      <c r="AD1360" s="1">
        <v>0</v>
      </c>
      <c r="AE1360" s="1">
        <v>0</v>
      </c>
      <c r="AF1360" s="1">
        <v>0</v>
      </c>
      <c r="AG1360" s="1">
        <v>0</v>
      </c>
      <c r="AH1360" s="2">
        <v>4594390</v>
      </c>
      <c r="AI1360" s="1">
        <v>149760</v>
      </c>
      <c r="AJ1360" s="1">
        <v>0</v>
      </c>
      <c r="AK1360" s="8">
        <f t="shared" si="87"/>
        <v>7</v>
      </c>
      <c r="AL1360" s="8">
        <f t="shared" si="86"/>
        <v>27</v>
      </c>
      <c r="AM1360">
        <f t="shared" si="84"/>
        <v>0</v>
      </c>
      <c r="AN1360">
        <f t="shared" si="85"/>
        <v>0</v>
      </c>
    </row>
    <row r="1361" spans="1:40" x14ac:dyDescent="0.35">
      <c r="A1361">
        <v>83.489900000000006</v>
      </c>
      <c r="B1361">
        <v>85.138999999999996</v>
      </c>
      <c r="C1361">
        <v>5.5467700000000004</v>
      </c>
      <c r="D1361">
        <v>0</v>
      </c>
      <c r="E1361">
        <v>0.02</v>
      </c>
      <c r="F1361">
        <v>3.0615899999999998</v>
      </c>
      <c r="G1361">
        <v>3.0615899999999998</v>
      </c>
      <c r="H1361">
        <v>0</v>
      </c>
      <c r="I1361">
        <v>0.57370500000000002</v>
      </c>
      <c r="J1361">
        <v>5.3222399999999999</v>
      </c>
      <c r="K1361" s="2">
        <v>153405000</v>
      </c>
      <c r="L1361" s="1">
        <v>0</v>
      </c>
      <c r="M1361" s="1">
        <v>0</v>
      </c>
      <c r="N1361" s="1">
        <v>0</v>
      </c>
      <c r="O1361" s="1">
        <v>0</v>
      </c>
      <c r="P1361" s="2">
        <v>4577000</v>
      </c>
      <c r="Q1361" s="1">
        <v>314738</v>
      </c>
      <c r="R1361" s="1">
        <v>0</v>
      </c>
      <c r="S1361">
        <v>99.302199999999999</v>
      </c>
      <c r="T1361">
        <v>98.274000000000001</v>
      </c>
      <c r="U1361">
        <v>5.2377399999999996</v>
      </c>
      <c r="V1361">
        <v>0</v>
      </c>
      <c r="W1361">
        <v>0</v>
      </c>
      <c r="X1361">
        <v>1.7759100000000001</v>
      </c>
      <c r="Y1361">
        <v>1.7759100000000001</v>
      </c>
      <c r="Z1361">
        <v>0</v>
      </c>
      <c r="AA1361">
        <v>1.37198</v>
      </c>
      <c r="AB1361">
        <v>2.9635199999999999</v>
      </c>
      <c r="AC1361" s="2">
        <v>685037000</v>
      </c>
      <c r="AD1361" s="1">
        <v>0</v>
      </c>
      <c r="AE1361" s="1">
        <v>0</v>
      </c>
      <c r="AF1361" s="1">
        <v>0</v>
      </c>
      <c r="AG1361" s="1">
        <v>0</v>
      </c>
      <c r="AH1361" s="2">
        <v>4594700</v>
      </c>
      <c r="AI1361" s="1">
        <v>149769</v>
      </c>
      <c r="AJ1361" s="1">
        <v>0</v>
      </c>
      <c r="AK1361" s="8">
        <f t="shared" si="87"/>
        <v>8</v>
      </c>
      <c r="AL1361" s="8">
        <f t="shared" si="86"/>
        <v>27</v>
      </c>
      <c r="AM1361">
        <f t="shared" si="84"/>
        <v>0</v>
      </c>
      <c r="AN1361">
        <f t="shared" si="85"/>
        <v>0</v>
      </c>
    </row>
    <row r="1362" spans="1:40" x14ac:dyDescent="0.35">
      <c r="A1362">
        <v>85.138999999999996</v>
      </c>
      <c r="B1362">
        <v>85.138999999999996</v>
      </c>
      <c r="C1362">
        <v>8.1517900000000001</v>
      </c>
      <c r="D1362">
        <v>0</v>
      </c>
      <c r="E1362">
        <v>0.02</v>
      </c>
      <c r="F1362">
        <v>3.3604400000000001</v>
      </c>
      <c r="G1362">
        <v>3.3604400000000001</v>
      </c>
      <c r="H1362">
        <v>0</v>
      </c>
      <c r="I1362">
        <v>0.57374199999999997</v>
      </c>
      <c r="J1362">
        <v>5.3222399999999999</v>
      </c>
      <c r="K1362" s="2">
        <v>153751000</v>
      </c>
      <c r="L1362" s="1">
        <v>0</v>
      </c>
      <c r="M1362" s="1">
        <v>0</v>
      </c>
      <c r="N1362" s="1">
        <v>0</v>
      </c>
      <c r="O1362" s="1">
        <v>0</v>
      </c>
      <c r="P1362" s="2">
        <v>5023770</v>
      </c>
      <c r="Q1362" s="1">
        <v>345459</v>
      </c>
      <c r="R1362" s="1">
        <v>0</v>
      </c>
      <c r="S1362">
        <v>99.302199999999999</v>
      </c>
      <c r="T1362">
        <v>98.274000000000001</v>
      </c>
      <c r="U1362">
        <v>11.9903</v>
      </c>
      <c r="V1362">
        <v>0</v>
      </c>
      <c r="W1362">
        <v>0</v>
      </c>
      <c r="X1362">
        <v>1.98485</v>
      </c>
      <c r="Y1362">
        <v>1.98485</v>
      </c>
      <c r="Z1362">
        <v>0</v>
      </c>
      <c r="AA1362">
        <v>1.3720699999999999</v>
      </c>
      <c r="AB1362">
        <v>2.9635199999999999</v>
      </c>
      <c r="AC1362" s="2">
        <v>685205000</v>
      </c>
      <c r="AD1362" s="1">
        <v>0</v>
      </c>
      <c r="AE1362" s="1">
        <v>0</v>
      </c>
      <c r="AF1362" s="1">
        <v>0</v>
      </c>
      <c r="AG1362" s="1">
        <v>0</v>
      </c>
      <c r="AH1362" s="2">
        <v>5135270</v>
      </c>
      <c r="AI1362" s="1">
        <v>167390</v>
      </c>
      <c r="AJ1362" s="1">
        <v>0</v>
      </c>
      <c r="AK1362" s="8">
        <f t="shared" si="87"/>
        <v>9</v>
      </c>
      <c r="AL1362" s="8">
        <f t="shared" si="86"/>
        <v>27</v>
      </c>
      <c r="AM1362">
        <f t="shared" si="84"/>
        <v>0</v>
      </c>
      <c r="AN1362">
        <f t="shared" si="85"/>
        <v>0</v>
      </c>
    </row>
    <row r="1363" spans="1:40" x14ac:dyDescent="0.35">
      <c r="A1363">
        <v>85.138999999999996</v>
      </c>
      <c r="B1363">
        <v>85.138999999999996</v>
      </c>
      <c r="C1363">
        <v>8.6738700000000009</v>
      </c>
      <c r="D1363">
        <v>0</v>
      </c>
      <c r="E1363">
        <v>0.02</v>
      </c>
      <c r="F1363">
        <v>3.3606600000000002</v>
      </c>
      <c r="G1363">
        <v>3.3606600000000002</v>
      </c>
      <c r="H1363">
        <v>0</v>
      </c>
      <c r="I1363">
        <v>0.62974600000000003</v>
      </c>
      <c r="J1363">
        <v>5.3222399999999999</v>
      </c>
      <c r="K1363" s="2">
        <v>154096000</v>
      </c>
      <c r="L1363" s="1">
        <v>0</v>
      </c>
      <c r="M1363" s="1">
        <v>0</v>
      </c>
      <c r="N1363" s="1">
        <v>0</v>
      </c>
      <c r="O1363" s="1">
        <v>0</v>
      </c>
      <c r="P1363" s="2">
        <v>5024100</v>
      </c>
      <c r="Q1363" s="1">
        <v>345482</v>
      </c>
      <c r="R1363" s="1">
        <v>0</v>
      </c>
      <c r="S1363">
        <v>99.302199999999999</v>
      </c>
      <c r="T1363">
        <v>98.274000000000001</v>
      </c>
      <c r="U1363">
        <v>14.2669</v>
      </c>
      <c r="V1363">
        <v>0</v>
      </c>
      <c r="W1363">
        <v>0</v>
      </c>
      <c r="X1363">
        <v>1.98498</v>
      </c>
      <c r="Y1363">
        <v>1.98498</v>
      </c>
      <c r="Z1363">
        <v>0</v>
      </c>
      <c r="AA1363">
        <v>1.53349</v>
      </c>
      <c r="AB1363">
        <v>2.9635199999999999</v>
      </c>
      <c r="AC1363" s="2">
        <v>685372000</v>
      </c>
      <c r="AD1363" s="1">
        <v>0</v>
      </c>
      <c r="AE1363" s="1">
        <v>0</v>
      </c>
      <c r="AF1363" s="1">
        <v>0</v>
      </c>
      <c r="AG1363" s="1">
        <v>0</v>
      </c>
      <c r="AH1363" s="2">
        <v>5135610</v>
      </c>
      <c r="AI1363" s="1">
        <v>167401</v>
      </c>
      <c r="AJ1363" s="1">
        <v>0</v>
      </c>
      <c r="AK1363" s="8">
        <f t="shared" si="87"/>
        <v>10</v>
      </c>
      <c r="AL1363" s="8">
        <f t="shared" si="86"/>
        <v>27</v>
      </c>
      <c r="AM1363">
        <f t="shared" si="84"/>
        <v>0</v>
      </c>
      <c r="AN1363">
        <f t="shared" si="85"/>
        <v>0</v>
      </c>
    </row>
    <row r="1364" spans="1:40" x14ac:dyDescent="0.35">
      <c r="A1364">
        <v>85.138999999999996</v>
      </c>
      <c r="B1364">
        <v>85.138999999999996</v>
      </c>
      <c r="C1364">
        <v>8.4373799999999992</v>
      </c>
      <c r="D1364">
        <v>0</v>
      </c>
      <c r="E1364">
        <v>0.02</v>
      </c>
      <c r="F1364">
        <v>3.3608799999999999</v>
      </c>
      <c r="G1364">
        <v>3.3608799999999999</v>
      </c>
      <c r="H1364">
        <v>0</v>
      </c>
      <c r="I1364">
        <v>0.62978699999999999</v>
      </c>
      <c r="J1364">
        <v>5.3222399999999999</v>
      </c>
      <c r="K1364" s="2">
        <v>154442000</v>
      </c>
      <c r="L1364" s="1">
        <v>0</v>
      </c>
      <c r="M1364" s="1">
        <v>0</v>
      </c>
      <c r="N1364" s="1">
        <v>0</v>
      </c>
      <c r="O1364" s="1">
        <v>0</v>
      </c>
      <c r="P1364" s="2">
        <v>5024430</v>
      </c>
      <c r="Q1364" s="1">
        <v>345505</v>
      </c>
      <c r="R1364" s="1">
        <v>0</v>
      </c>
      <c r="S1364">
        <v>99.302199999999999</v>
      </c>
      <c r="T1364">
        <v>98.274000000000001</v>
      </c>
      <c r="U1364">
        <v>13.815899999999999</v>
      </c>
      <c r="V1364">
        <v>0</v>
      </c>
      <c r="W1364">
        <v>0</v>
      </c>
      <c r="X1364">
        <v>1.9851099999999999</v>
      </c>
      <c r="Y1364">
        <v>1.9851099999999999</v>
      </c>
      <c r="Z1364">
        <v>0</v>
      </c>
      <c r="AA1364">
        <v>1.53359</v>
      </c>
      <c r="AB1364">
        <v>2.9635199999999999</v>
      </c>
      <c r="AC1364" s="2">
        <v>685540000</v>
      </c>
      <c r="AD1364" s="1">
        <v>0</v>
      </c>
      <c r="AE1364" s="1">
        <v>0</v>
      </c>
      <c r="AF1364" s="1">
        <v>0</v>
      </c>
      <c r="AG1364" s="1">
        <v>0</v>
      </c>
      <c r="AH1364" s="2">
        <v>5135950</v>
      </c>
      <c r="AI1364" s="1">
        <v>167412</v>
      </c>
      <c r="AJ1364" s="1">
        <v>0</v>
      </c>
      <c r="AK1364" s="8">
        <f t="shared" si="87"/>
        <v>11</v>
      </c>
      <c r="AL1364" s="8">
        <f t="shared" si="86"/>
        <v>27</v>
      </c>
      <c r="AM1364">
        <f t="shared" si="84"/>
        <v>0</v>
      </c>
      <c r="AN1364">
        <f t="shared" si="85"/>
        <v>0</v>
      </c>
    </row>
    <row r="1365" spans="1:40" x14ac:dyDescent="0.35">
      <c r="A1365">
        <v>85.138999999999996</v>
      </c>
      <c r="B1365">
        <v>85.138999999999996</v>
      </c>
      <c r="C1365">
        <v>8.4115199999999994</v>
      </c>
      <c r="D1365">
        <v>0</v>
      </c>
      <c r="E1365">
        <v>0.02</v>
      </c>
      <c r="F1365">
        <v>3.3611</v>
      </c>
      <c r="G1365">
        <v>3.3611</v>
      </c>
      <c r="H1365">
        <v>0</v>
      </c>
      <c r="I1365">
        <v>0.62982899999999997</v>
      </c>
      <c r="J1365">
        <v>5.3222399999999999</v>
      </c>
      <c r="K1365" s="2">
        <v>154787000</v>
      </c>
      <c r="L1365" s="1">
        <v>0</v>
      </c>
      <c r="M1365" s="1">
        <v>0</v>
      </c>
      <c r="N1365" s="1">
        <v>0</v>
      </c>
      <c r="O1365" s="1">
        <v>0</v>
      </c>
      <c r="P1365" s="2">
        <v>5024760</v>
      </c>
      <c r="Q1365" s="1">
        <v>345528</v>
      </c>
      <c r="R1365" s="1">
        <v>0</v>
      </c>
      <c r="S1365">
        <v>99.302199999999999</v>
      </c>
      <c r="T1365">
        <v>98.274000000000001</v>
      </c>
      <c r="U1365">
        <v>10.0656</v>
      </c>
      <c r="V1365">
        <v>0</v>
      </c>
      <c r="W1365">
        <v>0</v>
      </c>
      <c r="X1365">
        <v>1.9852399999999999</v>
      </c>
      <c r="Y1365">
        <v>1.9852399999999999</v>
      </c>
      <c r="Z1365">
        <v>0</v>
      </c>
      <c r="AA1365">
        <v>1.5337000000000001</v>
      </c>
      <c r="AB1365">
        <v>2.9635199999999999</v>
      </c>
      <c r="AC1365" s="2">
        <v>685707000</v>
      </c>
      <c r="AD1365" s="1">
        <v>0</v>
      </c>
      <c r="AE1365" s="1">
        <v>0</v>
      </c>
      <c r="AF1365" s="1">
        <v>0</v>
      </c>
      <c r="AG1365" s="1">
        <v>0</v>
      </c>
      <c r="AH1365" s="2">
        <v>5136290</v>
      </c>
      <c r="AI1365" s="1">
        <v>167423</v>
      </c>
      <c r="AJ1365" s="1">
        <v>0</v>
      </c>
      <c r="AK1365" s="8">
        <f t="shared" si="87"/>
        <v>12</v>
      </c>
      <c r="AL1365" s="8">
        <f t="shared" si="86"/>
        <v>27</v>
      </c>
      <c r="AM1365">
        <f t="shared" si="84"/>
        <v>0</v>
      </c>
      <c r="AN1365">
        <f t="shared" si="85"/>
        <v>0</v>
      </c>
    </row>
    <row r="1366" spans="1:40" x14ac:dyDescent="0.35">
      <c r="A1366">
        <v>85.138999999999996</v>
      </c>
      <c r="B1366">
        <v>85.138999999999996</v>
      </c>
      <c r="C1366">
        <v>8.2911199999999994</v>
      </c>
      <c r="D1366">
        <v>0</v>
      </c>
      <c r="E1366">
        <v>0.02</v>
      </c>
      <c r="F1366">
        <v>2.9352499999999999</v>
      </c>
      <c r="G1366">
        <v>2.9352499999999999</v>
      </c>
      <c r="H1366">
        <v>0</v>
      </c>
      <c r="I1366">
        <v>0.62987000000000004</v>
      </c>
      <c r="J1366">
        <v>5.3222399999999999</v>
      </c>
      <c r="K1366" s="2">
        <v>155089000</v>
      </c>
      <c r="L1366" s="1">
        <v>0</v>
      </c>
      <c r="M1366" s="1">
        <v>0</v>
      </c>
      <c r="N1366" s="1">
        <v>0</v>
      </c>
      <c r="O1366" s="1">
        <v>0</v>
      </c>
      <c r="P1366" s="2">
        <v>4388130</v>
      </c>
      <c r="Q1366" s="1">
        <v>301750</v>
      </c>
      <c r="R1366" s="1">
        <v>0</v>
      </c>
      <c r="S1366">
        <v>99.302199999999999</v>
      </c>
      <c r="T1366">
        <v>98.274000000000001</v>
      </c>
      <c r="U1366">
        <v>7.3402700000000003</v>
      </c>
      <c r="V1366">
        <v>0</v>
      </c>
      <c r="W1366">
        <v>0</v>
      </c>
      <c r="X1366">
        <v>1.70506</v>
      </c>
      <c r="Y1366">
        <v>1.70506</v>
      </c>
      <c r="Z1366">
        <v>0</v>
      </c>
      <c r="AA1366">
        <v>1.5338000000000001</v>
      </c>
      <c r="AB1366">
        <v>2.9635199999999999</v>
      </c>
      <c r="AC1366" s="2">
        <v>685851000</v>
      </c>
      <c r="AD1366" s="1">
        <v>0</v>
      </c>
      <c r="AE1366" s="1">
        <v>0</v>
      </c>
      <c r="AF1366" s="1">
        <v>0</v>
      </c>
      <c r="AG1366" s="1">
        <v>0</v>
      </c>
      <c r="AH1366" s="2">
        <v>4411380</v>
      </c>
      <c r="AI1366" s="1">
        <v>143794</v>
      </c>
      <c r="AJ1366" s="1">
        <v>0</v>
      </c>
      <c r="AK1366" s="8">
        <f t="shared" si="87"/>
        <v>13</v>
      </c>
      <c r="AL1366" s="8">
        <f t="shared" si="86"/>
        <v>27</v>
      </c>
      <c r="AM1366">
        <f t="shared" si="84"/>
        <v>0</v>
      </c>
      <c r="AN1366">
        <f t="shared" si="85"/>
        <v>0</v>
      </c>
    </row>
    <row r="1367" spans="1:40" x14ac:dyDescent="0.35">
      <c r="A1367">
        <v>85.138999999999996</v>
      </c>
      <c r="B1367">
        <v>85.138999999999996</v>
      </c>
      <c r="C1367">
        <v>10.3611</v>
      </c>
      <c r="D1367">
        <v>0</v>
      </c>
      <c r="E1367">
        <v>0.02</v>
      </c>
      <c r="F1367">
        <v>2.9354499999999999</v>
      </c>
      <c r="G1367">
        <v>2.9354499999999999</v>
      </c>
      <c r="H1367">
        <v>0</v>
      </c>
      <c r="I1367">
        <v>0.55006600000000005</v>
      </c>
      <c r="J1367">
        <v>5.3222399999999999</v>
      </c>
      <c r="K1367" s="2">
        <v>155391000</v>
      </c>
      <c r="L1367" s="1">
        <v>0</v>
      </c>
      <c r="M1367" s="1">
        <v>0</v>
      </c>
      <c r="N1367" s="1">
        <v>0</v>
      </c>
      <c r="O1367" s="1">
        <v>0</v>
      </c>
      <c r="P1367" s="2">
        <v>4388420</v>
      </c>
      <c r="Q1367" s="1">
        <v>301770</v>
      </c>
      <c r="R1367" s="1">
        <v>0</v>
      </c>
      <c r="S1367">
        <v>99.302199999999999</v>
      </c>
      <c r="T1367">
        <v>98.274000000000001</v>
      </c>
      <c r="U1367">
        <v>10.1587</v>
      </c>
      <c r="V1367">
        <v>0</v>
      </c>
      <c r="W1367">
        <v>0</v>
      </c>
      <c r="X1367">
        <v>1.7051700000000001</v>
      </c>
      <c r="Y1367">
        <v>1.7051700000000001</v>
      </c>
      <c r="Z1367">
        <v>0</v>
      </c>
      <c r="AA1367">
        <v>1.3173299999999999</v>
      </c>
      <c r="AB1367">
        <v>2.9635199999999999</v>
      </c>
      <c r="AC1367" s="2">
        <v>685995000</v>
      </c>
      <c r="AD1367" s="1">
        <v>0</v>
      </c>
      <c r="AE1367" s="1">
        <v>0</v>
      </c>
      <c r="AF1367" s="1">
        <v>0</v>
      </c>
      <c r="AG1367" s="1">
        <v>0</v>
      </c>
      <c r="AH1367" s="2">
        <v>4411670</v>
      </c>
      <c r="AI1367" s="1">
        <v>143804</v>
      </c>
      <c r="AJ1367" s="1">
        <v>0</v>
      </c>
      <c r="AK1367" s="8">
        <f t="shared" si="87"/>
        <v>14</v>
      </c>
      <c r="AL1367" s="8">
        <f t="shared" si="86"/>
        <v>27</v>
      </c>
      <c r="AM1367">
        <f t="shared" si="84"/>
        <v>0</v>
      </c>
      <c r="AN1367">
        <f t="shared" si="85"/>
        <v>0</v>
      </c>
    </row>
    <row r="1368" spans="1:40" x14ac:dyDescent="0.35">
      <c r="A1368">
        <v>85.138999999999996</v>
      </c>
      <c r="B1368">
        <v>85.138999999999996</v>
      </c>
      <c r="C1368">
        <v>11.588100000000001</v>
      </c>
      <c r="D1368">
        <v>0</v>
      </c>
      <c r="E1368">
        <v>0.02</v>
      </c>
      <c r="F1368">
        <v>2.9356399999999998</v>
      </c>
      <c r="G1368">
        <v>2.9356399999999998</v>
      </c>
      <c r="H1368">
        <v>0</v>
      </c>
      <c r="I1368">
        <v>0.55010300000000001</v>
      </c>
      <c r="J1368">
        <v>5.3222399999999999</v>
      </c>
      <c r="K1368" s="2">
        <v>155692000</v>
      </c>
      <c r="L1368" s="1">
        <v>0</v>
      </c>
      <c r="M1368" s="1">
        <v>0</v>
      </c>
      <c r="N1368" s="1">
        <v>0</v>
      </c>
      <c r="O1368" s="1">
        <v>0</v>
      </c>
      <c r="P1368" s="2">
        <v>4388710</v>
      </c>
      <c r="Q1368" s="1">
        <v>301790</v>
      </c>
      <c r="R1368" s="1">
        <v>0</v>
      </c>
      <c r="S1368">
        <v>99.302199999999999</v>
      </c>
      <c r="T1368">
        <v>98.274000000000001</v>
      </c>
      <c r="U1368">
        <v>12.047800000000001</v>
      </c>
      <c r="V1368">
        <v>0</v>
      </c>
      <c r="W1368">
        <v>0</v>
      </c>
      <c r="X1368">
        <v>1.7052799999999999</v>
      </c>
      <c r="Y1368">
        <v>1.7052799999999999</v>
      </c>
      <c r="Z1368">
        <v>0</v>
      </c>
      <c r="AA1368">
        <v>1.31741</v>
      </c>
      <c r="AB1368">
        <v>2.9635199999999999</v>
      </c>
      <c r="AC1368" s="2">
        <v>686138000</v>
      </c>
      <c r="AD1368" s="1">
        <v>0</v>
      </c>
      <c r="AE1368" s="1">
        <v>0</v>
      </c>
      <c r="AF1368" s="1">
        <v>0</v>
      </c>
      <c r="AG1368" s="1">
        <v>0</v>
      </c>
      <c r="AH1368" s="2">
        <v>4411970</v>
      </c>
      <c r="AI1368" s="1">
        <v>143813</v>
      </c>
      <c r="AJ1368" s="1">
        <v>0</v>
      </c>
      <c r="AK1368" s="8">
        <f t="shared" si="87"/>
        <v>15</v>
      </c>
      <c r="AL1368" s="8">
        <f t="shared" si="86"/>
        <v>27</v>
      </c>
      <c r="AM1368">
        <f t="shared" si="84"/>
        <v>0</v>
      </c>
      <c r="AN1368">
        <f t="shared" si="85"/>
        <v>0</v>
      </c>
    </row>
    <row r="1369" spans="1:40" x14ac:dyDescent="0.35">
      <c r="A1369">
        <v>85.138999999999996</v>
      </c>
      <c r="B1369">
        <v>85.138999999999996</v>
      </c>
      <c r="C1369">
        <v>9.9813799999999997</v>
      </c>
      <c r="D1369">
        <v>0</v>
      </c>
      <c r="E1369">
        <v>0.02</v>
      </c>
      <c r="F1369">
        <v>2.9358300000000002</v>
      </c>
      <c r="G1369">
        <v>2.9358300000000002</v>
      </c>
      <c r="H1369">
        <v>0</v>
      </c>
      <c r="I1369">
        <v>0.55013900000000004</v>
      </c>
      <c r="J1369">
        <v>5.3222399999999999</v>
      </c>
      <c r="K1369" s="2">
        <v>155994000</v>
      </c>
      <c r="L1369" s="1">
        <v>0</v>
      </c>
      <c r="M1369" s="1">
        <v>0</v>
      </c>
      <c r="N1369" s="1">
        <v>0</v>
      </c>
      <c r="O1369" s="1">
        <v>0</v>
      </c>
      <c r="P1369" s="2">
        <v>4389000</v>
      </c>
      <c r="Q1369" s="1">
        <v>301809</v>
      </c>
      <c r="R1369" s="1">
        <v>0</v>
      </c>
      <c r="S1369">
        <v>99.302199999999999</v>
      </c>
      <c r="T1369">
        <v>98.274000000000001</v>
      </c>
      <c r="U1369">
        <v>9.5264500000000005</v>
      </c>
      <c r="V1369">
        <v>0</v>
      </c>
      <c r="W1369">
        <v>0</v>
      </c>
      <c r="X1369">
        <v>1.70539</v>
      </c>
      <c r="Y1369">
        <v>1.70539</v>
      </c>
      <c r="Z1369">
        <v>0</v>
      </c>
      <c r="AA1369">
        <v>1.3174999999999999</v>
      </c>
      <c r="AB1369">
        <v>2.9635199999999999</v>
      </c>
      <c r="AC1369" s="2">
        <v>686282000</v>
      </c>
      <c r="AD1369" s="1">
        <v>0</v>
      </c>
      <c r="AE1369" s="1">
        <v>0</v>
      </c>
      <c r="AF1369" s="1">
        <v>0</v>
      </c>
      <c r="AG1369" s="1">
        <v>0</v>
      </c>
      <c r="AH1369" s="2">
        <v>4412260</v>
      </c>
      <c r="AI1369" s="1">
        <v>143823</v>
      </c>
      <c r="AJ1369" s="1">
        <v>0</v>
      </c>
      <c r="AK1369" s="8">
        <f t="shared" si="87"/>
        <v>16</v>
      </c>
      <c r="AL1369" s="8">
        <f t="shared" si="86"/>
        <v>27</v>
      </c>
      <c r="AM1369">
        <f t="shared" si="84"/>
        <v>0</v>
      </c>
      <c r="AN1369">
        <f t="shared" si="85"/>
        <v>0</v>
      </c>
    </row>
    <row r="1370" spans="1:40" x14ac:dyDescent="0.35">
      <c r="A1370">
        <v>85.138999999999996</v>
      </c>
      <c r="B1370">
        <v>85.138999999999996</v>
      </c>
      <c r="C1370">
        <v>9.7109100000000002</v>
      </c>
      <c r="D1370">
        <v>0</v>
      </c>
      <c r="E1370">
        <v>0.02</v>
      </c>
      <c r="F1370">
        <v>2.9360300000000001</v>
      </c>
      <c r="G1370">
        <v>2.9360300000000001</v>
      </c>
      <c r="H1370">
        <v>0</v>
      </c>
      <c r="I1370">
        <v>0.55017499999999997</v>
      </c>
      <c r="J1370">
        <v>5.3222399999999999</v>
      </c>
      <c r="K1370" s="2">
        <v>156296000</v>
      </c>
      <c r="L1370" s="1">
        <v>0</v>
      </c>
      <c r="M1370" s="1">
        <v>0</v>
      </c>
      <c r="N1370" s="1">
        <v>0</v>
      </c>
      <c r="O1370" s="1">
        <v>0</v>
      </c>
      <c r="P1370" s="2">
        <v>4389290</v>
      </c>
      <c r="Q1370" s="1">
        <v>301829</v>
      </c>
      <c r="R1370" s="1">
        <v>0</v>
      </c>
      <c r="S1370">
        <v>99.302199999999999</v>
      </c>
      <c r="T1370">
        <v>98.274000000000001</v>
      </c>
      <c r="U1370">
        <v>9.4483499999999996</v>
      </c>
      <c r="V1370">
        <v>0</v>
      </c>
      <c r="W1370">
        <v>0</v>
      </c>
      <c r="X1370">
        <v>1.7055100000000001</v>
      </c>
      <c r="Y1370">
        <v>1.7055100000000001</v>
      </c>
      <c r="Z1370">
        <v>0</v>
      </c>
      <c r="AA1370">
        <v>1.31759</v>
      </c>
      <c r="AB1370">
        <v>2.9635199999999999</v>
      </c>
      <c r="AC1370" s="2">
        <v>686426000</v>
      </c>
      <c r="AD1370" s="1">
        <v>0</v>
      </c>
      <c r="AE1370" s="1">
        <v>0</v>
      </c>
      <c r="AF1370" s="1">
        <v>0</v>
      </c>
      <c r="AG1370" s="1">
        <v>0</v>
      </c>
      <c r="AH1370" s="2">
        <v>4412550</v>
      </c>
      <c r="AI1370" s="1">
        <v>143832</v>
      </c>
      <c r="AJ1370" s="1">
        <v>0</v>
      </c>
      <c r="AK1370" s="8">
        <f t="shared" si="87"/>
        <v>17</v>
      </c>
      <c r="AL1370" s="8">
        <f t="shared" si="86"/>
        <v>27</v>
      </c>
      <c r="AM1370">
        <f t="shared" si="84"/>
        <v>0</v>
      </c>
      <c r="AN1370">
        <f t="shared" si="85"/>
        <v>0</v>
      </c>
    </row>
    <row r="1371" spans="1:40" x14ac:dyDescent="0.35">
      <c r="A1371">
        <v>85.138999999999996</v>
      </c>
      <c r="B1371">
        <v>85.138999999999996</v>
      </c>
      <c r="C1371">
        <v>12.1838</v>
      </c>
      <c r="D1371">
        <v>0</v>
      </c>
      <c r="E1371">
        <v>0.02</v>
      </c>
      <c r="F1371">
        <v>3.0434999999999999</v>
      </c>
      <c r="G1371">
        <v>3.0434999999999999</v>
      </c>
      <c r="H1371">
        <v>0</v>
      </c>
      <c r="I1371">
        <v>0.55021200000000003</v>
      </c>
      <c r="J1371">
        <v>5.3222399999999999</v>
      </c>
      <c r="K1371" s="2">
        <v>156609000</v>
      </c>
      <c r="L1371" s="1">
        <v>0</v>
      </c>
      <c r="M1371" s="1">
        <v>0</v>
      </c>
      <c r="N1371" s="1">
        <v>0</v>
      </c>
      <c r="O1371" s="1">
        <v>0</v>
      </c>
      <c r="P1371" s="2">
        <v>4549960</v>
      </c>
      <c r="Q1371" s="1">
        <v>312878</v>
      </c>
      <c r="R1371" s="1">
        <v>0</v>
      </c>
      <c r="S1371">
        <v>99.302199999999999</v>
      </c>
      <c r="T1371">
        <v>98.274000000000001</v>
      </c>
      <c r="U1371">
        <v>12.833</v>
      </c>
      <c r="V1371">
        <v>0</v>
      </c>
      <c r="W1371">
        <v>0</v>
      </c>
      <c r="X1371">
        <v>1.7742199999999999</v>
      </c>
      <c r="Y1371">
        <v>1.7742199999999999</v>
      </c>
      <c r="Z1371">
        <v>0</v>
      </c>
      <c r="AA1371">
        <v>1.3176699999999999</v>
      </c>
      <c r="AB1371">
        <v>2.9635199999999999</v>
      </c>
      <c r="AC1371" s="2">
        <v>686576000</v>
      </c>
      <c r="AD1371" s="1">
        <v>0</v>
      </c>
      <c r="AE1371" s="1">
        <v>0</v>
      </c>
      <c r="AF1371" s="1">
        <v>0</v>
      </c>
      <c r="AG1371" s="1">
        <v>0</v>
      </c>
      <c r="AH1371" s="2">
        <v>4590320</v>
      </c>
      <c r="AI1371" s="1">
        <v>149627</v>
      </c>
      <c r="AJ1371" s="1">
        <v>0</v>
      </c>
      <c r="AK1371" s="8">
        <f t="shared" si="87"/>
        <v>18</v>
      </c>
      <c r="AL1371" s="8">
        <f t="shared" si="86"/>
        <v>27</v>
      </c>
      <c r="AM1371">
        <f t="shared" si="84"/>
        <v>0</v>
      </c>
      <c r="AN1371">
        <f t="shared" si="85"/>
        <v>0</v>
      </c>
    </row>
    <row r="1372" spans="1:40" x14ac:dyDescent="0.35">
      <c r="A1372">
        <v>85.138999999999996</v>
      </c>
      <c r="B1372">
        <v>85.138999999999996</v>
      </c>
      <c r="C1372">
        <v>9.3033400000000004</v>
      </c>
      <c r="D1372">
        <v>0</v>
      </c>
      <c r="E1372">
        <v>0.02</v>
      </c>
      <c r="F1372">
        <v>3.0437099999999999</v>
      </c>
      <c r="G1372">
        <v>3.0437099999999999</v>
      </c>
      <c r="H1372">
        <v>0</v>
      </c>
      <c r="I1372">
        <v>0.570353</v>
      </c>
      <c r="J1372">
        <v>5.3222399999999999</v>
      </c>
      <c r="K1372" s="2">
        <v>156922000</v>
      </c>
      <c r="L1372" s="1">
        <v>0</v>
      </c>
      <c r="M1372" s="1">
        <v>0</v>
      </c>
      <c r="N1372" s="1">
        <v>0</v>
      </c>
      <c r="O1372" s="1">
        <v>0</v>
      </c>
      <c r="P1372" s="2">
        <v>4550260</v>
      </c>
      <c r="Q1372" s="1">
        <v>312899</v>
      </c>
      <c r="R1372" s="1">
        <v>0</v>
      </c>
      <c r="S1372">
        <v>99.302199999999999</v>
      </c>
      <c r="T1372">
        <v>98.274000000000001</v>
      </c>
      <c r="U1372">
        <v>10.6046</v>
      </c>
      <c r="V1372">
        <v>0</v>
      </c>
      <c r="W1372">
        <v>0</v>
      </c>
      <c r="X1372">
        <v>1.77433</v>
      </c>
      <c r="Y1372">
        <v>1.77433</v>
      </c>
      <c r="Z1372">
        <v>0</v>
      </c>
      <c r="AA1372">
        <v>1.37076</v>
      </c>
      <c r="AB1372">
        <v>2.9635199999999999</v>
      </c>
      <c r="AC1372" s="2">
        <v>686725000</v>
      </c>
      <c r="AD1372" s="1">
        <v>0</v>
      </c>
      <c r="AE1372" s="1">
        <v>0</v>
      </c>
      <c r="AF1372" s="1">
        <v>0</v>
      </c>
      <c r="AG1372" s="1">
        <v>0</v>
      </c>
      <c r="AH1372" s="2">
        <v>4590620</v>
      </c>
      <c r="AI1372" s="1">
        <v>149637</v>
      </c>
      <c r="AJ1372" s="1">
        <v>0</v>
      </c>
      <c r="AK1372" s="8">
        <f t="shared" si="87"/>
        <v>19</v>
      </c>
      <c r="AL1372" s="8">
        <f t="shared" si="86"/>
        <v>27</v>
      </c>
      <c r="AM1372">
        <f t="shared" si="84"/>
        <v>0</v>
      </c>
      <c r="AN1372">
        <f t="shared" si="85"/>
        <v>0</v>
      </c>
    </row>
    <row r="1373" spans="1:40" x14ac:dyDescent="0.35">
      <c r="A1373">
        <v>85.138999999999996</v>
      </c>
      <c r="B1373">
        <v>85.138999999999996</v>
      </c>
      <c r="C1373">
        <v>7.32904</v>
      </c>
      <c r="D1373">
        <v>0</v>
      </c>
      <c r="E1373">
        <v>0.02</v>
      </c>
      <c r="F1373">
        <v>3.0439099999999999</v>
      </c>
      <c r="G1373">
        <v>3.0439099999999999</v>
      </c>
      <c r="H1373">
        <v>0</v>
      </c>
      <c r="I1373">
        <v>0.57038999999999995</v>
      </c>
      <c r="J1373">
        <v>5.3222399999999999</v>
      </c>
      <c r="K1373" s="2">
        <v>157235000</v>
      </c>
      <c r="L1373" s="1">
        <v>0</v>
      </c>
      <c r="M1373" s="1">
        <v>0</v>
      </c>
      <c r="N1373" s="1">
        <v>0</v>
      </c>
      <c r="O1373" s="1">
        <v>0</v>
      </c>
      <c r="P1373" s="2">
        <v>4550560</v>
      </c>
      <c r="Q1373" s="1">
        <v>312919</v>
      </c>
      <c r="R1373" s="1">
        <v>0</v>
      </c>
      <c r="S1373">
        <v>99.302199999999999</v>
      </c>
      <c r="T1373">
        <v>98.274000000000001</v>
      </c>
      <c r="U1373">
        <v>8.6031499999999994</v>
      </c>
      <c r="V1373">
        <v>0</v>
      </c>
      <c r="W1373">
        <v>0</v>
      </c>
      <c r="X1373">
        <v>1.7744500000000001</v>
      </c>
      <c r="Y1373">
        <v>1.7744500000000001</v>
      </c>
      <c r="Z1373">
        <v>0</v>
      </c>
      <c r="AA1373">
        <v>1.3708499999999999</v>
      </c>
      <c r="AB1373">
        <v>2.9635199999999999</v>
      </c>
      <c r="AC1373" s="2">
        <v>686875000</v>
      </c>
      <c r="AD1373" s="1">
        <v>0</v>
      </c>
      <c r="AE1373" s="1">
        <v>0</v>
      </c>
      <c r="AF1373" s="1">
        <v>0</v>
      </c>
      <c r="AG1373" s="1">
        <v>0</v>
      </c>
      <c r="AH1373" s="2">
        <v>4590930</v>
      </c>
      <c r="AI1373" s="1">
        <v>149646</v>
      </c>
      <c r="AJ1373" s="1">
        <v>0</v>
      </c>
      <c r="AK1373" s="8">
        <f t="shared" si="87"/>
        <v>20</v>
      </c>
      <c r="AL1373" s="8">
        <f t="shared" si="86"/>
        <v>27</v>
      </c>
      <c r="AM1373">
        <f t="shared" si="84"/>
        <v>0</v>
      </c>
      <c r="AN1373">
        <f t="shared" si="85"/>
        <v>0</v>
      </c>
    </row>
    <row r="1374" spans="1:40" x14ac:dyDescent="0.35">
      <c r="A1374">
        <v>85.138999999999996</v>
      </c>
      <c r="B1374">
        <v>85.138999999999996</v>
      </c>
      <c r="C1374">
        <v>6.7085400000000002</v>
      </c>
      <c r="D1374">
        <v>0</v>
      </c>
      <c r="E1374">
        <v>0.02</v>
      </c>
      <c r="F1374">
        <v>3.0441099999999999</v>
      </c>
      <c r="G1374">
        <v>3.0441099999999999</v>
      </c>
      <c r="H1374">
        <v>0</v>
      </c>
      <c r="I1374">
        <v>0.57042800000000005</v>
      </c>
      <c r="J1374">
        <v>5.3222399999999999</v>
      </c>
      <c r="K1374" s="2">
        <v>157548000</v>
      </c>
      <c r="L1374" s="1">
        <v>0</v>
      </c>
      <c r="M1374" s="1">
        <v>0</v>
      </c>
      <c r="N1374" s="1">
        <v>0</v>
      </c>
      <c r="O1374" s="1">
        <v>0</v>
      </c>
      <c r="P1374" s="2">
        <v>4550860</v>
      </c>
      <c r="Q1374" s="1">
        <v>312940</v>
      </c>
      <c r="R1374" s="1">
        <v>0</v>
      </c>
      <c r="S1374">
        <v>99.302199999999999</v>
      </c>
      <c r="T1374">
        <v>98.274000000000001</v>
      </c>
      <c r="U1374">
        <v>8.0177200000000006</v>
      </c>
      <c r="V1374">
        <v>0</v>
      </c>
      <c r="W1374">
        <v>0</v>
      </c>
      <c r="X1374">
        <v>1.77457</v>
      </c>
      <c r="Y1374">
        <v>1.77457</v>
      </c>
      <c r="Z1374">
        <v>0</v>
      </c>
      <c r="AA1374">
        <v>1.37094</v>
      </c>
      <c r="AB1374">
        <v>2.9635199999999999</v>
      </c>
      <c r="AC1374" s="2">
        <v>687025000</v>
      </c>
      <c r="AD1374" s="1">
        <v>0</v>
      </c>
      <c r="AE1374" s="1">
        <v>0</v>
      </c>
      <c r="AF1374" s="1">
        <v>0</v>
      </c>
      <c r="AG1374" s="1">
        <v>0</v>
      </c>
      <c r="AH1374" s="2">
        <v>4591230</v>
      </c>
      <c r="AI1374" s="1">
        <v>149656</v>
      </c>
      <c r="AJ1374" s="1">
        <v>0</v>
      </c>
      <c r="AK1374" s="8">
        <f t="shared" si="87"/>
        <v>21</v>
      </c>
      <c r="AL1374" s="8">
        <f t="shared" si="86"/>
        <v>27</v>
      </c>
      <c r="AM1374">
        <f t="shared" si="84"/>
        <v>0</v>
      </c>
      <c r="AN1374">
        <f t="shared" si="85"/>
        <v>0</v>
      </c>
    </row>
    <row r="1375" spans="1:40" x14ac:dyDescent="0.35">
      <c r="A1375">
        <v>85.138999999999996</v>
      </c>
      <c r="B1375">
        <v>85.138999999999996</v>
      </c>
      <c r="C1375">
        <v>6.5272699999999997</v>
      </c>
      <c r="D1375">
        <v>0</v>
      </c>
      <c r="E1375">
        <v>0.02</v>
      </c>
      <c r="F1375">
        <v>3.0023499999999999</v>
      </c>
      <c r="G1375">
        <v>3.0023499999999999</v>
      </c>
      <c r="H1375">
        <v>0</v>
      </c>
      <c r="I1375">
        <v>0.57046600000000003</v>
      </c>
      <c r="J1375">
        <v>5.3222399999999999</v>
      </c>
      <c r="K1375" s="2">
        <v>157856000</v>
      </c>
      <c r="L1375" s="1">
        <v>0</v>
      </c>
      <c r="M1375" s="1">
        <v>0</v>
      </c>
      <c r="N1375" s="1">
        <v>0</v>
      </c>
      <c r="O1375" s="1">
        <v>0</v>
      </c>
      <c r="P1375" s="2">
        <v>4488440</v>
      </c>
      <c r="Q1375" s="1">
        <v>308647</v>
      </c>
      <c r="R1375" s="1">
        <v>0</v>
      </c>
      <c r="S1375">
        <v>99.302199999999999</v>
      </c>
      <c r="T1375">
        <v>98.274000000000001</v>
      </c>
      <c r="U1375">
        <v>5.7339599999999997</v>
      </c>
      <c r="V1375">
        <v>0</v>
      </c>
      <c r="W1375">
        <v>0</v>
      </c>
      <c r="X1375">
        <v>1.74803</v>
      </c>
      <c r="Y1375">
        <v>1.74803</v>
      </c>
      <c r="Z1375">
        <v>0</v>
      </c>
      <c r="AA1375">
        <v>1.37103</v>
      </c>
      <c r="AB1375">
        <v>2.9635199999999999</v>
      </c>
      <c r="AC1375" s="2">
        <v>687172000</v>
      </c>
      <c r="AD1375" s="1">
        <v>0</v>
      </c>
      <c r="AE1375" s="1">
        <v>0</v>
      </c>
      <c r="AF1375" s="1">
        <v>0</v>
      </c>
      <c r="AG1375" s="1">
        <v>0</v>
      </c>
      <c r="AH1375" s="2">
        <v>4522580</v>
      </c>
      <c r="AI1375" s="1">
        <v>147419</v>
      </c>
      <c r="AJ1375" s="1">
        <v>0</v>
      </c>
      <c r="AK1375" s="8">
        <f t="shared" si="87"/>
        <v>22</v>
      </c>
      <c r="AL1375" s="8">
        <f t="shared" si="86"/>
        <v>27</v>
      </c>
      <c r="AM1375">
        <f t="shared" si="84"/>
        <v>0</v>
      </c>
      <c r="AN1375">
        <f t="shared" si="85"/>
        <v>0</v>
      </c>
    </row>
    <row r="1376" spans="1:40" x14ac:dyDescent="0.35">
      <c r="A1376">
        <v>85.138999999999996</v>
      </c>
      <c r="B1376">
        <v>85.138999999999996</v>
      </c>
      <c r="C1376">
        <v>6.5252100000000004</v>
      </c>
      <c r="D1376">
        <v>0</v>
      </c>
      <c r="E1376">
        <v>0.02</v>
      </c>
      <c r="F1376">
        <v>3.0025499999999998</v>
      </c>
      <c r="G1376">
        <v>3.0025499999999998</v>
      </c>
      <c r="H1376">
        <v>0</v>
      </c>
      <c r="I1376">
        <v>0.56264000000000003</v>
      </c>
      <c r="J1376">
        <v>5.3222399999999999</v>
      </c>
      <c r="K1376" s="2">
        <v>158165000</v>
      </c>
      <c r="L1376" s="1">
        <v>0</v>
      </c>
      <c r="M1376" s="1">
        <v>0</v>
      </c>
      <c r="N1376" s="1">
        <v>0</v>
      </c>
      <c r="O1376" s="1">
        <v>0</v>
      </c>
      <c r="P1376" s="2">
        <v>4488730</v>
      </c>
      <c r="Q1376" s="1">
        <v>308668</v>
      </c>
      <c r="R1376" s="1">
        <v>0</v>
      </c>
      <c r="S1376">
        <v>99.302199999999999</v>
      </c>
      <c r="T1376">
        <v>98.274000000000001</v>
      </c>
      <c r="U1376">
        <v>6.0976900000000001</v>
      </c>
      <c r="V1376">
        <v>0</v>
      </c>
      <c r="W1376">
        <v>0</v>
      </c>
      <c r="X1376">
        <v>1.7481500000000001</v>
      </c>
      <c r="Y1376">
        <v>1.7481500000000001</v>
      </c>
      <c r="Z1376">
        <v>0</v>
      </c>
      <c r="AA1376">
        <v>1.35053</v>
      </c>
      <c r="AB1376">
        <v>2.9635199999999999</v>
      </c>
      <c r="AC1376" s="2">
        <v>687320000</v>
      </c>
      <c r="AD1376" s="1">
        <v>0</v>
      </c>
      <c r="AE1376" s="1">
        <v>0</v>
      </c>
      <c r="AF1376" s="1">
        <v>0</v>
      </c>
      <c r="AG1376" s="1">
        <v>0</v>
      </c>
      <c r="AH1376" s="2">
        <v>4522880</v>
      </c>
      <c r="AI1376" s="1">
        <v>147428</v>
      </c>
      <c r="AJ1376" s="1">
        <v>0</v>
      </c>
      <c r="AK1376" s="8">
        <f t="shared" si="87"/>
        <v>23</v>
      </c>
      <c r="AL1376" s="8">
        <f t="shared" si="86"/>
        <v>27</v>
      </c>
      <c r="AM1376">
        <f t="shared" si="84"/>
        <v>0</v>
      </c>
      <c r="AN1376">
        <f t="shared" si="85"/>
        <v>0</v>
      </c>
    </row>
    <row r="1377" spans="1:40" x14ac:dyDescent="0.35">
      <c r="A1377">
        <v>85.138999999999996</v>
      </c>
      <c r="B1377">
        <v>85.138999999999996</v>
      </c>
      <c r="C1377">
        <v>5.4802900000000001</v>
      </c>
      <c r="D1377">
        <v>0</v>
      </c>
      <c r="E1377">
        <v>0.02</v>
      </c>
      <c r="F1377">
        <v>3.0027499999999998</v>
      </c>
      <c r="G1377">
        <v>3.0027499999999998</v>
      </c>
      <c r="H1377">
        <v>0</v>
      </c>
      <c r="I1377">
        <v>0.56267699999999998</v>
      </c>
      <c r="J1377">
        <v>5.3222399999999999</v>
      </c>
      <c r="K1377" s="2">
        <v>158474000</v>
      </c>
      <c r="L1377" s="1">
        <v>0</v>
      </c>
      <c r="M1377" s="1">
        <v>0</v>
      </c>
      <c r="N1377" s="1">
        <v>0</v>
      </c>
      <c r="O1377" s="1">
        <v>0</v>
      </c>
      <c r="P1377" s="2">
        <v>4489030</v>
      </c>
      <c r="Q1377" s="1">
        <v>308688</v>
      </c>
      <c r="R1377" s="1">
        <v>0</v>
      </c>
      <c r="S1377">
        <v>99.302199999999999</v>
      </c>
      <c r="T1377">
        <v>98.274000000000001</v>
      </c>
      <c r="U1377">
        <v>5.9011100000000001</v>
      </c>
      <c r="V1377">
        <v>0</v>
      </c>
      <c r="W1377">
        <v>0</v>
      </c>
      <c r="X1377">
        <v>1.74827</v>
      </c>
      <c r="Y1377">
        <v>1.74827</v>
      </c>
      <c r="Z1377">
        <v>0</v>
      </c>
      <c r="AA1377">
        <v>1.3506199999999999</v>
      </c>
      <c r="AB1377">
        <v>2.9635199999999999</v>
      </c>
      <c r="AC1377" s="2">
        <v>687467000</v>
      </c>
      <c r="AD1377" s="1">
        <v>0</v>
      </c>
      <c r="AE1377" s="1">
        <v>0</v>
      </c>
      <c r="AF1377" s="1">
        <v>0</v>
      </c>
      <c r="AG1377" s="1">
        <v>0</v>
      </c>
      <c r="AH1377" s="2">
        <v>4523180</v>
      </c>
      <c r="AI1377" s="1">
        <v>147438</v>
      </c>
      <c r="AJ1377" s="1">
        <v>0</v>
      </c>
      <c r="AK1377" s="8">
        <f t="shared" si="87"/>
        <v>24</v>
      </c>
      <c r="AL1377" s="8">
        <f t="shared" si="86"/>
        <v>27</v>
      </c>
      <c r="AM1377">
        <f t="shared" si="84"/>
        <v>0</v>
      </c>
      <c r="AN1377">
        <f t="shared" si="85"/>
        <v>0</v>
      </c>
    </row>
    <row r="1378" spans="1:40" x14ac:dyDescent="0.35">
      <c r="A1378">
        <v>85.138999999999996</v>
      </c>
      <c r="B1378">
        <v>85.138999999999996</v>
      </c>
      <c r="C1378">
        <v>4.9487500000000004</v>
      </c>
      <c r="D1378">
        <v>0</v>
      </c>
      <c r="E1378">
        <v>0.02</v>
      </c>
      <c r="F1378">
        <v>3.0029400000000002</v>
      </c>
      <c r="G1378">
        <v>3.0029400000000002</v>
      </c>
      <c r="H1378">
        <v>0</v>
      </c>
      <c r="I1378">
        <v>0.56271499999999997</v>
      </c>
      <c r="J1378">
        <v>5.3222399999999999</v>
      </c>
      <c r="K1378" s="2">
        <v>158782000</v>
      </c>
      <c r="L1378" s="1">
        <v>0</v>
      </c>
      <c r="M1378" s="1">
        <v>0</v>
      </c>
      <c r="N1378" s="1">
        <v>0</v>
      </c>
      <c r="O1378" s="1">
        <v>0</v>
      </c>
      <c r="P1378" s="2">
        <v>4489330</v>
      </c>
      <c r="Q1378" s="1">
        <v>308708</v>
      </c>
      <c r="R1378" s="1">
        <v>0</v>
      </c>
      <c r="S1378">
        <v>99.302199999999999</v>
      </c>
      <c r="T1378">
        <v>98.274000000000001</v>
      </c>
      <c r="U1378">
        <v>5.4085400000000003</v>
      </c>
      <c r="V1378">
        <v>0</v>
      </c>
      <c r="W1378">
        <v>0</v>
      </c>
      <c r="X1378">
        <v>1.74838</v>
      </c>
      <c r="Y1378">
        <v>1.74838</v>
      </c>
      <c r="Z1378">
        <v>0</v>
      </c>
      <c r="AA1378">
        <v>1.3507100000000001</v>
      </c>
      <c r="AB1378">
        <v>2.9635199999999999</v>
      </c>
      <c r="AC1378" s="2">
        <v>687614000</v>
      </c>
      <c r="AD1378" s="1">
        <v>0</v>
      </c>
      <c r="AE1378" s="1">
        <v>0</v>
      </c>
      <c r="AF1378" s="1">
        <v>0</v>
      </c>
      <c r="AG1378" s="1">
        <v>0</v>
      </c>
      <c r="AH1378" s="2">
        <v>4523480</v>
      </c>
      <c r="AI1378" s="1">
        <v>147448</v>
      </c>
      <c r="AJ1378" s="1">
        <v>0</v>
      </c>
      <c r="AK1378" s="8">
        <f t="shared" si="87"/>
        <v>25</v>
      </c>
      <c r="AL1378" s="8">
        <f t="shared" si="86"/>
        <v>27</v>
      </c>
      <c r="AM1378">
        <f t="shared" si="84"/>
        <v>0</v>
      </c>
      <c r="AN1378">
        <f t="shared" si="85"/>
        <v>0</v>
      </c>
    </row>
    <row r="1379" spans="1:40" x14ac:dyDescent="0.35">
      <c r="A1379">
        <v>85.138999999999996</v>
      </c>
      <c r="B1379">
        <v>85.138999999999996</v>
      </c>
      <c r="C1379">
        <v>5.0996600000000001</v>
      </c>
      <c r="D1379">
        <v>0</v>
      </c>
      <c r="E1379">
        <v>0.02</v>
      </c>
      <c r="F1379">
        <v>3.1456</v>
      </c>
      <c r="G1379">
        <v>3.1456</v>
      </c>
      <c r="H1379">
        <v>0</v>
      </c>
      <c r="I1379">
        <v>0.56275200000000003</v>
      </c>
      <c r="J1379">
        <v>5.3222399999999999</v>
      </c>
      <c r="K1379" s="2">
        <v>159106000</v>
      </c>
      <c r="L1379" s="1">
        <v>0</v>
      </c>
      <c r="M1379" s="1">
        <v>0</v>
      </c>
      <c r="N1379" s="1">
        <v>0</v>
      </c>
      <c r="O1379" s="1">
        <v>0</v>
      </c>
      <c r="P1379" s="2">
        <v>4702600</v>
      </c>
      <c r="Q1379" s="1">
        <v>323374</v>
      </c>
      <c r="R1379" s="1">
        <v>0</v>
      </c>
      <c r="S1379">
        <v>99.302199999999999</v>
      </c>
      <c r="T1379">
        <v>98.274000000000001</v>
      </c>
      <c r="U1379">
        <v>4.5339499999999999</v>
      </c>
      <c r="V1379">
        <v>0</v>
      </c>
      <c r="W1379">
        <v>0</v>
      </c>
      <c r="X1379">
        <v>1.8430299999999999</v>
      </c>
      <c r="Y1379">
        <v>1.8430299999999999</v>
      </c>
      <c r="Z1379">
        <v>0</v>
      </c>
      <c r="AA1379">
        <v>1.3508</v>
      </c>
      <c r="AB1379">
        <v>2.9635199999999999</v>
      </c>
      <c r="AC1379" s="2">
        <v>687770000</v>
      </c>
      <c r="AD1379" s="1">
        <v>0</v>
      </c>
      <c r="AE1379" s="1">
        <v>0</v>
      </c>
      <c r="AF1379" s="1">
        <v>0</v>
      </c>
      <c r="AG1379" s="1">
        <v>0</v>
      </c>
      <c r="AH1379" s="2">
        <v>4768350</v>
      </c>
      <c r="AI1379" s="1">
        <v>155430</v>
      </c>
      <c r="AJ1379" s="1">
        <v>0</v>
      </c>
      <c r="AK1379" s="8">
        <f t="shared" si="87"/>
        <v>26</v>
      </c>
      <c r="AL1379" s="8">
        <f t="shared" si="86"/>
        <v>27</v>
      </c>
      <c r="AM1379">
        <f t="shared" si="84"/>
        <v>0</v>
      </c>
      <c r="AN1379">
        <f t="shared" si="85"/>
        <v>0</v>
      </c>
    </row>
    <row r="1380" spans="1:40" x14ac:dyDescent="0.35">
      <c r="A1380">
        <v>85.138999999999996</v>
      </c>
      <c r="B1380">
        <v>85.138999999999996</v>
      </c>
      <c r="C1380">
        <v>4.3096800000000002</v>
      </c>
      <c r="D1380">
        <v>0</v>
      </c>
      <c r="E1380">
        <v>0.02</v>
      </c>
      <c r="F1380">
        <v>3.14581</v>
      </c>
      <c r="G1380">
        <v>3.14581</v>
      </c>
      <c r="H1380">
        <v>0</v>
      </c>
      <c r="I1380">
        <v>0.58948599999999995</v>
      </c>
      <c r="J1380">
        <v>5.3222399999999999</v>
      </c>
      <c r="K1380" s="2">
        <v>159429000</v>
      </c>
      <c r="L1380" s="1">
        <v>0</v>
      </c>
      <c r="M1380" s="1">
        <v>0</v>
      </c>
      <c r="N1380" s="1">
        <v>0</v>
      </c>
      <c r="O1380" s="1">
        <v>0</v>
      </c>
      <c r="P1380" s="2">
        <v>4702910</v>
      </c>
      <c r="Q1380" s="1">
        <v>323395</v>
      </c>
      <c r="R1380" s="1">
        <v>0</v>
      </c>
      <c r="S1380">
        <v>99.302199999999999</v>
      </c>
      <c r="T1380">
        <v>98.274000000000001</v>
      </c>
      <c r="U1380">
        <v>3.9860500000000001</v>
      </c>
      <c r="V1380">
        <v>0</v>
      </c>
      <c r="W1380">
        <v>0</v>
      </c>
      <c r="X1380">
        <v>1.8431500000000001</v>
      </c>
      <c r="Y1380">
        <v>1.8431500000000001</v>
      </c>
      <c r="Z1380">
        <v>0</v>
      </c>
      <c r="AA1380">
        <v>1.4239200000000001</v>
      </c>
      <c r="AB1380">
        <v>2.9635199999999999</v>
      </c>
      <c r="AC1380" s="2">
        <v>687925000</v>
      </c>
      <c r="AD1380" s="1">
        <v>0</v>
      </c>
      <c r="AE1380" s="1">
        <v>0</v>
      </c>
      <c r="AF1380" s="1">
        <v>0</v>
      </c>
      <c r="AG1380" s="1">
        <v>0</v>
      </c>
      <c r="AH1380" s="2">
        <v>4768670</v>
      </c>
      <c r="AI1380" s="1">
        <v>155440</v>
      </c>
      <c r="AJ1380" s="1">
        <v>0</v>
      </c>
      <c r="AK1380" s="8">
        <f t="shared" si="87"/>
        <v>27</v>
      </c>
      <c r="AL1380" s="8">
        <f t="shared" si="86"/>
        <v>27</v>
      </c>
      <c r="AM1380">
        <f t="shared" si="84"/>
        <v>0</v>
      </c>
      <c r="AN1380">
        <f t="shared" si="85"/>
        <v>0</v>
      </c>
    </row>
    <row r="1381" spans="1:40" x14ac:dyDescent="0.35">
      <c r="A1381">
        <v>85.138999999999996</v>
      </c>
      <c r="B1381">
        <v>85.138999999999996</v>
      </c>
      <c r="C1381">
        <v>4.0403399999999996</v>
      </c>
      <c r="D1381">
        <v>0</v>
      </c>
      <c r="E1381">
        <v>0.02</v>
      </c>
      <c r="F1381">
        <v>3.14602</v>
      </c>
      <c r="G1381">
        <v>3.14602</v>
      </c>
      <c r="H1381">
        <v>0</v>
      </c>
      <c r="I1381">
        <v>0.58952499999999997</v>
      </c>
      <c r="J1381">
        <v>5.3222399999999999</v>
      </c>
      <c r="K1381" s="2">
        <v>159753000</v>
      </c>
      <c r="L1381" s="1">
        <v>0</v>
      </c>
      <c r="M1381" s="1">
        <v>0</v>
      </c>
      <c r="N1381" s="1">
        <v>0</v>
      </c>
      <c r="O1381" s="1">
        <v>0</v>
      </c>
      <c r="P1381" s="2">
        <v>4703220</v>
      </c>
      <c r="Q1381" s="1">
        <v>323417</v>
      </c>
      <c r="R1381" s="1">
        <v>0</v>
      </c>
      <c r="S1381">
        <v>99.302199999999999</v>
      </c>
      <c r="T1381">
        <v>98.274000000000001</v>
      </c>
      <c r="U1381">
        <v>3.6890900000000002</v>
      </c>
      <c r="V1381">
        <v>0</v>
      </c>
      <c r="W1381">
        <v>0</v>
      </c>
      <c r="X1381">
        <v>1.84327</v>
      </c>
      <c r="Y1381">
        <v>1.84327</v>
      </c>
      <c r="Z1381">
        <v>0</v>
      </c>
      <c r="AA1381">
        <v>1.4240200000000001</v>
      </c>
      <c r="AB1381">
        <v>2.9635199999999999</v>
      </c>
      <c r="AC1381" s="2">
        <v>688081000</v>
      </c>
      <c r="AD1381" s="1">
        <v>0</v>
      </c>
      <c r="AE1381" s="1">
        <v>0</v>
      </c>
      <c r="AF1381" s="1">
        <v>0</v>
      </c>
      <c r="AG1381" s="1">
        <v>0</v>
      </c>
      <c r="AH1381" s="2">
        <v>4768980</v>
      </c>
      <c r="AI1381" s="1">
        <v>155450</v>
      </c>
      <c r="AJ1381" s="1">
        <v>0</v>
      </c>
      <c r="AK1381" s="8">
        <f t="shared" si="87"/>
        <v>28</v>
      </c>
      <c r="AL1381" s="8">
        <f t="shared" si="86"/>
        <v>27</v>
      </c>
      <c r="AM1381">
        <f t="shared" si="84"/>
        <v>0</v>
      </c>
      <c r="AN1381">
        <f t="shared" si="85"/>
        <v>0</v>
      </c>
    </row>
    <row r="1382" spans="1:40" x14ac:dyDescent="0.35">
      <c r="A1382">
        <v>85.138999999999996</v>
      </c>
      <c r="B1382">
        <v>85.138999999999996</v>
      </c>
      <c r="C1382">
        <v>3.9754299999999998</v>
      </c>
      <c r="D1382">
        <v>0</v>
      </c>
      <c r="E1382">
        <v>0.02</v>
      </c>
      <c r="F1382">
        <v>3.14622</v>
      </c>
      <c r="G1382">
        <v>3.14622</v>
      </c>
      <c r="H1382">
        <v>0</v>
      </c>
      <c r="I1382">
        <v>0.58956399999999998</v>
      </c>
      <c r="J1382">
        <v>5.3222399999999999</v>
      </c>
      <c r="K1382" s="2">
        <v>160076000</v>
      </c>
      <c r="L1382" s="1">
        <v>0</v>
      </c>
      <c r="M1382" s="1">
        <v>0</v>
      </c>
      <c r="N1382" s="1">
        <v>0</v>
      </c>
      <c r="O1382" s="1">
        <v>0</v>
      </c>
      <c r="P1382" s="2">
        <v>4703530</v>
      </c>
      <c r="Q1382" s="1">
        <v>323438</v>
      </c>
      <c r="R1382" s="1">
        <v>0</v>
      </c>
      <c r="S1382">
        <v>99.302199999999999</v>
      </c>
      <c r="T1382">
        <v>98.274000000000001</v>
      </c>
      <c r="U1382">
        <v>3.7497799999999999</v>
      </c>
      <c r="V1382">
        <v>0</v>
      </c>
      <c r="W1382">
        <v>0</v>
      </c>
      <c r="X1382">
        <v>1.8433900000000001</v>
      </c>
      <c r="Y1382">
        <v>1.8433900000000001</v>
      </c>
      <c r="Z1382">
        <v>0</v>
      </c>
      <c r="AA1382">
        <v>1.42411</v>
      </c>
      <c r="AB1382">
        <v>2.9635199999999999</v>
      </c>
      <c r="AC1382" s="2">
        <v>688236000</v>
      </c>
      <c r="AD1382" s="1">
        <v>0</v>
      </c>
      <c r="AE1382" s="1">
        <v>0</v>
      </c>
      <c r="AF1382" s="1">
        <v>0</v>
      </c>
      <c r="AG1382" s="1">
        <v>0</v>
      </c>
      <c r="AH1382" s="2">
        <v>4769300</v>
      </c>
      <c r="AI1382" s="1">
        <v>155461</v>
      </c>
      <c r="AJ1382" s="1">
        <v>0</v>
      </c>
      <c r="AK1382" s="8">
        <f t="shared" si="87"/>
        <v>29</v>
      </c>
      <c r="AL1382" s="8">
        <f t="shared" si="86"/>
        <v>27</v>
      </c>
      <c r="AM1382">
        <f t="shared" si="84"/>
        <v>0</v>
      </c>
      <c r="AN1382">
        <f t="shared" si="85"/>
        <v>0</v>
      </c>
    </row>
    <row r="1383" spans="1:40" x14ac:dyDescent="0.35">
      <c r="A1383">
        <v>85.138999999999996</v>
      </c>
      <c r="B1383">
        <v>85.138999999999996</v>
      </c>
      <c r="C1383">
        <v>3.9797199999999999</v>
      </c>
      <c r="D1383">
        <v>0</v>
      </c>
      <c r="E1383">
        <v>0.02</v>
      </c>
      <c r="F1383">
        <v>3.1464300000000001</v>
      </c>
      <c r="G1383">
        <v>3.1464300000000001</v>
      </c>
      <c r="H1383">
        <v>0</v>
      </c>
      <c r="I1383">
        <v>0.58960299999999999</v>
      </c>
      <c r="J1383">
        <v>5.3222399999999999</v>
      </c>
      <c r="K1383" s="2">
        <v>160399000</v>
      </c>
      <c r="L1383" s="1">
        <v>0</v>
      </c>
      <c r="M1383" s="1">
        <v>0</v>
      </c>
      <c r="N1383" s="1">
        <v>0</v>
      </c>
      <c r="O1383" s="1">
        <v>0</v>
      </c>
      <c r="P1383" s="2">
        <v>4703840</v>
      </c>
      <c r="Q1383" s="1">
        <v>323459</v>
      </c>
      <c r="R1383" s="1">
        <v>0</v>
      </c>
      <c r="S1383">
        <v>99.302199999999999</v>
      </c>
      <c r="T1383">
        <v>98.274000000000001</v>
      </c>
      <c r="U1383">
        <v>4.2548300000000001</v>
      </c>
      <c r="V1383">
        <v>0</v>
      </c>
      <c r="W1383">
        <v>0</v>
      </c>
      <c r="X1383">
        <v>1.84352</v>
      </c>
      <c r="Y1383">
        <v>1.84352</v>
      </c>
      <c r="Z1383">
        <v>0</v>
      </c>
      <c r="AA1383">
        <v>1.42421</v>
      </c>
      <c r="AB1383">
        <v>2.9635199999999999</v>
      </c>
      <c r="AC1383" s="2">
        <v>688392000</v>
      </c>
      <c r="AD1383" s="1">
        <v>0</v>
      </c>
      <c r="AE1383" s="1">
        <v>0</v>
      </c>
      <c r="AF1383" s="1">
        <v>0</v>
      </c>
      <c r="AG1383" s="1">
        <v>0</v>
      </c>
      <c r="AH1383" s="2">
        <v>4769610</v>
      </c>
      <c r="AI1383" s="1">
        <v>155471</v>
      </c>
      <c r="AJ1383" s="1">
        <v>0</v>
      </c>
      <c r="AK1383" s="8">
        <f t="shared" si="87"/>
        <v>30</v>
      </c>
      <c r="AL1383" s="8">
        <f t="shared" si="86"/>
        <v>27</v>
      </c>
      <c r="AM1383">
        <f t="shared" si="84"/>
        <v>0</v>
      </c>
      <c r="AN1383">
        <f t="shared" si="85"/>
        <v>0</v>
      </c>
    </row>
    <row r="1384" spans="1:40" x14ac:dyDescent="0.35">
      <c r="A1384">
        <v>85.138999999999996</v>
      </c>
      <c r="B1384">
        <v>85.138999999999996</v>
      </c>
      <c r="C1384">
        <v>3.9676800000000001</v>
      </c>
      <c r="D1384">
        <v>0</v>
      </c>
      <c r="E1384">
        <v>0.02</v>
      </c>
      <c r="F1384">
        <v>3.1184599999999998</v>
      </c>
      <c r="G1384">
        <v>3.1184599999999998</v>
      </c>
      <c r="H1384">
        <v>0</v>
      </c>
      <c r="I1384">
        <v>0.58964099999999997</v>
      </c>
      <c r="J1384">
        <v>5.3222399999999999</v>
      </c>
      <c r="K1384" s="2">
        <v>160720000</v>
      </c>
      <c r="L1384" s="1">
        <v>0</v>
      </c>
      <c r="M1384" s="1">
        <v>0</v>
      </c>
      <c r="N1384" s="1">
        <v>0</v>
      </c>
      <c r="O1384" s="1">
        <v>0</v>
      </c>
      <c r="P1384" s="2">
        <v>4662010</v>
      </c>
      <c r="Q1384" s="1">
        <v>320583</v>
      </c>
      <c r="R1384" s="1">
        <v>0</v>
      </c>
      <c r="S1384">
        <v>99.302199999999999</v>
      </c>
      <c r="T1384">
        <v>98.274000000000001</v>
      </c>
      <c r="U1384">
        <v>4.2194399999999996</v>
      </c>
      <c r="V1384">
        <v>0</v>
      </c>
      <c r="W1384">
        <v>0</v>
      </c>
      <c r="X1384">
        <v>1.89561</v>
      </c>
      <c r="Y1384">
        <v>1.89561</v>
      </c>
      <c r="Z1384">
        <v>0</v>
      </c>
      <c r="AA1384">
        <v>1.4242999999999999</v>
      </c>
      <c r="AB1384">
        <v>2.9635199999999999</v>
      </c>
      <c r="AC1384" s="2">
        <v>688552000</v>
      </c>
      <c r="AD1384" s="1">
        <v>0</v>
      </c>
      <c r="AE1384" s="1">
        <v>0</v>
      </c>
      <c r="AF1384" s="1">
        <v>0</v>
      </c>
      <c r="AG1384" s="1">
        <v>0</v>
      </c>
      <c r="AH1384" s="2">
        <v>4904400</v>
      </c>
      <c r="AI1384" s="1">
        <v>159864</v>
      </c>
      <c r="AJ1384" s="1">
        <v>0</v>
      </c>
      <c r="AK1384" s="8">
        <f t="shared" si="87"/>
        <v>31</v>
      </c>
      <c r="AL1384" s="8">
        <f t="shared" si="86"/>
        <v>27</v>
      </c>
      <c r="AM1384">
        <f t="shared" si="84"/>
        <v>0</v>
      </c>
      <c r="AN1384">
        <f t="shared" si="85"/>
        <v>0</v>
      </c>
    </row>
    <row r="1385" spans="1:40" x14ac:dyDescent="0.35">
      <c r="A1385">
        <v>85.138999999999996</v>
      </c>
      <c r="B1385">
        <v>85.138999999999996</v>
      </c>
      <c r="C1385">
        <v>3.6222500000000002</v>
      </c>
      <c r="D1385">
        <v>0</v>
      </c>
      <c r="E1385">
        <v>0.02</v>
      </c>
      <c r="F1385">
        <v>3.1186600000000002</v>
      </c>
      <c r="G1385">
        <v>3.1186600000000002</v>
      </c>
      <c r="H1385">
        <v>0</v>
      </c>
      <c r="I1385">
        <v>0.584399</v>
      </c>
      <c r="J1385">
        <v>5.3222399999999999</v>
      </c>
      <c r="K1385" s="2">
        <v>161041000</v>
      </c>
      <c r="L1385" s="1">
        <v>0</v>
      </c>
      <c r="M1385" s="1">
        <v>0</v>
      </c>
      <c r="N1385" s="1">
        <v>0</v>
      </c>
      <c r="O1385" s="1">
        <v>0</v>
      </c>
      <c r="P1385" s="2">
        <v>4662320</v>
      </c>
      <c r="Q1385" s="1">
        <v>320605</v>
      </c>
      <c r="R1385" s="1">
        <v>0</v>
      </c>
      <c r="S1385">
        <v>99.302199999999999</v>
      </c>
      <c r="T1385">
        <v>98.274000000000001</v>
      </c>
      <c r="U1385">
        <v>4.06304</v>
      </c>
      <c r="V1385">
        <v>0</v>
      </c>
      <c r="W1385">
        <v>0</v>
      </c>
      <c r="X1385">
        <v>1.89574</v>
      </c>
      <c r="Y1385">
        <v>1.89574</v>
      </c>
      <c r="Z1385">
        <v>0</v>
      </c>
      <c r="AA1385">
        <v>1.46455</v>
      </c>
      <c r="AB1385">
        <v>2.9635199999999999</v>
      </c>
      <c r="AC1385" s="2">
        <v>688711000</v>
      </c>
      <c r="AD1385" s="1">
        <v>0</v>
      </c>
      <c r="AE1385" s="1">
        <v>0</v>
      </c>
      <c r="AF1385" s="1">
        <v>0</v>
      </c>
      <c r="AG1385" s="1">
        <v>0</v>
      </c>
      <c r="AH1385" s="2">
        <v>4904720</v>
      </c>
      <c r="AI1385" s="1">
        <v>159875</v>
      </c>
      <c r="AJ1385" s="1">
        <v>0</v>
      </c>
      <c r="AK1385" s="8">
        <f t="shared" si="87"/>
        <v>32</v>
      </c>
      <c r="AL1385" s="8">
        <f t="shared" si="86"/>
        <v>27</v>
      </c>
      <c r="AM1385">
        <f t="shared" si="84"/>
        <v>0</v>
      </c>
      <c r="AN1385">
        <f t="shared" si="85"/>
        <v>0</v>
      </c>
    </row>
    <row r="1386" spans="1:40" x14ac:dyDescent="0.35">
      <c r="A1386">
        <v>85.138999999999996</v>
      </c>
      <c r="B1386">
        <v>85.138999999999996</v>
      </c>
      <c r="C1386">
        <v>3.43371</v>
      </c>
      <c r="D1386">
        <v>0</v>
      </c>
      <c r="E1386">
        <v>0.02</v>
      </c>
      <c r="F1386">
        <v>3.1188699999999998</v>
      </c>
      <c r="G1386">
        <v>3.1188699999999998</v>
      </c>
      <c r="H1386">
        <v>0</v>
      </c>
      <c r="I1386">
        <v>0.58443699999999998</v>
      </c>
      <c r="J1386">
        <v>5.3222399999999999</v>
      </c>
      <c r="K1386" s="2">
        <v>161361000</v>
      </c>
      <c r="L1386" s="1">
        <v>0</v>
      </c>
      <c r="M1386" s="1">
        <v>0</v>
      </c>
      <c r="N1386" s="1">
        <v>0</v>
      </c>
      <c r="O1386" s="1">
        <v>0</v>
      </c>
      <c r="P1386" s="2">
        <v>4662630</v>
      </c>
      <c r="Q1386" s="1">
        <v>320626</v>
      </c>
      <c r="R1386" s="1">
        <v>0</v>
      </c>
      <c r="S1386">
        <v>99.302199999999999</v>
      </c>
      <c r="T1386">
        <v>98.274000000000001</v>
      </c>
      <c r="U1386">
        <v>3.6821999999999999</v>
      </c>
      <c r="V1386">
        <v>0</v>
      </c>
      <c r="W1386">
        <v>0</v>
      </c>
      <c r="X1386">
        <v>1.8958600000000001</v>
      </c>
      <c r="Y1386">
        <v>1.8958600000000001</v>
      </c>
      <c r="Z1386">
        <v>0</v>
      </c>
      <c r="AA1386">
        <v>1.46465</v>
      </c>
      <c r="AB1386">
        <v>2.9635199999999999</v>
      </c>
      <c r="AC1386" s="2">
        <v>688871000</v>
      </c>
      <c r="AD1386" s="1">
        <v>0</v>
      </c>
      <c r="AE1386" s="1">
        <v>0</v>
      </c>
      <c r="AF1386" s="1">
        <v>0</v>
      </c>
      <c r="AG1386" s="1">
        <v>0</v>
      </c>
      <c r="AH1386" s="2">
        <v>4905040</v>
      </c>
      <c r="AI1386" s="1">
        <v>159885</v>
      </c>
      <c r="AJ1386" s="1">
        <v>0</v>
      </c>
      <c r="AK1386" s="8">
        <f t="shared" si="87"/>
        <v>33</v>
      </c>
      <c r="AL1386" s="8">
        <f t="shared" si="86"/>
        <v>27</v>
      </c>
      <c r="AM1386">
        <f t="shared" si="84"/>
        <v>0</v>
      </c>
      <c r="AN1386">
        <f t="shared" si="85"/>
        <v>0</v>
      </c>
    </row>
    <row r="1387" spans="1:40" x14ac:dyDescent="0.35">
      <c r="A1387">
        <v>85.138999999999996</v>
      </c>
      <c r="B1387">
        <v>85.138999999999996</v>
      </c>
      <c r="C1387">
        <v>3.3084199999999999</v>
      </c>
      <c r="D1387">
        <v>0</v>
      </c>
      <c r="E1387">
        <v>0.02</v>
      </c>
      <c r="F1387">
        <v>3.1190699999999998</v>
      </c>
      <c r="G1387">
        <v>3.1190699999999998</v>
      </c>
      <c r="H1387">
        <v>0</v>
      </c>
      <c r="I1387">
        <v>0.584476</v>
      </c>
      <c r="J1387">
        <v>5.3222399999999999</v>
      </c>
      <c r="K1387" s="2">
        <v>161682000</v>
      </c>
      <c r="L1387" s="1">
        <v>0</v>
      </c>
      <c r="M1387" s="1">
        <v>0</v>
      </c>
      <c r="N1387" s="1">
        <v>0</v>
      </c>
      <c r="O1387" s="1">
        <v>0</v>
      </c>
      <c r="P1387" s="2">
        <v>4662940</v>
      </c>
      <c r="Q1387" s="1">
        <v>320647</v>
      </c>
      <c r="R1387" s="1">
        <v>0</v>
      </c>
      <c r="S1387">
        <v>99.302199999999999</v>
      </c>
      <c r="T1387">
        <v>98.274000000000001</v>
      </c>
      <c r="U1387">
        <v>3.5335999999999999</v>
      </c>
      <c r="V1387">
        <v>0</v>
      </c>
      <c r="W1387">
        <v>0</v>
      </c>
      <c r="X1387">
        <v>1.8959900000000001</v>
      </c>
      <c r="Y1387">
        <v>1.8959900000000001</v>
      </c>
      <c r="Z1387">
        <v>0</v>
      </c>
      <c r="AA1387">
        <v>1.4647399999999999</v>
      </c>
      <c r="AB1387">
        <v>2.9635199999999999</v>
      </c>
      <c r="AC1387" s="2">
        <v>689031000</v>
      </c>
      <c r="AD1387" s="1">
        <v>0</v>
      </c>
      <c r="AE1387" s="1">
        <v>0</v>
      </c>
      <c r="AF1387" s="1">
        <v>0</v>
      </c>
      <c r="AG1387" s="1">
        <v>0</v>
      </c>
      <c r="AH1387" s="2">
        <v>4905370</v>
      </c>
      <c r="AI1387" s="1">
        <v>159896</v>
      </c>
      <c r="AJ1387" s="1">
        <v>0</v>
      </c>
      <c r="AK1387" s="8">
        <f t="shared" si="87"/>
        <v>34</v>
      </c>
      <c r="AL1387" s="8">
        <f t="shared" si="86"/>
        <v>27</v>
      </c>
      <c r="AM1387">
        <f t="shared" si="84"/>
        <v>0</v>
      </c>
      <c r="AN1387">
        <f t="shared" si="85"/>
        <v>0</v>
      </c>
    </row>
    <row r="1388" spans="1:40" x14ac:dyDescent="0.35">
      <c r="A1388">
        <v>84.646900000000002</v>
      </c>
      <c r="B1388">
        <v>85.138999999999996</v>
      </c>
      <c r="C1388">
        <v>2.7893300000000001</v>
      </c>
      <c r="D1388">
        <v>0</v>
      </c>
      <c r="E1388">
        <v>0.02</v>
      </c>
      <c r="F1388">
        <v>3.1920799999999998</v>
      </c>
      <c r="G1388">
        <v>3.1920799999999998</v>
      </c>
      <c r="H1388">
        <v>0</v>
      </c>
      <c r="I1388">
        <v>0.58451500000000001</v>
      </c>
      <c r="J1388">
        <v>5.3222399999999999</v>
      </c>
      <c r="K1388" s="2">
        <v>162010000</v>
      </c>
      <c r="L1388" s="1">
        <v>0</v>
      </c>
      <c r="M1388" s="1">
        <v>0</v>
      </c>
      <c r="N1388" s="1">
        <v>0</v>
      </c>
      <c r="O1388" s="1">
        <v>0</v>
      </c>
      <c r="P1388" s="2">
        <v>4772080</v>
      </c>
      <c r="Q1388" s="1">
        <v>328152</v>
      </c>
      <c r="R1388" s="1">
        <v>0</v>
      </c>
      <c r="S1388">
        <v>99.302199999999999</v>
      </c>
      <c r="T1388">
        <v>98.274000000000001</v>
      </c>
      <c r="U1388">
        <v>2.9156200000000001</v>
      </c>
      <c r="V1388">
        <v>0</v>
      </c>
      <c r="W1388">
        <v>0</v>
      </c>
      <c r="X1388">
        <v>1.9424399999999999</v>
      </c>
      <c r="Y1388">
        <v>1.9424399999999999</v>
      </c>
      <c r="Z1388">
        <v>0</v>
      </c>
      <c r="AA1388">
        <v>1.4648399999999999</v>
      </c>
      <c r="AB1388">
        <v>2.9635199999999999</v>
      </c>
      <c r="AC1388" s="2">
        <v>689195000</v>
      </c>
      <c r="AD1388" s="1">
        <v>0</v>
      </c>
      <c r="AE1388" s="1">
        <v>0</v>
      </c>
      <c r="AF1388" s="1">
        <v>0</v>
      </c>
      <c r="AG1388" s="1">
        <v>0</v>
      </c>
      <c r="AH1388" s="2">
        <v>5025560</v>
      </c>
      <c r="AI1388" s="1">
        <v>163814</v>
      </c>
      <c r="AJ1388" s="1">
        <v>0</v>
      </c>
      <c r="AK1388" s="8">
        <f t="shared" si="87"/>
        <v>35</v>
      </c>
      <c r="AL1388" s="8">
        <f t="shared" si="86"/>
        <v>27</v>
      </c>
      <c r="AM1388">
        <f t="shared" si="84"/>
        <v>0</v>
      </c>
      <c r="AN1388">
        <f t="shared" si="85"/>
        <v>0</v>
      </c>
    </row>
    <row r="1389" spans="1:40" x14ac:dyDescent="0.35">
      <c r="A1389">
        <v>84.180899999999994</v>
      </c>
      <c r="B1389">
        <v>85.138999999999996</v>
      </c>
      <c r="C1389">
        <v>2.8563399999999999</v>
      </c>
      <c r="D1389">
        <v>0</v>
      </c>
      <c r="E1389">
        <v>0.02</v>
      </c>
      <c r="F1389">
        <v>3.1922899999999998</v>
      </c>
      <c r="G1389">
        <v>3.1922899999999998</v>
      </c>
      <c r="H1389">
        <v>0</v>
      </c>
      <c r="I1389">
        <v>0.59819500000000003</v>
      </c>
      <c r="J1389">
        <v>5.3222399999999999</v>
      </c>
      <c r="K1389" s="2">
        <v>162338000</v>
      </c>
      <c r="L1389" s="1">
        <v>0</v>
      </c>
      <c r="M1389" s="1">
        <v>0</v>
      </c>
      <c r="N1389" s="1">
        <v>0</v>
      </c>
      <c r="O1389" s="1">
        <v>0</v>
      </c>
      <c r="P1389" s="2">
        <v>4772390</v>
      </c>
      <c r="Q1389" s="1">
        <v>328174</v>
      </c>
      <c r="R1389" s="1">
        <v>0</v>
      </c>
      <c r="S1389">
        <v>99.302199999999999</v>
      </c>
      <c r="T1389">
        <v>98.274000000000001</v>
      </c>
      <c r="U1389">
        <v>3.0793200000000001</v>
      </c>
      <c r="V1389">
        <v>0</v>
      </c>
      <c r="W1389">
        <v>0</v>
      </c>
      <c r="X1389">
        <v>1.9425699999999999</v>
      </c>
      <c r="Y1389">
        <v>1.9425699999999999</v>
      </c>
      <c r="Z1389">
        <v>0</v>
      </c>
      <c r="AA1389">
        <v>1.5007299999999999</v>
      </c>
      <c r="AB1389">
        <v>2.9635199999999999</v>
      </c>
      <c r="AC1389" s="2">
        <v>689359000</v>
      </c>
      <c r="AD1389" s="1">
        <v>0</v>
      </c>
      <c r="AE1389" s="1">
        <v>0</v>
      </c>
      <c r="AF1389" s="1">
        <v>0</v>
      </c>
      <c r="AG1389" s="1">
        <v>0</v>
      </c>
      <c r="AH1389" s="2">
        <v>5025900</v>
      </c>
      <c r="AI1389" s="1">
        <v>163825</v>
      </c>
      <c r="AJ1389" s="1">
        <v>0</v>
      </c>
      <c r="AK1389" s="8">
        <f t="shared" si="87"/>
        <v>36</v>
      </c>
      <c r="AL1389" s="8">
        <f t="shared" si="86"/>
        <v>27</v>
      </c>
      <c r="AM1389">
        <f t="shared" si="84"/>
        <v>0</v>
      </c>
      <c r="AN1389">
        <f t="shared" si="85"/>
        <v>0</v>
      </c>
    </row>
    <row r="1390" spans="1:40" x14ac:dyDescent="0.35">
      <c r="A1390">
        <v>83.548900000000003</v>
      </c>
      <c r="B1390">
        <v>85.138999999999996</v>
      </c>
      <c r="C1390">
        <v>2.6469299999999998</v>
      </c>
      <c r="D1390">
        <v>0</v>
      </c>
      <c r="E1390">
        <v>0.02</v>
      </c>
      <c r="F1390">
        <v>3.1924999999999999</v>
      </c>
      <c r="G1390">
        <v>3.1924999999999999</v>
      </c>
      <c r="H1390">
        <v>0</v>
      </c>
      <c r="I1390">
        <v>0.59823499999999996</v>
      </c>
      <c r="J1390">
        <v>5.3222399999999999</v>
      </c>
      <c r="K1390" s="2">
        <v>162666000</v>
      </c>
      <c r="L1390" s="1">
        <v>0</v>
      </c>
      <c r="M1390" s="1">
        <v>0</v>
      </c>
      <c r="N1390" s="1">
        <v>0</v>
      </c>
      <c r="O1390" s="1">
        <v>0</v>
      </c>
      <c r="P1390" s="2">
        <v>4772710</v>
      </c>
      <c r="Q1390" s="1">
        <v>328195</v>
      </c>
      <c r="R1390" s="1">
        <v>0</v>
      </c>
      <c r="S1390">
        <v>99.302199999999999</v>
      </c>
      <c r="T1390">
        <v>98.274000000000001</v>
      </c>
      <c r="U1390">
        <v>2.9355000000000002</v>
      </c>
      <c r="V1390">
        <v>0</v>
      </c>
      <c r="W1390">
        <v>0</v>
      </c>
      <c r="X1390">
        <v>1.9427000000000001</v>
      </c>
      <c r="Y1390">
        <v>1.9427000000000001</v>
      </c>
      <c r="Z1390">
        <v>0</v>
      </c>
      <c r="AA1390">
        <v>1.5008300000000001</v>
      </c>
      <c r="AB1390">
        <v>2.9635199999999999</v>
      </c>
      <c r="AC1390" s="2">
        <v>689523000</v>
      </c>
      <c r="AD1390" s="1">
        <v>0</v>
      </c>
      <c r="AE1390" s="1">
        <v>0</v>
      </c>
      <c r="AF1390" s="1">
        <v>0</v>
      </c>
      <c r="AG1390" s="1">
        <v>0</v>
      </c>
      <c r="AH1390" s="2">
        <v>5026230</v>
      </c>
      <c r="AI1390" s="1">
        <v>163836</v>
      </c>
      <c r="AJ1390" s="1">
        <v>0</v>
      </c>
      <c r="AK1390" s="8">
        <f t="shared" si="87"/>
        <v>37</v>
      </c>
      <c r="AL1390" s="8">
        <f t="shared" si="86"/>
        <v>27</v>
      </c>
      <c r="AM1390">
        <f t="shared" si="84"/>
        <v>0</v>
      </c>
      <c r="AN1390">
        <f t="shared" si="85"/>
        <v>0</v>
      </c>
    </row>
    <row r="1391" spans="1:40" x14ac:dyDescent="0.35">
      <c r="A1391">
        <v>82.698499999999996</v>
      </c>
      <c r="B1391">
        <v>85.138999999999996</v>
      </c>
      <c r="C1391">
        <v>2.4100999999999999</v>
      </c>
      <c r="D1391">
        <v>0</v>
      </c>
      <c r="E1391">
        <v>0.02</v>
      </c>
      <c r="F1391">
        <v>3.1927099999999999</v>
      </c>
      <c r="G1391">
        <v>3.1927099999999999</v>
      </c>
      <c r="H1391">
        <v>0</v>
      </c>
      <c r="I1391">
        <v>0.59827399999999997</v>
      </c>
      <c r="J1391">
        <v>5.3222399999999999</v>
      </c>
      <c r="K1391" s="2">
        <v>162995000</v>
      </c>
      <c r="L1391" s="1">
        <v>0</v>
      </c>
      <c r="M1391" s="1">
        <v>0</v>
      </c>
      <c r="N1391" s="1">
        <v>0</v>
      </c>
      <c r="O1391" s="1">
        <v>0</v>
      </c>
      <c r="P1391" s="2">
        <v>4773020</v>
      </c>
      <c r="Q1391" s="1">
        <v>328217</v>
      </c>
      <c r="R1391" s="1">
        <v>0</v>
      </c>
      <c r="S1391">
        <v>99.273099999999999</v>
      </c>
      <c r="T1391">
        <v>98.274000000000001</v>
      </c>
      <c r="U1391">
        <v>2.6139100000000002</v>
      </c>
      <c r="V1391">
        <v>0</v>
      </c>
      <c r="W1391">
        <v>0</v>
      </c>
      <c r="X1391">
        <v>1.9428300000000001</v>
      </c>
      <c r="Y1391">
        <v>1.9428300000000001</v>
      </c>
      <c r="Z1391">
        <v>0</v>
      </c>
      <c r="AA1391">
        <v>1.5009300000000001</v>
      </c>
      <c r="AB1391">
        <v>2.9635199999999999</v>
      </c>
      <c r="AC1391" s="2">
        <v>689687000</v>
      </c>
      <c r="AD1391" s="1">
        <v>0</v>
      </c>
      <c r="AE1391" s="1">
        <v>0</v>
      </c>
      <c r="AF1391" s="1">
        <v>0</v>
      </c>
      <c r="AG1391" s="1">
        <v>0</v>
      </c>
      <c r="AH1391" s="2">
        <v>5026560</v>
      </c>
      <c r="AI1391" s="1">
        <v>163846</v>
      </c>
      <c r="AJ1391" s="1">
        <v>0</v>
      </c>
      <c r="AK1391" s="8">
        <f t="shared" si="87"/>
        <v>38</v>
      </c>
      <c r="AL1391" s="8">
        <f t="shared" si="86"/>
        <v>27</v>
      </c>
      <c r="AM1391">
        <f t="shared" si="84"/>
        <v>0</v>
      </c>
      <c r="AN1391">
        <f t="shared" si="85"/>
        <v>0</v>
      </c>
    </row>
    <row r="1392" spans="1:40" x14ac:dyDescent="0.35">
      <c r="A1392">
        <v>81.858800000000002</v>
      </c>
      <c r="B1392">
        <v>85.138999999999996</v>
      </c>
      <c r="C1392">
        <v>2.6102500000000002</v>
      </c>
      <c r="D1392">
        <v>0</v>
      </c>
      <c r="E1392">
        <v>0.02</v>
      </c>
      <c r="F1392">
        <v>3.4061599999999999</v>
      </c>
      <c r="G1392">
        <v>3.4061599999999999</v>
      </c>
      <c r="H1392">
        <v>0</v>
      </c>
      <c r="I1392">
        <v>0.59831400000000001</v>
      </c>
      <c r="J1392">
        <v>5.3222399999999999</v>
      </c>
      <c r="K1392" s="2">
        <v>163345000</v>
      </c>
      <c r="L1392" s="1">
        <v>0</v>
      </c>
      <c r="M1392" s="1">
        <v>0</v>
      </c>
      <c r="N1392" s="1">
        <v>0</v>
      </c>
      <c r="O1392" s="1">
        <v>0</v>
      </c>
      <c r="P1392" s="2">
        <v>5092130</v>
      </c>
      <c r="Q1392" s="1">
        <v>350160</v>
      </c>
      <c r="R1392" s="1">
        <v>0</v>
      </c>
      <c r="S1392">
        <v>99.221100000000007</v>
      </c>
      <c r="T1392">
        <v>98.274000000000001</v>
      </c>
      <c r="U1392">
        <v>2.9736799999999999</v>
      </c>
      <c r="V1392">
        <v>0</v>
      </c>
      <c r="W1392">
        <v>0</v>
      </c>
      <c r="X1392">
        <v>2.1102400000000001</v>
      </c>
      <c r="Y1392">
        <v>2.1102400000000001</v>
      </c>
      <c r="Z1392">
        <v>0</v>
      </c>
      <c r="AA1392">
        <v>1.5010300000000001</v>
      </c>
      <c r="AB1392">
        <v>2.9635199999999999</v>
      </c>
      <c r="AC1392" s="2">
        <v>689864000</v>
      </c>
      <c r="AD1392" s="1">
        <v>0</v>
      </c>
      <c r="AE1392" s="1">
        <v>0</v>
      </c>
      <c r="AF1392" s="1">
        <v>0</v>
      </c>
      <c r="AG1392" s="1">
        <v>0</v>
      </c>
      <c r="AH1392" s="2">
        <v>5459680</v>
      </c>
      <c r="AI1392" s="1">
        <v>177965</v>
      </c>
      <c r="AJ1392" s="1">
        <v>0</v>
      </c>
      <c r="AK1392" s="8">
        <f t="shared" si="87"/>
        <v>39</v>
      </c>
      <c r="AL1392" s="8">
        <f t="shared" si="86"/>
        <v>27</v>
      </c>
      <c r="AM1392">
        <f t="shared" si="84"/>
        <v>0</v>
      </c>
      <c r="AN1392">
        <f t="shared" si="85"/>
        <v>0</v>
      </c>
    </row>
    <row r="1393" spans="1:40" x14ac:dyDescent="0.35">
      <c r="A1393">
        <v>80.706800000000001</v>
      </c>
      <c r="B1393">
        <v>85.138999999999996</v>
      </c>
      <c r="C1393">
        <v>2.3129499999999998</v>
      </c>
      <c r="D1393">
        <v>0</v>
      </c>
      <c r="E1393">
        <v>0.02</v>
      </c>
      <c r="F1393">
        <v>3.40639</v>
      </c>
      <c r="G1393">
        <v>3.40639</v>
      </c>
      <c r="H1393">
        <v>0</v>
      </c>
      <c r="I1393">
        <v>0.63831499999999997</v>
      </c>
      <c r="J1393">
        <v>5.3222399999999999</v>
      </c>
      <c r="K1393" s="2">
        <v>163695000</v>
      </c>
      <c r="L1393" s="1">
        <v>0</v>
      </c>
      <c r="M1393" s="1">
        <v>0</v>
      </c>
      <c r="N1393" s="1">
        <v>0</v>
      </c>
      <c r="O1393" s="1">
        <v>0</v>
      </c>
      <c r="P1393" s="2">
        <v>5092460</v>
      </c>
      <c r="Q1393" s="1">
        <v>350183</v>
      </c>
      <c r="R1393" s="1">
        <v>0</v>
      </c>
      <c r="S1393">
        <v>99.0227</v>
      </c>
      <c r="T1393">
        <v>98.274000000000001</v>
      </c>
      <c r="U1393">
        <v>2.5040499999999999</v>
      </c>
      <c r="V1393">
        <v>0</v>
      </c>
      <c r="W1393">
        <v>0</v>
      </c>
      <c r="X1393">
        <v>2.1103800000000001</v>
      </c>
      <c r="Y1393">
        <v>2.1103800000000001</v>
      </c>
      <c r="Z1393">
        <v>0</v>
      </c>
      <c r="AA1393">
        <v>1.6303700000000001</v>
      </c>
      <c r="AB1393">
        <v>2.9635199999999999</v>
      </c>
      <c r="AC1393" s="2">
        <v>690042000</v>
      </c>
      <c r="AD1393" s="1">
        <v>0</v>
      </c>
      <c r="AE1393" s="1">
        <v>0</v>
      </c>
      <c r="AF1393" s="1">
        <v>0</v>
      </c>
      <c r="AG1393" s="1">
        <v>0</v>
      </c>
      <c r="AH1393" s="2">
        <v>5460040</v>
      </c>
      <c r="AI1393" s="1">
        <v>177976</v>
      </c>
      <c r="AJ1393" s="1">
        <v>0</v>
      </c>
      <c r="AK1393" s="8">
        <f t="shared" si="87"/>
        <v>40</v>
      </c>
      <c r="AL1393" s="8">
        <f t="shared" si="86"/>
        <v>27</v>
      </c>
      <c r="AM1393">
        <f t="shared" si="84"/>
        <v>0</v>
      </c>
      <c r="AN1393">
        <f t="shared" si="85"/>
        <v>0</v>
      </c>
    </row>
    <row r="1394" spans="1:40" x14ac:dyDescent="0.35">
      <c r="A1394">
        <v>79.684100000000001</v>
      </c>
      <c r="B1394">
        <v>85.138999999999996</v>
      </c>
      <c r="C1394">
        <v>2.1762100000000002</v>
      </c>
      <c r="D1394">
        <v>0.01</v>
      </c>
      <c r="E1394">
        <v>0.02</v>
      </c>
      <c r="F1394">
        <v>3.1042100000000001</v>
      </c>
      <c r="G1394">
        <v>3.4066100000000001</v>
      </c>
      <c r="H1394">
        <v>0</v>
      </c>
      <c r="I1394">
        <v>0.63835699999999995</v>
      </c>
      <c r="J1394">
        <v>5.3222399999999999</v>
      </c>
      <c r="K1394" s="2">
        <v>163637000</v>
      </c>
      <c r="L1394" s="1">
        <v>0</v>
      </c>
      <c r="M1394" s="1">
        <v>0</v>
      </c>
      <c r="N1394" s="1">
        <v>0</v>
      </c>
      <c r="O1394" s="1">
        <v>0</v>
      </c>
      <c r="P1394" s="2">
        <v>4640720</v>
      </c>
      <c r="Q1394" s="1">
        <v>-58332.3</v>
      </c>
      <c r="R1394" s="1">
        <v>408539</v>
      </c>
      <c r="S1394">
        <v>98.808999999999997</v>
      </c>
      <c r="T1394">
        <v>98.274000000000001</v>
      </c>
      <c r="U1394">
        <v>2.88659</v>
      </c>
      <c r="V1394">
        <v>0</v>
      </c>
      <c r="W1394">
        <v>0</v>
      </c>
      <c r="X1394">
        <v>2.4129100000000001</v>
      </c>
      <c r="Y1394">
        <v>2.1105100000000001</v>
      </c>
      <c r="Z1394">
        <v>0</v>
      </c>
      <c r="AA1394">
        <v>1.6304799999999999</v>
      </c>
      <c r="AB1394">
        <v>2.9635199999999999</v>
      </c>
      <c r="AC1394" s="2">
        <v>691003000</v>
      </c>
      <c r="AD1394" s="1">
        <v>0</v>
      </c>
      <c r="AE1394" s="1">
        <v>0</v>
      </c>
      <c r="AF1394" s="1">
        <v>0</v>
      </c>
      <c r="AG1394" s="1">
        <v>0</v>
      </c>
      <c r="AH1394" s="2">
        <v>6242780</v>
      </c>
      <c r="AI1394" s="1">
        <v>960369</v>
      </c>
      <c r="AJ1394" s="1">
        <v>0</v>
      </c>
      <c r="AK1394" s="8">
        <f t="shared" si="87"/>
        <v>41</v>
      </c>
      <c r="AL1394" s="8">
        <f t="shared" si="86"/>
        <v>27</v>
      </c>
      <c r="AM1394">
        <f t="shared" si="84"/>
        <v>0</v>
      </c>
      <c r="AN1394">
        <f t="shared" si="85"/>
        <v>0</v>
      </c>
    </row>
    <row r="1395" spans="1:40" x14ac:dyDescent="0.35">
      <c r="A1395">
        <v>78.587400000000002</v>
      </c>
      <c r="B1395">
        <v>85.138999999999996</v>
      </c>
      <c r="C1395">
        <v>2.0868199999999999</v>
      </c>
      <c r="D1395">
        <v>0.01</v>
      </c>
      <c r="E1395">
        <v>0.02</v>
      </c>
      <c r="F1395">
        <v>3.1044399999999999</v>
      </c>
      <c r="G1395">
        <v>3.4068399999999999</v>
      </c>
      <c r="H1395">
        <v>0</v>
      </c>
      <c r="I1395">
        <v>0.58172900000000005</v>
      </c>
      <c r="J1395">
        <v>5.3222399999999999</v>
      </c>
      <c r="K1395" s="2">
        <v>163578000</v>
      </c>
      <c r="L1395" s="1">
        <v>0</v>
      </c>
      <c r="M1395" s="1">
        <v>0</v>
      </c>
      <c r="N1395" s="1">
        <v>0</v>
      </c>
      <c r="O1395" s="1">
        <v>0</v>
      </c>
      <c r="P1395" s="2">
        <v>4641050</v>
      </c>
      <c r="Q1395" s="1">
        <v>-58309.2</v>
      </c>
      <c r="R1395" s="1">
        <v>408539</v>
      </c>
      <c r="S1395">
        <v>98.584100000000007</v>
      </c>
      <c r="T1395">
        <v>98.274000000000001</v>
      </c>
      <c r="U1395">
        <v>2.8389099999999998</v>
      </c>
      <c r="V1395">
        <v>0</v>
      </c>
      <c r="W1395">
        <v>0</v>
      </c>
      <c r="X1395">
        <v>2.4130500000000001</v>
      </c>
      <c r="Y1395">
        <v>2.1106500000000001</v>
      </c>
      <c r="Z1395">
        <v>0</v>
      </c>
      <c r="AA1395">
        <v>1.86422</v>
      </c>
      <c r="AB1395">
        <v>2.9635199999999999</v>
      </c>
      <c r="AC1395" s="2">
        <v>691963000</v>
      </c>
      <c r="AD1395" s="1">
        <v>0</v>
      </c>
      <c r="AE1395" s="1">
        <v>0</v>
      </c>
      <c r="AF1395" s="1">
        <v>0</v>
      </c>
      <c r="AG1395" s="1">
        <v>0</v>
      </c>
      <c r="AH1395" s="2">
        <v>6243150</v>
      </c>
      <c r="AI1395" s="1">
        <v>960381</v>
      </c>
      <c r="AJ1395" s="1">
        <v>0</v>
      </c>
      <c r="AK1395" s="8">
        <f t="shared" si="87"/>
        <v>42</v>
      </c>
      <c r="AL1395" s="8">
        <f t="shared" si="86"/>
        <v>27</v>
      </c>
      <c r="AM1395">
        <f t="shared" si="84"/>
        <v>0</v>
      </c>
      <c r="AN1395">
        <f t="shared" si="85"/>
        <v>0</v>
      </c>
    </row>
    <row r="1396" spans="1:40" x14ac:dyDescent="0.35">
      <c r="A1396">
        <v>77.949799999999996</v>
      </c>
      <c r="B1396">
        <v>85.138999999999996</v>
      </c>
      <c r="C1396">
        <v>2.5630899999999999</v>
      </c>
      <c r="D1396">
        <v>0.02</v>
      </c>
      <c r="E1396">
        <v>0.02</v>
      </c>
      <c r="F1396">
        <v>3.10466</v>
      </c>
      <c r="G1396">
        <v>3.40706</v>
      </c>
      <c r="H1396">
        <v>0</v>
      </c>
      <c r="I1396">
        <v>0.58177100000000004</v>
      </c>
      <c r="J1396">
        <v>5.3222399999999999</v>
      </c>
      <c r="K1396" s="2">
        <v>163520000</v>
      </c>
      <c r="L1396" s="1">
        <v>0</v>
      </c>
      <c r="M1396" s="1">
        <v>0</v>
      </c>
      <c r="N1396" s="1">
        <v>0</v>
      </c>
      <c r="O1396" s="1">
        <v>0</v>
      </c>
      <c r="P1396" s="2">
        <v>4641390</v>
      </c>
      <c r="Q1396" s="1">
        <v>-58286</v>
      </c>
      <c r="R1396" s="1">
        <v>408539</v>
      </c>
      <c r="S1396">
        <v>98.421499999999995</v>
      </c>
      <c r="T1396">
        <v>98.274000000000001</v>
      </c>
      <c r="U1396">
        <v>3.1675599999999999</v>
      </c>
      <c r="V1396">
        <v>0</v>
      </c>
      <c r="W1396">
        <v>0</v>
      </c>
      <c r="X1396">
        <v>2.4131900000000002</v>
      </c>
      <c r="Y1396">
        <v>2.1107900000000002</v>
      </c>
      <c r="Z1396">
        <v>0</v>
      </c>
      <c r="AA1396">
        <v>1.86433</v>
      </c>
      <c r="AB1396">
        <v>2.9635199999999999</v>
      </c>
      <c r="AC1396" s="2">
        <v>692924000</v>
      </c>
      <c r="AD1396" s="1">
        <v>0</v>
      </c>
      <c r="AE1396" s="1">
        <v>0</v>
      </c>
      <c r="AF1396" s="1">
        <v>0</v>
      </c>
      <c r="AG1396" s="1">
        <v>0</v>
      </c>
      <c r="AH1396" s="2">
        <v>6243510</v>
      </c>
      <c r="AI1396" s="1">
        <v>960392</v>
      </c>
      <c r="AJ1396" s="1">
        <v>0</v>
      </c>
      <c r="AK1396" s="8">
        <f t="shared" si="87"/>
        <v>43</v>
      </c>
      <c r="AL1396" s="8">
        <f t="shared" si="86"/>
        <v>27</v>
      </c>
      <c r="AM1396">
        <f t="shared" si="84"/>
        <v>0</v>
      </c>
      <c r="AN1396">
        <f t="shared" si="85"/>
        <v>0</v>
      </c>
    </row>
    <row r="1397" spans="1:40" x14ac:dyDescent="0.35">
      <c r="A1397">
        <v>78.3095</v>
      </c>
      <c r="B1397">
        <v>85.138999999999996</v>
      </c>
      <c r="C1397">
        <v>3.5562900000000002</v>
      </c>
      <c r="D1397">
        <v>0.02</v>
      </c>
      <c r="E1397">
        <v>0.02</v>
      </c>
      <c r="F1397">
        <v>3.0009299999999999</v>
      </c>
      <c r="G1397">
        <v>3.3033299999999999</v>
      </c>
      <c r="H1397">
        <v>0</v>
      </c>
      <c r="I1397">
        <v>0.58181300000000002</v>
      </c>
      <c r="J1397">
        <v>5.3222399999999999</v>
      </c>
      <c r="K1397" s="2">
        <v>163451000</v>
      </c>
      <c r="L1397" s="1">
        <v>0</v>
      </c>
      <c r="M1397" s="1">
        <v>0</v>
      </c>
      <c r="N1397" s="1">
        <v>0</v>
      </c>
      <c r="O1397" s="1">
        <v>0</v>
      </c>
      <c r="P1397" s="2">
        <v>4486310</v>
      </c>
      <c r="Q1397" s="1">
        <v>-68950.3</v>
      </c>
      <c r="R1397" s="1">
        <v>408539</v>
      </c>
      <c r="S1397">
        <v>98.475200000000001</v>
      </c>
      <c r="T1397">
        <v>98.274000000000001</v>
      </c>
      <c r="U1397">
        <v>3.95241</v>
      </c>
      <c r="V1397">
        <v>0</v>
      </c>
      <c r="W1397">
        <v>0</v>
      </c>
      <c r="X1397">
        <v>2.3117700000000001</v>
      </c>
      <c r="Y1397">
        <v>2.0093700000000001</v>
      </c>
      <c r="Z1397">
        <v>0</v>
      </c>
      <c r="AA1397">
        <v>1.86443</v>
      </c>
      <c r="AB1397">
        <v>2.9635199999999999</v>
      </c>
      <c r="AC1397" s="2">
        <v>693875000</v>
      </c>
      <c r="AD1397" s="1">
        <v>0</v>
      </c>
      <c r="AE1397" s="1">
        <v>0</v>
      </c>
      <c r="AF1397" s="1">
        <v>0</v>
      </c>
      <c r="AG1397" s="1">
        <v>0</v>
      </c>
      <c r="AH1397" s="2">
        <v>5981090</v>
      </c>
      <c r="AI1397" s="1">
        <v>951839</v>
      </c>
      <c r="AJ1397" s="1">
        <v>0</v>
      </c>
      <c r="AK1397" s="8">
        <f t="shared" si="87"/>
        <v>44</v>
      </c>
      <c r="AL1397" s="8">
        <f t="shared" si="86"/>
        <v>27</v>
      </c>
      <c r="AM1397">
        <f t="shared" si="84"/>
        <v>0</v>
      </c>
      <c r="AN1397">
        <f t="shared" si="85"/>
        <v>0</v>
      </c>
    </row>
    <row r="1398" spans="1:40" x14ac:dyDescent="0.35">
      <c r="A1398">
        <v>78.718299999999999</v>
      </c>
      <c r="B1398">
        <v>85.138999999999996</v>
      </c>
      <c r="C1398">
        <v>3.6875399999999998</v>
      </c>
      <c r="D1398">
        <v>0.02</v>
      </c>
      <c r="E1398">
        <v>0.02</v>
      </c>
      <c r="F1398">
        <v>3.0011399999999999</v>
      </c>
      <c r="G1398">
        <v>3.3035399999999999</v>
      </c>
      <c r="H1398">
        <v>0</v>
      </c>
      <c r="I1398">
        <v>0.56237300000000001</v>
      </c>
      <c r="J1398">
        <v>5.3222399999999999</v>
      </c>
      <c r="K1398" s="2">
        <v>163382000</v>
      </c>
      <c r="L1398" s="1">
        <v>0</v>
      </c>
      <c r="M1398" s="1">
        <v>0</v>
      </c>
      <c r="N1398" s="1">
        <v>0</v>
      </c>
      <c r="O1398" s="1">
        <v>0</v>
      </c>
      <c r="P1398" s="2">
        <v>4486630</v>
      </c>
      <c r="Q1398" s="1">
        <v>-68927.899999999994</v>
      </c>
      <c r="R1398" s="1">
        <v>408539</v>
      </c>
      <c r="S1398">
        <v>98.882599999999996</v>
      </c>
      <c r="T1398">
        <v>98.274000000000001</v>
      </c>
      <c r="U1398">
        <v>4.8338099999999997</v>
      </c>
      <c r="V1398">
        <v>0</v>
      </c>
      <c r="W1398">
        <v>0</v>
      </c>
      <c r="X1398">
        <v>2.3119000000000001</v>
      </c>
      <c r="Y1398">
        <v>2.0095000000000001</v>
      </c>
      <c r="Z1398">
        <v>0</v>
      </c>
      <c r="AA1398">
        <v>1.78607</v>
      </c>
      <c r="AB1398">
        <v>2.9635199999999999</v>
      </c>
      <c r="AC1398" s="2">
        <v>694827000</v>
      </c>
      <c r="AD1398" s="1">
        <v>0</v>
      </c>
      <c r="AE1398" s="1">
        <v>0</v>
      </c>
      <c r="AF1398" s="1">
        <v>0</v>
      </c>
      <c r="AG1398" s="1">
        <v>0</v>
      </c>
      <c r="AH1398" s="2">
        <v>5981430</v>
      </c>
      <c r="AI1398" s="1">
        <v>951850</v>
      </c>
      <c r="AJ1398" s="1">
        <v>0</v>
      </c>
      <c r="AK1398" s="8">
        <f t="shared" si="87"/>
        <v>45</v>
      </c>
      <c r="AL1398" s="8">
        <f t="shared" si="86"/>
        <v>27</v>
      </c>
      <c r="AM1398">
        <f t="shared" si="84"/>
        <v>0</v>
      </c>
      <c r="AN1398">
        <f t="shared" si="85"/>
        <v>0</v>
      </c>
    </row>
    <row r="1399" spans="1:40" x14ac:dyDescent="0.35">
      <c r="A1399">
        <v>79.123400000000004</v>
      </c>
      <c r="B1399">
        <v>85.138999999999996</v>
      </c>
      <c r="C1399">
        <v>3.73204</v>
      </c>
      <c r="D1399">
        <v>0.01</v>
      </c>
      <c r="E1399">
        <v>0.02</v>
      </c>
      <c r="F1399">
        <v>3.00136</v>
      </c>
      <c r="G1399">
        <v>3.30376</v>
      </c>
      <c r="H1399">
        <v>0</v>
      </c>
      <c r="I1399">
        <v>0.56241399999999997</v>
      </c>
      <c r="J1399">
        <v>5.3222399999999999</v>
      </c>
      <c r="K1399" s="2">
        <v>163313000</v>
      </c>
      <c r="L1399" s="1">
        <v>0</v>
      </c>
      <c r="M1399" s="1">
        <v>0</v>
      </c>
      <c r="N1399" s="1">
        <v>0</v>
      </c>
      <c r="O1399" s="1">
        <v>0</v>
      </c>
      <c r="P1399" s="2">
        <v>4486960</v>
      </c>
      <c r="Q1399" s="1">
        <v>-68905.5</v>
      </c>
      <c r="R1399" s="1">
        <v>408539</v>
      </c>
      <c r="S1399">
        <v>99.302199999999999</v>
      </c>
      <c r="T1399">
        <v>98.274000000000001</v>
      </c>
      <c r="U1399">
        <v>5.1148999999999996</v>
      </c>
      <c r="V1399">
        <v>0</v>
      </c>
      <c r="W1399">
        <v>0</v>
      </c>
      <c r="X1399">
        <v>2.31203</v>
      </c>
      <c r="Y1399">
        <v>2.00963</v>
      </c>
      <c r="Z1399">
        <v>0</v>
      </c>
      <c r="AA1399">
        <v>1.78617</v>
      </c>
      <c r="AB1399">
        <v>2.9635199999999999</v>
      </c>
      <c r="AC1399" s="2">
        <v>695779000</v>
      </c>
      <c r="AD1399" s="1">
        <v>0</v>
      </c>
      <c r="AE1399" s="1">
        <v>0</v>
      </c>
      <c r="AF1399" s="1">
        <v>0</v>
      </c>
      <c r="AG1399" s="1">
        <v>0</v>
      </c>
      <c r="AH1399" s="2">
        <v>5981780</v>
      </c>
      <c r="AI1399" s="1">
        <v>951861</v>
      </c>
      <c r="AJ1399" s="1">
        <v>0</v>
      </c>
      <c r="AK1399" s="8">
        <f t="shared" si="87"/>
        <v>46</v>
      </c>
      <c r="AL1399" s="8">
        <f t="shared" si="86"/>
        <v>27</v>
      </c>
      <c r="AM1399">
        <f t="shared" si="84"/>
        <v>0</v>
      </c>
      <c r="AN1399">
        <f t="shared" si="85"/>
        <v>0</v>
      </c>
    </row>
    <row r="1400" spans="1:40" x14ac:dyDescent="0.35">
      <c r="A1400">
        <v>79.7791</v>
      </c>
      <c r="B1400">
        <v>85.138999999999996</v>
      </c>
      <c r="C1400">
        <v>4.1234500000000001</v>
      </c>
      <c r="D1400">
        <v>0.01</v>
      </c>
      <c r="E1400">
        <v>0.02</v>
      </c>
      <c r="F1400">
        <v>3.0015800000000001</v>
      </c>
      <c r="G1400">
        <v>3.3039800000000001</v>
      </c>
      <c r="H1400">
        <v>0</v>
      </c>
      <c r="I1400">
        <v>0.56245500000000004</v>
      </c>
      <c r="J1400">
        <v>5.3222399999999999</v>
      </c>
      <c r="K1400" s="2">
        <v>163244000</v>
      </c>
      <c r="L1400" s="1">
        <v>0</v>
      </c>
      <c r="M1400" s="1">
        <v>0</v>
      </c>
      <c r="N1400" s="1">
        <v>0</v>
      </c>
      <c r="O1400" s="1">
        <v>0</v>
      </c>
      <c r="P1400" s="2">
        <v>4487290</v>
      </c>
      <c r="Q1400" s="1">
        <v>-68883</v>
      </c>
      <c r="R1400" s="1">
        <v>408539</v>
      </c>
      <c r="S1400">
        <v>99.302199999999999</v>
      </c>
      <c r="T1400">
        <v>98.274000000000001</v>
      </c>
      <c r="U1400">
        <v>5.4742199999999999</v>
      </c>
      <c r="V1400">
        <v>0</v>
      </c>
      <c r="W1400">
        <v>0</v>
      </c>
      <c r="X1400">
        <v>2.31216</v>
      </c>
      <c r="Y1400">
        <v>2.00976</v>
      </c>
      <c r="Z1400">
        <v>0</v>
      </c>
      <c r="AA1400">
        <v>1.7862800000000001</v>
      </c>
      <c r="AB1400">
        <v>2.9635199999999999</v>
      </c>
      <c r="AC1400" s="2">
        <v>696731000</v>
      </c>
      <c r="AD1400" s="1">
        <v>0</v>
      </c>
      <c r="AE1400" s="1">
        <v>0</v>
      </c>
      <c r="AF1400" s="1">
        <v>0</v>
      </c>
      <c r="AG1400" s="1">
        <v>0</v>
      </c>
      <c r="AH1400" s="2">
        <v>5982120</v>
      </c>
      <c r="AI1400" s="1">
        <v>951872</v>
      </c>
      <c r="AJ1400" s="1">
        <v>0</v>
      </c>
      <c r="AK1400" s="8">
        <f t="shared" si="87"/>
        <v>47</v>
      </c>
      <c r="AL1400" s="8">
        <f t="shared" si="86"/>
        <v>27</v>
      </c>
      <c r="AM1400">
        <f t="shared" si="84"/>
        <v>0</v>
      </c>
      <c r="AN1400">
        <f t="shared" si="85"/>
        <v>0</v>
      </c>
    </row>
    <row r="1401" spans="1:40" x14ac:dyDescent="0.35">
      <c r="A1401">
        <v>79.339600000000004</v>
      </c>
      <c r="B1401">
        <v>85.138999999999996</v>
      </c>
      <c r="C1401">
        <v>2.8622999999999998</v>
      </c>
      <c r="D1401">
        <v>0.01</v>
      </c>
      <c r="E1401">
        <v>0.02</v>
      </c>
      <c r="F1401">
        <v>2.9164400000000001</v>
      </c>
      <c r="G1401">
        <v>3.2188400000000001</v>
      </c>
      <c r="H1401">
        <v>0</v>
      </c>
      <c r="I1401">
        <v>0.562496</v>
      </c>
      <c r="J1401">
        <v>5.3222399999999999</v>
      </c>
      <c r="K1401" s="2">
        <v>163167000</v>
      </c>
      <c r="L1401" s="1">
        <v>0</v>
      </c>
      <c r="M1401" s="1">
        <v>0</v>
      </c>
      <c r="N1401" s="1">
        <v>0</v>
      </c>
      <c r="O1401" s="1">
        <v>0</v>
      </c>
      <c r="P1401" s="2">
        <v>4360010</v>
      </c>
      <c r="Q1401" s="1">
        <v>-77635.3</v>
      </c>
      <c r="R1401" s="1">
        <v>408539</v>
      </c>
      <c r="S1401">
        <v>99.302199999999999</v>
      </c>
      <c r="T1401">
        <v>98.274000000000001</v>
      </c>
      <c r="U1401">
        <v>3.8826999999999998</v>
      </c>
      <c r="V1401">
        <v>0</v>
      </c>
      <c r="W1401">
        <v>0</v>
      </c>
      <c r="X1401">
        <v>2.2198199999999999</v>
      </c>
      <c r="Y1401">
        <v>1.9174199999999999</v>
      </c>
      <c r="Z1401">
        <v>0</v>
      </c>
      <c r="AA1401">
        <v>1.7863800000000001</v>
      </c>
      <c r="AB1401">
        <v>2.9635199999999999</v>
      </c>
      <c r="AC1401" s="2">
        <v>697675000</v>
      </c>
      <c r="AD1401" s="1">
        <v>0</v>
      </c>
      <c r="AE1401" s="1">
        <v>0</v>
      </c>
      <c r="AF1401" s="1">
        <v>0</v>
      </c>
      <c r="AG1401" s="1">
        <v>0</v>
      </c>
      <c r="AH1401" s="2">
        <v>5743210</v>
      </c>
      <c r="AI1401" s="1">
        <v>944085</v>
      </c>
      <c r="AJ1401" s="1">
        <v>0</v>
      </c>
      <c r="AK1401" s="8">
        <f t="shared" si="87"/>
        <v>48</v>
      </c>
      <c r="AL1401" s="8">
        <f t="shared" si="86"/>
        <v>27</v>
      </c>
      <c r="AM1401">
        <f t="shared" si="84"/>
        <v>0</v>
      </c>
      <c r="AN1401">
        <f t="shared" si="85"/>
        <v>0</v>
      </c>
    </row>
    <row r="1402" spans="1:40" x14ac:dyDescent="0.35">
      <c r="A1402">
        <v>78.765000000000001</v>
      </c>
      <c r="B1402">
        <v>85.138999999999996</v>
      </c>
      <c r="C1402">
        <v>2.8353999999999999</v>
      </c>
      <c r="D1402">
        <v>0.01</v>
      </c>
      <c r="E1402">
        <v>0.02</v>
      </c>
      <c r="F1402">
        <v>2.9166500000000002</v>
      </c>
      <c r="G1402">
        <v>3.2190500000000002</v>
      </c>
      <c r="H1402">
        <v>0</v>
      </c>
      <c r="I1402">
        <v>0.54654100000000005</v>
      </c>
      <c r="J1402">
        <v>5.3222399999999999</v>
      </c>
      <c r="K1402" s="2">
        <v>163089000</v>
      </c>
      <c r="L1402" s="1">
        <v>0</v>
      </c>
      <c r="M1402" s="1">
        <v>0</v>
      </c>
      <c r="N1402" s="1">
        <v>0</v>
      </c>
      <c r="O1402" s="1">
        <v>0</v>
      </c>
      <c r="P1402" s="2">
        <v>4360320</v>
      </c>
      <c r="Q1402" s="1">
        <v>-77613.5</v>
      </c>
      <c r="R1402" s="1">
        <v>408539</v>
      </c>
      <c r="S1402">
        <v>99.302199999999999</v>
      </c>
      <c r="T1402">
        <v>98.274000000000001</v>
      </c>
      <c r="U1402">
        <v>4.2263500000000001</v>
      </c>
      <c r="V1402">
        <v>0</v>
      </c>
      <c r="W1402">
        <v>0</v>
      </c>
      <c r="X1402">
        <v>2.2199499999999999</v>
      </c>
      <c r="Y1402">
        <v>1.9175500000000001</v>
      </c>
      <c r="Z1402">
        <v>0</v>
      </c>
      <c r="AA1402">
        <v>1.7150300000000001</v>
      </c>
      <c r="AB1402">
        <v>2.9635199999999999</v>
      </c>
      <c r="AC1402" s="2">
        <v>698619000</v>
      </c>
      <c r="AD1402" s="1">
        <v>0</v>
      </c>
      <c r="AE1402" s="1">
        <v>0</v>
      </c>
      <c r="AF1402" s="1">
        <v>0</v>
      </c>
      <c r="AG1402" s="1">
        <v>0</v>
      </c>
      <c r="AH1402" s="2">
        <v>5743530</v>
      </c>
      <c r="AI1402" s="1">
        <v>944095</v>
      </c>
      <c r="AJ1402" s="1">
        <v>0</v>
      </c>
      <c r="AK1402" s="8">
        <f t="shared" si="87"/>
        <v>49</v>
      </c>
      <c r="AL1402" s="8">
        <f t="shared" si="86"/>
        <v>27</v>
      </c>
      <c r="AM1402">
        <f t="shared" si="84"/>
        <v>0</v>
      </c>
      <c r="AN1402">
        <f t="shared" si="85"/>
        <v>0</v>
      </c>
    </row>
    <row r="1403" spans="1:40" x14ac:dyDescent="0.35">
      <c r="A1403">
        <v>78.281099999999995</v>
      </c>
      <c r="B1403">
        <v>85.138999999999996</v>
      </c>
      <c r="C1403">
        <v>2.92164</v>
      </c>
      <c r="D1403">
        <v>0.01</v>
      </c>
      <c r="E1403">
        <v>0.02</v>
      </c>
      <c r="F1403">
        <v>2.9168699999999999</v>
      </c>
      <c r="G1403">
        <v>3.2192699999999999</v>
      </c>
      <c r="H1403">
        <v>0</v>
      </c>
      <c r="I1403">
        <v>0.54658099999999998</v>
      </c>
      <c r="J1403">
        <v>5.3222399999999999</v>
      </c>
      <c r="K1403" s="2">
        <v>163012000</v>
      </c>
      <c r="L1403" s="1">
        <v>0</v>
      </c>
      <c r="M1403" s="1">
        <v>0</v>
      </c>
      <c r="N1403" s="1">
        <v>0</v>
      </c>
      <c r="O1403" s="1">
        <v>0</v>
      </c>
      <c r="P1403" s="2">
        <v>4360640</v>
      </c>
      <c r="Q1403" s="1">
        <v>-77591.7</v>
      </c>
      <c r="R1403" s="1">
        <v>408539</v>
      </c>
      <c r="S1403">
        <v>99.302199999999999</v>
      </c>
      <c r="T1403">
        <v>98.274000000000001</v>
      </c>
      <c r="U1403">
        <v>5.3498400000000004</v>
      </c>
      <c r="V1403">
        <v>0</v>
      </c>
      <c r="W1403">
        <v>0</v>
      </c>
      <c r="X1403">
        <v>2.2200700000000002</v>
      </c>
      <c r="Y1403">
        <v>1.91767</v>
      </c>
      <c r="Z1403">
        <v>0</v>
      </c>
      <c r="AA1403">
        <v>1.71513</v>
      </c>
      <c r="AB1403">
        <v>2.9635199999999999</v>
      </c>
      <c r="AC1403" s="2">
        <v>699563000</v>
      </c>
      <c r="AD1403" s="1">
        <v>0</v>
      </c>
      <c r="AE1403" s="1">
        <v>0</v>
      </c>
      <c r="AF1403" s="1">
        <v>0</v>
      </c>
      <c r="AG1403" s="1">
        <v>0</v>
      </c>
      <c r="AH1403" s="2">
        <v>5743860</v>
      </c>
      <c r="AI1403" s="1">
        <v>944106</v>
      </c>
      <c r="AJ1403" s="1">
        <v>0</v>
      </c>
      <c r="AK1403" s="8">
        <f t="shared" si="87"/>
        <v>50</v>
      </c>
      <c r="AL1403" s="8">
        <f t="shared" si="86"/>
        <v>27</v>
      </c>
      <c r="AM1403">
        <f t="shared" si="84"/>
        <v>0</v>
      </c>
      <c r="AN1403">
        <f t="shared" si="85"/>
        <v>0</v>
      </c>
    </row>
    <row r="1404" spans="1:40" x14ac:dyDescent="0.35">
      <c r="A1404">
        <v>79.378</v>
      </c>
      <c r="B1404">
        <v>85.138999999999996</v>
      </c>
      <c r="C1404">
        <v>4.5517399999999997</v>
      </c>
      <c r="D1404">
        <v>0.02</v>
      </c>
      <c r="E1404">
        <v>0.02</v>
      </c>
      <c r="F1404">
        <v>2.9170799999999999</v>
      </c>
      <c r="G1404">
        <v>3.2194799999999999</v>
      </c>
      <c r="H1404">
        <v>0</v>
      </c>
      <c r="I1404">
        <v>0.54662100000000002</v>
      </c>
      <c r="J1404">
        <v>5.3222399999999999</v>
      </c>
      <c r="K1404" s="2">
        <v>162934000</v>
      </c>
      <c r="L1404" s="1">
        <v>0</v>
      </c>
      <c r="M1404" s="1">
        <v>0</v>
      </c>
      <c r="N1404" s="1">
        <v>0</v>
      </c>
      <c r="O1404" s="1">
        <v>0</v>
      </c>
      <c r="P1404" s="2">
        <v>4360960</v>
      </c>
      <c r="Q1404" s="1">
        <v>-77569.8</v>
      </c>
      <c r="R1404" s="1">
        <v>408539</v>
      </c>
      <c r="S1404">
        <v>99.302199999999999</v>
      </c>
      <c r="T1404">
        <v>98.274000000000001</v>
      </c>
      <c r="U1404">
        <v>4.5219699999999996</v>
      </c>
      <c r="V1404">
        <v>0</v>
      </c>
      <c r="W1404">
        <v>0</v>
      </c>
      <c r="X1404">
        <v>2.2202000000000002</v>
      </c>
      <c r="Y1404">
        <v>1.9177999999999999</v>
      </c>
      <c r="Z1404">
        <v>0</v>
      </c>
      <c r="AA1404">
        <v>1.71523</v>
      </c>
      <c r="AB1404">
        <v>2.9635199999999999</v>
      </c>
      <c r="AC1404" s="2">
        <v>700507000</v>
      </c>
      <c r="AD1404" s="1">
        <v>0</v>
      </c>
      <c r="AE1404" s="1">
        <v>0</v>
      </c>
      <c r="AF1404" s="1">
        <v>0</v>
      </c>
      <c r="AG1404" s="1">
        <v>0</v>
      </c>
      <c r="AH1404" s="2">
        <v>5744190</v>
      </c>
      <c r="AI1404" s="1">
        <v>944117</v>
      </c>
      <c r="AJ1404" s="1">
        <v>0</v>
      </c>
      <c r="AK1404" s="8">
        <f t="shared" si="87"/>
        <v>51</v>
      </c>
      <c r="AL1404" s="8">
        <f t="shared" si="86"/>
        <v>27</v>
      </c>
      <c r="AM1404">
        <f t="shared" si="84"/>
        <v>0</v>
      </c>
      <c r="AN1404">
        <f t="shared" si="85"/>
        <v>0</v>
      </c>
    </row>
    <row r="1405" spans="1:40" x14ac:dyDescent="0.35">
      <c r="A1405">
        <v>80.248800000000003</v>
      </c>
      <c r="B1405">
        <v>85.138999999999996</v>
      </c>
      <c r="C1405">
        <v>4.1135900000000003</v>
      </c>
      <c r="D1405">
        <v>0.01</v>
      </c>
      <c r="E1405">
        <v>0.02</v>
      </c>
      <c r="F1405">
        <v>2.6748099999999999</v>
      </c>
      <c r="G1405">
        <v>2.9772099999999999</v>
      </c>
      <c r="H1405">
        <v>0</v>
      </c>
      <c r="I1405">
        <v>0.54666099999999995</v>
      </c>
      <c r="J1405">
        <v>5.3222399999999999</v>
      </c>
      <c r="K1405" s="2">
        <v>162832000</v>
      </c>
      <c r="L1405" s="1">
        <v>0</v>
      </c>
      <c r="M1405" s="1">
        <v>0</v>
      </c>
      <c r="N1405" s="1">
        <v>0</v>
      </c>
      <c r="O1405" s="1">
        <v>0</v>
      </c>
      <c r="P1405" s="2">
        <v>3998780</v>
      </c>
      <c r="Q1405" s="1">
        <v>-102475</v>
      </c>
      <c r="R1405" s="1">
        <v>408539</v>
      </c>
      <c r="S1405">
        <v>99.302199999999999</v>
      </c>
      <c r="T1405">
        <v>98.274000000000001</v>
      </c>
      <c r="U1405">
        <v>5.6837900000000001</v>
      </c>
      <c r="V1405">
        <v>0</v>
      </c>
      <c r="W1405">
        <v>0</v>
      </c>
      <c r="X1405">
        <v>2.0276800000000001</v>
      </c>
      <c r="Y1405">
        <v>1.7252799999999999</v>
      </c>
      <c r="Z1405">
        <v>0</v>
      </c>
      <c r="AA1405">
        <v>1.71533</v>
      </c>
      <c r="AB1405">
        <v>2.9635199999999999</v>
      </c>
      <c r="AC1405" s="2">
        <v>701435000</v>
      </c>
      <c r="AD1405" s="1">
        <v>0</v>
      </c>
      <c r="AE1405" s="1">
        <v>0</v>
      </c>
      <c r="AF1405" s="1">
        <v>0</v>
      </c>
      <c r="AG1405" s="1">
        <v>0</v>
      </c>
      <c r="AH1405" s="2">
        <v>5246090</v>
      </c>
      <c r="AI1405" s="1">
        <v>927880</v>
      </c>
      <c r="AJ1405" s="1">
        <v>0</v>
      </c>
      <c r="AK1405" s="8">
        <f t="shared" si="87"/>
        <v>52</v>
      </c>
      <c r="AL1405" s="8">
        <f t="shared" si="86"/>
        <v>27</v>
      </c>
      <c r="AM1405">
        <f t="shared" si="84"/>
        <v>701435000</v>
      </c>
      <c r="AN1405">
        <f t="shared" si="85"/>
        <v>162832000</v>
      </c>
    </row>
    <row r="1406" spans="1:40" x14ac:dyDescent="0.35">
      <c r="A1406">
        <v>85.138999999999996</v>
      </c>
      <c r="B1406">
        <v>85.138999999999996</v>
      </c>
      <c r="C1406">
        <v>9.4131099999999996</v>
      </c>
      <c r="D1406">
        <v>0</v>
      </c>
      <c r="E1406">
        <v>0.02</v>
      </c>
      <c r="F1406">
        <v>2.9774099999999999</v>
      </c>
      <c r="G1406">
        <v>2.9774099999999999</v>
      </c>
      <c r="H1406">
        <v>0</v>
      </c>
      <c r="I1406">
        <v>0.50126000000000004</v>
      </c>
      <c r="J1406">
        <v>5.3222399999999999</v>
      </c>
      <c r="K1406" s="2">
        <v>163138000</v>
      </c>
      <c r="L1406" s="1">
        <v>0</v>
      </c>
      <c r="M1406" s="1">
        <v>0</v>
      </c>
      <c r="N1406" s="1">
        <v>0</v>
      </c>
      <c r="O1406" s="1">
        <v>0</v>
      </c>
      <c r="P1406" s="2">
        <v>4451150</v>
      </c>
      <c r="Q1406" s="1">
        <v>306083</v>
      </c>
      <c r="R1406" s="1">
        <v>0</v>
      </c>
      <c r="S1406">
        <v>99.302199999999999</v>
      </c>
      <c r="T1406">
        <v>98.274000000000001</v>
      </c>
      <c r="U1406">
        <v>9.8904499999999995</v>
      </c>
      <c r="V1406">
        <v>0</v>
      </c>
      <c r="W1406">
        <v>0</v>
      </c>
      <c r="X1406">
        <v>1.72539</v>
      </c>
      <c r="Y1406">
        <v>1.72539</v>
      </c>
      <c r="Z1406">
        <v>0</v>
      </c>
      <c r="AA1406">
        <v>1.5665800000000001</v>
      </c>
      <c r="AB1406">
        <v>2.9635199999999999</v>
      </c>
      <c r="AC1406" s="2">
        <v>701581000</v>
      </c>
      <c r="AD1406" s="1">
        <v>0</v>
      </c>
      <c r="AE1406" s="1">
        <v>0</v>
      </c>
      <c r="AF1406" s="1">
        <v>0</v>
      </c>
      <c r="AG1406" s="1">
        <v>0</v>
      </c>
      <c r="AH1406" s="2">
        <v>4464000</v>
      </c>
      <c r="AI1406" s="1">
        <v>145509</v>
      </c>
      <c r="AJ1406" s="1">
        <v>0</v>
      </c>
      <c r="AK1406" s="8">
        <f t="shared" si="87"/>
        <v>1</v>
      </c>
      <c r="AL1406" s="8">
        <f t="shared" si="86"/>
        <v>28</v>
      </c>
      <c r="AM1406">
        <f t="shared" si="84"/>
        <v>0</v>
      </c>
      <c r="AN1406">
        <f t="shared" si="85"/>
        <v>0</v>
      </c>
    </row>
    <row r="1407" spans="1:40" x14ac:dyDescent="0.35">
      <c r="A1407">
        <v>85.138999999999996</v>
      </c>
      <c r="B1407">
        <v>85.138999999999996</v>
      </c>
      <c r="C1407">
        <v>7.2917800000000002</v>
      </c>
      <c r="D1407">
        <v>0</v>
      </c>
      <c r="E1407">
        <v>0.02</v>
      </c>
      <c r="F1407">
        <v>2.9775999999999998</v>
      </c>
      <c r="G1407">
        <v>2.9775999999999998</v>
      </c>
      <c r="H1407">
        <v>0</v>
      </c>
      <c r="I1407">
        <v>0.55796599999999996</v>
      </c>
      <c r="J1407">
        <v>5.3222399999999999</v>
      </c>
      <c r="K1407" s="2">
        <v>163444000</v>
      </c>
      <c r="L1407" s="1">
        <v>0</v>
      </c>
      <c r="M1407" s="1">
        <v>0</v>
      </c>
      <c r="N1407" s="1">
        <v>0</v>
      </c>
      <c r="O1407" s="1">
        <v>0</v>
      </c>
      <c r="P1407" s="2">
        <v>4451440</v>
      </c>
      <c r="Q1407" s="1">
        <v>306104</v>
      </c>
      <c r="R1407" s="1">
        <v>0</v>
      </c>
      <c r="S1407">
        <v>99.302199999999999</v>
      </c>
      <c r="T1407">
        <v>98.274000000000001</v>
      </c>
      <c r="U1407">
        <v>11.245200000000001</v>
      </c>
      <c r="V1407">
        <v>0</v>
      </c>
      <c r="W1407">
        <v>0</v>
      </c>
      <c r="X1407">
        <v>1.7255100000000001</v>
      </c>
      <c r="Y1407">
        <v>1.7255100000000001</v>
      </c>
      <c r="Z1407">
        <v>0</v>
      </c>
      <c r="AA1407">
        <v>1.33304</v>
      </c>
      <c r="AB1407">
        <v>2.9635199999999999</v>
      </c>
      <c r="AC1407" s="2">
        <v>701726000</v>
      </c>
      <c r="AD1407" s="1">
        <v>0</v>
      </c>
      <c r="AE1407" s="1">
        <v>0</v>
      </c>
      <c r="AF1407" s="1">
        <v>0</v>
      </c>
      <c r="AG1407" s="1">
        <v>0</v>
      </c>
      <c r="AH1407" s="2">
        <v>4464290</v>
      </c>
      <c r="AI1407" s="1">
        <v>145519</v>
      </c>
      <c r="AJ1407" s="1">
        <v>0</v>
      </c>
      <c r="AK1407" s="8">
        <f t="shared" si="87"/>
        <v>2</v>
      </c>
      <c r="AL1407" s="8">
        <f t="shared" si="86"/>
        <v>28</v>
      </c>
      <c r="AM1407">
        <f t="shared" si="84"/>
        <v>0</v>
      </c>
      <c r="AN1407">
        <f t="shared" si="85"/>
        <v>0</v>
      </c>
    </row>
    <row r="1408" spans="1:40" x14ac:dyDescent="0.35">
      <c r="A1408">
        <v>85.138999999999996</v>
      </c>
      <c r="B1408">
        <v>85.138999999999996</v>
      </c>
      <c r="C1408">
        <v>6.1731499999999997</v>
      </c>
      <c r="D1408">
        <v>0</v>
      </c>
      <c r="E1408">
        <v>0.02</v>
      </c>
      <c r="F1408">
        <v>2.9777999999999998</v>
      </c>
      <c r="G1408">
        <v>2.9777999999999998</v>
      </c>
      <c r="H1408">
        <v>0</v>
      </c>
      <c r="I1408">
        <v>0.55800300000000003</v>
      </c>
      <c r="J1408">
        <v>5.3222399999999999</v>
      </c>
      <c r="K1408" s="2">
        <v>163750000</v>
      </c>
      <c r="L1408" s="1">
        <v>0</v>
      </c>
      <c r="M1408" s="1">
        <v>0</v>
      </c>
      <c r="N1408" s="1">
        <v>0</v>
      </c>
      <c r="O1408" s="1">
        <v>0</v>
      </c>
      <c r="P1408" s="2">
        <v>4451740</v>
      </c>
      <c r="Q1408" s="1">
        <v>306124</v>
      </c>
      <c r="R1408" s="1">
        <v>0</v>
      </c>
      <c r="S1408">
        <v>99.302199999999999</v>
      </c>
      <c r="T1408">
        <v>98.274000000000001</v>
      </c>
      <c r="U1408">
        <v>7.4334699999999998</v>
      </c>
      <c r="V1408">
        <v>0</v>
      </c>
      <c r="W1408">
        <v>0</v>
      </c>
      <c r="X1408">
        <v>1.7256199999999999</v>
      </c>
      <c r="Y1408">
        <v>1.7256199999999999</v>
      </c>
      <c r="Z1408">
        <v>0</v>
      </c>
      <c r="AA1408">
        <v>1.3331299999999999</v>
      </c>
      <c r="AB1408">
        <v>2.9635199999999999</v>
      </c>
      <c r="AC1408" s="2">
        <v>701872000</v>
      </c>
      <c r="AD1408" s="1">
        <v>0</v>
      </c>
      <c r="AE1408" s="1">
        <v>0</v>
      </c>
      <c r="AF1408" s="1">
        <v>0</v>
      </c>
      <c r="AG1408" s="1">
        <v>0</v>
      </c>
      <c r="AH1408" s="2">
        <v>4464590</v>
      </c>
      <c r="AI1408" s="1">
        <v>145528</v>
      </c>
      <c r="AJ1408" s="1">
        <v>0</v>
      </c>
      <c r="AK1408" s="8">
        <f t="shared" si="87"/>
        <v>3</v>
      </c>
      <c r="AL1408" s="8">
        <f t="shared" si="86"/>
        <v>28</v>
      </c>
      <c r="AM1408">
        <f t="shared" si="84"/>
        <v>0</v>
      </c>
      <c r="AN1408">
        <f t="shared" si="85"/>
        <v>0</v>
      </c>
    </row>
    <row r="1409" spans="1:40" x14ac:dyDescent="0.35">
      <c r="A1409">
        <v>85.138999999999996</v>
      </c>
      <c r="B1409">
        <v>85.138999999999996</v>
      </c>
      <c r="C1409">
        <v>12.441000000000001</v>
      </c>
      <c r="D1409">
        <v>0</v>
      </c>
      <c r="E1409">
        <v>0.02</v>
      </c>
      <c r="F1409">
        <v>2.9780000000000002</v>
      </c>
      <c r="G1409">
        <v>2.9780000000000002</v>
      </c>
      <c r="H1409">
        <v>0</v>
      </c>
      <c r="I1409">
        <v>0.55803999999999998</v>
      </c>
      <c r="J1409">
        <v>5.3222399999999999</v>
      </c>
      <c r="K1409" s="2">
        <v>164056000</v>
      </c>
      <c r="L1409" s="1">
        <v>0</v>
      </c>
      <c r="M1409" s="1">
        <v>0</v>
      </c>
      <c r="N1409" s="1">
        <v>0</v>
      </c>
      <c r="O1409" s="1">
        <v>0</v>
      </c>
      <c r="P1409" s="2">
        <v>4452030</v>
      </c>
      <c r="Q1409" s="1">
        <v>306144</v>
      </c>
      <c r="R1409" s="1">
        <v>0</v>
      </c>
      <c r="S1409">
        <v>99.302199999999999</v>
      </c>
      <c r="T1409">
        <v>98.274000000000001</v>
      </c>
      <c r="U1409">
        <v>13.963200000000001</v>
      </c>
      <c r="V1409">
        <v>0</v>
      </c>
      <c r="W1409">
        <v>0</v>
      </c>
      <c r="X1409">
        <v>1.72573</v>
      </c>
      <c r="Y1409">
        <v>1.72573</v>
      </c>
      <c r="Z1409">
        <v>0</v>
      </c>
      <c r="AA1409">
        <v>1.33321</v>
      </c>
      <c r="AB1409">
        <v>2.9635199999999999</v>
      </c>
      <c r="AC1409" s="2">
        <v>702017000</v>
      </c>
      <c r="AD1409" s="1">
        <v>0</v>
      </c>
      <c r="AE1409" s="1">
        <v>0</v>
      </c>
      <c r="AF1409" s="1">
        <v>0</v>
      </c>
      <c r="AG1409" s="1">
        <v>0</v>
      </c>
      <c r="AH1409" s="2">
        <v>4464880</v>
      </c>
      <c r="AI1409" s="1">
        <v>145538</v>
      </c>
      <c r="AJ1409" s="1">
        <v>0</v>
      </c>
      <c r="AK1409" s="8">
        <f t="shared" si="87"/>
        <v>4</v>
      </c>
      <c r="AL1409" s="8">
        <f t="shared" si="86"/>
        <v>28</v>
      </c>
      <c r="AM1409">
        <f t="shared" si="84"/>
        <v>0</v>
      </c>
      <c r="AN1409">
        <f t="shared" si="85"/>
        <v>0</v>
      </c>
    </row>
    <row r="1410" spans="1:40" x14ac:dyDescent="0.35">
      <c r="A1410">
        <v>85.138999999999996</v>
      </c>
      <c r="B1410">
        <v>85.138999999999996</v>
      </c>
      <c r="C1410">
        <v>6.9098600000000001</v>
      </c>
      <c r="D1410">
        <v>0</v>
      </c>
      <c r="E1410">
        <v>0.02</v>
      </c>
      <c r="F1410">
        <v>3.0714899999999998</v>
      </c>
      <c r="G1410">
        <v>3.0714899999999998</v>
      </c>
      <c r="H1410">
        <v>0</v>
      </c>
      <c r="I1410">
        <v>0.55807700000000005</v>
      </c>
      <c r="J1410">
        <v>5.3222399999999999</v>
      </c>
      <c r="K1410" s="2">
        <v>164372000</v>
      </c>
      <c r="L1410" s="1">
        <v>0</v>
      </c>
      <c r="M1410" s="1">
        <v>0</v>
      </c>
      <c r="N1410" s="1">
        <v>0</v>
      </c>
      <c r="O1410" s="1">
        <v>0</v>
      </c>
      <c r="P1410" s="2">
        <v>4591800</v>
      </c>
      <c r="Q1410" s="1">
        <v>315755</v>
      </c>
      <c r="R1410" s="1">
        <v>0</v>
      </c>
      <c r="S1410">
        <v>99.302199999999999</v>
      </c>
      <c r="T1410">
        <v>98.274000000000001</v>
      </c>
      <c r="U1410">
        <v>6.8829000000000002</v>
      </c>
      <c r="V1410">
        <v>0</v>
      </c>
      <c r="W1410">
        <v>0</v>
      </c>
      <c r="X1410">
        <v>1.78165</v>
      </c>
      <c r="Y1410">
        <v>1.78165</v>
      </c>
      <c r="Z1410">
        <v>0</v>
      </c>
      <c r="AA1410">
        <v>1.3332999999999999</v>
      </c>
      <c r="AB1410">
        <v>2.9635199999999999</v>
      </c>
      <c r="AC1410" s="2">
        <v>702168000</v>
      </c>
      <c r="AD1410" s="1">
        <v>0</v>
      </c>
      <c r="AE1410" s="1">
        <v>0</v>
      </c>
      <c r="AF1410" s="1">
        <v>0</v>
      </c>
      <c r="AG1410" s="1">
        <v>0</v>
      </c>
      <c r="AH1410" s="2">
        <v>4609550</v>
      </c>
      <c r="AI1410" s="1">
        <v>150253</v>
      </c>
      <c r="AJ1410" s="1">
        <v>0</v>
      </c>
      <c r="AK1410" s="8">
        <f t="shared" si="87"/>
        <v>5</v>
      </c>
      <c r="AL1410" s="8">
        <f t="shared" si="86"/>
        <v>28</v>
      </c>
      <c r="AM1410">
        <f t="shared" si="84"/>
        <v>0</v>
      </c>
      <c r="AN1410">
        <f t="shared" si="85"/>
        <v>0</v>
      </c>
    </row>
    <row r="1411" spans="1:40" x14ac:dyDescent="0.35">
      <c r="A1411">
        <v>85.138999999999996</v>
      </c>
      <c r="B1411">
        <v>85.138999999999996</v>
      </c>
      <c r="C1411">
        <v>3.9749400000000001</v>
      </c>
      <c r="D1411">
        <v>0</v>
      </c>
      <c r="E1411">
        <v>0.02</v>
      </c>
      <c r="F1411">
        <v>3.0716700000000001</v>
      </c>
      <c r="G1411">
        <v>3.0716700000000001</v>
      </c>
      <c r="H1411">
        <v>0</v>
      </c>
      <c r="I1411">
        <v>0.57559700000000003</v>
      </c>
      <c r="J1411">
        <v>5.3222399999999999</v>
      </c>
      <c r="K1411" s="2">
        <v>164688000</v>
      </c>
      <c r="L1411" s="1">
        <v>0</v>
      </c>
      <c r="M1411" s="1">
        <v>0</v>
      </c>
      <c r="N1411" s="1">
        <v>0</v>
      </c>
      <c r="O1411" s="1">
        <v>0</v>
      </c>
      <c r="P1411" s="2">
        <v>4592070</v>
      </c>
      <c r="Q1411" s="1">
        <v>315774</v>
      </c>
      <c r="R1411" s="1">
        <v>0</v>
      </c>
      <c r="S1411">
        <v>99.302199999999999</v>
      </c>
      <c r="T1411">
        <v>98.274000000000001</v>
      </c>
      <c r="U1411">
        <v>7.1296200000000001</v>
      </c>
      <c r="V1411">
        <v>0</v>
      </c>
      <c r="W1411">
        <v>0</v>
      </c>
      <c r="X1411">
        <v>1.7817499999999999</v>
      </c>
      <c r="Y1411">
        <v>1.7817499999999999</v>
      </c>
      <c r="Z1411">
        <v>0</v>
      </c>
      <c r="AA1411">
        <v>1.3765000000000001</v>
      </c>
      <c r="AB1411">
        <v>2.9635199999999999</v>
      </c>
      <c r="AC1411" s="2">
        <v>702318000</v>
      </c>
      <c r="AD1411" s="1">
        <v>0</v>
      </c>
      <c r="AE1411" s="1">
        <v>0</v>
      </c>
      <c r="AF1411" s="1">
        <v>0</v>
      </c>
      <c r="AG1411" s="1">
        <v>0</v>
      </c>
      <c r="AH1411" s="2">
        <v>4609820</v>
      </c>
      <c r="AI1411" s="1">
        <v>150262</v>
      </c>
      <c r="AJ1411" s="1">
        <v>0</v>
      </c>
      <c r="AK1411" s="8">
        <f t="shared" si="87"/>
        <v>6</v>
      </c>
      <c r="AL1411" s="8">
        <f t="shared" si="86"/>
        <v>28</v>
      </c>
      <c r="AM1411">
        <f t="shared" ref="AM1411:AM1474" si="88">IF(AK1411=52,AC1411,0)</f>
        <v>0</v>
      </c>
      <c r="AN1411">
        <f t="shared" ref="AN1411:AN1474" si="89">IF(AK1411=52,K1411,0)</f>
        <v>0</v>
      </c>
    </row>
    <row r="1412" spans="1:40" x14ac:dyDescent="0.35">
      <c r="A1412">
        <v>85.138999999999996</v>
      </c>
      <c r="B1412">
        <v>85.138999999999996</v>
      </c>
      <c r="C1412">
        <v>3.6704599999999998</v>
      </c>
      <c r="D1412">
        <v>0</v>
      </c>
      <c r="E1412">
        <v>0.02</v>
      </c>
      <c r="F1412">
        <v>3.07185</v>
      </c>
      <c r="G1412">
        <v>3.07185</v>
      </c>
      <c r="H1412">
        <v>0</v>
      </c>
      <c r="I1412">
        <v>0.575631</v>
      </c>
      <c r="J1412">
        <v>5.3222399999999999</v>
      </c>
      <c r="K1412" s="2">
        <v>165003000</v>
      </c>
      <c r="L1412" s="1">
        <v>0</v>
      </c>
      <c r="M1412" s="1">
        <v>0</v>
      </c>
      <c r="N1412" s="1">
        <v>0</v>
      </c>
      <c r="O1412" s="1">
        <v>0</v>
      </c>
      <c r="P1412" s="2">
        <v>4592350</v>
      </c>
      <c r="Q1412" s="1">
        <v>315793</v>
      </c>
      <c r="R1412" s="1">
        <v>0</v>
      </c>
      <c r="S1412">
        <v>99.302199999999999</v>
      </c>
      <c r="T1412">
        <v>98.274000000000001</v>
      </c>
      <c r="U1412">
        <v>6.4346100000000002</v>
      </c>
      <c r="V1412">
        <v>0</v>
      </c>
      <c r="W1412">
        <v>0</v>
      </c>
      <c r="X1412">
        <v>1.78186</v>
      </c>
      <c r="Y1412">
        <v>1.78186</v>
      </c>
      <c r="Z1412">
        <v>0</v>
      </c>
      <c r="AA1412">
        <v>1.3765799999999999</v>
      </c>
      <c r="AB1412">
        <v>2.9635199999999999</v>
      </c>
      <c r="AC1412" s="2">
        <v>702468000</v>
      </c>
      <c r="AD1412" s="1">
        <v>0</v>
      </c>
      <c r="AE1412" s="1">
        <v>0</v>
      </c>
      <c r="AF1412" s="1">
        <v>0</v>
      </c>
      <c r="AG1412" s="1">
        <v>0</v>
      </c>
      <c r="AH1412" s="2">
        <v>4610100</v>
      </c>
      <c r="AI1412" s="1">
        <v>150271</v>
      </c>
      <c r="AJ1412" s="1">
        <v>0</v>
      </c>
      <c r="AK1412" s="8">
        <f t="shared" si="87"/>
        <v>7</v>
      </c>
      <c r="AL1412" s="8">
        <f t="shared" ref="AL1412:AL1475" si="90">IF(AK1411=52,AL1411+1,AL1411)</f>
        <v>28</v>
      </c>
      <c r="AM1412">
        <f t="shared" si="88"/>
        <v>0</v>
      </c>
      <c r="AN1412">
        <f t="shared" si="89"/>
        <v>0</v>
      </c>
    </row>
    <row r="1413" spans="1:40" x14ac:dyDescent="0.35">
      <c r="A1413">
        <v>85.138999999999996</v>
      </c>
      <c r="B1413">
        <v>85.138999999999996</v>
      </c>
      <c r="C1413">
        <v>4.1852200000000002</v>
      </c>
      <c r="D1413">
        <v>0</v>
      </c>
      <c r="E1413">
        <v>0.02</v>
      </c>
      <c r="F1413">
        <v>3.0720399999999999</v>
      </c>
      <c r="G1413">
        <v>3.0720399999999999</v>
      </c>
      <c r="H1413">
        <v>0</v>
      </c>
      <c r="I1413">
        <v>0.57566600000000001</v>
      </c>
      <c r="J1413">
        <v>5.3222399999999999</v>
      </c>
      <c r="K1413" s="2">
        <v>165319000</v>
      </c>
      <c r="L1413" s="1">
        <v>0</v>
      </c>
      <c r="M1413" s="1">
        <v>0</v>
      </c>
      <c r="N1413" s="1">
        <v>0</v>
      </c>
      <c r="O1413" s="1">
        <v>0</v>
      </c>
      <c r="P1413" s="2">
        <v>4592620</v>
      </c>
      <c r="Q1413" s="1">
        <v>315812</v>
      </c>
      <c r="R1413" s="1">
        <v>0</v>
      </c>
      <c r="S1413">
        <v>99.302199999999999</v>
      </c>
      <c r="T1413">
        <v>98.274000000000001</v>
      </c>
      <c r="U1413">
        <v>6.8476800000000004</v>
      </c>
      <c r="V1413">
        <v>0</v>
      </c>
      <c r="W1413">
        <v>0</v>
      </c>
      <c r="X1413">
        <v>1.7819700000000001</v>
      </c>
      <c r="Y1413">
        <v>1.7819700000000001</v>
      </c>
      <c r="Z1413">
        <v>0</v>
      </c>
      <c r="AA1413">
        <v>1.3766700000000001</v>
      </c>
      <c r="AB1413">
        <v>2.9635199999999999</v>
      </c>
      <c r="AC1413" s="2">
        <v>702618000</v>
      </c>
      <c r="AD1413" s="1">
        <v>0</v>
      </c>
      <c r="AE1413" s="1">
        <v>0</v>
      </c>
      <c r="AF1413" s="1">
        <v>0</v>
      </c>
      <c r="AG1413" s="1">
        <v>0</v>
      </c>
      <c r="AH1413" s="2">
        <v>4610370</v>
      </c>
      <c r="AI1413" s="1">
        <v>150280</v>
      </c>
      <c r="AJ1413" s="1">
        <v>0</v>
      </c>
      <c r="AK1413" s="8">
        <f t="shared" si="87"/>
        <v>8</v>
      </c>
      <c r="AL1413" s="8">
        <f t="shared" si="90"/>
        <v>28</v>
      </c>
      <c r="AM1413">
        <f t="shared" si="88"/>
        <v>0</v>
      </c>
      <c r="AN1413">
        <f t="shared" si="89"/>
        <v>0</v>
      </c>
    </row>
    <row r="1414" spans="1:40" x14ac:dyDescent="0.35">
      <c r="A1414">
        <v>85.138999999999996</v>
      </c>
      <c r="B1414">
        <v>85.138999999999996</v>
      </c>
      <c r="C1414">
        <v>8.30199</v>
      </c>
      <c r="D1414">
        <v>0</v>
      </c>
      <c r="E1414">
        <v>0.02</v>
      </c>
      <c r="F1414">
        <v>3.37188</v>
      </c>
      <c r="G1414">
        <v>3.37188</v>
      </c>
      <c r="H1414">
        <v>0</v>
      </c>
      <c r="I1414">
        <v>0.57569999999999999</v>
      </c>
      <c r="J1414">
        <v>5.3222399999999999</v>
      </c>
      <c r="K1414" s="2">
        <v>165666000</v>
      </c>
      <c r="L1414" s="1">
        <v>0</v>
      </c>
      <c r="M1414" s="1">
        <v>0</v>
      </c>
      <c r="N1414" s="1">
        <v>0</v>
      </c>
      <c r="O1414" s="1">
        <v>0</v>
      </c>
      <c r="P1414" s="2">
        <v>5040880</v>
      </c>
      <c r="Q1414" s="1">
        <v>346636</v>
      </c>
      <c r="R1414" s="1">
        <v>0</v>
      </c>
      <c r="S1414">
        <v>99.302199999999999</v>
      </c>
      <c r="T1414">
        <v>98.274000000000001</v>
      </c>
      <c r="U1414">
        <v>8.7511100000000006</v>
      </c>
      <c r="V1414">
        <v>0</v>
      </c>
      <c r="W1414">
        <v>0</v>
      </c>
      <c r="X1414">
        <v>1.9916100000000001</v>
      </c>
      <c r="Y1414">
        <v>1.9916100000000001</v>
      </c>
      <c r="Z1414">
        <v>0</v>
      </c>
      <c r="AA1414">
        <v>1.3767499999999999</v>
      </c>
      <c r="AB1414">
        <v>2.9635199999999999</v>
      </c>
      <c r="AC1414" s="2">
        <v>702786000</v>
      </c>
      <c r="AD1414" s="1">
        <v>0</v>
      </c>
      <c r="AE1414" s="1">
        <v>0</v>
      </c>
      <c r="AF1414" s="1">
        <v>0</v>
      </c>
      <c r="AG1414" s="1">
        <v>0</v>
      </c>
      <c r="AH1414" s="2">
        <v>5152760</v>
      </c>
      <c r="AI1414" s="1">
        <v>167960</v>
      </c>
      <c r="AJ1414" s="1">
        <v>0</v>
      </c>
      <c r="AK1414" s="8">
        <f t="shared" si="87"/>
        <v>9</v>
      </c>
      <c r="AL1414" s="8">
        <f t="shared" si="90"/>
        <v>28</v>
      </c>
      <c r="AM1414">
        <f t="shared" si="88"/>
        <v>0</v>
      </c>
      <c r="AN1414">
        <f t="shared" si="89"/>
        <v>0</v>
      </c>
    </row>
    <row r="1415" spans="1:40" x14ac:dyDescent="0.35">
      <c r="A1415">
        <v>85.138999999999996</v>
      </c>
      <c r="B1415">
        <v>85.138999999999996</v>
      </c>
      <c r="C1415">
        <v>14.375299999999999</v>
      </c>
      <c r="D1415">
        <v>0</v>
      </c>
      <c r="E1415">
        <v>0.02</v>
      </c>
      <c r="F1415">
        <v>3.37208</v>
      </c>
      <c r="G1415">
        <v>3.37208</v>
      </c>
      <c r="H1415">
        <v>0</v>
      </c>
      <c r="I1415">
        <v>0.63188999999999995</v>
      </c>
      <c r="J1415">
        <v>5.3222399999999999</v>
      </c>
      <c r="K1415" s="2">
        <v>166012000</v>
      </c>
      <c r="L1415" s="1">
        <v>0</v>
      </c>
      <c r="M1415" s="1">
        <v>0</v>
      </c>
      <c r="N1415" s="1">
        <v>0</v>
      </c>
      <c r="O1415" s="1">
        <v>0</v>
      </c>
      <c r="P1415" s="2">
        <v>5041180</v>
      </c>
      <c r="Q1415" s="1">
        <v>346657</v>
      </c>
      <c r="R1415" s="1">
        <v>0</v>
      </c>
      <c r="S1415">
        <v>99.302199999999999</v>
      </c>
      <c r="T1415">
        <v>98.274000000000001</v>
      </c>
      <c r="U1415">
        <v>13.587199999999999</v>
      </c>
      <c r="V1415">
        <v>0</v>
      </c>
      <c r="W1415">
        <v>0</v>
      </c>
      <c r="X1415">
        <v>1.99173</v>
      </c>
      <c r="Y1415">
        <v>1.99173</v>
      </c>
      <c r="Z1415">
        <v>0</v>
      </c>
      <c r="AA1415">
        <v>1.5387200000000001</v>
      </c>
      <c r="AB1415">
        <v>2.9635199999999999</v>
      </c>
      <c r="AC1415" s="2">
        <v>702954000</v>
      </c>
      <c r="AD1415" s="1">
        <v>0</v>
      </c>
      <c r="AE1415" s="1">
        <v>0</v>
      </c>
      <c r="AF1415" s="1">
        <v>0</v>
      </c>
      <c r="AG1415" s="1">
        <v>0</v>
      </c>
      <c r="AH1415" s="2">
        <v>5153070</v>
      </c>
      <c r="AI1415" s="1">
        <v>167970</v>
      </c>
      <c r="AJ1415" s="1">
        <v>0</v>
      </c>
      <c r="AK1415" s="8">
        <f t="shared" si="87"/>
        <v>10</v>
      </c>
      <c r="AL1415" s="8">
        <f t="shared" si="90"/>
        <v>28</v>
      </c>
      <c r="AM1415">
        <f t="shared" si="88"/>
        <v>0</v>
      </c>
      <c r="AN1415">
        <f t="shared" si="89"/>
        <v>0</v>
      </c>
    </row>
    <row r="1416" spans="1:40" x14ac:dyDescent="0.35">
      <c r="A1416">
        <v>85.138999999999996</v>
      </c>
      <c r="B1416">
        <v>85.138999999999996</v>
      </c>
      <c r="C1416">
        <v>6.03681</v>
      </c>
      <c r="D1416">
        <v>0</v>
      </c>
      <c r="E1416">
        <v>0.02</v>
      </c>
      <c r="F1416">
        <v>3.3722799999999999</v>
      </c>
      <c r="G1416">
        <v>3.3722799999999999</v>
      </c>
      <c r="H1416">
        <v>0</v>
      </c>
      <c r="I1416">
        <v>0.63192800000000005</v>
      </c>
      <c r="J1416">
        <v>5.3222399999999999</v>
      </c>
      <c r="K1416" s="2">
        <v>166359000</v>
      </c>
      <c r="L1416" s="1">
        <v>0</v>
      </c>
      <c r="M1416" s="1">
        <v>0</v>
      </c>
      <c r="N1416" s="1">
        <v>0</v>
      </c>
      <c r="O1416" s="1">
        <v>0</v>
      </c>
      <c r="P1416" s="2">
        <v>5041480</v>
      </c>
      <c r="Q1416" s="1">
        <v>346677</v>
      </c>
      <c r="R1416" s="1">
        <v>0</v>
      </c>
      <c r="S1416">
        <v>99.302199999999999</v>
      </c>
      <c r="T1416">
        <v>98.274000000000001</v>
      </c>
      <c r="U1416">
        <v>6.8750799999999996</v>
      </c>
      <c r="V1416">
        <v>0</v>
      </c>
      <c r="W1416">
        <v>0</v>
      </c>
      <c r="X1416">
        <v>1.9918499999999999</v>
      </c>
      <c r="Y1416">
        <v>1.9918499999999999</v>
      </c>
      <c r="Z1416">
        <v>0</v>
      </c>
      <c r="AA1416">
        <v>1.53881</v>
      </c>
      <c r="AB1416">
        <v>2.9635199999999999</v>
      </c>
      <c r="AC1416" s="2">
        <v>703122000</v>
      </c>
      <c r="AD1416" s="1">
        <v>0</v>
      </c>
      <c r="AE1416" s="1">
        <v>0</v>
      </c>
      <c r="AF1416" s="1">
        <v>0</v>
      </c>
      <c r="AG1416" s="1">
        <v>0</v>
      </c>
      <c r="AH1416" s="2">
        <v>5153380</v>
      </c>
      <c r="AI1416" s="1">
        <v>167980</v>
      </c>
      <c r="AJ1416" s="1">
        <v>0</v>
      </c>
      <c r="AK1416" s="8">
        <f t="shared" ref="AK1416:AK1479" si="91">IF(AK1415=52, 1, AK1415+1)</f>
        <v>11</v>
      </c>
      <c r="AL1416" s="8">
        <f t="shared" si="90"/>
        <v>28</v>
      </c>
      <c r="AM1416">
        <f t="shared" si="88"/>
        <v>0</v>
      </c>
      <c r="AN1416">
        <f t="shared" si="89"/>
        <v>0</v>
      </c>
    </row>
    <row r="1417" spans="1:40" x14ac:dyDescent="0.35">
      <c r="A1417">
        <v>85.138999999999996</v>
      </c>
      <c r="B1417">
        <v>85.138999999999996</v>
      </c>
      <c r="C1417">
        <v>4.9049699999999996</v>
      </c>
      <c r="D1417">
        <v>0</v>
      </c>
      <c r="E1417">
        <v>0.02</v>
      </c>
      <c r="F1417">
        <v>3.37249</v>
      </c>
      <c r="G1417">
        <v>3.37249</v>
      </c>
      <c r="H1417">
        <v>0</v>
      </c>
      <c r="I1417">
        <v>0.63196600000000003</v>
      </c>
      <c r="J1417">
        <v>5.3222399999999999</v>
      </c>
      <c r="K1417" s="2">
        <v>166706000</v>
      </c>
      <c r="L1417" s="1">
        <v>0</v>
      </c>
      <c r="M1417" s="1">
        <v>0</v>
      </c>
      <c r="N1417" s="1">
        <v>0</v>
      </c>
      <c r="O1417" s="1">
        <v>0</v>
      </c>
      <c r="P1417" s="2">
        <v>5041780</v>
      </c>
      <c r="Q1417" s="1">
        <v>346698</v>
      </c>
      <c r="R1417" s="1">
        <v>0</v>
      </c>
      <c r="S1417">
        <v>99.302199999999999</v>
      </c>
      <c r="T1417">
        <v>98.274000000000001</v>
      </c>
      <c r="U1417">
        <v>6.9131</v>
      </c>
      <c r="V1417">
        <v>0</v>
      </c>
      <c r="W1417">
        <v>0</v>
      </c>
      <c r="X1417">
        <v>1.99197</v>
      </c>
      <c r="Y1417">
        <v>1.99197</v>
      </c>
      <c r="Z1417">
        <v>0</v>
      </c>
      <c r="AA1417">
        <v>1.5388999999999999</v>
      </c>
      <c r="AB1417">
        <v>2.9635199999999999</v>
      </c>
      <c r="AC1417" s="2">
        <v>703290000</v>
      </c>
      <c r="AD1417" s="1">
        <v>0</v>
      </c>
      <c r="AE1417" s="1">
        <v>0</v>
      </c>
      <c r="AF1417" s="1">
        <v>0</v>
      </c>
      <c r="AG1417" s="1">
        <v>0</v>
      </c>
      <c r="AH1417" s="2">
        <v>5153690</v>
      </c>
      <c r="AI1417" s="1">
        <v>167990</v>
      </c>
      <c r="AJ1417" s="1">
        <v>0</v>
      </c>
      <c r="AK1417" s="8">
        <f t="shared" si="91"/>
        <v>12</v>
      </c>
      <c r="AL1417" s="8">
        <f t="shared" si="90"/>
        <v>28</v>
      </c>
      <c r="AM1417">
        <f t="shared" si="88"/>
        <v>0</v>
      </c>
      <c r="AN1417">
        <f t="shared" si="89"/>
        <v>0</v>
      </c>
    </row>
    <row r="1418" spans="1:40" x14ac:dyDescent="0.35">
      <c r="A1418">
        <v>85.138999999999996</v>
      </c>
      <c r="B1418">
        <v>85.138999999999996</v>
      </c>
      <c r="C1418">
        <v>6.4938399999999996</v>
      </c>
      <c r="D1418">
        <v>0</v>
      </c>
      <c r="E1418">
        <v>0.02</v>
      </c>
      <c r="F1418">
        <v>2.9451800000000001</v>
      </c>
      <c r="G1418">
        <v>2.9451800000000001</v>
      </c>
      <c r="H1418">
        <v>0</v>
      </c>
      <c r="I1418">
        <v>0.63200400000000001</v>
      </c>
      <c r="J1418">
        <v>5.3222399999999999</v>
      </c>
      <c r="K1418" s="2">
        <v>167009000</v>
      </c>
      <c r="L1418" s="1">
        <v>0</v>
      </c>
      <c r="M1418" s="1">
        <v>0</v>
      </c>
      <c r="N1418" s="1">
        <v>0</v>
      </c>
      <c r="O1418" s="1">
        <v>0</v>
      </c>
      <c r="P1418" s="2">
        <v>4402970</v>
      </c>
      <c r="Q1418" s="1">
        <v>302770</v>
      </c>
      <c r="R1418" s="1">
        <v>0</v>
      </c>
      <c r="S1418">
        <v>99.302199999999999</v>
      </c>
      <c r="T1418">
        <v>98.274000000000001</v>
      </c>
      <c r="U1418">
        <v>11.748699999999999</v>
      </c>
      <c r="V1418">
        <v>0</v>
      </c>
      <c r="W1418">
        <v>0</v>
      </c>
      <c r="X1418">
        <v>1.71082</v>
      </c>
      <c r="Y1418">
        <v>1.71082</v>
      </c>
      <c r="Z1418">
        <v>0</v>
      </c>
      <c r="AA1418">
        <v>1.5389900000000001</v>
      </c>
      <c r="AB1418">
        <v>2.9635199999999999</v>
      </c>
      <c r="AC1418" s="2">
        <v>703435000</v>
      </c>
      <c r="AD1418" s="1">
        <v>0</v>
      </c>
      <c r="AE1418" s="1">
        <v>0</v>
      </c>
      <c r="AF1418" s="1">
        <v>0</v>
      </c>
      <c r="AG1418" s="1">
        <v>0</v>
      </c>
      <c r="AH1418" s="2">
        <v>4426300</v>
      </c>
      <c r="AI1418" s="1">
        <v>144280</v>
      </c>
      <c r="AJ1418" s="1">
        <v>0</v>
      </c>
      <c r="AK1418" s="8">
        <f t="shared" si="91"/>
        <v>13</v>
      </c>
      <c r="AL1418" s="8">
        <f t="shared" si="90"/>
        <v>28</v>
      </c>
      <c r="AM1418">
        <f t="shared" si="88"/>
        <v>0</v>
      </c>
      <c r="AN1418">
        <f t="shared" si="89"/>
        <v>0</v>
      </c>
    </row>
    <row r="1419" spans="1:40" x14ac:dyDescent="0.35">
      <c r="A1419">
        <v>85.138999999999996</v>
      </c>
      <c r="B1419">
        <v>85.138999999999996</v>
      </c>
      <c r="C1419">
        <v>7.9476300000000002</v>
      </c>
      <c r="D1419">
        <v>0</v>
      </c>
      <c r="E1419">
        <v>0.02</v>
      </c>
      <c r="F1419">
        <v>2.94536</v>
      </c>
      <c r="G1419">
        <v>2.94536</v>
      </c>
      <c r="H1419">
        <v>0</v>
      </c>
      <c r="I1419">
        <v>0.55192600000000003</v>
      </c>
      <c r="J1419">
        <v>5.3222399999999999</v>
      </c>
      <c r="K1419" s="2">
        <v>167311000</v>
      </c>
      <c r="L1419" s="1">
        <v>0</v>
      </c>
      <c r="M1419" s="1">
        <v>0</v>
      </c>
      <c r="N1419" s="1">
        <v>0</v>
      </c>
      <c r="O1419" s="1">
        <v>0</v>
      </c>
      <c r="P1419" s="2">
        <v>4403230</v>
      </c>
      <c r="Q1419" s="1">
        <v>302788</v>
      </c>
      <c r="R1419" s="1">
        <v>0</v>
      </c>
      <c r="S1419">
        <v>99.302199999999999</v>
      </c>
      <c r="T1419">
        <v>98.274000000000001</v>
      </c>
      <c r="U1419">
        <v>13.130599999999999</v>
      </c>
      <c r="V1419">
        <v>0</v>
      </c>
      <c r="W1419">
        <v>0</v>
      </c>
      <c r="X1419">
        <v>1.71092</v>
      </c>
      <c r="Y1419">
        <v>1.71092</v>
      </c>
      <c r="Z1419">
        <v>0</v>
      </c>
      <c r="AA1419">
        <v>1.32178</v>
      </c>
      <c r="AB1419">
        <v>2.9635199999999999</v>
      </c>
      <c r="AC1419" s="2">
        <v>703579000</v>
      </c>
      <c r="AD1419" s="1">
        <v>0</v>
      </c>
      <c r="AE1419" s="1">
        <v>0</v>
      </c>
      <c r="AF1419" s="1">
        <v>0</v>
      </c>
      <c r="AG1419" s="1">
        <v>0</v>
      </c>
      <c r="AH1419" s="2">
        <v>4426570</v>
      </c>
      <c r="AI1419" s="1">
        <v>144289</v>
      </c>
      <c r="AJ1419" s="1">
        <v>0</v>
      </c>
      <c r="AK1419" s="8">
        <f t="shared" si="91"/>
        <v>14</v>
      </c>
      <c r="AL1419" s="8">
        <f t="shared" si="90"/>
        <v>28</v>
      </c>
      <c r="AM1419">
        <f t="shared" si="88"/>
        <v>0</v>
      </c>
      <c r="AN1419">
        <f t="shared" si="89"/>
        <v>0</v>
      </c>
    </row>
    <row r="1420" spans="1:40" x14ac:dyDescent="0.35">
      <c r="A1420">
        <v>85.138999999999996</v>
      </c>
      <c r="B1420">
        <v>85.138999999999996</v>
      </c>
      <c r="C1420">
        <v>6.7744299999999997</v>
      </c>
      <c r="D1420">
        <v>0</v>
      </c>
      <c r="E1420">
        <v>0.02</v>
      </c>
      <c r="F1420">
        <v>2.9455300000000002</v>
      </c>
      <c r="G1420">
        <v>2.9455300000000002</v>
      </c>
      <c r="H1420">
        <v>0</v>
      </c>
      <c r="I1420">
        <v>0.55196000000000001</v>
      </c>
      <c r="J1420">
        <v>5.3222399999999999</v>
      </c>
      <c r="K1420" s="2">
        <v>167614000</v>
      </c>
      <c r="L1420" s="1">
        <v>0</v>
      </c>
      <c r="M1420" s="1">
        <v>0</v>
      </c>
      <c r="N1420" s="1">
        <v>0</v>
      </c>
      <c r="O1420" s="1">
        <v>0</v>
      </c>
      <c r="P1420" s="2">
        <v>4403500</v>
      </c>
      <c r="Q1420" s="1">
        <v>302806</v>
      </c>
      <c r="R1420" s="1">
        <v>0</v>
      </c>
      <c r="S1420">
        <v>99.302199999999999</v>
      </c>
      <c r="T1420">
        <v>98.274000000000001</v>
      </c>
      <c r="U1420">
        <v>12.790699999999999</v>
      </c>
      <c r="V1420">
        <v>0</v>
      </c>
      <c r="W1420">
        <v>0</v>
      </c>
      <c r="X1420">
        <v>1.7110300000000001</v>
      </c>
      <c r="Y1420">
        <v>1.7110300000000001</v>
      </c>
      <c r="Z1420">
        <v>0</v>
      </c>
      <c r="AA1420">
        <v>1.32186</v>
      </c>
      <c r="AB1420">
        <v>2.9635199999999999</v>
      </c>
      <c r="AC1420" s="2">
        <v>703723000</v>
      </c>
      <c r="AD1420" s="1">
        <v>0</v>
      </c>
      <c r="AE1420" s="1">
        <v>0</v>
      </c>
      <c r="AF1420" s="1">
        <v>0</v>
      </c>
      <c r="AG1420" s="1">
        <v>0</v>
      </c>
      <c r="AH1420" s="2">
        <v>4426830</v>
      </c>
      <c r="AI1420" s="1">
        <v>144298</v>
      </c>
      <c r="AJ1420" s="1">
        <v>0</v>
      </c>
      <c r="AK1420" s="8">
        <f t="shared" si="91"/>
        <v>15</v>
      </c>
      <c r="AL1420" s="8">
        <f t="shared" si="90"/>
        <v>28</v>
      </c>
      <c r="AM1420">
        <f t="shared" si="88"/>
        <v>0</v>
      </c>
      <c r="AN1420">
        <f t="shared" si="89"/>
        <v>0</v>
      </c>
    </row>
    <row r="1421" spans="1:40" x14ac:dyDescent="0.35">
      <c r="A1421">
        <v>85.138999999999996</v>
      </c>
      <c r="B1421">
        <v>85.138999999999996</v>
      </c>
      <c r="C1421">
        <v>5.4439399999999996</v>
      </c>
      <c r="D1421">
        <v>0</v>
      </c>
      <c r="E1421">
        <v>0.02</v>
      </c>
      <c r="F1421">
        <v>2.9457100000000001</v>
      </c>
      <c r="G1421">
        <v>2.9457100000000001</v>
      </c>
      <c r="H1421">
        <v>0</v>
      </c>
      <c r="I1421">
        <v>0.55199299999999996</v>
      </c>
      <c r="J1421">
        <v>5.3222399999999999</v>
      </c>
      <c r="K1421" s="2">
        <v>167917000</v>
      </c>
      <c r="L1421" s="1">
        <v>0</v>
      </c>
      <c r="M1421" s="1">
        <v>0</v>
      </c>
      <c r="N1421" s="1">
        <v>0</v>
      </c>
      <c r="O1421" s="1">
        <v>0</v>
      </c>
      <c r="P1421" s="2">
        <v>4403760</v>
      </c>
      <c r="Q1421" s="1">
        <v>302825</v>
      </c>
      <c r="R1421" s="1">
        <v>0</v>
      </c>
      <c r="S1421">
        <v>99.302199999999999</v>
      </c>
      <c r="T1421">
        <v>98.274000000000001</v>
      </c>
      <c r="U1421">
        <v>10.414199999999999</v>
      </c>
      <c r="V1421">
        <v>0</v>
      </c>
      <c r="W1421">
        <v>0</v>
      </c>
      <c r="X1421">
        <v>1.71113</v>
      </c>
      <c r="Y1421">
        <v>1.71113</v>
      </c>
      <c r="Z1421">
        <v>0</v>
      </c>
      <c r="AA1421">
        <v>1.3219399999999999</v>
      </c>
      <c r="AB1421">
        <v>2.9635199999999999</v>
      </c>
      <c r="AC1421" s="2">
        <v>703868000</v>
      </c>
      <c r="AD1421" s="1">
        <v>0</v>
      </c>
      <c r="AE1421" s="1">
        <v>0</v>
      </c>
      <c r="AF1421" s="1">
        <v>0</v>
      </c>
      <c r="AG1421" s="1">
        <v>0</v>
      </c>
      <c r="AH1421" s="2">
        <v>4427100</v>
      </c>
      <c r="AI1421" s="1">
        <v>144306</v>
      </c>
      <c r="AJ1421" s="1">
        <v>0</v>
      </c>
      <c r="AK1421" s="8">
        <f t="shared" si="91"/>
        <v>16</v>
      </c>
      <c r="AL1421" s="8">
        <f t="shared" si="90"/>
        <v>28</v>
      </c>
      <c r="AM1421">
        <f t="shared" si="88"/>
        <v>0</v>
      </c>
      <c r="AN1421">
        <f t="shared" si="89"/>
        <v>0</v>
      </c>
    </row>
    <row r="1422" spans="1:40" x14ac:dyDescent="0.35">
      <c r="A1422">
        <v>85.138999999999996</v>
      </c>
      <c r="B1422">
        <v>85.138999999999996</v>
      </c>
      <c r="C1422">
        <v>6.1756399999999996</v>
      </c>
      <c r="D1422">
        <v>0</v>
      </c>
      <c r="E1422">
        <v>0.02</v>
      </c>
      <c r="F1422">
        <v>2.9458799999999998</v>
      </c>
      <c r="G1422">
        <v>2.9458799999999998</v>
      </c>
      <c r="H1422">
        <v>0</v>
      </c>
      <c r="I1422">
        <v>0.55202600000000002</v>
      </c>
      <c r="J1422">
        <v>5.3222399999999999</v>
      </c>
      <c r="K1422" s="2">
        <v>168220000</v>
      </c>
      <c r="L1422" s="1">
        <v>0</v>
      </c>
      <c r="M1422" s="1">
        <v>0</v>
      </c>
      <c r="N1422" s="1">
        <v>0</v>
      </c>
      <c r="O1422" s="1">
        <v>0</v>
      </c>
      <c r="P1422" s="2">
        <v>4404020</v>
      </c>
      <c r="Q1422" s="1">
        <v>302843</v>
      </c>
      <c r="R1422" s="1">
        <v>0</v>
      </c>
      <c r="S1422">
        <v>99.302199999999999</v>
      </c>
      <c r="T1422">
        <v>98.274000000000001</v>
      </c>
      <c r="U1422">
        <v>10.988200000000001</v>
      </c>
      <c r="V1422">
        <v>0</v>
      </c>
      <c r="W1422">
        <v>0</v>
      </c>
      <c r="X1422">
        <v>1.71123</v>
      </c>
      <c r="Y1422">
        <v>1.71123</v>
      </c>
      <c r="Z1422">
        <v>0</v>
      </c>
      <c r="AA1422">
        <v>1.32202</v>
      </c>
      <c r="AB1422">
        <v>2.9635199999999999</v>
      </c>
      <c r="AC1422" s="2">
        <v>704012000</v>
      </c>
      <c r="AD1422" s="1">
        <v>0</v>
      </c>
      <c r="AE1422" s="1">
        <v>0</v>
      </c>
      <c r="AF1422" s="1">
        <v>0</v>
      </c>
      <c r="AG1422" s="1">
        <v>0</v>
      </c>
      <c r="AH1422" s="2">
        <v>4427360</v>
      </c>
      <c r="AI1422" s="1">
        <v>144315</v>
      </c>
      <c r="AJ1422" s="1">
        <v>0</v>
      </c>
      <c r="AK1422" s="8">
        <f t="shared" si="91"/>
        <v>17</v>
      </c>
      <c r="AL1422" s="8">
        <f t="shared" si="90"/>
        <v>28</v>
      </c>
      <c r="AM1422">
        <f t="shared" si="88"/>
        <v>0</v>
      </c>
      <c r="AN1422">
        <f t="shared" si="89"/>
        <v>0</v>
      </c>
    </row>
    <row r="1423" spans="1:40" x14ac:dyDescent="0.35">
      <c r="A1423">
        <v>85.138999999999996</v>
      </c>
      <c r="B1423">
        <v>85.138999999999996</v>
      </c>
      <c r="C1423">
        <v>7.8907800000000003</v>
      </c>
      <c r="D1423">
        <v>0</v>
      </c>
      <c r="E1423">
        <v>0.02</v>
      </c>
      <c r="F1423">
        <v>3.0537000000000001</v>
      </c>
      <c r="G1423">
        <v>3.0537000000000001</v>
      </c>
      <c r="H1423">
        <v>0</v>
      </c>
      <c r="I1423">
        <v>0.55205899999999997</v>
      </c>
      <c r="J1423">
        <v>5.3222399999999999</v>
      </c>
      <c r="K1423" s="2">
        <v>168534000</v>
      </c>
      <c r="L1423" s="1">
        <v>0</v>
      </c>
      <c r="M1423" s="1">
        <v>0</v>
      </c>
      <c r="N1423" s="1">
        <v>0</v>
      </c>
      <c r="O1423" s="1">
        <v>0</v>
      </c>
      <c r="P1423" s="2">
        <v>4565210</v>
      </c>
      <c r="Q1423" s="1">
        <v>313927</v>
      </c>
      <c r="R1423" s="1">
        <v>0</v>
      </c>
      <c r="S1423">
        <v>99.302199999999999</v>
      </c>
      <c r="T1423">
        <v>98.274000000000001</v>
      </c>
      <c r="U1423">
        <v>11.2395</v>
      </c>
      <c r="V1423">
        <v>0</v>
      </c>
      <c r="W1423">
        <v>0</v>
      </c>
      <c r="X1423">
        <v>1.78016</v>
      </c>
      <c r="Y1423">
        <v>1.78016</v>
      </c>
      <c r="Z1423">
        <v>0</v>
      </c>
      <c r="AA1423">
        <v>1.3221000000000001</v>
      </c>
      <c r="AB1423">
        <v>2.9635199999999999</v>
      </c>
      <c r="AC1423" s="2">
        <v>704162000</v>
      </c>
      <c r="AD1423" s="1">
        <v>0</v>
      </c>
      <c r="AE1423" s="1">
        <v>0</v>
      </c>
      <c r="AF1423" s="1">
        <v>0</v>
      </c>
      <c r="AG1423" s="1">
        <v>0</v>
      </c>
      <c r="AH1423" s="2">
        <v>4605700</v>
      </c>
      <c r="AI1423" s="1">
        <v>150128</v>
      </c>
      <c r="AJ1423" s="1">
        <v>0</v>
      </c>
      <c r="AK1423" s="8">
        <f t="shared" si="91"/>
        <v>18</v>
      </c>
      <c r="AL1423" s="8">
        <f t="shared" si="90"/>
        <v>28</v>
      </c>
      <c r="AM1423">
        <f t="shared" si="88"/>
        <v>0</v>
      </c>
      <c r="AN1423">
        <f t="shared" si="89"/>
        <v>0</v>
      </c>
    </row>
    <row r="1424" spans="1:40" x14ac:dyDescent="0.35">
      <c r="A1424">
        <v>85.138999999999996</v>
      </c>
      <c r="B1424">
        <v>85.138999999999996</v>
      </c>
      <c r="C1424">
        <v>6.3368599999999997</v>
      </c>
      <c r="D1424">
        <v>0</v>
      </c>
      <c r="E1424">
        <v>0.02</v>
      </c>
      <c r="F1424">
        <v>3.05389</v>
      </c>
      <c r="G1424">
        <v>3.05389</v>
      </c>
      <c r="H1424">
        <v>0</v>
      </c>
      <c r="I1424">
        <v>0.57226399999999999</v>
      </c>
      <c r="J1424">
        <v>5.3222399999999999</v>
      </c>
      <c r="K1424" s="2">
        <v>168848000</v>
      </c>
      <c r="L1424" s="1">
        <v>0</v>
      </c>
      <c r="M1424" s="1">
        <v>0</v>
      </c>
      <c r="N1424" s="1">
        <v>0</v>
      </c>
      <c r="O1424" s="1">
        <v>0</v>
      </c>
      <c r="P1424" s="2">
        <v>4565480</v>
      </c>
      <c r="Q1424" s="1">
        <v>313945</v>
      </c>
      <c r="R1424" s="1">
        <v>0</v>
      </c>
      <c r="S1424">
        <v>99.302199999999999</v>
      </c>
      <c r="T1424">
        <v>98.274000000000001</v>
      </c>
      <c r="U1424">
        <v>10.1313</v>
      </c>
      <c r="V1424">
        <v>0</v>
      </c>
      <c r="W1424">
        <v>0</v>
      </c>
      <c r="X1424">
        <v>1.78027</v>
      </c>
      <c r="Y1424">
        <v>1.78027</v>
      </c>
      <c r="Z1424">
        <v>0</v>
      </c>
      <c r="AA1424">
        <v>1.3753500000000001</v>
      </c>
      <c r="AB1424">
        <v>2.9635199999999999</v>
      </c>
      <c r="AC1424" s="2">
        <v>704312000</v>
      </c>
      <c r="AD1424" s="1">
        <v>0</v>
      </c>
      <c r="AE1424" s="1">
        <v>0</v>
      </c>
      <c r="AF1424" s="1">
        <v>0</v>
      </c>
      <c r="AG1424" s="1">
        <v>0</v>
      </c>
      <c r="AH1424" s="2">
        <v>4605980</v>
      </c>
      <c r="AI1424" s="1">
        <v>150137</v>
      </c>
      <c r="AJ1424" s="1">
        <v>0</v>
      </c>
      <c r="AK1424" s="8">
        <f t="shared" si="91"/>
        <v>19</v>
      </c>
      <c r="AL1424" s="8">
        <f t="shared" si="90"/>
        <v>28</v>
      </c>
      <c r="AM1424">
        <f t="shared" si="88"/>
        <v>0</v>
      </c>
      <c r="AN1424">
        <f t="shared" si="89"/>
        <v>0</v>
      </c>
    </row>
    <row r="1425" spans="1:40" x14ac:dyDescent="0.35">
      <c r="A1425">
        <v>85.138999999999996</v>
      </c>
      <c r="B1425">
        <v>85.138999999999996</v>
      </c>
      <c r="C1425">
        <v>5.9406499999999998</v>
      </c>
      <c r="D1425">
        <v>0</v>
      </c>
      <c r="E1425">
        <v>0.02</v>
      </c>
      <c r="F1425">
        <v>3.0540699999999998</v>
      </c>
      <c r="G1425">
        <v>3.0540699999999998</v>
      </c>
      <c r="H1425">
        <v>0</v>
      </c>
      <c r="I1425">
        <v>0.57229799999999997</v>
      </c>
      <c r="J1425">
        <v>5.3222399999999999</v>
      </c>
      <c r="K1425" s="2">
        <v>169162000</v>
      </c>
      <c r="L1425" s="1">
        <v>0</v>
      </c>
      <c r="M1425" s="1">
        <v>0</v>
      </c>
      <c r="N1425" s="1">
        <v>0</v>
      </c>
      <c r="O1425" s="1">
        <v>0</v>
      </c>
      <c r="P1425" s="2">
        <v>4565760</v>
      </c>
      <c r="Q1425" s="1">
        <v>313964</v>
      </c>
      <c r="R1425" s="1">
        <v>0</v>
      </c>
      <c r="S1425">
        <v>99.302199999999999</v>
      </c>
      <c r="T1425">
        <v>98.274000000000001</v>
      </c>
      <c r="U1425">
        <v>10.88</v>
      </c>
      <c r="V1425">
        <v>0</v>
      </c>
      <c r="W1425">
        <v>0</v>
      </c>
      <c r="X1425">
        <v>1.7803800000000001</v>
      </c>
      <c r="Y1425">
        <v>1.7803800000000001</v>
      </c>
      <c r="Z1425">
        <v>0</v>
      </c>
      <c r="AA1425">
        <v>1.37544</v>
      </c>
      <c r="AB1425">
        <v>2.9635199999999999</v>
      </c>
      <c r="AC1425" s="2">
        <v>704462000</v>
      </c>
      <c r="AD1425" s="1">
        <v>0</v>
      </c>
      <c r="AE1425" s="1">
        <v>0</v>
      </c>
      <c r="AF1425" s="1">
        <v>0</v>
      </c>
      <c r="AG1425" s="1">
        <v>0</v>
      </c>
      <c r="AH1425" s="2">
        <v>4606250</v>
      </c>
      <c r="AI1425" s="1">
        <v>150146</v>
      </c>
      <c r="AJ1425" s="1">
        <v>0</v>
      </c>
      <c r="AK1425" s="8">
        <f t="shared" si="91"/>
        <v>20</v>
      </c>
      <c r="AL1425" s="8">
        <f t="shared" si="90"/>
        <v>28</v>
      </c>
      <c r="AM1425">
        <f t="shared" si="88"/>
        <v>0</v>
      </c>
      <c r="AN1425">
        <f t="shared" si="89"/>
        <v>0</v>
      </c>
    </row>
    <row r="1426" spans="1:40" x14ac:dyDescent="0.35">
      <c r="A1426">
        <v>85.138999999999996</v>
      </c>
      <c r="B1426">
        <v>85.138999999999996</v>
      </c>
      <c r="C1426">
        <v>5.7534700000000001</v>
      </c>
      <c r="D1426">
        <v>0</v>
      </c>
      <c r="E1426">
        <v>0.02</v>
      </c>
      <c r="F1426">
        <v>3.0542500000000001</v>
      </c>
      <c r="G1426">
        <v>3.0542500000000001</v>
      </c>
      <c r="H1426">
        <v>0</v>
      </c>
      <c r="I1426">
        <v>0.57233299999999998</v>
      </c>
      <c r="J1426">
        <v>5.3222399999999999</v>
      </c>
      <c r="K1426" s="2">
        <v>169476000</v>
      </c>
      <c r="L1426" s="1">
        <v>0</v>
      </c>
      <c r="M1426" s="1">
        <v>0</v>
      </c>
      <c r="N1426" s="1">
        <v>0</v>
      </c>
      <c r="O1426" s="1">
        <v>0</v>
      </c>
      <c r="P1426" s="2">
        <v>4566030</v>
      </c>
      <c r="Q1426" s="1">
        <v>313983</v>
      </c>
      <c r="R1426" s="1">
        <v>0</v>
      </c>
      <c r="S1426">
        <v>99.302199999999999</v>
      </c>
      <c r="T1426">
        <v>98.274000000000001</v>
      </c>
      <c r="U1426">
        <v>10.316000000000001</v>
      </c>
      <c r="V1426">
        <v>0</v>
      </c>
      <c r="W1426">
        <v>0</v>
      </c>
      <c r="X1426">
        <v>1.7804800000000001</v>
      </c>
      <c r="Y1426">
        <v>1.7804800000000001</v>
      </c>
      <c r="Z1426">
        <v>0</v>
      </c>
      <c r="AA1426">
        <v>1.3755200000000001</v>
      </c>
      <c r="AB1426">
        <v>2.9635199999999999</v>
      </c>
      <c r="AC1426" s="2">
        <v>704612000</v>
      </c>
      <c r="AD1426" s="1">
        <v>0</v>
      </c>
      <c r="AE1426" s="1">
        <v>0</v>
      </c>
      <c r="AF1426" s="1">
        <v>0</v>
      </c>
      <c r="AG1426" s="1">
        <v>0</v>
      </c>
      <c r="AH1426" s="2">
        <v>4606530</v>
      </c>
      <c r="AI1426" s="1">
        <v>150155</v>
      </c>
      <c r="AJ1426" s="1">
        <v>0</v>
      </c>
      <c r="AK1426" s="8">
        <f t="shared" si="91"/>
        <v>21</v>
      </c>
      <c r="AL1426" s="8">
        <f t="shared" si="90"/>
        <v>28</v>
      </c>
      <c r="AM1426">
        <f t="shared" si="88"/>
        <v>0</v>
      </c>
      <c r="AN1426">
        <f t="shared" si="89"/>
        <v>0</v>
      </c>
    </row>
    <row r="1427" spans="1:40" x14ac:dyDescent="0.35">
      <c r="A1427">
        <v>85.138999999999996</v>
      </c>
      <c r="B1427">
        <v>85.138999999999996</v>
      </c>
      <c r="C1427">
        <v>6.5083900000000003</v>
      </c>
      <c r="D1427">
        <v>0</v>
      </c>
      <c r="E1427">
        <v>0.02</v>
      </c>
      <c r="F1427">
        <v>3.01234</v>
      </c>
      <c r="G1427">
        <v>3.01234</v>
      </c>
      <c r="H1427">
        <v>0</v>
      </c>
      <c r="I1427">
        <v>0.57236699999999996</v>
      </c>
      <c r="J1427">
        <v>5.3222399999999999</v>
      </c>
      <c r="K1427" s="2">
        <v>169785000</v>
      </c>
      <c r="L1427" s="1">
        <v>0</v>
      </c>
      <c r="M1427" s="1">
        <v>0</v>
      </c>
      <c r="N1427" s="1">
        <v>0</v>
      </c>
      <c r="O1427" s="1">
        <v>0</v>
      </c>
      <c r="P1427" s="2">
        <v>4503370</v>
      </c>
      <c r="Q1427" s="1">
        <v>309674</v>
      </c>
      <c r="R1427" s="1">
        <v>0</v>
      </c>
      <c r="S1427">
        <v>99.302199999999999</v>
      </c>
      <c r="T1427">
        <v>98.274000000000001</v>
      </c>
      <c r="U1427">
        <v>7.4995099999999999</v>
      </c>
      <c r="V1427">
        <v>0</v>
      </c>
      <c r="W1427">
        <v>0</v>
      </c>
      <c r="X1427">
        <v>1.7538499999999999</v>
      </c>
      <c r="Y1427">
        <v>1.7538499999999999</v>
      </c>
      <c r="Z1427">
        <v>0</v>
      </c>
      <c r="AA1427">
        <v>1.3755999999999999</v>
      </c>
      <c r="AB1427">
        <v>2.9635199999999999</v>
      </c>
      <c r="AC1427" s="2">
        <v>704760000</v>
      </c>
      <c r="AD1427" s="1">
        <v>0</v>
      </c>
      <c r="AE1427" s="1">
        <v>0</v>
      </c>
      <c r="AF1427" s="1">
        <v>0</v>
      </c>
      <c r="AG1427" s="1">
        <v>0</v>
      </c>
      <c r="AH1427" s="2">
        <v>4537630</v>
      </c>
      <c r="AI1427" s="1">
        <v>147909</v>
      </c>
      <c r="AJ1427" s="1">
        <v>0</v>
      </c>
      <c r="AK1427" s="8">
        <f t="shared" si="91"/>
        <v>22</v>
      </c>
      <c r="AL1427" s="8">
        <f t="shared" si="90"/>
        <v>28</v>
      </c>
      <c r="AM1427">
        <f t="shared" si="88"/>
        <v>0</v>
      </c>
      <c r="AN1427">
        <f t="shared" si="89"/>
        <v>0</v>
      </c>
    </row>
    <row r="1428" spans="1:40" x14ac:dyDescent="0.35">
      <c r="A1428">
        <v>85.138999999999996</v>
      </c>
      <c r="B1428">
        <v>85.138999999999996</v>
      </c>
      <c r="C1428">
        <v>4.6970900000000002</v>
      </c>
      <c r="D1428">
        <v>0</v>
      </c>
      <c r="E1428">
        <v>0.02</v>
      </c>
      <c r="F1428">
        <v>3.0125199999999999</v>
      </c>
      <c r="G1428">
        <v>3.0125199999999999</v>
      </c>
      <c r="H1428">
        <v>0</v>
      </c>
      <c r="I1428">
        <v>0.56451200000000001</v>
      </c>
      <c r="J1428">
        <v>5.3222399999999999</v>
      </c>
      <c r="K1428" s="2">
        <v>170095000</v>
      </c>
      <c r="L1428" s="1">
        <v>0</v>
      </c>
      <c r="M1428" s="1">
        <v>0</v>
      </c>
      <c r="N1428" s="1">
        <v>0</v>
      </c>
      <c r="O1428" s="1">
        <v>0</v>
      </c>
      <c r="P1428" s="2">
        <v>4503640</v>
      </c>
      <c r="Q1428" s="1">
        <v>309693</v>
      </c>
      <c r="R1428" s="1">
        <v>0</v>
      </c>
      <c r="S1428">
        <v>99.302199999999999</v>
      </c>
      <c r="T1428">
        <v>98.274000000000001</v>
      </c>
      <c r="U1428">
        <v>5.7329800000000004</v>
      </c>
      <c r="V1428">
        <v>0</v>
      </c>
      <c r="W1428">
        <v>0</v>
      </c>
      <c r="X1428">
        <v>1.7539499999999999</v>
      </c>
      <c r="Y1428">
        <v>1.7539499999999999</v>
      </c>
      <c r="Z1428">
        <v>0</v>
      </c>
      <c r="AA1428">
        <v>1.3550199999999999</v>
      </c>
      <c r="AB1428">
        <v>2.9635199999999999</v>
      </c>
      <c r="AC1428" s="2">
        <v>704908000</v>
      </c>
      <c r="AD1428" s="1">
        <v>0</v>
      </c>
      <c r="AE1428" s="1">
        <v>0</v>
      </c>
      <c r="AF1428" s="1">
        <v>0</v>
      </c>
      <c r="AG1428" s="1">
        <v>0</v>
      </c>
      <c r="AH1428" s="2">
        <v>4537900</v>
      </c>
      <c r="AI1428" s="1">
        <v>147918</v>
      </c>
      <c r="AJ1428" s="1">
        <v>0</v>
      </c>
      <c r="AK1428" s="8">
        <f t="shared" si="91"/>
        <v>23</v>
      </c>
      <c r="AL1428" s="8">
        <f t="shared" si="90"/>
        <v>28</v>
      </c>
      <c r="AM1428">
        <f t="shared" si="88"/>
        <v>0</v>
      </c>
      <c r="AN1428">
        <f t="shared" si="89"/>
        <v>0</v>
      </c>
    </row>
    <row r="1429" spans="1:40" x14ac:dyDescent="0.35">
      <c r="A1429">
        <v>85.138999999999996</v>
      </c>
      <c r="B1429">
        <v>85.138999999999996</v>
      </c>
      <c r="C1429">
        <v>4.0530299999999997</v>
      </c>
      <c r="D1429">
        <v>0</v>
      </c>
      <c r="E1429">
        <v>0.02</v>
      </c>
      <c r="F1429">
        <v>3.0127000000000002</v>
      </c>
      <c r="G1429">
        <v>3.0127000000000002</v>
      </c>
      <c r="H1429">
        <v>0</v>
      </c>
      <c r="I1429">
        <v>0.56454599999999999</v>
      </c>
      <c r="J1429">
        <v>5.3222399999999999</v>
      </c>
      <c r="K1429" s="2">
        <v>170405000</v>
      </c>
      <c r="L1429" s="1">
        <v>0</v>
      </c>
      <c r="M1429" s="1">
        <v>0</v>
      </c>
      <c r="N1429" s="1">
        <v>0</v>
      </c>
      <c r="O1429" s="1">
        <v>0</v>
      </c>
      <c r="P1429" s="2">
        <v>4503910</v>
      </c>
      <c r="Q1429" s="1">
        <v>309711</v>
      </c>
      <c r="R1429" s="1">
        <v>0</v>
      </c>
      <c r="S1429">
        <v>99.302199999999999</v>
      </c>
      <c r="T1429">
        <v>98.274000000000001</v>
      </c>
      <c r="U1429">
        <v>5.3675499999999996</v>
      </c>
      <c r="V1429">
        <v>0</v>
      </c>
      <c r="W1429">
        <v>0</v>
      </c>
      <c r="X1429">
        <v>1.75406</v>
      </c>
      <c r="Y1429">
        <v>1.75406</v>
      </c>
      <c r="Z1429">
        <v>0</v>
      </c>
      <c r="AA1429">
        <v>1.35511</v>
      </c>
      <c r="AB1429">
        <v>2.9635199999999999</v>
      </c>
      <c r="AC1429" s="2">
        <v>705056000</v>
      </c>
      <c r="AD1429" s="1">
        <v>0</v>
      </c>
      <c r="AE1429" s="1">
        <v>0</v>
      </c>
      <c r="AF1429" s="1">
        <v>0</v>
      </c>
      <c r="AG1429" s="1">
        <v>0</v>
      </c>
      <c r="AH1429" s="2">
        <v>4538170</v>
      </c>
      <c r="AI1429" s="1">
        <v>147927</v>
      </c>
      <c r="AJ1429" s="1">
        <v>0</v>
      </c>
      <c r="AK1429" s="8">
        <f t="shared" si="91"/>
        <v>24</v>
      </c>
      <c r="AL1429" s="8">
        <f t="shared" si="90"/>
        <v>28</v>
      </c>
      <c r="AM1429">
        <f t="shared" si="88"/>
        <v>0</v>
      </c>
      <c r="AN1429">
        <f t="shared" si="89"/>
        <v>0</v>
      </c>
    </row>
    <row r="1430" spans="1:40" x14ac:dyDescent="0.35">
      <c r="A1430">
        <v>85.104399999999998</v>
      </c>
      <c r="B1430">
        <v>85.138999999999996</v>
      </c>
      <c r="C1430">
        <v>3.3484799999999999</v>
      </c>
      <c r="D1430">
        <v>0</v>
      </c>
      <c r="E1430">
        <v>0.02</v>
      </c>
      <c r="F1430">
        <v>3.01288</v>
      </c>
      <c r="G1430">
        <v>3.01288</v>
      </c>
      <c r="H1430">
        <v>0</v>
      </c>
      <c r="I1430">
        <v>0.56457999999999997</v>
      </c>
      <c r="J1430">
        <v>5.3222399999999999</v>
      </c>
      <c r="K1430" s="2">
        <v>170714000</v>
      </c>
      <c r="L1430" s="1">
        <v>0</v>
      </c>
      <c r="M1430" s="1">
        <v>0</v>
      </c>
      <c r="N1430" s="1">
        <v>0</v>
      </c>
      <c r="O1430" s="1">
        <v>0</v>
      </c>
      <c r="P1430" s="2">
        <v>4504180</v>
      </c>
      <c r="Q1430" s="1">
        <v>309730</v>
      </c>
      <c r="R1430" s="1">
        <v>0</v>
      </c>
      <c r="S1430">
        <v>99.302199999999999</v>
      </c>
      <c r="T1430">
        <v>98.274000000000001</v>
      </c>
      <c r="U1430">
        <v>4.6424000000000003</v>
      </c>
      <c r="V1430">
        <v>0</v>
      </c>
      <c r="W1430">
        <v>0</v>
      </c>
      <c r="X1430">
        <v>1.7541599999999999</v>
      </c>
      <c r="Y1430">
        <v>1.7541599999999999</v>
      </c>
      <c r="Z1430">
        <v>0</v>
      </c>
      <c r="AA1430">
        <v>1.3551899999999999</v>
      </c>
      <c r="AB1430">
        <v>2.9635199999999999</v>
      </c>
      <c r="AC1430" s="2">
        <v>705204000</v>
      </c>
      <c r="AD1430" s="1">
        <v>0</v>
      </c>
      <c r="AE1430" s="1">
        <v>0</v>
      </c>
      <c r="AF1430" s="1">
        <v>0</v>
      </c>
      <c r="AG1430" s="1">
        <v>0</v>
      </c>
      <c r="AH1430" s="2">
        <v>4538440</v>
      </c>
      <c r="AI1430" s="1">
        <v>147936</v>
      </c>
      <c r="AJ1430" s="1">
        <v>0</v>
      </c>
      <c r="AK1430" s="8">
        <f t="shared" si="91"/>
        <v>25</v>
      </c>
      <c r="AL1430" s="8">
        <f t="shared" si="90"/>
        <v>28</v>
      </c>
      <c r="AM1430">
        <f t="shared" si="88"/>
        <v>0</v>
      </c>
      <c r="AN1430">
        <f t="shared" si="89"/>
        <v>0</v>
      </c>
    </row>
    <row r="1431" spans="1:40" x14ac:dyDescent="0.35">
      <c r="A1431">
        <v>84.926299999999998</v>
      </c>
      <c r="B1431">
        <v>85.138999999999996</v>
      </c>
      <c r="C1431">
        <v>3.3052800000000002</v>
      </c>
      <c r="D1431">
        <v>0</v>
      </c>
      <c r="E1431">
        <v>0.02</v>
      </c>
      <c r="F1431">
        <v>3.1559900000000001</v>
      </c>
      <c r="G1431">
        <v>3.1559900000000001</v>
      </c>
      <c r="H1431">
        <v>0</v>
      </c>
      <c r="I1431">
        <v>0.56461399999999995</v>
      </c>
      <c r="J1431">
        <v>5.3222399999999999</v>
      </c>
      <c r="K1431" s="2">
        <v>171039000</v>
      </c>
      <c r="L1431" s="1">
        <v>0</v>
      </c>
      <c r="M1431" s="1">
        <v>0</v>
      </c>
      <c r="N1431" s="1">
        <v>0</v>
      </c>
      <c r="O1431" s="1">
        <v>0</v>
      </c>
      <c r="P1431" s="2">
        <v>4718130</v>
      </c>
      <c r="Q1431" s="1">
        <v>324442</v>
      </c>
      <c r="R1431" s="1">
        <v>0</v>
      </c>
      <c r="S1431">
        <v>99.302199999999999</v>
      </c>
      <c r="T1431">
        <v>98.274000000000001</v>
      </c>
      <c r="U1431">
        <v>4.0990000000000002</v>
      </c>
      <c r="V1431">
        <v>0</v>
      </c>
      <c r="W1431">
        <v>0</v>
      </c>
      <c r="X1431">
        <v>1.8491200000000001</v>
      </c>
      <c r="Y1431">
        <v>1.8491200000000001</v>
      </c>
      <c r="Z1431">
        <v>0</v>
      </c>
      <c r="AA1431">
        <v>1.35527</v>
      </c>
      <c r="AB1431">
        <v>2.9635199999999999</v>
      </c>
      <c r="AC1431" s="2">
        <v>705360000</v>
      </c>
      <c r="AD1431" s="1">
        <v>0</v>
      </c>
      <c r="AE1431" s="1">
        <v>0</v>
      </c>
      <c r="AF1431" s="1">
        <v>0</v>
      </c>
      <c r="AG1431" s="1">
        <v>0</v>
      </c>
      <c r="AH1431" s="2">
        <v>4784100</v>
      </c>
      <c r="AI1431" s="1">
        <v>155943</v>
      </c>
      <c r="AJ1431" s="1">
        <v>0</v>
      </c>
      <c r="AK1431" s="8">
        <f t="shared" si="91"/>
        <v>26</v>
      </c>
      <c r="AL1431" s="8">
        <f t="shared" si="90"/>
        <v>28</v>
      </c>
      <c r="AM1431">
        <f t="shared" si="88"/>
        <v>0</v>
      </c>
      <c r="AN1431">
        <f t="shared" si="89"/>
        <v>0</v>
      </c>
    </row>
    <row r="1432" spans="1:40" x14ac:dyDescent="0.35">
      <c r="A1432">
        <v>84.945499999999996</v>
      </c>
      <c r="B1432">
        <v>85.138999999999996</v>
      </c>
      <c r="C1432">
        <v>3.5177999999999998</v>
      </c>
      <c r="D1432">
        <v>0</v>
      </c>
      <c r="E1432">
        <v>0.02</v>
      </c>
      <c r="F1432">
        <v>3.15618</v>
      </c>
      <c r="G1432">
        <v>3.15618</v>
      </c>
      <c r="H1432">
        <v>0</v>
      </c>
      <c r="I1432">
        <v>0.59143199999999996</v>
      </c>
      <c r="J1432">
        <v>5.3222399999999999</v>
      </c>
      <c r="K1432" s="2">
        <v>171363000</v>
      </c>
      <c r="L1432" s="1">
        <v>0</v>
      </c>
      <c r="M1432" s="1">
        <v>0</v>
      </c>
      <c r="N1432" s="1">
        <v>0</v>
      </c>
      <c r="O1432" s="1">
        <v>0</v>
      </c>
      <c r="P1432" s="2">
        <v>4718410</v>
      </c>
      <c r="Q1432" s="1">
        <v>324461</v>
      </c>
      <c r="R1432" s="1">
        <v>0</v>
      </c>
      <c r="S1432">
        <v>99.302199999999999</v>
      </c>
      <c r="T1432">
        <v>98.274000000000001</v>
      </c>
      <c r="U1432">
        <v>4.6247199999999999</v>
      </c>
      <c r="V1432">
        <v>0</v>
      </c>
      <c r="W1432">
        <v>0</v>
      </c>
      <c r="X1432">
        <v>1.8492299999999999</v>
      </c>
      <c r="Y1432">
        <v>1.8492299999999999</v>
      </c>
      <c r="Z1432">
        <v>0</v>
      </c>
      <c r="AA1432">
        <v>1.4286300000000001</v>
      </c>
      <c r="AB1432">
        <v>2.9635199999999999</v>
      </c>
      <c r="AC1432" s="2">
        <v>705516000</v>
      </c>
      <c r="AD1432" s="1">
        <v>0</v>
      </c>
      <c r="AE1432" s="1">
        <v>0</v>
      </c>
      <c r="AF1432" s="1">
        <v>0</v>
      </c>
      <c r="AG1432" s="1">
        <v>0</v>
      </c>
      <c r="AH1432" s="2">
        <v>4784390</v>
      </c>
      <c r="AI1432" s="1">
        <v>155953</v>
      </c>
      <c r="AJ1432" s="1">
        <v>0</v>
      </c>
      <c r="AK1432" s="8">
        <f t="shared" si="91"/>
        <v>27</v>
      </c>
      <c r="AL1432" s="8">
        <f t="shared" si="90"/>
        <v>28</v>
      </c>
      <c r="AM1432">
        <f t="shared" si="88"/>
        <v>0</v>
      </c>
      <c r="AN1432">
        <f t="shared" si="89"/>
        <v>0</v>
      </c>
    </row>
    <row r="1433" spans="1:40" x14ac:dyDescent="0.35">
      <c r="A1433">
        <v>84.797300000000007</v>
      </c>
      <c r="B1433">
        <v>85.138999999999996</v>
      </c>
      <c r="C1433">
        <v>3.3260900000000002</v>
      </c>
      <c r="D1433">
        <v>0</v>
      </c>
      <c r="E1433">
        <v>0.02</v>
      </c>
      <c r="F1433">
        <v>3.1563699999999999</v>
      </c>
      <c r="G1433">
        <v>3.1563699999999999</v>
      </c>
      <c r="H1433">
        <v>0</v>
      </c>
      <c r="I1433">
        <v>0.59146799999999999</v>
      </c>
      <c r="J1433">
        <v>5.3222399999999999</v>
      </c>
      <c r="K1433" s="2">
        <v>171688000</v>
      </c>
      <c r="L1433" s="1">
        <v>0</v>
      </c>
      <c r="M1433" s="1">
        <v>0</v>
      </c>
      <c r="N1433" s="1">
        <v>0</v>
      </c>
      <c r="O1433" s="1">
        <v>0</v>
      </c>
      <c r="P1433" s="2">
        <v>4718690</v>
      </c>
      <c r="Q1433" s="1">
        <v>324481</v>
      </c>
      <c r="R1433" s="1">
        <v>0</v>
      </c>
      <c r="S1433">
        <v>99.302199999999999</v>
      </c>
      <c r="T1433">
        <v>98.274000000000001</v>
      </c>
      <c r="U1433">
        <v>3.9594900000000002</v>
      </c>
      <c r="V1433">
        <v>0</v>
      </c>
      <c r="W1433">
        <v>0</v>
      </c>
      <c r="X1433">
        <v>1.84934</v>
      </c>
      <c r="Y1433">
        <v>1.84934</v>
      </c>
      <c r="Z1433">
        <v>0</v>
      </c>
      <c r="AA1433">
        <v>1.4287099999999999</v>
      </c>
      <c r="AB1433">
        <v>2.9635199999999999</v>
      </c>
      <c r="AC1433" s="2">
        <v>705672000</v>
      </c>
      <c r="AD1433" s="1">
        <v>0</v>
      </c>
      <c r="AE1433" s="1">
        <v>0</v>
      </c>
      <c r="AF1433" s="1">
        <v>0</v>
      </c>
      <c r="AG1433" s="1">
        <v>0</v>
      </c>
      <c r="AH1433" s="2">
        <v>4784670</v>
      </c>
      <c r="AI1433" s="1">
        <v>155962</v>
      </c>
      <c r="AJ1433" s="1">
        <v>0</v>
      </c>
      <c r="AK1433" s="8">
        <f t="shared" si="91"/>
        <v>28</v>
      </c>
      <c r="AL1433" s="8">
        <f t="shared" si="90"/>
        <v>28</v>
      </c>
      <c r="AM1433">
        <f t="shared" si="88"/>
        <v>0</v>
      </c>
      <c r="AN1433">
        <f t="shared" si="89"/>
        <v>0</v>
      </c>
    </row>
    <row r="1434" spans="1:40" x14ac:dyDescent="0.35">
      <c r="A1434">
        <v>84.445899999999995</v>
      </c>
      <c r="B1434">
        <v>85.138999999999996</v>
      </c>
      <c r="C1434">
        <v>3.0945900000000002</v>
      </c>
      <c r="D1434">
        <v>0</v>
      </c>
      <c r="E1434">
        <v>0.02</v>
      </c>
      <c r="F1434">
        <v>3.1565599999999998</v>
      </c>
      <c r="G1434">
        <v>3.1565599999999998</v>
      </c>
      <c r="H1434">
        <v>0</v>
      </c>
      <c r="I1434">
        <v>0.591503</v>
      </c>
      <c r="J1434">
        <v>5.3222399999999999</v>
      </c>
      <c r="K1434" s="2">
        <v>172012000</v>
      </c>
      <c r="L1434" s="1">
        <v>0</v>
      </c>
      <c r="M1434" s="1">
        <v>0</v>
      </c>
      <c r="N1434" s="1">
        <v>0</v>
      </c>
      <c r="O1434" s="1">
        <v>0</v>
      </c>
      <c r="P1434" s="2">
        <v>4718970</v>
      </c>
      <c r="Q1434" s="1">
        <v>324500</v>
      </c>
      <c r="R1434" s="1">
        <v>0</v>
      </c>
      <c r="S1434">
        <v>99.302199999999999</v>
      </c>
      <c r="T1434">
        <v>98.274000000000001</v>
      </c>
      <c r="U1434">
        <v>3.5180400000000001</v>
      </c>
      <c r="V1434">
        <v>0</v>
      </c>
      <c r="W1434">
        <v>0</v>
      </c>
      <c r="X1434">
        <v>1.84945</v>
      </c>
      <c r="Y1434">
        <v>1.84945</v>
      </c>
      <c r="Z1434">
        <v>0</v>
      </c>
      <c r="AA1434">
        <v>1.4288000000000001</v>
      </c>
      <c r="AB1434">
        <v>2.9635199999999999</v>
      </c>
      <c r="AC1434" s="2">
        <v>705828000</v>
      </c>
      <c r="AD1434" s="1">
        <v>0</v>
      </c>
      <c r="AE1434" s="1">
        <v>0</v>
      </c>
      <c r="AF1434" s="1">
        <v>0</v>
      </c>
      <c r="AG1434" s="1">
        <v>0</v>
      </c>
      <c r="AH1434" s="2">
        <v>4784960</v>
      </c>
      <c r="AI1434" s="1">
        <v>155971</v>
      </c>
      <c r="AJ1434" s="1">
        <v>0</v>
      </c>
      <c r="AK1434" s="8">
        <f t="shared" si="91"/>
        <v>29</v>
      </c>
      <c r="AL1434" s="8">
        <f t="shared" si="90"/>
        <v>28</v>
      </c>
      <c r="AM1434">
        <f t="shared" si="88"/>
        <v>0</v>
      </c>
      <c r="AN1434">
        <f t="shared" si="89"/>
        <v>0</v>
      </c>
    </row>
    <row r="1435" spans="1:40" x14ac:dyDescent="0.35">
      <c r="A1435">
        <v>84.165999999999997</v>
      </c>
      <c r="B1435">
        <v>85.138999999999996</v>
      </c>
      <c r="C1435">
        <v>3.0971600000000001</v>
      </c>
      <c r="D1435">
        <v>0</v>
      </c>
      <c r="E1435">
        <v>0.02</v>
      </c>
      <c r="F1435">
        <v>3.1567500000000002</v>
      </c>
      <c r="G1435">
        <v>3.1567500000000002</v>
      </c>
      <c r="H1435">
        <v>0</v>
      </c>
      <c r="I1435">
        <v>0.59153900000000004</v>
      </c>
      <c r="J1435">
        <v>5.3222399999999999</v>
      </c>
      <c r="K1435" s="2">
        <v>172337000</v>
      </c>
      <c r="L1435" s="1">
        <v>0</v>
      </c>
      <c r="M1435" s="1">
        <v>0</v>
      </c>
      <c r="N1435" s="1">
        <v>0</v>
      </c>
      <c r="O1435" s="1">
        <v>0</v>
      </c>
      <c r="P1435" s="2">
        <v>4719260</v>
      </c>
      <c r="Q1435" s="1">
        <v>324520</v>
      </c>
      <c r="R1435" s="1">
        <v>0</v>
      </c>
      <c r="S1435">
        <v>99.302199999999999</v>
      </c>
      <c r="T1435">
        <v>98.274000000000001</v>
      </c>
      <c r="U1435">
        <v>3.3808799999999999</v>
      </c>
      <c r="V1435">
        <v>0</v>
      </c>
      <c r="W1435">
        <v>0</v>
      </c>
      <c r="X1435">
        <v>1.8495600000000001</v>
      </c>
      <c r="Y1435">
        <v>1.8495600000000001</v>
      </c>
      <c r="Z1435">
        <v>0</v>
      </c>
      <c r="AA1435">
        <v>1.4288799999999999</v>
      </c>
      <c r="AB1435">
        <v>2.9635199999999999</v>
      </c>
      <c r="AC1435" s="2">
        <v>705984000</v>
      </c>
      <c r="AD1435" s="1">
        <v>0</v>
      </c>
      <c r="AE1435" s="1">
        <v>0</v>
      </c>
      <c r="AF1435" s="1">
        <v>0</v>
      </c>
      <c r="AG1435" s="1">
        <v>0</v>
      </c>
      <c r="AH1435" s="2">
        <v>4785250</v>
      </c>
      <c r="AI1435" s="1">
        <v>155981</v>
      </c>
      <c r="AJ1435" s="1">
        <v>0</v>
      </c>
      <c r="AK1435" s="8">
        <f t="shared" si="91"/>
        <v>30</v>
      </c>
      <c r="AL1435" s="8">
        <f t="shared" si="90"/>
        <v>28</v>
      </c>
      <c r="AM1435">
        <f t="shared" si="88"/>
        <v>0</v>
      </c>
      <c r="AN1435">
        <f t="shared" si="89"/>
        <v>0</v>
      </c>
    </row>
    <row r="1436" spans="1:40" x14ac:dyDescent="0.35">
      <c r="A1436">
        <v>84.143199999999993</v>
      </c>
      <c r="B1436">
        <v>85.138999999999996</v>
      </c>
      <c r="C1436">
        <v>3.3353100000000002</v>
      </c>
      <c r="D1436">
        <v>0</v>
      </c>
      <c r="E1436">
        <v>0.02</v>
      </c>
      <c r="F1436">
        <v>3.12866</v>
      </c>
      <c r="G1436">
        <v>3.12866</v>
      </c>
      <c r="H1436">
        <v>0</v>
      </c>
      <c r="I1436">
        <v>0.59157400000000004</v>
      </c>
      <c r="J1436">
        <v>5.3222399999999999</v>
      </c>
      <c r="K1436" s="2">
        <v>172659000</v>
      </c>
      <c r="L1436" s="1">
        <v>0</v>
      </c>
      <c r="M1436" s="1">
        <v>0</v>
      </c>
      <c r="N1436" s="1">
        <v>0</v>
      </c>
      <c r="O1436" s="1">
        <v>0</v>
      </c>
      <c r="P1436" s="2">
        <v>4677270</v>
      </c>
      <c r="Q1436" s="1">
        <v>321632</v>
      </c>
      <c r="R1436" s="1">
        <v>0</v>
      </c>
      <c r="S1436">
        <v>99.205299999999994</v>
      </c>
      <c r="T1436">
        <v>98.274000000000001</v>
      </c>
      <c r="U1436">
        <v>3.5637500000000002</v>
      </c>
      <c r="V1436">
        <v>0</v>
      </c>
      <c r="W1436">
        <v>0</v>
      </c>
      <c r="X1436">
        <v>1.90181</v>
      </c>
      <c r="Y1436">
        <v>1.90181</v>
      </c>
      <c r="Z1436">
        <v>0</v>
      </c>
      <c r="AA1436">
        <v>1.4289700000000001</v>
      </c>
      <c r="AB1436">
        <v>2.9635199999999999</v>
      </c>
      <c r="AC1436" s="2">
        <v>706144000</v>
      </c>
      <c r="AD1436" s="1">
        <v>0</v>
      </c>
      <c r="AE1436" s="1">
        <v>0</v>
      </c>
      <c r="AF1436" s="1">
        <v>0</v>
      </c>
      <c r="AG1436" s="1">
        <v>0</v>
      </c>
      <c r="AH1436" s="2">
        <v>4920440</v>
      </c>
      <c r="AI1436" s="1">
        <v>160387</v>
      </c>
      <c r="AJ1436" s="1">
        <v>0</v>
      </c>
      <c r="AK1436" s="8">
        <f t="shared" si="91"/>
        <v>31</v>
      </c>
      <c r="AL1436" s="8">
        <f t="shared" si="90"/>
        <v>28</v>
      </c>
      <c r="AM1436">
        <f t="shared" si="88"/>
        <v>0</v>
      </c>
      <c r="AN1436">
        <f t="shared" si="89"/>
        <v>0</v>
      </c>
    </row>
    <row r="1437" spans="1:40" x14ac:dyDescent="0.35">
      <c r="A1437">
        <v>83.974800000000002</v>
      </c>
      <c r="B1437">
        <v>85.138999999999996</v>
      </c>
      <c r="C1437">
        <v>3.16255</v>
      </c>
      <c r="D1437">
        <v>0</v>
      </c>
      <c r="E1437">
        <v>0.02</v>
      </c>
      <c r="F1437">
        <v>3.1288499999999999</v>
      </c>
      <c r="G1437">
        <v>3.1288499999999999</v>
      </c>
      <c r="H1437">
        <v>0</v>
      </c>
      <c r="I1437">
        <v>0.58631100000000003</v>
      </c>
      <c r="J1437">
        <v>5.3222399999999999</v>
      </c>
      <c r="K1437" s="2">
        <v>172980000</v>
      </c>
      <c r="L1437" s="1">
        <v>0</v>
      </c>
      <c r="M1437" s="1">
        <v>0</v>
      </c>
      <c r="N1437" s="1">
        <v>0</v>
      </c>
      <c r="O1437" s="1">
        <v>0</v>
      </c>
      <c r="P1437" s="2">
        <v>4677550</v>
      </c>
      <c r="Q1437" s="1">
        <v>321652</v>
      </c>
      <c r="R1437" s="1">
        <v>0</v>
      </c>
      <c r="S1437">
        <v>99.067099999999996</v>
      </c>
      <c r="T1437">
        <v>98.274000000000001</v>
      </c>
      <c r="U1437">
        <v>3.4565199999999998</v>
      </c>
      <c r="V1437">
        <v>0</v>
      </c>
      <c r="W1437">
        <v>0</v>
      </c>
      <c r="X1437">
        <v>1.9019299999999999</v>
      </c>
      <c r="Y1437">
        <v>1.9019299999999999</v>
      </c>
      <c r="Z1437">
        <v>0</v>
      </c>
      <c r="AA1437">
        <v>1.4693400000000001</v>
      </c>
      <c r="AB1437">
        <v>2.9635199999999999</v>
      </c>
      <c r="AC1437" s="2">
        <v>706305000</v>
      </c>
      <c r="AD1437" s="1">
        <v>0</v>
      </c>
      <c r="AE1437" s="1">
        <v>0</v>
      </c>
      <c r="AF1437" s="1">
        <v>0</v>
      </c>
      <c r="AG1437" s="1">
        <v>0</v>
      </c>
      <c r="AH1437" s="2">
        <v>4920740</v>
      </c>
      <c r="AI1437" s="1">
        <v>160397</v>
      </c>
      <c r="AJ1437" s="1">
        <v>0</v>
      </c>
      <c r="AK1437" s="8">
        <f t="shared" si="91"/>
        <v>32</v>
      </c>
      <c r="AL1437" s="8">
        <f t="shared" si="90"/>
        <v>28</v>
      </c>
      <c r="AM1437">
        <f t="shared" si="88"/>
        <v>0</v>
      </c>
      <c r="AN1437">
        <f t="shared" si="89"/>
        <v>0</v>
      </c>
    </row>
    <row r="1438" spans="1:40" x14ac:dyDescent="0.35">
      <c r="A1438">
        <v>83.625799999999998</v>
      </c>
      <c r="B1438">
        <v>85.138999999999996</v>
      </c>
      <c r="C1438">
        <v>2.9630999999999998</v>
      </c>
      <c r="D1438">
        <v>0</v>
      </c>
      <c r="E1438">
        <v>0.02</v>
      </c>
      <c r="F1438">
        <v>3.1290399999999998</v>
      </c>
      <c r="G1438">
        <v>3.1290399999999998</v>
      </c>
      <c r="H1438">
        <v>0</v>
      </c>
      <c r="I1438">
        <v>0.58634600000000003</v>
      </c>
      <c r="J1438">
        <v>5.3222399999999999</v>
      </c>
      <c r="K1438" s="2">
        <v>173302000</v>
      </c>
      <c r="L1438" s="1">
        <v>0</v>
      </c>
      <c r="M1438" s="1">
        <v>0</v>
      </c>
      <c r="N1438" s="1">
        <v>0</v>
      </c>
      <c r="O1438" s="1">
        <v>0</v>
      </c>
      <c r="P1438" s="2">
        <v>4677830</v>
      </c>
      <c r="Q1438" s="1">
        <v>321671</v>
      </c>
      <c r="R1438" s="1">
        <v>0</v>
      </c>
      <c r="S1438">
        <v>98.846599999999995</v>
      </c>
      <c r="T1438">
        <v>98.274000000000001</v>
      </c>
      <c r="U1438">
        <v>3.2665000000000002</v>
      </c>
      <c r="V1438">
        <v>0</v>
      </c>
      <c r="W1438">
        <v>0</v>
      </c>
      <c r="X1438">
        <v>1.90204</v>
      </c>
      <c r="Y1438">
        <v>1.90204</v>
      </c>
      <c r="Z1438">
        <v>0</v>
      </c>
      <c r="AA1438">
        <v>1.46943</v>
      </c>
      <c r="AB1438">
        <v>2.9635199999999999</v>
      </c>
      <c r="AC1438" s="2">
        <v>706465000</v>
      </c>
      <c r="AD1438" s="1">
        <v>0</v>
      </c>
      <c r="AE1438" s="1">
        <v>0</v>
      </c>
      <c r="AF1438" s="1">
        <v>0</v>
      </c>
      <c r="AG1438" s="1">
        <v>0</v>
      </c>
      <c r="AH1438" s="2">
        <v>4921030</v>
      </c>
      <c r="AI1438" s="1">
        <v>160407</v>
      </c>
      <c r="AJ1438" s="1">
        <v>0</v>
      </c>
      <c r="AK1438" s="8">
        <f t="shared" si="91"/>
        <v>33</v>
      </c>
      <c r="AL1438" s="8">
        <f t="shared" si="90"/>
        <v>28</v>
      </c>
      <c r="AM1438">
        <f t="shared" si="88"/>
        <v>0</v>
      </c>
      <c r="AN1438">
        <f t="shared" si="89"/>
        <v>0</v>
      </c>
    </row>
    <row r="1439" spans="1:40" x14ac:dyDescent="0.35">
      <c r="A1439">
        <v>83.103099999999998</v>
      </c>
      <c r="B1439">
        <v>85.138999999999996</v>
      </c>
      <c r="C1439">
        <v>2.7790400000000002</v>
      </c>
      <c r="D1439">
        <v>0</v>
      </c>
      <c r="E1439">
        <v>0.02</v>
      </c>
      <c r="F1439">
        <v>3.1292200000000001</v>
      </c>
      <c r="G1439">
        <v>3.1292200000000001</v>
      </c>
      <c r="H1439">
        <v>0</v>
      </c>
      <c r="I1439">
        <v>0.58638100000000004</v>
      </c>
      <c r="J1439">
        <v>5.3222399999999999</v>
      </c>
      <c r="K1439" s="2">
        <v>173624000</v>
      </c>
      <c r="L1439" s="1">
        <v>0</v>
      </c>
      <c r="M1439" s="1">
        <v>0</v>
      </c>
      <c r="N1439" s="1">
        <v>0</v>
      </c>
      <c r="O1439" s="1">
        <v>0</v>
      </c>
      <c r="P1439" s="2">
        <v>4678110</v>
      </c>
      <c r="Q1439" s="1">
        <v>321690</v>
      </c>
      <c r="R1439" s="1">
        <v>0</v>
      </c>
      <c r="S1439">
        <v>98.586100000000002</v>
      </c>
      <c r="T1439">
        <v>98.274000000000001</v>
      </c>
      <c r="U1439">
        <v>3.0792799999999998</v>
      </c>
      <c r="V1439">
        <v>0</v>
      </c>
      <c r="W1439">
        <v>0</v>
      </c>
      <c r="X1439">
        <v>1.90215</v>
      </c>
      <c r="Y1439">
        <v>1.90215</v>
      </c>
      <c r="Z1439">
        <v>0</v>
      </c>
      <c r="AA1439">
        <v>1.4695199999999999</v>
      </c>
      <c r="AB1439">
        <v>2.9635199999999999</v>
      </c>
      <c r="AC1439" s="2">
        <v>706626000</v>
      </c>
      <c r="AD1439" s="1">
        <v>0</v>
      </c>
      <c r="AE1439" s="1">
        <v>0</v>
      </c>
      <c r="AF1439" s="1">
        <v>0</v>
      </c>
      <c r="AG1439" s="1">
        <v>0</v>
      </c>
      <c r="AH1439" s="2">
        <v>4921330</v>
      </c>
      <c r="AI1439" s="1">
        <v>160416</v>
      </c>
      <c r="AJ1439" s="1">
        <v>0</v>
      </c>
      <c r="AK1439" s="8">
        <f t="shared" si="91"/>
        <v>34</v>
      </c>
      <c r="AL1439" s="8">
        <f t="shared" si="90"/>
        <v>28</v>
      </c>
      <c r="AM1439">
        <f t="shared" si="88"/>
        <v>0</v>
      </c>
      <c r="AN1439">
        <f t="shared" si="89"/>
        <v>0</v>
      </c>
    </row>
    <row r="1440" spans="1:40" x14ac:dyDescent="0.35">
      <c r="A1440">
        <v>82.886899999999997</v>
      </c>
      <c r="B1440">
        <v>85.138999999999996</v>
      </c>
      <c r="C1440">
        <v>3.1310099999999998</v>
      </c>
      <c r="D1440">
        <v>0</v>
      </c>
      <c r="E1440">
        <v>0.02</v>
      </c>
      <c r="F1440">
        <v>3.2024400000000002</v>
      </c>
      <c r="G1440">
        <v>3.2024400000000002</v>
      </c>
      <c r="H1440">
        <v>0</v>
      </c>
      <c r="I1440">
        <v>0.58641600000000005</v>
      </c>
      <c r="J1440">
        <v>5.3222399999999999</v>
      </c>
      <c r="K1440" s="2">
        <v>173953000</v>
      </c>
      <c r="L1440" s="1">
        <v>0</v>
      </c>
      <c r="M1440" s="1">
        <v>0</v>
      </c>
      <c r="N1440" s="1">
        <v>0</v>
      </c>
      <c r="O1440" s="1">
        <v>0</v>
      </c>
      <c r="P1440" s="2">
        <v>4787570</v>
      </c>
      <c r="Q1440" s="1">
        <v>329218</v>
      </c>
      <c r="R1440" s="1">
        <v>0</v>
      </c>
      <c r="S1440">
        <v>98.348600000000005</v>
      </c>
      <c r="T1440">
        <v>98.274000000000001</v>
      </c>
      <c r="U1440">
        <v>3.1527400000000001</v>
      </c>
      <c r="V1440">
        <v>0</v>
      </c>
      <c r="W1440">
        <v>0</v>
      </c>
      <c r="X1440">
        <v>1.94875</v>
      </c>
      <c r="Y1440">
        <v>1.94875</v>
      </c>
      <c r="Z1440">
        <v>0</v>
      </c>
      <c r="AA1440">
        <v>1.4696</v>
      </c>
      <c r="AB1440">
        <v>2.9635199999999999</v>
      </c>
      <c r="AC1440" s="2">
        <v>706790000</v>
      </c>
      <c r="AD1440" s="1">
        <v>0</v>
      </c>
      <c r="AE1440" s="1">
        <v>0</v>
      </c>
      <c r="AF1440" s="1">
        <v>0</v>
      </c>
      <c r="AG1440" s="1">
        <v>0</v>
      </c>
      <c r="AH1440" s="2">
        <v>5041880</v>
      </c>
      <c r="AI1440" s="1">
        <v>164346</v>
      </c>
      <c r="AJ1440" s="1">
        <v>0</v>
      </c>
      <c r="AK1440" s="8">
        <f t="shared" si="91"/>
        <v>35</v>
      </c>
      <c r="AL1440" s="8">
        <f t="shared" si="90"/>
        <v>28</v>
      </c>
      <c r="AM1440">
        <f t="shared" si="88"/>
        <v>0</v>
      </c>
      <c r="AN1440">
        <f t="shared" si="89"/>
        <v>0</v>
      </c>
    </row>
    <row r="1441" spans="1:40" x14ac:dyDescent="0.35">
      <c r="A1441">
        <v>82.675399999999996</v>
      </c>
      <c r="B1441">
        <v>85.138999999999996</v>
      </c>
      <c r="C1441">
        <v>3.12155</v>
      </c>
      <c r="D1441">
        <v>0</v>
      </c>
      <c r="E1441">
        <v>0.02</v>
      </c>
      <c r="F1441">
        <v>3.2026400000000002</v>
      </c>
      <c r="G1441">
        <v>3.2026400000000002</v>
      </c>
      <c r="H1441">
        <v>0</v>
      </c>
      <c r="I1441">
        <v>0.60013799999999995</v>
      </c>
      <c r="J1441">
        <v>5.3222399999999999</v>
      </c>
      <c r="K1441" s="2">
        <v>174282000</v>
      </c>
      <c r="L1441" s="1">
        <v>0</v>
      </c>
      <c r="M1441" s="1">
        <v>0</v>
      </c>
      <c r="N1441" s="1">
        <v>0</v>
      </c>
      <c r="O1441" s="1">
        <v>0</v>
      </c>
      <c r="P1441" s="2">
        <v>4787860</v>
      </c>
      <c r="Q1441" s="1">
        <v>329237</v>
      </c>
      <c r="R1441" s="1">
        <v>0</v>
      </c>
      <c r="S1441">
        <v>98.112300000000005</v>
      </c>
      <c r="T1441">
        <v>98.274000000000001</v>
      </c>
      <c r="U1441">
        <v>3.2327599999999999</v>
      </c>
      <c r="V1441">
        <v>0</v>
      </c>
      <c r="W1441">
        <v>0</v>
      </c>
      <c r="X1441">
        <v>1.9488700000000001</v>
      </c>
      <c r="Y1441">
        <v>1.9488700000000001</v>
      </c>
      <c r="Z1441">
        <v>0</v>
      </c>
      <c r="AA1441">
        <v>1.5056099999999999</v>
      </c>
      <c r="AB1441">
        <v>2.9635199999999999</v>
      </c>
      <c r="AC1441" s="2">
        <v>706954000</v>
      </c>
      <c r="AD1441" s="1">
        <v>0</v>
      </c>
      <c r="AE1441" s="1">
        <v>0</v>
      </c>
      <c r="AF1441" s="1">
        <v>0</v>
      </c>
      <c r="AG1441" s="1">
        <v>0</v>
      </c>
      <c r="AH1441" s="2">
        <v>5042190</v>
      </c>
      <c r="AI1441" s="1">
        <v>164356</v>
      </c>
      <c r="AJ1441" s="1">
        <v>0</v>
      </c>
      <c r="AK1441" s="8">
        <f t="shared" si="91"/>
        <v>36</v>
      </c>
      <c r="AL1441" s="8">
        <f t="shared" si="90"/>
        <v>28</v>
      </c>
      <c r="AM1441">
        <f t="shared" si="88"/>
        <v>0</v>
      </c>
      <c r="AN1441">
        <f t="shared" si="89"/>
        <v>0</v>
      </c>
    </row>
    <row r="1442" spans="1:40" x14ac:dyDescent="0.35">
      <c r="A1442">
        <v>82.081800000000001</v>
      </c>
      <c r="B1442">
        <v>85.138999999999996</v>
      </c>
      <c r="C1442">
        <v>2.72844</v>
      </c>
      <c r="D1442">
        <v>0</v>
      </c>
      <c r="E1442">
        <v>0.02</v>
      </c>
      <c r="F1442">
        <v>3.2028300000000001</v>
      </c>
      <c r="G1442">
        <v>3.2028300000000001</v>
      </c>
      <c r="H1442">
        <v>0</v>
      </c>
      <c r="I1442">
        <v>0.60017399999999999</v>
      </c>
      <c r="J1442">
        <v>5.3222399999999999</v>
      </c>
      <c r="K1442" s="2">
        <v>174611000</v>
      </c>
      <c r="L1442" s="1">
        <v>0</v>
      </c>
      <c r="M1442" s="1">
        <v>0</v>
      </c>
      <c r="N1442" s="1">
        <v>0</v>
      </c>
      <c r="O1442" s="1">
        <v>0</v>
      </c>
      <c r="P1442" s="2">
        <v>4788150</v>
      </c>
      <c r="Q1442" s="1">
        <v>329257</v>
      </c>
      <c r="R1442" s="1">
        <v>0</v>
      </c>
      <c r="S1442">
        <v>97.838399999999993</v>
      </c>
      <c r="T1442">
        <v>98.274000000000001</v>
      </c>
      <c r="U1442">
        <v>2.9932500000000002</v>
      </c>
      <c r="V1442">
        <v>0</v>
      </c>
      <c r="W1442">
        <v>0</v>
      </c>
      <c r="X1442">
        <v>1.9489799999999999</v>
      </c>
      <c r="Y1442">
        <v>1.9489799999999999</v>
      </c>
      <c r="Z1442">
        <v>0</v>
      </c>
      <c r="AA1442">
        <v>1.5057</v>
      </c>
      <c r="AB1442">
        <v>2.9635199999999999</v>
      </c>
      <c r="AC1442" s="2">
        <v>707119000</v>
      </c>
      <c r="AD1442" s="1">
        <v>0</v>
      </c>
      <c r="AE1442" s="1">
        <v>0</v>
      </c>
      <c r="AF1442" s="1">
        <v>0</v>
      </c>
      <c r="AG1442" s="1">
        <v>0</v>
      </c>
      <c r="AH1442" s="2">
        <v>5042490</v>
      </c>
      <c r="AI1442" s="1">
        <v>164366</v>
      </c>
      <c r="AJ1442" s="1">
        <v>0</v>
      </c>
      <c r="AK1442" s="8">
        <f t="shared" si="91"/>
        <v>37</v>
      </c>
      <c r="AL1442" s="8">
        <f t="shared" si="90"/>
        <v>28</v>
      </c>
      <c r="AM1442">
        <f t="shared" si="88"/>
        <v>0</v>
      </c>
      <c r="AN1442">
        <f t="shared" si="89"/>
        <v>0</v>
      </c>
    </row>
    <row r="1443" spans="1:40" x14ac:dyDescent="0.35">
      <c r="A1443">
        <v>81.544600000000003</v>
      </c>
      <c r="B1443">
        <v>85.138999999999996</v>
      </c>
      <c r="C1443">
        <v>2.51627</v>
      </c>
      <c r="D1443">
        <v>0.01</v>
      </c>
      <c r="E1443">
        <v>0.02</v>
      </c>
      <c r="F1443">
        <v>2.90062</v>
      </c>
      <c r="G1443">
        <v>3.20302</v>
      </c>
      <c r="H1443">
        <v>0</v>
      </c>
      <c r="I1443">
        <v>0.60021000000000002</v>
      </c>
      <c r="J1443">
        <v>5.3222399999999999</v>
      </c>
      <c r="K1443" s="2">
        <v>174532000</v>
      </c>
      <c r="L1443" s="1">
        <v>0</v>
      </c>
      <c r="M1443" s="1">
        <v>0</v>
      </c>
      <c r="N1443" s="1">
        <v>0</v>
      </c>
      <c r="O1443" s="1">
        <v>0</v>
      </c>
      <c r="P1443" s="2">
        <v>4336350</v>
      </c>
      <c r="Q1443" s="1">
        <v>-79261.899999999994</v>
      </c>
      <c r="R1443" s="1">
        <v>408539</v>
      </c>
      <c r="S1443">
        <v>97.457800000000006</v>
      </c>
      <c r="T1443">
        <v>98.274000000000001</v>
      </c>
      <c r="U1443">
        <v>2.87066</v>
      </c>
      <c r="V1443">
        <v>0</v>
      </c>
      <c r="W1443">
        <v>0</v>
      </c>
      <c r="X1443">
        <v>2.2515000000000001</v>
      </c>
      <c r="Y1443">
        <v>1.9491000000000001</v>
      </c>
      <c r="Z1443">
        <v>0</v>
      </c>
      <c r="AA1443">
        <v>1.50579</v>
      </c>
      <c r="AB1443">
        <v>2.9635199999999999</v>
      </c>
      <c r="AC1443" s="2">
        <v>708065000</v>
      </c>
      <c r="AD1443" s="1">
        <v>0</v>
      </c>
      <c r="AE1443" s="1">
        <v>0</v>
      </c>
      <c r="AF1443" s="1">
        <v>0</v>
      </c>
      <c r="AG1443" s="1">
        <v>0</v>
      </c>
      <c r="AH1443" s="2">
        <v>5825170</v>
      </c>
      <c r="AI1443" s="1">
        <v>946756</v>
      </c>
      <c r="AJ1443" s="1">
        <v>0</v>
      </c>
      <c r="AK1443" s="8">
        <f t="shared" si="91"/>
        <v>38</v>
      </c>
      <c r="AL1443" s="8">
        <f t="shared" si="90"/>
        <v>28</v>
      </c>
      <c r="AM1443">
        <f t="shared" si="88"/>
        <v>0</v>
      </c>
      <c r="AN1443">
        <f t="shared" si="89"/>
        <v>0</v>
      </c>
    </row>
    <row r="1444" spans="1:40" x14ac:dyDescent="0.35">
      <c r="A1444">
        <v>80.569999999999993</v>
      </c>
      <c r="B1444">
        <v>85.138999999999996</v>
      </c>
      <c r="C1444">
        <v>2.2178800000000001</v>
      </c>
      <c r="D1444">
        <v>0.01</v>
      </c>
      <c r="E1444">
        <v>0.02</v>
      </c>
      <c r="F1444">
        <v>3.1147399999999998</v>
      </c>
      <c r="G1444">
        <v>3.4171399999999998</v>
      </c>
      <c r="H1444">
        <v>0</v>
      </c>
      <c r="I1444">
        <v>0.54357599999999995</v>
      </c>
      <c r="J1444">
        <v>5.3222399999999999</v>
      </c>
      <c r="K1444" s="2">
        <v>174475000</v>
      </c>
      <c r="L1444" s="1">
        <v>0</v>
      </c>
      <c r="M1444" s="1">
        <v>0</v>
      </c>
      <c r="N1444" s="1">
        <v>0</v>
      </c>
      <c r="O1444" s="1">
        <v>0</v>
      </c>
      <c r="P1444" s="2">
        <v>4656460</v>
      </c>
      <c r="Q1444" s="1">
        <v>-57249.8</v>
      </c>
      <c r="R1444" s="1">
        <v>408539</v>
      </c>
      <c r="S1444">
        <v>97.076700000000002</v>
      </c>
      <c r="T1444">
        <v>98.274000000000001</v>
      </c>
      <c r="U1444">
        <v>3.0596299999999998</v>
      </c>
      <c r="V1444">
        <v>0</v>
      </c>
      <c r="W1444">
        <v>0</v>
      </c>
      <c r="X1444">
        <v>2.4194399999999998</v>
      </c>
      <c r="Y1444">
        <v>2.1170399999999998</v>
      </c>
      <c r="Z1444">
        <v>0</v>
      </c>
      <c r="AA1444">
        <v>1.7395099999999999</v>
      </c>
      <c r="AB1444">
        <v>2.9635199999999999</v>
      </c>
      <c r="AC1444" s="2">
        <v>709026000</v>
      </c>
      <c r="AD1444" s="1">
        <v>0</v>
      </c>
      <c r="AE1444" s="1">
        <v>0</v>
      </c>
      <c r="AF1444" s="1">
        <v>0</v>
      </c>
      <c r="AG1444" s="1">
        <v>0</v>
      </c>
      <c r="AH1444" s="2">
        <v>6259660</v>
      </c>
      <c r="AI1444" s="1">
        <v>960919</v>
      </c>
      <c r="AJ1444" s="1">
        <v>0</v>
      </c>
      <c r="AK1444" s="8">
        <f t="shared" si="91"/>
        <v>39</v>
      </c>
      <c r="AL1444" s="8">
        <f t="shared" si="90"/>
        <v>28</v>
      </c>
      <c r="AM1444">
        <f t="shared" si="88"/>
        <v>0</v>
      </c>
      <c r="AN1444">
        <f t="shared" si="89"/>
        <v>0</v>
      </c>
    </row>
    <row r="1445" spans="1:40" x14ac:dyDescent="0.35">
      <c r="A1445">
        <v>79.483599999999996</v>
      </c>
      <c r="B1445">
        <v>85.138999999999996</v>
      </c>
      <c r="C1445">
        <v>2.0721699999999998</v>
      </c>
      <c r="D1445">
        <v>0.01</v>
      </c>
      <c r="E1445">
        <v>0.02</v>
      </c>
      <c r="F1445">
        <v>3.1149499999999999</v>
      </c>
      <c r="G1445">
        <v>3.4173499999999999</v>
      </c>
      <c r="H1445">
        <v>0</v>
      </c>
      <c r="I1445">
        <v>0.58370200000000005</v>
      </c>
      <c r="J1445">
        <v>5.3222399999999999</v>
      </c>
      <c r="K1445" s="2">
        <v>174417000</v>
      </c>
      <c r="L1445" s="1">
        <v>0</v>
      </c>
      <c r="M1445" s="1">
        <v>0</v>
      </c>
      <c r="N1445" s="1">
        <v>0</v>
      </c>
      <c r="O1445" s="1">
        <v>0</v>
      </c>
      <c r="P1445" s="2">
        <v>4656760</v>
      </c>
      <c r="Q1445" s="1">
        <v>-57228.800000000003</v>
      </c>
      <c r="R1445" s="1">
        <v>408539</v>
      </c>
      <c r="S1445">
        <v>96.662599999999998</v>
      </c>
      <c r="T1445">
        <v>98.274000000000001</v>
      </c>
      <c r="U1445">
        <v>3.1276199999999998</v>
      </c>
      <c r="V1445">
        <v>0</v>
      </c>
      <c r="W1445">
        <v>0</v>
      </c>
      <c r="X1445">
        <v>2.4195600000000002</v>
      </c>
      <c r="Y1445">
        <v>2.1171600000000002</v>
      </c>
      <c r="Z1445">
        <v>0</v>
      </c>
      <c r="AA1445">
        <v>1.8692599999999999</v>
      </c>
      <c r="AB1445">
        <v>2.9635199999999999</v>
      </c>
      <c r="AC1445" s="2">
        <v>709987000</v>
      </c>
      <c r="AD1445" s="1">
        <v>0</v>
      </c>
      <c r="AE1445" s="1">
        <v>0</v>
      </c>
      <c r="AF1445" s="1">
        <v>0</v>
      </c>
      <c r="AG1445" s="1">
        <v>0</v>
      </c>
      <c r="AH1445" s="2">
        <v>6259990</v>
      </c>
      <c r="AI1445" s="1">
        <v>960930</v>
      </c>
      <c r="AJ1445" s="1">
        <v>0</v>
      </c>
      <c r="AK1445" s="8">
        <f t="shared" si="91"/>
        <v>40</v>
      </c>
      <c r="AL1445" s="8">
        <f t="shared" si="90"/>
        <v>28</v>
      </c>
      <c r="AM1445">
        <f t="shared" si="88"/>
        <v>0</v>
      </c>
      <c r="AN1445">
        <f t="shared" si="89"/>
        <v>0</v>
      </c>
    </row>
    <row r="1446" spans="1:40" x14ac:dyDescent="0.35">
      <c r="A1446">
        <v>78.638099999999994</v>
      </c>
      <c r="B1446">
        <v>85.138999999999996</v>
      </c>
      <c r="C1446">
        <v>2.3052000000000001</v>
      </c>
      <c r="D1446">
        <v>0.01</v>
      </c>
      <c r="E1446">
        <v>0.02</v>
      </c>
      <c r="F1446">
        <v>3.1151499999999999</v>
      </c>
      <c r="G1446">
        <v>3.4175499999999999</v>
      </c>
      <c r="H1446">
        <v>0</v>
      </c>
      <c r="I1446">
        <v>0.58374099999999995</v>
      </c>
      <c r="J1446">
        <v>5.3222399999999999</v>
      </c>
      <c r="K1446" s="2">
        <v>174360000</v>
      </c>
      <c r="L1446" s="1">
        <v>0</v>
      </c>
      <c r="M1446" s="1">
        <v>0</v>
      </c>
      <c r="N1446" s="1">
        <v>0</v>
      </c>
      <c r="O1446" s="1">
        <v>0</v>
      </c>
      <c r="P1446" s="2">
        <v>4657070</v>
      </c>
      <c r="Q1446" s="1">
        <v>-57207.7</v>
      </c>
      <c r="R1446" s="1">
        <v>408539</v>
      </c>
      <c r="S1446">
        <v>96.2637</v>
      </c>
      <c r="T1446">
        <v>98.274000000000001</v>
      </c>
      <c r="U1446">
        <v>3.2276099999999999</v>
      </c>
      <c r="V1446">
        <v>0</v>
      </c>
      <c r="W1446">
        <v>0</v>
      </c>
      <c r="X1446">
        <v>2.4196900000000001</v>
      </c>
      <c r="Y1446">
        <v>2.1172900000000001</v>
      </c>
      <c r="Z1446">
        <v>0</v>
      </c>
      <c r="AA1446">
        <v>1.8693599999999999</v>
      </c>
      <c r="AB1446">
        <v>2.9635199999999999</v>
      </c>
      <c r="AC1446" s="2">
        <v>710948000</v>
      </c>
      <c r="AD1446" s="1">
        <v>0</v>
      </c>
      <c r="AE1446" s="1">
        <v>0</v>
      </c>
      <c r="AF1446" s="1">
        <v>0</v>
      </c>
      <c r="AG1446" s="1">
        <v>0</v>
      </c>
      <c r="AH1446" s="2">
        <v>6260320</v>
      </c>
      <c r="AI1446" s="1">
        <v>960940</v>
      </c>
      <c r="AJ1446" s="1">
        <v>0</v>
      </c>
      <c r="AK1446" s="8">
        <f t="shared" si="91"/>
        <v>41</v>
      </c>
      <c r="AL1446" s="8">
        <f t="shared" si="90"/>
        <v>28</v>
      </c>
      <c r="AM1446">
        <f t="shared" si="88"/>
        <v>0</v>
      </c>
      <c r="AN1446">
        <f t="shared" si="89"/>
        <v>0</v>
      </c>
    </row>
    <row r="1447" spans="1:40" x14ac:dyDescent="0.35">
      <c r="A1447">
        <v>79.087500000000006</v>
      </c>
      <c r="B1447">
        <v>85.138999999999996</v>
      </c>
      <c r="C1447">
        <v>3.6969500000000002</v>
      </c>
      <c r="D1447">
        <v>0.01</v>
      </c>
      <c r="E1447">
        <v>0.02</v>
      </c>
      <c r="F1447">
        <v>3.1153599999999999</v>
      </c>
      <c r="G1447">
        <v>3.4177599999999999</v>
      </c>
      <c r="H1447">
        <v>0</v>
      </c>
      <c r="I1447">
        <v>0.58377900000000005</v>
      </c>
      <c r="J1447">
        <v>5.3222399999999999</v>
      </c>
      <c r="K1447" s="2">
        <v>174303000</v>
      </c>
      <c r="L1447" s="1">
        <v>0</v>
      </c>
      <c r="M1447" s="1">
        <v>0</v>
      </c>
      <c r="N1447" s="1">
        <v>0</v>
      </c>
      <c r="O1447" s="1">
        <v>0</v>
      </c>
      <c r="P1447" s="2">
        <v>4657380</v>
      </c>
      <c r="Q1447" s="1">
        <v>-57186.7</v>
      </c>
      <c r="R1447" s="1">
        <v>408539</v>
      </c>
      <c r="S1447">
        <v>96.001199999999997</v>
      </c>
      <c r="T1447">
        <v>98.274000000000001</v>
      </c>
      <c r="U1447">
        <v>3.8866999999999998</v>
      </c>
      <c r="V1447">
        <v>0</v>
      </c>
      <c r="W1447">
        <v>0</v>
      </c>
      <c r="X1447">
        <v>2.4198200000000001</v>
      </c>
      <c r="Y1447">
        <v>2.1174200000000001</v>
      </c>
      <c r="Z1447">
        <v>0</v>
      </c>
      <c r="AA1447">
        <v>1.8694500000000001</v>
      </c>
      <c r="AB1447">
        <v>2.9635199999999999</v>
      </c>
      <c r="AC1447" s="2">
        <v>711909000</v>
      </c>
      <c r="AD1447" s="1">
        <v>0</v>
      </c>
      <c r="AE1447" s="1">
        <v>0</v>
      </c>
      <c r="AF1447" s="1">
        <v>0</v>
      </c>
      <c r="AG1447" s="1">
        <v>0</v>
      </c>
      <c r="AH1447" s="2">
        <v>6260650</v>
      </c>
      <c r="AI1447" s="1">
        <v>960951</v>
      </c>
      <c r="AJ1447" s="1">
        <v>0</v>
      </c>
      <c r="AK1447" s="8">
        <f t="shared" si="91"/>
        <v>42</v>
      </c>
      <c r="AL1447" s="8">
        <f t="shared" si="90"/>
        <v>28</v>
      </c>
      <c r="AM1447">
        <f t="shared" si="88"/>
        <v>0</v>
      </c>
      <c r="AN1447">
        <f t="shared" si="89"/>
        <v>0</v>
      </c>
    </row>
    <row r="1448" spans="1:40" x14ac:dyDescent="0.35">
      <c r="A1448">
        <v>80.318899999999999</v>
      </c>
      <c r="B1448">
        <v>85.138999999999996</v>
      </c>
      <c r="C1448">
        <v>4.4920299999999997</v>
      </c>
      <c r="D1448">
        <v>0.01</v>
      </c>
      <c r="E1448">
        <v>0.02</v>
      </c>
      <c r="F1448">
        <v>3.1155599999999999</v>
      </c>
      <c r="G1448">
        <v>3.4179599999999999</v>
      </c>
      <c r="H1448">
        <v>0</v>
      </c>
      <c r="I1448">
        <v>0.58381799999999995</v>
      </c>
      <c r="J1448">
        <v>5.3222399999999999</v>
      </c>
      <c r="K1448" s="2">
        <v>174246000</v>
      </c>
      <c r="L1448" s="1">
        <v>0</v>
      </c>
      <c r="M1448" s="1">
        <v>0</v>
      </c>
      <c r="N1448" s="1">
        <v>0</v>
      </c>
      <c r="O1448" s="1">
        <v>0</v>
      </c>
      <c r="P1448" s="2">
        <v>4657680</v>
      </c>
      <c r="Q1448" s="1">
        <v>-57165.7</v>
      </c>
      <c r="R1448" s="1">
        <v>408539</v>
      </c>
      <c r="S1448">
        <v>95.864400000000003</v>
      </c>
      <c r="T1448">
        <v>98.274000000000001</v>
      </c>
      <c r="U1448">
        <v>3.8643800000000001</v>
      </c>
      <c r="V1448">
        <v>0</v>
      </c>
      <c r="W1448">
        <v>0</v>
      </c>
      <c r="X1448">
        <v>2.41995</v>
      </c>
      <c r="Y1448">
        <v>2.11755</v>
      </c>
      <c r="Z1448">
        <v>0</v>
      </c>
      <c r="AA1448">
        <v>1.86955</v>
      </c>
      <c r="AB1448">
        <v>2.9635199999999999</v>
      </c>
      <c r="AC1448" s="2">
        <v>712870000</v>
      </c>
      <c r="AD1448" s="1">
        <v>0</v>
      </c>
      <c r="AE1448" s="1">
        <v>0</v>
      </c>
      <c r="AF1448" s="1">
        <v>0</v>
      </c>
      <c r="AG1448" s="1">
        <v>0</v>
      </c>
      <c r="AH1448" s="2">
        <v>6260970</v>
      </c>
      <c r="AI1448" s="1">
        <v>960962</v>
      </c>
      <c r="AJ1448" s="1">
        <v>0</v>
      </c>
      <c r="AK1448" s="8">
        <f t="shared" si="91"/>
        <v>43</v>
      </c>
      <c r="AL1448" s="8">
        <f t="shared" si="90"/>
        <v>28</v>
      </c>
      <c r="AM1448">
        <f t="shared" si="88"/>
        <v>0</v>
      </c>
      <c r="AN1448">
        <f t="shared" si="89"/>
        <v>0</v>
      </c>
    </row>
    <row r="1449" spans="1:40" x14ac:dyDescent="0.35">
      <c r="A1449">
        <v>79.422499999999999</v>
      </c>
      <c r="B1449">
        <v>85.138999999999996</v>
      </c>
      <c r="C1449">
        <v>2.1143700000000001</v>
      </c>
      <c r="D1449">
        <v>0.01</v>
      </c>
      <c r="E1449">
        <v>0.02</v>
      </c>
      <c r="F1449">
        <v>3.0114700000000001</v>
      </c>
      <c r="G1449">
        <v>3.3138700000000001</v>
      </c>
      <c r="H1449">
        <v>0</v>
      </c>
      <c r="I1449">
        <v>0.58385600000000004</v>
      </c>
      <c r="J1449">
        <v>5.3222399999999999</v>
      </c>
      <c r="K1449" s="2">
        <v>174178000</v>
      </c>
      <c r="L1449" s="1">
        <v>0</v>
      </c>
      <c r="M1449" s="1">
        <v>0</v>
      </c>
      <c r="N1449" s="1">
        <v>0</v>
      </c>
      <c r="O1449" s="1">
        <v>0</v>
      </c>
      <c r="P1449" s="2">
        <v>4502070</v>
      </c>
      <c r="Q1449" s="1">
        <v>-67866</v>
      </c>
      <c r="R1449" s="1">
        <v>408539</v>
      </c>
      <c r="S1449">
        <v>95.351299999999995</v>
      </c>
      <c r="T1449">
        <v>98.274000000000001</v>
      </c>
      <c r="U1449">
        <v>2.71556</v>
      </c>
      <c r="V1449">
        <v>0</v>
      </c>
      <c r="W1449">
        <v>0</v>
      </c>
      <c r="X1449">
        <v>2.3181799999999999</v>
      </c>
      <c r="Y1449">
        <v>2.0157799999999999</v>
      </c>
      <c r="Z1449">
        <v>0</v>
      </c>
      <c r="AA1449">
        <v>1.86965</v>
      </c>
      <c r="AB1449">
        <v>2.9635199999999999</v>
      </c>
      <c r="AC1449" s="2">
        <v>713822000</v>
      </c>
      <c r="AD1449" s="1">
        <v>0</v>
      </c>
      <c r="AE1449" s="1">
        <v>0</v>
      </c>
      <c r="AF1449" s="1">
        <v>0</v>
      </c>
      <c r="AG1449" s="1">
        <v>0</v>
      </c>
      <c r="AH1449" s="2">
        <v>5997690</v>
      </c>
      <c r="AI1449" s="1">
        <v>952380</v>
      </c>
      <c r="AJ1449" s="1">
        <v>0</v>
      </c>
      <c r="AK1449" s="8">
        <f t="shared" si="91"/>
        <v>44</v>
      </c>
      <c r="AL1449" s="8">
        <f t="shared" si="90"/>
        <v>28</v>
      </c>
      <c r="AM1449">
        <f t="shared" si="88"/>
        <v>0</v>
      </c>
      <c r="AN1449">
        <f t="shared" si="89"/>
        <v>0</v>
      </c>
    </row>
    <row r="1450" spans="1:40" x14ac:dyDescent="0.35">
      <c r="A1450">
        <v>78.915199999999999</v>
      </c>
      <c r="B1450">
        <v>85.138999999999996</v>
      </c>
      <c r="C1450">
        <v>2.5364100000000001</v>
      </c>
      <c r="D1450">
        <v>0.01</v>
      </c>
      <c r="E1450">
        <v>0.02</v>
      </c>
      <c r="F1450">
        <v>3.0116700000000001</v>
      </c>
      <c r="G1450">
        <v>3.3140700000000001</v>
      </c>
      <c r="H1450">
        <v>0</v>
      </c>
      <c r="I1450">
        <v>0.56435000000000002</v>
      </c>
      <c r="J1450">
        <v>5.3222399999999999</v>
      </c>
      <c r="K1450" s="2">
        <v>174110000</v>
      </c>
      <c r="L1450" s="1">
        <v>0</v>
      </c>
      <c r="M1450" s="1">
        <v>0</v>
      </c>
      <c r="N1450" s="1">
        <v>0</v>
      </c>
      <c r="O1450" s="1">
        <v>0</v>
      </c>
      <c r="P1450" s="2">
        <v>4502370</v>
      </c>
      <c r="Q1450" s="1">
        <v>-67845.600000000006</v>
      </c>
      <c r="R1450" s="1">
        <v>408539</v>
      </c>
      <c r="S1450">
        <v>94.879099999999994</v>
      </c>
      <c r="T1450">
        <v>98.274000000000001</v>
      </c>
      <c r="U1450">
        <v>2.6618599999999999</v>
      </c>
      <c r="V1450">
        <v>0</v>
      </c>
      <c r="W1450">
        <v>0</v>
      </c>
      <c r="X1450">
        <v>2.3182999999999998</v>
      </c>
      <c r="Y1450">
        <v>2.0158999999999998</v>
      </c>
      <c r="Z1450">
        <v>0</v>
      </c>
      <c r="AA1450">
        <v>1.7910299999999999</v>
      </c>
      <c r="AB1450">
        <v>2.9635199999999999</v>
      </c>
      <c r="AC1450" s="2">
        <v>714775000</v>
      </c>
      <c r="AD1450" s="1">
        <v>0</v>
      </c>
      <c r="AE1450" s="1">
        <v>0</v>
      </c>
      <c r="AF1450" s="1">
        <v>0</v>
      </c>
      <c r="AG1450" s="1">
        <v>0</v>
      </c>
      <c r="AH1450" s="2">
        <v>5998000</v>
      </c>
      <c r="AI1450" s="1">
        <v>952390</v>
      </c>
      <c r="AJ1450" s="1">
        <v>0</v>
      </c>
      <c r="AK1450" s="8">
        <f t="shared" si="91"/>
        <v>45</v>
      </c>
      <c r="AL1450" s="8">
        <f t="shared" si="90"/>
        <v>28</v>
      </c>
      <c r="AM1450">
        <f t="shared" si="88"/>
        <v>0</v>
      </c>
      <c r="AN1450">
        <f t="shared" si="89"/>
        <v>0</v>
      </c>
    </row>
    <row r="1451" spans="1:40" x14ac:dyDescent="0.35">
      <c r="A1451">
        <v>79.724400000000003</v>
      </c>
      <c r="B1451">
        <v>85.138999999999996</v>
      </c>
      <c r="C1451">
        <v>3.92808</v>
      </c>
      <c r="D1451">
        <v>0.01</v>
      </c>
      <c r="E1451">
        <v>0.02</v>
      </c>
      <c r="F1451">
        <v>3.01187</v>
      </c>
      <c r="G1451">
        <v>3.31427</v>
      </c>
      <c r="H1451">
        <v>0</v>
      </c>
      <c r="I1451">
        <v>0.56438699999999997</v>
      </c>
      <c r="J1451">
        <v>5.3222399999999999</v>
      </c>
      <c r="K1451" s="2">
        <v>174042000</v>
      </c>
      <c r="L1451" s="1">
        <v>0</v>
      </c>
      <c r="M1451" s="1">
        <v>0</v>
      </c>
      <c r="N1451" s="1">
        <v>0</v>
      </c>
      <c r="O1451" s="1">
        <v>0</v>
      </c>
      <c r="P1451" s="2">
        <v>4502670</v>
      </c>
      <c r="Q1451" s="1">
        <v>-67825.2</v>
      </c>
      <c r="R1451" s="1">
        <v>408539</v>
      </c>
      <c r="S1451">
        <v>94.724999999999994</v>
      </c>
      <c r="T1451">
        <v>98.274000000000001</v>
      </c>
      <c r="U1451">
        <v>4.6646700000000001</v>
      </c>
      <c r="V1451">
        <v>0</v>
      </c>
      <c r="W1451">
        <v>0</v>
      </c>
      <c r="X1451">
        <v>2.3184200000000001</v>
      </c>
      <c r="Y1451">
        <v>2.0160200000000001</v>
      </c>
      <c r="Z1451">
        <v>0</v>
      </c>
      <c r="AA1451">
        <v>1.79112</v>
      </c>
      <c r="AB1451">
        <v>2.9635199999999999</v>
      </c>
      <c r="AC1451" s="2">
        <v>715727000</v>
      </c>
      <c r="AD1451" s="1">
        <v>0</v>
      </c>
      <c r="AE1451" s="1">
        <v>0</v>
      </c>
      <c r="AF1451" s="1">
        <v>0</v>
      </c>
      <c r="AG1451" s="1">
        <v>0</v>
      </c>
      <c r="AH1451" s="2">
        <v>5998310</v>
      </c>
      <c r="AI1451" s="1">
        <v>952400</v>
      </c>
      <c r="AJ1451" s="1">
        <v>0</v>
      </c>
      <c r="AK1451" s="8">
        <f t="shared" si="91"/>
        <v>46</v>
      </c>
      <c r="AL1451" s="8">
        <f t="shared" si="90"/>
        <v>28</v>
      </c>
      <c r="AM1451">
        <f t="shared" si="88"/>
        <v>0</v>
      </c>
      <c r="AN1451">
        <f t="shared" si="89"/>
        <v>0</v>
      </c>
    </row>
    <row r="1452" spans="1:40" x14ac:dyDescent="0.35">
      <c r="A1452">
        <v>79.8994</v>
      </c>
      <c r="B1452">
        <v>85.138999999999996</v>
      </c>
      <c r="C1452">
        <v>3.3817499999999998</v>
      </c>
      <c r="D1452">
        <v>0.01</v>
      </c>
      <c r="E1452">
        <v>0.02</v>
      </c>
      <c r="F1452">
        <v>3.01207</v>
      </c>
      <c r="G1452">
        <v>3.31447</v>
      </c>
      <c r="H1452">
        <v>0</v>
      </c>
      <c r="I1452">
        <v>0.56442400000000004</v>
      </c>
      <c r="J1452">
        <v>5.3222399999999999</v>
      </c>
      <c r="K1452" s="2">
        <v>173975000</v>
      </c>
      <c r="L1452" s="1">
        <v>0</v>
      </c>
      <c r="M1452" s="1">
        <v>0</v>
      </c>
      <c r="N1452" s="1">
        <v>0</v>
      </c>
      <c r="O1452" s="1">
        <v>0</v>
      </c>
      <c r="P1452" s="2">
        <v>4502970</v>
      </c>
      <c r="Q1452" s="1">
        <v>-67804.800000000003</v>
      </c>
      <c r="R1452" s="1">
        <v>408539</v>
      </c>
      <c r="S1452">
        <v>94.4114</v>
      </c>
      <c r="T1452">
        <v>98.274000000000001</v>
      </c>
      <c r="U1452">
        <v>3.6445599999999998</v>
      </c>
      <c r="V1452">
        <v>0</v>
      </c>
      <c r="W1452">
        <v>0</v>
      </c>
      <c r="X1452">
        <v>2.31854</v>
      </c>
      <c r="Y1452">
        <v>2.01614</v>
      </c>
      <c r="Z1452">
        <v>0</v>
      </c>
      <c r="AA1452">
        <v>1.79121</v>
      </c>
      <c r="AB1452">
        <v>2.9635199999999999</v>
      </c>
      <c r="AC1452" s="2">
        <v>716680000</v>
      </c>
      <c r="AD1452" s="1">
        <v>0</v>
      </c>
      <c r="AE1452" s="1">
        <v>0</v>
      </c>
      <c r="AF1452" s="1">
        <v>0</v>
      </c>
      <c r="AG1452" s="1">
        <v>0</v>
      </c>
      <c r="AH1452" s="2">
        <v>5998630</v>
      </c>
      <c r="AI1452" s="1">
        <v>952410</v>
      </c>
      <c r="AJ1452" s="1">
        <v>0</v>
      </c>
      <c r="AK1452" s="8">
        <f t="shared" si="91"/>
        <v>47</v>
      </c>
      <c r="AL1452" s="8">
        <f t="shared" si="90"/>
        <v>28</v>
      </c>
      <c r="AM1452">
        <f t="shared" si="88"/>
        <v>0</v>
      </c>
      <c r="AN1452">
        <f t="shared" si="89"/>
        <v>0</v>
      </c>
    </row>
    <row r="1453" spans="1:40" x14ac:dyDescent="0.35">
      <c r="A1453">
        <v>79.883099999999999</v>
      </c>
      <c r="B1453">
        <v>85.138999999999996</v>
      </c>
      <c r="C1453">
        <v>3.1945800000000002</v>
      </c>
      <c r="D1453">
        <v>0.02</v>
      </c>
      <c r="E1453">
        <v>0.02</v>
      </c>
      <c r="F1453">
        <v>2.9266399999999999</v>
      </c>
      <c r="G1453">
        <v>3.2290399999999999</v>
      </c>
      <c r="H1453">
        <v>0</v>
      </c>
      <c r="I1453">
        <v>0.56446200000000002</v>
      </c>
      <c r="J1453">
        <v>5.3222399999999999</v>
      </c>
      <c r="K1453" s="2">
        <v>173898000</v>
      </c>
      <c r="L1453" s="1">
        <v>0</v>
      </c>
      <c r="M1453" s="1">
        <v>0</v>
      </c>
      <c r="N1453" s="1">
        <v>0</v>
      </c>
      <c r="O1453" s="1">
        <v>0</v>
      </c>
      <c r="P1453" s="2">
        <v>4375250</v>
      </c>
      <c r="Q1453" s="1">
        <v>-76586.899999999994</v>
      </c>
      <c r="R1453" s="1">
        <v>408539</v>
      </c>
      <c r="S1453">
        <v>94.334999999999994</v>
      </c>
      <c r="T1453">
        <v>98.274000000000001</v>
      </c>
      <c r="U1453">
        <v>3.3531599999999999</v>
      </c>
      <c r="V1453">
        <v>0</v>
      </c>
      <c r="W1453">
        <v>0</v>
      </c>
      <c r="X1453">
        <v>2.2259000000000002</v>
      </c>
      <c r="Y1453">
        <v>1.9235</v>
      </c>
      <c r="Z1453">
        <v>0</v>
      </c>
      <c r="AA1453">
        <v>1.79131</v>
      </c>
      <c r="AB1453">
        <v>2.9635199999999999</v>
      </c>
      <c r="AC1453" s="2">
        <v>717624000</v>
      </c>
      <c r="AD1453" s="1">
        <v>0</v>
      </c>
      <c r="AE1453" s="1">
        <v>0</v>
      </c>
      <c r="AF1453" s="1">
        <v>0</v>
      </c>
      <c r="AG1453" s="1">
        <v>0</v>
      </c>
      <c r="AH1453" s="2">
        <v>5758920</v>
      </c>
      <c r="AI1453" s="1">
        <v>944597</v>
      </c>
      <c r="AJ1453" s="1">
        <v>0</v>
      </c>
      <c r="AK1453" s="8">
        <f t="shared" si="91"/>
        <v>48</v>
      </c>
      <c r="AL1453" s="8">
        <f t="shared" si="90"/>
        <v>28</v>
      </c>
      <c r="AM1453">
        <f t="shared" si="88"/>
        <v>0</v>
      </c>
      <c r="AN1453">
        <f t="shared" si="89"/>
        <v>0</v>
      </c>
    </row>
    <row r="1454" spans="1:40" x14ac:dyDescent="0.35">
      <c r="A1454">
        <v>79.618200000000002</v>
      </c>
      <c r="B1454">
        <v>85.138999999999996</v>
      </c>
      <c r="C1454">
        <v>2.8211400000000002</v>
      </c>
      <c r="D1454">
        <v>0.01</v>
      </c>
      <c r="E1454">
        <v>0.02</v>
      </c>
      <c r="F1454">
        <v>2.9268299999999998</v>
      </c>
      <c r="G1454">
        <v>3.2292299999999998</v>
      </c>
      <c r="H1454">
        <v>0</v>
      </c>
      <c r="I1454">
        <v>0.54845200000000005</v>
      </c>
      <c r="J1454">
        <v>5.3222399999999999</v>
      </c>
      <c r="K1454" s="2">
        <v>173821000</v>
      </c>
      <c r="L1454" s="1">
        <v>0</v>
      </c>
      <c r="M1454" s="1">
        <v>0</v>
      </c>
      <c r="N1454" s="1">
        <v>0</v>
      </c>
      <c r="O1454" s="1">
        <v>0</v>
      </c>
      <c r="P1454" s="2">
        <v>4375540</v>
      </c>
      <c r="Q1454" s="1">
        <v>-76567</v>
      </c>
      <c r="R1454" s="1">
        <v>408539</v>
      </c>
      <c r="S1454">
        <v>94.212299999999999</v>
      </c>
      <c r="T1454">
        <v>98.274000000000001</v>
      </c>
      <c r="U1454">
        <v>3.4025400000000001</v>
      </c>
      <c r="V1454">
        <v>0</v>
      </c>
      <c r="W1454">
        <v>0</v>
      </c>
      <c r="X1454">
        <v>2.22601</v>
      </c>
      <c r="Y1454">
        <v>1.92361</v>
      </c>
      <c r="Z1454">
        <v>0</v>
      </c>
      <c r="AA1454">
        <v>1.71973</v>
      </c>
      <c r="AB1454">
        <v>2.9635199999999999</v>
      </c>
      <c r="AC1454" s="2">
        <v>718569000</v>
      </c>
      <c r="AD1454" s="1">
        <v>0</v>
      </c>
      <c r="AE1454" s="1">
        <v>0</v>
      </c>
      <c r="AF1454" s="1">
        <v>0</v>
      </c>
      <c r="AG1454" s="1">
        <v>0</v>
      </c>
      <c r="AH1454" s="2">
        <v>5759220</v>
      </c>
      <c r="AI1454" s="1">
        <v>944607</v>
      </c>
      <c r="AJ1454" s="1">
        <v>0</v>
      </c>
      <c r="AK1454" s="8">
        <f t="shared" si="91"/>
        <v>49</v>
      </c>
      <c r="AL1454" s="8">
        <f t="shared" si="90"/>
        <v>28</v>
      </c>
      <c r="AM1454">
        <f t="shared" si="88"/>
        <v>0</v>
      </c>
      <c r="AN1454">
        <f t="shared" si="89"/>
        <v>0</v>
      </c>
    </row>
    <row r="1455" spans="1:40" x14ac:dyDescent="0.35">
      <c r="A1455">
        <v>79.223799999999997</v>
      </c>
      <c r="B1455">
        <v>85.138999999999996</v>
      </c>
      <c r="C1455">
        <v>2.7032400000000001</v>
      </c>
      <c r="D1455">
        <v>0.01</v>
      </c>
      <c r="E1455">
        <v>0.02</v>
      </c>
      <c r="F1455">
        <v>2.9270299999999998</v>
      </c>
      <c r="G1455">
        <v>3.2294299999999998</v>
      </c>
      <c r="H1455">
        <v>0</v>
      </c>
      <c r="I1455">
        <v>0.548489</v>
      </c>
      <c r="J1455">
        <v>5.3222399999999999</v>
      </c>
      <c r="K1455" s="2">
        <v>173745000</v>
      </c>
      <c r="L1455" s="1">
        <v>0</v>
      </c>
      <c r="M1455" s="1">
        <v>0</v>
      </c>
      <c r="N1455" s="1">
        <v>0</v>
      </c>
      <c r="O1455" s="1">
        <v>0</v>
      </c>
      <c r="P1455" s="2">
        <v>4375830</v>
      </c>
      <c r="Q1455" s="1">
        <v>-76547.100000000006</v>
      </c>
      <c r="R1455" s="1">
        <v>408539</v>
      </c>
      <c r="S1455">
        <v>94.418400000000005</v>
      </c>
      <c r="T1455">
        <v>98.274000000000001</v>
      </c>
      <c r="U1455">
        <v>4.8238899999999996</v>
      </c>
      <c r="V1455">
        <v>0</v>
      </c>
      <c r="W1455">
        <v>0</v>
      </c>
      <c r="X1455">
        <v>2.2261299999999999</v>
      </c>
      <c r="Y1455">
        <v>1.9237299999999999</v>
      </c>
      <c r="Z1455">
        <v>0</v>
      </c>
      <c r="AA1455">
        <v>1.7198199999999999</v>
      </c>
      <c r="AB1455">
        <v>2.9635199999999999</v>
      </c>
      <c r="AC1455" s="2">
        <v>719513000</v>
      </c>
      <c r="AD1455" s="1">
        <v>0</v>
      </c>
      <c r="AE1455" s="1">
        <v>0</v>
      </c>
      <c r="AF1455" s="1">
        <v>0</v>
      </c>
      <c r="AG1455" s="1">
        <v>0</v>
      </c>
      <c r="AH1455" s="2">
        <v>5759520</v>
      </c>
      <c r="AI1455" s="1">
        <v>944616</v>
      </c>
      <c r="AJ1455" s="1">
        <v>0</v>
      </c>
      <c r="AK1455" s="8">
        <f t="shared" si="91"/>
        <v>50</v>
      </c>
      <c r="AL1455" s="8">
        <f t="shared" si="90"/>
        <v>28</v>
      </c>
      <c r="AM1455">
        <f t="shared" si="88"/>
        <v>0</v>
      </c>
      <c r="AN1455">
        <f t="shared" si="89"/>
        <v>0</v>
      </c>
    </row>
    <row r="1456" spans="1:40" x14ac:dyDescent="0.35">
      <c r="A1456">
        <v>78.879199999999997</v>
      </c>
      <c r="B1456">
        <v>85.138999999999996</v>
      </c>
      <c r="C1456">
        <v>2.77407</v>
      </c>
      <c r="D1456">
        <v>0.01</v>
      </c>
      <c r="E1456">
        <v>0.02</v>
      </c>
      <c r="F1456">
        <v>2.9272200000000002</v>
      </c>
      <c r="G1456">
        <v>3.2296200000000002</v>
      </c>
      <c r="H1456">
        <v>0</v>
      </c>
      <c r="I1456">
        <v>0.54852500000000004</v>
      </c>
      <c r="J1456">
        <v>5.3222399999999999</v>
      </c>
      <c r="K1456" s="2">
        <v>173668000</v>
      </c>
      <c r="L1456" s="1">
        <v>0</v>
      </c>
      <c r="M1456" s="1">
        <v>0</v>
      </c>
      <c r="N1456" s="1">
        <v>0</v>
      </c>
      <c r="O1456" s="1">
        <v>0</v>
      </c>
      <c r="P1456" s="2">
        <v>4376120</v>
      </c>
      <c r="Q1456" s="1">
        <v>-76527.199999999997</v>
      </c>
      <c r="R1456" s="1">
        <v>408539</v>
      </c>
      <c r="S1456">
        <v>94.380499999999998</v>
      </c>
      <c r="T1456">
        <v>98.274000000000001</v>
      </c>
      <c r="U1456">
        <v>3.4736699999999998</v>
      </c>
      <c r="V1456">
        <v>0</v>
      </c>
      <c r="W1456">
        <v>0</v>
      </c>
      <c r="X1456">
        <v>2.2262400000000002</v>
      </c>
      <c r="Y1456">
        <v>1.92384</v>
      </c>
      <c r="Z1456">
        <v>0</v>
      </c>
      <c r="AA1456">
        <v>1.71991</v>
      </c>
      <c r="AB1456">
        <v>2.9635199999999999</v>
      </c>
      <c r="AC1456" s="2">
        <v>720458000</v>
      </c>
      <c r="AD1456" s="1">
        <v>0</v>
      </c>
      <c r="AE1456" s="1">
        <v>0</v>
      </c>
      <c r="AF1456" s="1">
        <v>0</v>
      </c>
      <c r="AG1456" s="1">
        <v>0</v>
      </c>
      <c r="AH1456" s="2">
        <v>5759820</v>
      </c>
      <c r="AI1456" s="1">
        <v>944626</v>
      </c>
      <c r="AJ1456" s="1">
        <v>0</v>
      </c>
      <c r="AK1456" s="8">
        <f t="shared" si="91"/>
        <v>51</v>
      </c>
      <c r="AL1456" s="8">
        <f t="shared" si="90"/>
        <v>28</v>
      </c>
      <c r="AM1456">
        <f t="shared" si="88"/>
        <v>0</v>
      </c>
      <c r="AN1456">
        <f t="shared" si="89"/>
        <v>0</v>
      </c>
    </row>
    <row r="1457" spans="1:40" x14ac:dyDescent="0.35">
      <c r="A1457">
        <v>78.924400000000006</v>
      </c>
      <c r="B1457">
        <v>85.138999999999996</v>
      </c>
      <c r="C1457">
        <v>3.0505100000000001</v>
      </c>
      <c r="D1457">
        <v>0.01</v>
      </c>
      <c r="E1457">
        <v>0.02</v>
      </c>
      <c r="F1457">
        <v>2.6841699999999999</v>
      </c>
      <c r="G1457">
        <v>2.9865699999999999</v>
      </c>
      <c r="H1457">
        <v>0</v>
      </c>
      <c r="I1457">
        <v>0.54856099999999997</v>
      </c>
      <c r="J1457">
        <v>5.3222399999999999</v>
      </c>
      <c r="K1457" s="2">
        <v>173567000</v>
      </c>
      <c r="L1457" s="1">
        <v>0</v>
      </c>
      <c r="M1457" s="1">
        <v>0</v>
      </c>
      <c r="N1457" s="1">
        <v>0</v>
      </c>
      <c r="O1457" s="1">
        <v>0</v>
      </c>
      <c r="P1457" s="2">
        <v>4012770</v>
      </c>
      <c r="Q1457" s="1">
        <v>-101513</v>
      </c>
      <c r="R1457" s="1">
        <v>408539</v>
      </c>
      <c r="S1457">
        <v>94.938599999999994</v>
      </c>
      <c r="T1457">
        <v>98.274000000000001</v>
      </c>
      <c r="U1457">
        <v>4.5904999999999996</v>
      </c>
      <c r="V1457">
        <v>0</v>
      </c>
      <c r="W1457">
        <v>0</v>
      </c>
      <c r="X1457">
        <v>2.0331000000000001</v>
      </c>
      <c r="Y1457">
        <v>1.7306999999999999</v>
      </c>
      <c r="Z1457">
        <v>0</v>
      </c>
      <c r="AA1457">
        <v>1.7199899999999999</v>
      </c>
      <c r="AB1457">
        <v>2.9635199999999999</v>
      </c>
      <c r="AC1457" s="2">
        <v>721386000</v>
      </c>
      <c r="AD1457" s="1">
        <v>0</v>
      </c>
      <c r="AE1457" s="1">
        <v>0</v>
      </c>
      <c r="AF1457" s="1">
        <v>0</v>
      </c>
      <c r="AG1457" s="1">
        <v>0</v>
      </c>
      <c r="AH1457" s="2">
        <v>5260120</v>
      </c>
      <c r="AI1457" s="1">
        <v>928338</v>
      </c>
      <c r="AJ1457" s="1">
        <v>0</v>
      </c>
      <c r="AK1457" s="8">
        <f t="shared" si="91"/>
        <v>52</v>
      </c>
      <c r="AL1457" s="8">
        <f t="shared" si="90"/>
        <v>28</v>
      </c>
      <c r="AM1457">
        <f t="shared" si="88"/>
        <v>721386000</v>
      </c>
      <c r="AN1457">
        <f t="shared" si="89"/>
        <v>173567000</v>
      </c>
    </row>
    <row r="1458" spans="1:40" x14ac:dyDescent="0.35">
      <c r="A1458">
        <v>78.431200000000004</v>
      </c>
      <c r="B1458">
        <v>85.138999999999996</v>
      </c>
      <c r="C1458">
        <v>2.8576800000000002</v>
      </c>
      <c r="D1458">
        <v>0</v>
      </c>
      <c r="E1458">
        <v>0.02</v>
      </c>
      <c r="F1458">
        <v>2.9867499999999998</v>
      </c>
      <c r="G1458">
        <v>2.9867499999999998</v>
      </c>
      <c r="H1458">
        <v>0</v>
      </c>
      <c r="I1458">
        <v>0.50301399999999996</v>
      </c>
      <c r="J1458">
        <v>5.3222399999999999</v>
      </c>
      <c r="K1458" s="2">
        <v>173874000</v>
      </c>
      <c r="L1458" s="1">
        <v>0</v>
      </c>
      <c r="M1458" s="1">
        <v>0</v>
      </c>
      <c r="N1458" s="1">
        <v>0</v>
      </c>
      <c r="O1458" s="1">
        <v>0</v>
      </c>
      <c r="P1458" s="2">
        <v>4465120</v>
      </c>
      <c r="Q1458" s="1">
        <v>307044</v>
      </c>
      <c r="R1458" s="1">
        <v>0</v>
      </c>
      <c r="S1458">
        <v>95.247500000000002</v>
      </c>
      <c r="T1458">
        <v>98.274000000000001</v>
      </c>
      <c r="U1458">
        <v>3.7640600000000002</v>
      </c>
      <c r="V1458">
        <v>0</v>
      </c>
      <c r="W1458">
        <v>0</v>
      </c>
      <c r="X1458">
        <v>1.73081</v>
      </c>
      <c r="Y1458">
        <v>1.73081</v>
      </c>
      <c r="Z1458">
        <v>0</v>
      </c>
      <c r="AA1458">
        <v>1.57077</v>
      </c>
      <c r="AB1458">
        <v>2.9635199999999999</v>
      </c>
      <c r="AC1458" s="2">
        <v>721532000</v>
      </c>
      <c r="AD1458" s="1">
        <v>0</v>
      </c>
      <c r="AE1458" s="1">
        <v>0</v>
      </c>
      <c r="AF1458" s="1">
        <v>0</v>
      </c>
      <c r="AG1458" s="1">
        <v>0</v>
      </c>
      <c r="AH1458" s="2">
        <v>4478010</v>
      </c>
      <c r="AI1458" s="1">
        <v>145966</v>
      </c>
      <c r="AJ1458" s="1">
        <v>0</v>
      </c>
      <c r="AK1458" s="8">
        <f t="shared" si="91"/>
        <v>1</v>
      </c>
      <c r="AL1458" s="8">
        <f t="shared" si="90"/>
        <v>29</v>
      </c>
      <c r="AM1458">
        <f t="shared" si="88"/>
        <v>0</v>
      </c>
      <c r="AN1458">
        <f t="shared" si="89"/>
        <v>0</v>
      </c>
    </row>
    <row r="1459" spans="1:40" x14ac:dyDescent="0.35">
      <c r="A1459">
        <v>78.217100000000002</v>
      </c>
      <c r="B1459">
        <v>85.138999999999996</v>
      </c>
      <c r="C1459">
        <v>2.9291</v>
      </c>
      <c r="D1459">
        <v>0.01</v>
      </c>
      <c r="E1459">
        <v>0.02</v>
      </c>
      <c r="F1459">
        <v>2.6845300000000001</v>
      </c>
      <c r="G1459">
        <v>2.9869300000000001</v>
      </c>
      <c r="H1459">
        <v>0</v>
      </c>
      <c r="I1459">
        <v>0.55971700000000002</v>
      </c>
      <c r="J1459">
        <v>5.3222399999999999</v>
      </c>
      <c r="K1459" s="2">
        <v>173772000</v>
      </c>
      <c r="L1459" s="1">
        <v>0</v>
      </c>
      <c r="M1459" s="1">
        <v>0</v>
      </c>
      <c r="N1459" s="1">
        <v>0</v>
      </c>
      <c r="O1459" s="1">
        <v>0</v>
      </c>
      <c r="P1459" s="2">
        <v>4013300</v>
      </c>
      <c r="Q1459" s="1">
        <v>-101476</v>
      </c>
      <c r="R1459" s="1">
        <v>408539</v>
      </c>
      <c r="S1459">
        <v>95.899600000000007</v>
      </c>
      <c r="T1459">
        <v>98.274000000000001</v>
      </c>
      <c r="U1459">
        <v>5.8297299999999996</v>
      </c>
      <c r="V1459">
        <v>0</v>
      </c>
      <c r="W1459">
        <v>0</v>
      </c>
      <c r="X1459">
        <v>2.0333100000000002</v>
      </c>
      <c r="Y1459">
        <v>1.7309099999999999</v>
      </c>
      <c r="Z1459">
        <v>0</v>
      </c>
      <c r="AA1459">
        <v>1.3372200000000001</v>
      </c>
      <c r="AB1459">
        <v>2.9635199999999999</v>
      </c>
      <c r="AC1459" s="2">
        <v>722461000</v>
      </c>
      <c r="AD1459" s="1">
        <v>0</v>
      </c>
      <c r="AE1459" s="1">
        <v>0</v>
      </c>
      <c r="AF1459" s="1">
        <v>0</v>
      </c>
      <c r="AG1459" s="1">
        <v>0</v>
      </c>
      <c r="AH1459" s="2">
        <v>5260660</v>
      </c>
      <c r="AI1459" s="1">
        <v>928355</v>
      </c>
      <c r="AJ1459" s="1">
        <v>0</v>
      </c>
      <c r="AK1459" s="8">
        <f t="shared" si="91"/>
        <v>2</v>
      </c>
      <c r="AL1459" s="8">
        <f t="shared" si="90"/>
        <v>29</v>
      </c>
      <c r="AM1459">
        <f t="shared" si="88"/>
        <v>0</v>
      </c>
      <c r="AN1459">
        <f t="shared" si="89"/>
        <v>0</v>
      </c>
    </row>
    <row r="1460" spans="1:40" x14ac:dyDescent="0.35">
      <c r="A1460">
        <v>77.022900000000007</v>
      </c>
      <c r="B1460">
        <v>85.138999999999996</v>
      </c>
      <c r="C1460">
        <v>1.81609</v>
      </c>
      <c r="D1460">
        <v>0.01</v>
      </c>
      <c r="E1460">
        <v>0.02</v>
      </c>
      <c r="F1460">
        <v>2.6847099999999999</v>
      </c>
      <c r="G1460">
        <v>2.9871099999999999</v>
      </c>
      <c r="H1460">
        <v>0</v>
      </c>
      <c r="I1460">
        <v>0.503081</v>
      </c>
      <c r="J1460">
        <v>5.3222399999999999</v>
      </c>
      <c r="K1460" s="2">
        <v>173671000</v>
      </c>
      <c r="L1460" s="1">
        <v>0</v>
      </c>
      <c r="M1460" s="1">
        <v>0</v>
      </c>
      <c r="N1460" s="1">
        <v>0</v>
      </c>
      <c r="O1460" s="1">
        <v>0</v>
      </c>
      <c r="P1460" s="2">
        <v>4013570</v>
      </c>
      <c r="Q1460" s="1">
        <v>-101458</v>
      </c>
      <c r="R1460" s="1">
        <v>408539</v>
      </c>
      <c r="S1460">
        <v>95.702399999999997</v>
      </c>
      <c r="T1460">
        <v>98.274000000000001</v>
      </c>
      <c r="U1460">
        <v>2.7296100000000001</v>
      </c>
      <c r="V1460">
        <v>0</v>
      </c>
      <c r="W1460">
        <v>0</v>
      </c>
      <c r="X1460">
        <v>2.0334099999999999</v>
      </c>
      <c r="Y1460">
        <v>1.7310099999999999</v>
      </c>
      <c r="Z1460">
        <v>0</v>
      </c>
      <c r="AA1460">
        <v>1.5709299999999999</v>
      </c>
      <c r="AB1460">
        <v>2.9635199999999999</v>
      </c>
      <c r="AC1460" s="2">
        <v>723389000</v>
      </c>
      <c r="AD1460" s="1">
        <v>0</v>
      </c>
      <c r="AE1460" s="1">
        <v>0</v>
      </c>
      <c r="AF1460" s="1">
        <v>0</v>
      </c>
      <c r="AG1460" s="1">
        <v>0</v>
      </c>
      <c r="AH1460" s="2">
        <v>5260920</v>
      </c>
      <c r="AI1460" s="1">
        <v>928364</v>
      </c>
      <c r="AJ1460" s="1">
        <v>0</v>
      </c>
      <c r="AK1460" s="8">
        <f t="shared" si="91"/>
        <v>3</v>
      </c>
      <c r="AL1460" s="8">
        <f t="shared" si="90"/>
        <v>29</v>
      </c>
      <c r="AM1460">
        <f t="shared" si="88"/>
        <v>0</v>
      </c>
      <c r="AN1460">
        <f t="shared" si="89"/>
        <v>0</v>
      </c>
    </row>
    <row r="1461" spans="1:40" x14ac:dyDescent="0.35">
      <c r="A1461">
        <v>75.489900000000006</v>
      </c>
      <c r="B1461">
        <v>85.138999999999996</v>
      </c>
      <c r="C1461">
        <v>1.7240500000000001</v>
      </c>
      <c r="D1461">
        <v>0</v>
      </c>
      <c r="E1461">
        <v>0.02</v>
      </c>
      <c r="F1461">
        <v>2.9872899999999998</v>
      </c>
      <c r="G1461">
        <v>2.9872899999999998</v>
      </c>
      <c r="H1461">
        <v>0</v>
      </c>
      <c r="I1461">
        <v>0.50311399999999995</v>
      </c>
      <c r="J1461">
        <v>5.3222399999999999</v>
      </c>
      <c r="K1461" s="2">
        <v>173978000</v>
      </c>
      <c r="L1461" s="1">
        <v>0</v>
      </c>
      <c r="M1461" s="1">
        <v>0</v>
      </c>
      <c r="N1461" s="1">
        <v>0</v>
      </c>
      <c r="O1461" s="1">
        <v>0</v>
      </c>
      <c r="P1461" s="2">
        <v>4465920</v>
      </c>
      <c r="Q1461" s="1">
        <v>307099</v>
      </c>
      <c r="R1461" s="1">
        <v>0</v>
      </c>
      <c r="S1461">
        <v>95.817400000000006</v>
      </c>
      <c r="T1461">
        <v>98.274000000000001</v>
      </c>
      <c r="U1461">
        <v>2.54284</v>
      </c>
      <c r="V1461">
        <v>0</v>
      </c>
      <c r="W1461">
        <v>0</v>
      </c>
      <c r="X1461">
        <v>1.73112</v>
      </c>
      <c r="Y1461">
        <v>1.73112</v>
      </c>
      <c r="Z1461">
        <v>0</v>
      </c>
      <c r="AA1461">
        <v>1.5710200000000001</v>
      </c>
      <c r="AB1461">
        <v>2.9635199999999999</v>
      </c>
      <c r="AC1461" s="2">
        <v>723535000</v>
      </c>
      <c r="AD1461" s="1">
        <v>0</v>
      </c>
      <c r="AE1461" s="1">
        <v>0</v>
      </c>
      <c r="AF1461" s="1">
        <v>0</v>
      </c>
      <c r="AG1461" s="1">
        <v>0</v>
      </c>
      <c r="AH1461" s="2">
        <v>4478810</v>
      </c>
      <c r="AI1461" s="1">
        <v>145992</v>
      </c>
      <c r="AJ1461" s="1">
        <v>0</v>
      </c>
      <c r="AK1461" s="8">
        <f t="shared" si="91"/>
        <v>4</v>
      </c>
      <c r="AL1461" s="8">
        <f t="shared" si="90"/>
        <v>29</v>
      </c>
      <c r="AM1461">
        <f t="shared" si="88"/>
        <v>0</v>
      </c>
      <c r="AN1461">
        <f t="shared" si="89"/>
        <v>0</v>
      </c>
    </row>
    <row r="1462" spans="1:40" x14ac:dyDescent="0.35">
      <c r="A1462">
        <v>82.969700000000003</v>
      </c>
      <c r="B1462">
        <v>85.138999999999996</v>
      </c>
      <c r="C1462">
        <v>11.106999999999999</v>
      </c>
      <c r="D1462">
        <v>0</v>
      </c>
      <c r="E1462">
        <v>0.02</v>
      </c>
      <c r="F1462">
        <v>3.0810499999999998</v>
      </c>
      <c r="G1462">
        <v>3.0810499999999998</v>
      </c>
      <c r="H1462">
        <v>0</v>
      </c>
      <c r="I1462">
        <v>0.55981800000000004</v>
      </c>
      <c r="J1462">
        <v>5.3222399999999999</v>
      </c>
      <c r="K1462" s="2">
        <v>174295000</v>
      </c>
      <c r="L1462" s="1">
        <v>0</v>
      </c>
      <c r="M1462" s="1">
        <v>0</v>
      </c>
      <c r="N1462" s="1">
        <v>0</v>
      </c>
      <c r="O1462" s="1">
        <v>0</v>
      </c>
      <c r="P1462" s="2">
        <v>4606090</v>
      </c>
      <c r="Q1462" s="1">
        <v>316738</v>
      </c>
      <c r="R1462" s="1">
        <v>0</v>
      </c>
      <c r="S1462">
        <v>96.822100000000006</v>
      </c>
      <c r="T1462">
        <v>98.274000000000001</v>
      </c>
      <c r="U1462">
        <v>6.34999</v>
      </c>
      <c r="V1462">
        <v>0</v>
      </c>
      <c r="W1462">
        <v>0</v>
      </c>
      <c r="X1462">
        <v>1.7871900000000001</v>
      </c>
      <c r="Y1462">
        <v>1.7871900000000001</v>
      </c>
      <c r="Z1462">
        <v>0</v>
      </c>
      <c r="AA1462">
        <v>1.3374600000000001</v>
      </c>
      <c r="AB1462">
        <v>2.9635199999999999</v>
      </c>
      <c r="AC1462" s="2">
        <v>723686000</v>
      </c>
      <c r="AD1462" s="1">
        <v>0</v>
      </c>
      <c r="AE1462" s="1">
        <v>0</v>
      </c>
      <c r="AF1462" s="1">
        <v>0</v>
      </c>
      <c r="AG1462" s="1">
        <v>0</v>
      </c>
      <c r="AH1462" s="2">
        <v>4623900</v>
      </c>
      <c r="AI1462" s="1">
        <v>150721</v>
      </c>
      <c r="AJ1462" s="1">
        <v>0</v>
      </c>
      <c r="AK1462" s="8">
        <f t="shared" si="91"/>
        <v>5</v>
      </c>
      <c r="AL1462" s="8">
        <f t="shared" si="90"/>
        <v>29</v>
      </c>
      <c r="AM1462">
        <f t="shared" si="88"/>
        <v>0</v>
      </c>
      <c r="AN1462">
        <f t="shared" si="89"/>
        <v>0</v>
      </c>
    </row>
    <row r="1463" spans="1:40" x14ac:dyDescent="0.35">
      <c r="A1463">
        <v>85.138999999999996</v>
      </c>
      <c r="B1463">
        <v>85.138999999999996</v>
      </c>
      <c r="C1463">
        <v>13.209</v>
      </c>
      <c r="D1463">
        <v>0</v>
      </c>
      <c r="E1463">
        <v>0.04</v>
      </c>
      <c r="F1463">
        <v>3.0812200000000001</v>
      </c>
      <c r="G1463">
        <v>3.0812200000000001</v>
      </c>
      <c r="H1463">
        <v>0</v>
      </c>
      <c r="I1463">
        <v>0.57738900000000004</v>
      </c>
      <c r="J1463">
        <v>5.3222399999999999</v>
      </c>
      <c r="K1463" s="2">
        <v>174612000</v>
      </c>
      <c r="L1463" s="1">
        <v>0</v>
      </c>
      <c r="M1463" s="1">
        <v>0</v>
      </c>
      <c r="N1463" s="1">
        <v>0</v>
      </c>
      <c r="O1463" s="1">
        <v>0</v>
      </c>
      <c r="P1463" s="2">
        <v>4606340</v>
      </c>
      <c r="Q1463" s="1">
        <v>316755</v>
      </c>
      <c r="R1463" s="1">
        <v>0</v>
      </c>
      <c r="S1463">
        <v>99.218199999999996</v>
      </c>
      <c r="T1463">
        <v>98.274000000000001</v>
      </c>
      <c r="U1463">
        <v>9.98888</v>
      </c>
      <c r="V1463">
        <v>0</v>
      </c>
      <c r="W1463">
        <v>1</v>
      </c>
      <c r="X1463">
        <v>1.78729</v>
      </c>
      <c r="Y1463">
        <v>1.78729</v>
      </c>
      <c r="Z1463">
        <v>0</v>
      </c>
      <c r="AA1463">
        <v>1.38079</v>
      </c>
      <c r="AB1463">
        <v>2.9635199999999999</v>
      </c>
      <c r="AC1463" s="2">
        <v>723837000</v>
      </c>
      <c r="AD1463" s="1">
        <v>0</v>
      </c>
      <c r="AE1463" s="1">
        <v>0</v>
      </c>
      <c r="AF1463" s="2">
        <v>56061500</v>
      </c>
      <c r="AG1463" s="1">
        <v>0</v>
      </c>
      <c r="AH1463" s="2">
        <v>4624150</v>
      </c>
      <c r="AI1463" s="1">
        <v>150729</v>
      </c>
      <c r="AJ1463" s="1">
        <v>0</v>
      </c>
      <c r="AK1463" s="8">
        <f t="shared" si="91"/>
        <v>6</v>
      </c>
      <c r="AL1463" s="8">
        <f t="shared" si="90"/>
        <v>29</v>
      </c>
      <c r="AM1463">
        <f t="shared" si="88"/>
        <v>0</v>
      </c>
      <c r="AN1463">
        <f t="shared" si="89"/>
        <v>0</v>
      </c>
    </row>
    <row r="1464" spans="1:40" x14ac:dyDescent="0.35">
      <c r="A1464">
        <v>85.138999999999996</v>
      </c>
      <c r="B1464">
        <v>85.138999999999996</v>
      </c>
      <c r="C1464">
        <v>13.509600000000001</v>
      </c>
      <c r="D1464">
        <v>0</v>
      </c>
      <c r="E1464">
        <v>0.04</v>
      </c>
      <c r="F1464">
        <v>3.0813799999999998</v>
      </c>
      <c r="G1464">
        <v>3.0813799999999998</v>
      </c>
      <c r="H1464">
        <v>0</v>
      </c>
      <c r="I1464">
        <v>0.57742000000000004</v>
      </c>
      <c r="J1464">
        <v>5.3222399999999999</v>
      </c>
      <c r="K1464" s="2">
        <v>174928000</v>
      </c>
      <c r="L1464" s="1">
        <v>0</v>
      </c>
      <c r="M1464" s="1">
        <v>0</v>
      </c>
      <c r="N1464" s="1">
        <v>0</v>
      </c>
      <c r="O1464" s="1">
        <v>0</v>
      </c>
      <c r="P1464" s="2">
        <v>4606590</v>
      </c>
      <c r="Q1464" s="1">
        <v>316772</v>
      </c>
      <c r="R1464" s="1">
        <v>0</v>
      </c>
      <c r="S1464">
        <v>99.302199999999999</v>
      </c>
      <c r="T1464">
        <v>98.274000000000001</v>
      </c>
      <c r="U1464">
        <v>12.124000000000001</v>
      </c>
      <c r="V1464">
        <v>0</v>
      </c>
      <c r="W1464">
        <v>1</v>
      </c>
      <c r="X1464">
        <v>1.78739</v>
      </c>
      <c r="Y1464">
        <v>1.78739</v>
      </c>
      <c r="Z1464">
        <v>0</v>
      </c>
      <c r="AA1464">
        <v>1.38086</v>
      </c>
      <c r="AB1464">
        <v>2.9635199999999999</v>
      </c>
      <c r="AC1464" s="2">
        <v>723987000</v>
      </c>
      <c r="AD1464" s="1">
        <v>0</v>
      </c>
      <c r="AE1464" s="1">
        <v>0</v>
      </c>
      <c r="AF1464" s="1">
        <v>0</v>
      </c>
      <c r="AG1464" s="1">
        <v>0</v>
      </c>
      <c r="AH1464" s="2">
        <v>4624400</v>
      </c>
      <c r="AI1464" s="1">
        <v>150737</v>
      </c>
      <c r="AJ1464" s="1">
        <v>0</v>
      </c>
      <c r="AK1464" s="8">
        <f t="shared" si="91"/>
        <v>7</v>
      </c>
      <c r="AL1464" s="8">
        <f t="shared" si="90"/>
        <v>29</v>
      </c>
      <c r="AM1464">
        <f t="shared" si="88"/>
        <v>0</v>
      </c>
      <c r="AN1464">
        <f t="shared" si="89"/>
        <v>0</v>
      </c>
    </row>
    <row r="1465" spans="1:40" x14ac:dyDescent="0.35">
      <c r="A1465">
        <v>85.138999999999996</v>
      </c>
      <c r="B1465">
        <v>85.138999999999996</v>
      </c>
      <c r="C1465">
        <v>9.9047300000000007</v>
      </c>
      <c r="D1465">
        <v>0</v>
      </c>
      <c r="E1465">
        <v>0.04</v>
      </c>
      <c r="F1465">
        <v>3.08155</v>
      </c>
      <c r="G1465">
        <v>3.08155</v>
      </c>
      <c r="H1465">
        <v>0</v>
      </c>
      <c r="I1465">
        <v>0.57745100000000005</v>
      </c>
      <c r="J1465">
        <v>5.3222399999999999</v>
      </c>
      <c r="K1465" s="2">
        <v>175245000</v>
      </c>
      <c r="L1465" s="1">
        <v>0</v>
      </c>
      <c r="M1465" s="1">
        <v>0</v>
      </c>
      <c r="N1465" s="1">
        <v>0</v>
      </c>
      <c r="O1465" s="1">
        <v>0</v>
      </c>
      <c r="P1465" s="2">
        <v>4606840</v>
      </c>
      <c r="Q1465" s="1">
        <v>316789</v>
      </c>
      <c r="R1465" s="1">
        <v>0</v>
      </c>
      <c r="S1465">
        <v>99.302199999999999</v>
      </c>
      <c r="T1465">
        <v>98.274000000000001</v>
      </c>
      <c r="U1465">
        <v>9.2130700000000001</v>
      </c>
      <c r="V1465">
        <v>0</v>
      </c>
      <c r="W1465">
        <v>1</v>
      </c>
      <c r="X1465">
        <v>1.78748</v>
      </c>
      <c r="Y1465">
        <v>1.78748</v>
      </c>
      <c r="Z1465">
        <v>0</v>
      </c>
      <c r="AA1465">
        <v>1.3809400000000001</v>
      </c>
      <c r="AB1465">
        <v>2.9635199999999999</v>
      </c>
      <c r="AC1465" s="2">
        <v>724138000</v>
      </c>
      <c r="AD1465" s="1">
        <v>0</v>
      </c>
      <c r="AE1465" s="1">
        <v>0</v>
      </c>
      <c r="AF1465" s="1">
        <v>0</v>
      </c>
      <c r="AG1465" s="1">
        <v>0</v>
      </c>
      <c r="AH1465" s="2">
        <v>4624650</v>
      </c>
      <c r="AI1465" s="1">
        <v>150746</v>
      </c>
      <c r="AJ1465" s="1">
        <v>0</v>
      </c>
      <c r="AK1465" s="8">
        <f t="shared" si="91"/>
        <v>8</v>
      </c>
      <c r="AL1465" s="8">
        <f t="shared" si="90"/>
        <v>29</v>
      </c>
      <c r="AM1465">
        <f t="shared" si="88"/>
        <v>0</v>
      </c>
      <c r="AN1465">
        <f t="shared" si="89"/>
        <v>0</v>
      </c>
    </row>
    <row r="1466" spans="1:40" x14ac:dyDescent="0.35">
      <c r="A1466">
        <v>85.138999999999996</v>
      </c>
      <c r="B1466">
        <v>85.138999999999996</v>
      </c>
      <c r="C1466">
        <v>10.423400000000001</v>
      </c>
      <c r="D1466">
        <v>0</v>
      </c>
      <c r="E1466">
        <v>0.04</v>
      </c>
      <c r="F1466">
        <v>3.3822999999999999</v>
      </c>
      <c r="G1466">
        <v>3.3822999999999999</v>
      </c>
      <c r="H1466">
        <v>0</v>
      </c>
      <c r="I1466">
        <v>0.57748200000000005</v>
      </c>
      <c r="J1466">
        <v>5.3222399999999999</v>
      </c>
      <c r="K1466" s="2">
        <v>175593000</v>
      </c>
      <c r="L1466" s="1">
        <v>0</v>
      </c>
      <c r="M1466" s="1">
        <v>0</v>
      </c>
      <c r="N1466" s="1">
        <v>0</v>
      </c>
      <c r="O1466" s="1">
        <v>0</v>
      </c>
      <c r="P1466" s="2">
        <v>5056450</v>
      </c>
      <c r="Q1466" s="1">
        <v>347707</v>
      </c>
      <c r="R1466" s="1">
        <v>0</v>
      </c>
      <c r="S1466">
        <v>99.302199999999999</v>
      </c>
      <c r="T1466">
        <v>98.274000000000001</v>
      </c>
      <c r="U1466">
        <v>10.404199999999999</v>
      </c>
      <c r="V1466">
        <v>0</v>
      </c>
      <c r="W1466">
        <v>1</v>
      </c>
      <c r="X1466">
        <v>1.99776</v>
      </c>
      <c r="Y1466">
        <v>1.99776</v>
      </c>
      <c r="Z1466">
        <v>0</v>
      </c>
      <c r="AA1466">
        <v>1.3810100000000001</v>
      </c>
      <c r="AB1466">
        <v>2.9635199999999999</v>
      </c>
      <c r="AC1466" s="2">
        <v>724307000</v>
      </c>
      <c r="AD1466" s="1">
        <v>0</v>
      </c>
      <c r="AE1466" s="1">
        <v>0</v>
      </c>
      <c r="AF1466" s="1">
        <v>0</v>
      </c>
      <c r="AG1466" s="1">
        <v>0</v>
      </c>
      <c r="AH1466" s="2">
        <v>5168680</v>
      </c>
      <c r="AI1466" s="1">
        <v>168479</v>
      </c>
      <c r="AJ1466" s="1">
        <v>0</v>
      </c>
      <c r="AK1466" s="8">
        <f t="shared" si="91"/>
        <v>9</v>
      </c>
      <c r="AL1466" s="8">
        <f t="shared" si="90"/>
        <v>29</v>
      </c>
      <c r="AM1466">
        <f t="shared" si="88"/>
        <v>0</v>
      </c>
      <c r="AN1466">
        <f t="shared" si="89"/>
        <v>0</v>
      </c>
    </row>
    <row r="1467" spans="1:40" x14ac:dyDescent="0.35">
      <c r="A1467">
        <v>85.138999999999996</v>
      </c>
      <c r="B1467">
        <v>85.138999999999996</v>
      </c>
      <c r="C1467">
        <v>7.3039199999999997</v>
      </c>
      <c r="D1467">
        <v>0</v>
      </c>
      <c r="E1467">
        <v>0.04</v>
      </c>
      <c r="F1467">
        <v>3.3824800000000002</v>
      </c>
      <c r="G1467">
        <v>3.3824800000000002</v>
      </c>
      <c r="H1467">
        <v>0</v>
      </c>
      <c r="I1467">
        <v>0.63384300000000005</v>
      </c>
      <c r="J1467">
        <v>5.3222399999999999</v>
      </c>
      <c r="K1467" s="2">
        <v>175941000</v>
      </c>
      <c r="L1467" s="1">
        <v>0</v>
      </c>
      <c r="M1467" s="1">
        <v>0</v>
      </c>
      <c r="N1467" s="1">
        <v>0</v>
      </c>
      <c r="O1467" s="1">
        <v>0</v>
      </c>
      <c r="P1467" s="2">
        <v>5056720</v>
      </c>
      <c r="Q1467" s="1">
        <v>347726</v>
      </c>
      <c r="R1467" s="1">
        <v>0</v>
      </c>
      <c r="S1467">
        <v>99.302199999999999</v>
      </c>
      <c r="T1467">
        <v>98.274000000000001</v>
      </c>
      <c r="U1467">
        <v>7.6205600000000002</v>
      </c>
      <c r="V1467">
        <v>0</v>
      </c>
      <c r="W1467">
        <v>1</v>
      </c>
      <c r="X1467">
        <v>1.99787</v>
      </c>
      <c r="Y1467">
        <v>1.99787</v>
      </c>
      <c r="Z1467">
        <v>0</v>
      </c>
      <c r="AA1467">
        <v>1.5434699999999999</v>
      </c>
      <c r="AB1467">
        <v>2.9635199999999999</v>
      </c>
      <c r="AC1467" s="2">
        <v>724475000</v>
      </c>
      <c r="AD1467" s="1">
        <v>0</v>
      </c>
      <c r="AE1467" s="1">
        <v>0</v>
      </c>
      <c r="AF1467" s="1">
        <v>0</v>
      </c>
      <c r="AG1467" s="1">
        <v>0</v>
      </c>
      <c r="AH1467" s="2">
        <v>5168960</v>
      </c>
      <c r="AI1467" s="1">
        <v>168488</v>
      </c>
      <c r="AJ1467" s="1">
        <v>0</v>
      </c>
      <c r="AK1467" s="8">
        <f t="shared" si="91"/>
        <v>10</v>
      </c>
      <c r="AL1467" s="8">
        <f t="shared" si="90"/>
        <v>29</v>
      </c>
      <c r="AM1467">
        <f t="shared" si="88"/>
        <v>0</v>
      </c>
      <c r="AN1467">
        <f t="shared" si="89"/>
        <v>0</v>
      </c>
    </row>
    <row r="1468" spans="1:40" x14ac:dyDescent="0.35">
      <c r="A1468">
        <v>85.138999999999996</v>
      </c>
      <c r="B1468">
        <v>85.138999999999996</v>
      </c>
      <c r="C1468">
        <v>9.1370400000000007</v>
      </c>
      <c r="D1468">
        <v>0</v>
      </c>
      <c r="E1468">
        <v>0.04</v>
      </c>
      <c r="F1468">
        <v>3.38266</v>
      </c>
      <c r="G1468">
        <v>3.38266</v>
      </c>
      <c r="H1468">
        <v>0</v>
      </c>
      <c r="I1468">
        <v>0.63387700000000002</v>
      </c>
      <c r="J1468">
        <v>5.3222399999999999</v>
      </c>
      <c r="K1468" s="2">
        <v>176288000</v>
      </c>
      <c r="L1468" s="1">
        <v>0</v>
      </c>
      <c r="M1468" s="1">
        <v>0</v>
      </c>
      <c r="N1468" s="1">
        <v>0</v>
      </c>
      <c r="O1468" s="1">
        <v>0</v>
      </c>
      <c r="P1468" s="2">
        <v>5056990</v>
      </c>
      <c r="Q1468" s="1">
        <v>347744</v>
      </c>
      <c r="R1468" s="1">
        <v>0</v>
      </c>
      <c r="S1468">
        <v>99.302199999999999</v>
      </c>
      <c r="T1468">
        <v>98.274000000000001</v>
      </c>
      <c r="U1468">
        <v>9.7040699999999998</v>
      </c>
      <c r="V1468">
        <v>0</v>
      </c>
      <c r="W1468">
        <v>1</v>
      </c>
      <c r="X1468">
        <v>1.9979800000000001</v>
      </c>
      <c r="Y1468">
        <v>1.9979800000000001</v>
      </c>
      <c r="Z1468">
        <v>0</v>
      </c>
      <c r="AA1468">
        <v>1.54355</v>
      </c>
      <c r="AB1468">
        <v>2.9635199999999999</v>
      </c>
      <c r="AC1468" s="2">
        <v>724643000</v>
      </c>
      <c r="AD1468" s="1">
        <v>0</v>
      </c>
      <c r="AE1468" s="1">
        <v>0</v>
      </c>
      <c r="AF1468" s="1">
        <v>0</v>
      </c>
      <c r="AG1468" s="1">
        <v>0</v>
      </c>
      <c r="AH1468" s="2">
        <v>5169240</v>
      </c>
      <c r="AI1468" s="1">
        <v>168497</v>
      </c>
      <c r="AJ1468" s="1">
        <v>0</v>
      </c>
      <c r="AK1468" s="8">
        <f t="shared" si="91"/>
        <v>11</v>
      </c>
      <c r="AL1468" s="8">
        <f t="shared" si="90"/>
        <v>29</v>
      </c>
      <c r="AM1468">
        <f t="shared" si="88"/>
        <v>0</v>
      </c>
      <c r="AN1468">
        <f t="shared" si="89"/>
        <v>0</v>
      </c>
    </row>
    <row r="1469" spans="1:40" x14ac:dyDescent="0.35">
      <c r="A1469">
        <v>85.138999999999996</v>
      </c>
      <c r="B1469">
        <v>85.138999999999996</v>
      </c>
      <c r="C1469">
        <v>8.6361000000000008</v>
      </c>
      <c r="D1469">
        <v>0</v>
      </c>
      <c r="E1469">
        <v>0.04</v>
      </c>
      <c r="F1469">
        <v>3.3828399999999998</v>
      </c>
      <c r="G1469">
        <v>3.3828399999999998</v>
      </c>
      <c r="H1469">
        <v>0</v>
      </c>
      <c r="I1469">
        <v>0.633911</v>
      </c>
      <c r="J1469">
        <v>5.3222399999999999</v>
      </c>
      <c r="K1469" s="2">
        <v>176636000</v>
      </c>
      <c r="L1469" s="1">
        <v>0</v>
      </c>
      <c r="M1469" s="1">
        <v>0</v>
      </c>
      <c r="N1469" s="1">
        <v>0</v>
      </c>
      <c r="O1469" s="1">
        <v>0</v>
      </c>
      <c r="P1469" s="2">
        <v>5057270</v>
      </c>
      <c r="Q1469" s="1">
        <v>347763</v>
      </c>
      <c r="R1469" s="1">
        <v>0</v>
      </c>
      <c r="S1469">
        <v>99.302199999999999</v>
      </c>
      <c r="T1469">
        <v>98.274000000000001</v>
      </c>
      <c r="U1469">
        <v>8.5565499999999997</v>
      </c>
      <c r="V1469">
        <v>0</v>
      </c>
      <c r="W1469">
        <v>1</v>
      </c>
      <c r="X1469">
        <v>1.9980800000000001</v>
      </c>
      <c r="Y1469">
        <v>1.9980800000000001</v>
      </c>
      <c r="Z1469">
        <v>0</v>
      </c>
      <c r="AA1469">
        <v>1.5436399999999999</v>
      </c>
      <c r="AB1469">
        <v>2.9635199999999999</v>
      </c>
      <c r="AC1469" s="2">
        <v>724812000</v>
      </c>
      <c r="AD1469" s="1">
        <v>0</v>
      </c>
      <c r="AE1469" s="1">
        <v>0</v>
      </c>
      <c r="AF1469" s="1">
        <v>0</v>
      </c>
      <c r="AG1469" s="1">
        <v>0</v>
      </c>
      <c r="AH1469" s="2">
        <v>5169520</v>
      </c>
      <c r="AI1469" s="1">
        <v>168506</v>
      </c>
      <c r="AJ1469" s="1">
        <v>0</v>
      </c>
      <c r="AK1469" s="8">
        <f t="shared" si="91"/>
        <v>12</v>
      </c>
      <c r="AL1469" s="8">
        <f t="shared" si="90"/>
        <v>29</v>
      </c>
      <c r="AM1469">
        <f t="shared" si="88"/>
        <v>0</v>
      </c>
      <c r="AN1469">
        <f t="shared" si="89"/>
        <v>0</v>
      </c>
    </row>
    <row r="1470" spans="1:40" x14ac:dyDescent="0.35">
      <c r="A1470">
        <v>85.138999999999996</v>
      </c>
      <c r="B1470">
        <v>85.138999999999996</v>
      </c>
      <c r="C1470">
        <v>7.0454100000000004</v>
      </c>
      <c r="D1470">
        <v>0</v>
      </c>
      <c r="E1470">
        <v>0.04</v>
      </c>
      <c r="F1470">
        <v>2.9542099999999998</v>
      </c>
      <c r="G1470">
        <v>2.9542099999999998</v>
      </c>
      <c r="H1470">
        <v>0</v>
      </c>
      <c r="I1470">
        <v>0.63394499999999998</v>
      </c>
      <c r="J1470">
        <v>5.3222399999999999</v>
      </c>
      <c r="K1470" s="2">
        <v>176940000</v>
      </c>
      <c r="L1470" s="1">
        <v>0</v>
      </c>
      <c r="M1470" s="1">
        <v>0</v>
      </c>
      <c r="N1470" s="1">
        <v>0</v>
      </c>
      <c r="O1470" s="1">
        <v>0</v>
      </c>
      <c r="P1470" s="2">
        <v>4416460</v>
      </c>
      <c r="Q1470" s="1">
        <v>303698</v>
      </c>
      <c r="R1470" s="1">
        <v>0</v>
      </c>
      <c r="S1470">
        <v>99.302199999999999</v>
      </c>
      <c r="T1470">
        <v>98.274000000000001</v>
      </c>
      <c r="U1470">
        <v>7.5922499999999999</v>
      </c>
      <c r="V1470">
        <v>0</v>
      </c>
      <c r="W1470">
        <v>1</v>
      </c>
      <c r="X1470">
        <v>1.71607</v>
      </c>
      <c r="Y1470">
        <v>1.71607</v>
      </c>
      <c r="Z1470">
        <v>0</v>
      </c>
      <c r="AA1470">
        <v>1.54372</v>
      </c>
      <c r="AB1470">
        <v>2.9635199999999999</v>
      </c>
      <c r="AC1470" s="2">
        <v>724957000</v>
      </c>
      <c r="AD1470" s="1">
        <v>0</v>
      </c>
      <c r="AE1470" s="1">
        <v>0</v>
      </c>
      <c r="AF1470" s="1">
        <v>0</v>
      </c>
      <c r="AG1470" s="1">
        <v>0</v>
      </c>
      <c r="AH1470" s="2">
        <v>4439870</v>
      </c>
      <c r="AI1470" s="1">
        <v>144723</v>
      </c>
      <c r="AJ1470" s="1">
        <v>0</v>
      </c>
      <c r="AK1470" s="8">
        <f t="shared" si="91"/>
        <v>13</v>
      </c>
      <c r="AL1470" s="8">
        <f t="shared" si="90"/>
        <v>29</v>
      </c>
      <c r="AM1470">
        <f t="shared" si="88"/>
        <v>0</v>
      </c>
      <c r="AN1470">
        <f t="shared" si="89"/>
        <v>0</v>
      </c>
    </row>
    <row r="1471" spans="1:40" x14ac:dyDescent="0.35">
      <c r="A1471">
        <v>85.138999999999996</v>
      </c>
      <c r="B1471">
        <v>85.138999999999996</v>
      </c>
      <c r="C1471">
        <v>3.8387500000000001</v>
      </c>
      <c r="D1471">
        <v>0</v>
      </c>
      <c r="E1471">
        <v>0.04</v>
      </c>
      <c r="F1471">
        <v>2.9543699999999999</v>
      </c>
      <c r="G1471">
        <v>2.9543699999999999</v>
      </c>
      <c r="H1471">
        <v>0</v>
      </c>
      <c r="I1471">
        <v>0.55361800000000005</v>
      </c>
      <c r="J1471">
        <v>5.3222399999999999</v>
      </c>
      <c r="K1471" s="2">
        <v>177243000</v>
      </c>
      <c r="L1471" s="1">
        <v>0</v>
      </c>
      <c r="M1471" s="1">
        <v>0</v>
      </c>
      <c r="N1471" s="1">
        <v>0</v>
      </c>
      <c r="O1471" s="1">
        <v>0</v>
      </c>
      <c r="P1471" s="2">
        <v>4416700</v>
      </c>
      <c r="Q1471" s="1">
        <v>303715</v>
      </c>
      <c r="R1471" s="1">
        <v>0</v>
      </c>
      <c r="S1471">
        <v>99.302199999999999</v>
      </c>
      <c r="T1471">
        <v>98.274000000000001</v>
      </c>
      <c r="U1471">
        <v>5.5035299999999996</v>
      </c>
      <c r="V1471">
        <v>0</v>
      </c>
      <c r="W1471">
        <v>1</v>
      </c>
      <c r="X1471">
        <v>1.7161599999999999</v>
      </c>
      <c r="Y1471">
        <v>1.7161599999999999</v>
      </c>
      <c r="Z1471">
        <v>0</v>
      </c>
      <c r="AA1471">
        <v>1.3258300000000001</v>
      </c>
      <c r="AB1471">
        <v>2.9635199999999999</v>
      </c>
      <c r="AC1471" s="2">
        <v>725101000</v>
      </c>
      <c r="AD1471" s="1">
        <v>0</v>
      </c>
      <c r="AE1471" s="1">
        <v>0</v>
      </c>
      <c r="AF1471" s="1">
        <v>0</v>
      </c>
      <c r="AG1471" s="1">
        <v>0</v>
      </c>
      <c r="AH1471" s="2">
        <v>4440110</v>
      </c>
      <c r="AI1471" s="1">
        <v>144730</v>
      </c>
      <c r="AJ1471" s="1">
        <v>0</v>
      </c>
      <c r="AK1471" s="8">
        <f t="shared" si="91"/>
        <v>14</v>
      </c>
      <c r="AL1471" s="8">
        <f t="shared" si="90"/>
        <v>29</v>
      </c>
      <c r="AM1471">
        <f t="shared" si="88"/>
        <v>0</v>
      </c>
      <c r="AN1471">
        <f t="shared" si="89"/>
        <v>0</v>
      </c>
    </row>
    <row r="1472" spans="1:40" x14ac:dyDescent="0.35">
      <c r="A1472">
        <v>85.138999999999996</v>
      </c>
      <c r="B1472">
        <v>85.138999999999996</v>
      </c>
      <c r="C1472">
        <v>3.5731099999999998</v>
      </c>
      <c r="D1472">
        <v>0</v>
      </c>
      <c r="E1472">
        <v>0.04</v>
      </c>
      <c r="F1472">
        <v>2.95452</v>
      </c>
      <c r="G1472">
        <v>2.95452</v>
      </c>
      <c r="H1472">
        <v>0</v>
      </c>
      <c r="I1472">
        <v>0.55364800000000003</v>
      </c>
      <c r="J1472">
        <v>5.3222399999999999</v>
      </c>
      <c r="K1472" s="2">
        <v>177547000</v>
      </c>
      <c r="L1472" s="1">
        <v>0</v>
      </c>
      <c r="M1472" s="1">
        <v>0</v>
      </c>
      <c r="N1472" s="1">
        <v>0</v>
      </c>
      <c r="O1472" s="1">
        <v>0</v>
      </c>
      <c r="P1472" s="2">
        <v>4416940</v>
      </c>
      <c r="Q1472" s="1">
        <v>303731</v>
      </c>
      <c r="R1472" s="1">
        <v>0</v>
      </c>
      <c r="S1472">
        <v>99.302199999999999</v>
      </c>
      <c r="T1472">
        <v>98.274000000000001</v>
      </c>
      <c r="U1472">
        <v>5.7556399999999996</v>
      </c>
      <c r="V1472">
        <v>0</v>
      </c>
      <c r="W1472">
        <v>1</v>
      </c>
      <c r="X1472">
        <v>1.7162500000000001</v>
      </c>
      <c r="Y1472">
        <v>1.7162500000000001</v>
      </c>
      <c r="Z1472">
        <v>0</v>
      </c>
      <c r="AA1472">
        <v>1.3259000000000001</v>
      </c>
      <c r="AB1472">
        <v>2.9635199999999999</v>
      </c>
      <c r="AC1472" s="2">
        <v>725246000</v>
      </c>
      <c r="AD1472" s="1">
        <v>0</v>
      </c>
      <c r="AE1472" s="1">
        <v>0</v>
      </c>
      <c r="AF1472" s="1">
        <v>0</v>
      </c>
      <c r="AG1472" s="1">
        <v>0</v>
      </c>
      <c r="AH1472" s="2">
        <v>4440350</v>
      </c>
      <c r="AI1472" s="1">
        <v>144738</v>
      </c>
      <c r="AJ1472" s="1">
        <v>0</v>
      </c>
      <c r="AK1472" s="8">
        <f t="shared" si="91"/>
        <v>15</v>
      </c>
      <c r="AL1472" s="8">
        <f t="shared" si="90"/>
        <v>29</v>
      </c>
      <c r="AM1472">
        <f t="shared" si="88"/>
        <v>0</v>
      </c>
      <c r="AN1472">
        <f t="shared" si="89"/>
        <v>0</v>
      </c>
    </row>
    <row r="1473" spans="1:40" x14ac:dyDescent="0.35">
      <c r="A1473">
        <v>85.138999999999996</v>
      </c>
      <c r="B1473">
        <v>85.138999999999996</v>
      </c>
      <c r="C1473">
        <v>3.5809799999999998</v>
      </c>
      <c r="D1473">
        <v>0</v>
      </c>
      <c r="E1473">
        <v>0.04</v>
      </c>
      <c r="F1473">
        <v>2.9546800000000002</v>
      </c>
      <c r="G1473">
        <v>2.9546800000000002</v>
      </c>
      <c r="H1473">
        <v>0</v>
      </c>
      <c r="I1473">
        <v>0.553678</v>
      </c>
      <c r="J1473">
        <v>5.3222399999999999</v>
      </c>
      <c r="K1473" s="2">
        <v>177851000</v>
      </c>
      <c r="L1473" s="1">
        <v>0</v>
      </c>
      <c r="M1473" s="1">
        <v>0</v>
      </c>
      <c r="N1473" s="1">
        <v>0</v>
      </c>
      <c r="O1473" s="1">
        <v>0</v>
      </c>
      <c r="P1473" s="2">
        <v>4417180</v>
      </c>
      <c r="Q1473" s="1">
        <v>303747</v>
      </c>
      <c r="R1473" s="1">
        <v>0</v>
      </c>
      <c r="S1473">
        <v>99.302199999999999</v>
      </c>
      <c r="T1473">
        <v>98.274000000000001</v>
      </c>
      <c r="U1473">
        <v>5.1650900000000002</v>
      </c>
      <c r="V1473">
        <v>0</v>
      </c>
      <c r="W1473">
        <v>1</v>
      </c>
      <c r="X1473">
        <v>1.71634</v>
      </c>
      <c r="Y1473">
        <v>1.71634</v>
      </c>
      <c r="Z1473">
        <v>0</v>
      </c>
      <c r="AA1473">
        <v>1.3259700000000001</v>
      </c>
      <c r="AB1473">
        <v>2.9635199999999999</v>
      </c>
      <c r="AC1473" s="2">
        <v>725391000</v>
      </c>
      <c r="AD1473" s="1">
        <v>0</v>
      </c>
      <c r="AE1473" s="1">
        <v>0</v>
      </c>
      <c r="AF1473" s="1">
        <v>0</v>
      </c>
      <c r="AG1473" s="1">
        <v>0</v>
      </c>
      <c r="AH1473" s="2">
        <v>4440590</v>
      </c>
      <c r="AI1473" s="1">
        <v>144746</v>
      </c>
      <c r="AJ1473" s="1">
        <v>0</v>
      </c>
      <c r="AK1473" s="8">
        <f t="shared" si="91"/>
        <v>16</v>
      </c>
      <c r="AL1473" s="8">
        <f t="shared" si="90"/>
        <v>29</v>
      </c>
      <c r="AM1473">
        <f t="shared" si="88"/>
        <v>0</v>
      </c>
      <c r="AN1473">
        <f t="shared" si="89"/>
        <v>0</v>
      </c>
    </row>
    <row r="1474" spans="1:40" x14ac:dyDescent="0.35">
      <c r="A1474">
        <v>84.930099999999996</v>
      </c>
      <c r="B1474">
        <v>85.138999999999996</v>
      </c>
      <c r="C1474">
        <v>3.2308400000000002</v>
      </c>
      <c r="D1474">
        <v>0</v>
      </c>
      <c r="E1474">
        <v>0.04</v>
      </c>
      <c r="F1474">
        <v>2.9548399999999999</v>
      </c>
      <c r="G1474">
        <v>2.9548399999999999</v>
      </c>
      <c r="H1474">
        <v>0</v>
      </c>
      <c r="I1474">
        <v>0.55370799999999998</v>
      </c>
      <c r="J1474">
        <v>5.3222399999999999</v>
      </c>
      <c r="K1474" s="2">
        <v>178155000</v>
      </c>
      <c r="L1474" s="1">
        <v>0</v>
      </c>
      <c r="M1474" s="1">
        <v>0</v>
      </c>
      <c r="N1474" s="1">
        <v>0</v>
      </c>
      <c r="O1474" s="1">
        <v>0</v>
      </c>
      <c r="P1474" s="2">
        <v>4417420</v>
      </c>
      <c r="Q1474" s="1">
        <v>303764</v>
      </c>
      <c r="R1474" s="1">
        <v>0</v>
      </c>
      <c r="S1474">
        <v>99.302199999999999</v>
      </c>
      <c r="T1474">
        <v>98.274000000000001</v>
      </c>
      <c r="U1474">
        <v>4.7805200000000001</v>
      </c>
      <c r="V1474">
        <v>0</v>
      </c>
      <c r="W1474">
        <v>1</v>
      </c>
      <c r="X1474">
        <v>1.7164299999999999</v>
      </c>
      <c r="Y1474">
        <v>1.7164299999999999</v>
      </c>
      <c r="Z1474">
        <v>0</v>
      </c>
      <c r="AA1474">
        <v>1.32605</v>
      </c>
      <c r="AB1474">
        <v>2.9635199999999999</v>
      </c>
      <c r="AC1474" s="2">
        <v>725536000</v>
      </c>
      <c r="AD1474" s="1">
        <v>0</v>
      </c>
      <c r="AE1474" s="1">
        <v>0</v>
      </c>
      <c r="AF1474" s="1">
        <v>0</v>
      </c>
      <c r="AG1474" s="1">
        <v>0</v>
      </c>
      <c r="AH1474" s="2">
        <v>4440830</v>
      </c>
      <c r="AI1474" s="1">
        <v>144754</v>
      </c>
      <c r="AJ1474" s="1">
        <v>0</v>
      </c>
      <c r="AK1474" s="8">
        <f t="shared" si="91"/>
        <v>17</v>
      </c>
      <c r="AL1474" s="8">
        <f t="shared" si="90"/>
        <v>29</v>
      </c>
      <c r="AM1474">
        <f t="shared" si="88"/>
        <v>0</v>
      </c>
      <c r="AN1474">
        <f t="shared" si="89"/>
        <v>0</v>
      </c>
    </row>
    <row r="1475" spans="1:40" x14ac:dyDescent="0.35">
      <c r="A1475">
        <v>85.138999999999996</v>
      </c>
      <c r="B1475">
        <v>85.138999999999996</v>
      </c>
      <c r="C1475">
        <v>3.7139600000000002</v>
      </c>
      <c r="D1475">
        <v>0</v>
      </c>
      <c r="E1475">
        <v>0.04</v>
      </c>
      <c r="F1475">
        <v>3.06297</v>
      </c>
      <c r="G1475">
        <v>3.06297</v>
      </c>
      <c r="H1475">
        <v>0</v>
      </c>
      <c r="I1475">
        <v>0.55373799999999995</v>
      </c>
      <c r="J1475">
        <v>5.3222399999999999</v>
      </c>
      <c r="K1475" s="2">
        <v>178470000</v>
      </c>
      <c r="L1475" s="1">
        <v>0</v>
      </c>
      <c r="M1475" s="1">
        <v>0</v>
      </c>
      <c r="N1475" s="1">
        <v>0</v>
      </c>
      <c r="O1475" s="1">
        <v>0</v>
      </c>
      <c r="P1475" s="2">
        <v>4579070</v>
      </c>
      <c r="Q1475" s="1">
        <v>314879</v>
      </c>
      <c r="R1475" s="1">
        <v>0</v>
      </c>
      <c r="S1475">
        <v>99.302199999999999</v>
      </c>
      <c r="T1475">
        <v>98.274000000000001</v>
      </c>
      <c r="U1475">
        <v>4.9956100000000001</v>
      </c>
      <c r="V1475">
        <v>0</v>
      </c>
      <c r="W1475">
        <v>1</v>
      </c>
      <c r="X1475">
        <v>1.78556</v>
      </c>
      <c r="Y1475">
        <v>1.78556</v>
      </c>
      <c r="Z1475">
        <v>0</v>
      </c>
      <c r="AA1475">
        <v>1.32612</v>
      </c>
      <c r="AB1475">
        <v>2.9635199999999999</v>
      </c>
      <c r="AC1475" s="2">
        <v>725686000</v>
      </c>
      <c r="AD1475" s="1">
        <v>0</v>
      </c>
      <c r="AE1475" s="1">
        <v>0</v>
      </c>
      <c r="AF1475" s="1">
        <v>0</v>
      </c>
      <c r="AG1475" s="1">
        <v>0</v>
      </c>
      <c r="AH1475" s="2">
        <v>4619680</v>
      </c>
      <c r="AI1475" s="1">
        <v>150584</v>
      </c>
      <c r="AJ1475" s="1">
        <v>0</v>
      </c>
      <c r="AK1475" s="8">
        <f t="shared" si="91"/>
        <v>18</v>
      </c>
      <c r="AL1475" s="8">
        <f t="shared" si="90"/>
        <v>29</v>
      </c>
      <c r="AM1475">
        <f t="shared" ref="AM1475:AM1538" si="92">IF(AK1475=52,AC1475,0)</f>
        <v>0</v>
      </c>
      <c r="AN1475">
        <f t="shared" ref="AN1475:AN1538" si="93">IF(AK1475=52,K1475,0)</f>
        <v>0</v>
      </c>
    </row>
    <row r="1476" spans="1:40" x14ac:dyDescent="0.35">
      <c r="A1476">
        <v>84.507900000000006</v>
      </c>
      <c r="B1476">
        <v>85.138999999999996</v>
      </c>
      <c r="C1476">
        <v>2.8333499999999998</v>
      </c>
      <c r="D1476">
        <v>0</v>
      </c>
      <c r="E1476">
        <v>0.04</v>
      </c>
      <c r="F1476">
        <v>3.0631400000000002</v>
      </c>
      <c r="G1476">
        <v>3.0631400000000002</v>
      </c>
      <c r="H1476">
        <v>0</v>
      </c>
      <c r="I1476">
        <v>0.57400099999999998</v>
      </c>
      <c r="J1476">
        <v>5.3222399999999999</v>
      </c>
      <c r="K1476" s="2">
        <v>178784000</v>
      </c>
      <c r="L1476" s="1">
        <v>0</v>
      </c>
      <c r="M1476" s="1">
        <v>0</v>
      </c>
      <c r="N1476" s="1">
        <v>0</v>
      </c>
      <c r="O1476" s="1">
        <v>0</v>
      </c>
      <c r="P1476" s="2">
        <v>4579310</v>
      </c>
      <c r="Q1476" s="1">
        <v>314896</v>
      </c>
      <c r="R1476" s="1">
        <v>0</v>
      </c>
      <c r="S1476">
        <v>99.173900000000003</v>
      </c>
      <c r="T1476">
        <v>98.274000000000001</v>
      </c>
      <c r="U1476">
        <v>3.8010299999999999</v>
      </c>
      <c r="V1476">
        <v>0</v>
      </c>
      <c r="W1476">
        <v>1</v>
      </c>
      <c r="X1476">
        <v>1.78566</v>
      </c>
      <c r="Y1476">
        <v>1.78566</v>
      </c>
      <c r="Z1476">
        <v>0</v>
      </c>
      <c r="AA1476">
        <v>1.3795299999999999</v>
      </c>
      <c r="AB1476">
        <v>2.9635199999999999</v>
      </c>
      <c r="AC1476" s="2">
        <v>725837000</v>
      </c>
      <c r="AD1476" s="1">
        <v>0</v>
      </c>
      <c r="AE1476" s="1">
        <v>0</v>
      </c>
      <c r="AF1476" s="1">
        <v>0</v>
      </c>
      <c r="AG1476" s="1">
        <v>0</v>
      </c>
      <c r="AH1476" s="2">
        <v>4619930</v>
      </c>
      <c r="AI1476" s="1">
        <v>150592</v>
      </c>
      <c r="AJ1476" s="1">
        <v>0</v>
      </c>
      <c r="AK1476" s="8">
        <f t="shared" si="91"/>
        <v>19</v>
      </c>
      <c r="AL1476" s="8">
        <f t="shared" ref="AL1476:AL1539" si="94">IF(AK1475=52,AL1475+1,AL1475)</f>
        <v>29</v>
      </c>
      <c r="AM1476">
        <f t="shared" si="92"/>
        <v>0</v>
      </c>
      <c r="AN1476">
        <f t="shared" si="93"/>
        <v>0</v>
      </c>
    </row>
    <row r="1477" spans="1:40" x14ac:dyDescent="0.35">
      <c r="A1477">
        <v>83.154700000000005</v>
      </c>
      <c r="B1477">
        <v>85.138999999999996</v>
      </c>
      <c r="C1477">
        <v>2.0318399999999999</v>
      </c>
      <c r="D1477">
        <v>0</v>
      </c>
      <c r="E1477">
        <v>0.04</v>
      </c>
      <c r="F1477">
        <v>3.0632999999999999</v>
      </c>
      <c r="G1477">
        <v>3.0632999999999999</v>
      </c>
      <c r="H1477">
        <v>0</v>
      </c>
      <c r="I1477">
        <v>0.57403199999999999</v>
      </c>
      <c r="J1477">
        <v>5.3222399999999999</v>
      </c>
      <c r="K1477" s="2">
        <v>179099000</v>
      </c>
      <c r="L1477" s="1">
        <v>0</v>
      </c>
      <c r="M1477" s="1">
        <v>0</v>
      </c>
      <c r="N1477" s="1">
        <v>0</v>
      </c>
      <c r="O1477" s="1">
        <v>0</v>
      </c>
      <c r="P1477" s="2">
        <v>4579560</v>
      </c>
      <c r="Q1477" s="1">
        <v>314913</v>
      </c>
      <c r="R1477" s="1">
        <v>0</v>
      </c>
      <c r="S1477">
        <v>99.0441</v>
      </c>
      <c r="T1477">
        <v>98.274000000000001</v>
      </c>
      <c r="U1477">
        <v>2.8697300000000001</v>
      </c>
      <c r="V1477">
        <v>0</v>
      </c>
      <c r="W1477">
        <v>1</v>
      </c>
      <c r="X1477">
        <v>1.78576</v>
      </c>
      <c r="Y1477">
        <v>1.78576</v>
      </c>
      <c r="Z1477">
        <v>0</v>
      </c>
      <c r="AA1477">
        <v>1.3795999999999999</v>
      </c>
      <c r="AB1477">
        <v>2.9635199999999999</v>
      </c>
      <c r="AC1477" s="2">
        <v>725987000</v>
      </c>
      <c r="AD1477" s="1">
        <v>0</v>
      </c>
      <c r="AE1477" s="1">
        <v>0</v>
      </c>
      <c r="AF1477" s="1">
        <v>0</v>
      </c>
      <c r="AG1477" s="1">
        <v>0</v>
      </c>
      <c r="AH1477" s="2">
        <v>4620180</v>
      </c>
      <c r="AI1477" s="1">
        <v>150600</v>
      </c>
      <c r="AJ1477" s="1">
        <v>0</v>
      </c>
      <c r="AK1477" s="8">
        <f t="shared" si="91"/>
        <v>20</v>
      </c>
      <c r="AL1477" s="8">
        <f t="shared" si="94"/>
        <v>29</v>
      </c>
      <c r="AM1477">
        <f t="shared" si="92"/>
        <v>0</v>
      </c>
      <c r="AN1477">
        <f t="shared" si="93"/>
        <v>0</v>
      </c>
    </row>
    <row r="1478" spans="1:40" x14ac:dyDescent="0.35">
      <c r="A1478">
        <v>81.5428</v>
      </c>
      <c r="B1478">
        <v>85.138999999999996</v>
      </c>
      <c r="C1478">
        <v>1.7457</v>
      </c>
      <c r="D1478">
        <v>0</v>
      </c>
      <c r="E1478">
        <v>0.04</v>
      </c>
      <c r="F1478">
        <v>3.0634700000000001</v>
      </c>
      <c r="G1478">
        <v>3.0634700000000001</v>
      </c>
      <c r="H1478">
        <v>0</v>
      </c>
      <c r="I1478">
        <v>0.57406299999999999</v>
      </c>
      <c r="J1478">
        <v>5.3222399999999999</v>
      </c>
      <c r="K1478" s="2">
        <v>179414000</v>
      </c>
      <c r="L1478" s="1">
        <v>0</v>
      </c>
      <c r="M1478" s="1">
        <v>0</v>
      </c>
      <c r="N1478" s="1">
        <v>0</v>
      </c>
      <c r="O1478" s="1">
        <v>0</v>
      </c>
      <c r="P1478" s="2">
        <v>4579810</v>
      </c>
      <c r="Q1478" s="1">
        <v>314930</v>
      </c>
      <c r="R1478" s="1">
        <v>0</v>
      </c>
      <c r="S1478">
        <v>99.302199999999999</v>
      </c>
      <c r="T1478">
        <v>98.274000000000001</v>
      </c>
      <c r="U1478">
        <v>2.5762299999999998</v>
      </c>
      <c r="V1478">
        <v>0</v>
      </c>
      <c r="W1478">
        <v>1</v>
      </c>
      <c r="X1478">
        <v>1.7858499999999999</v>
      </c>
      <c r="Y1478">
        <v>1.7858499999999999</v>
      </c>
      <c r="Z1478">
        <v>0</v>
      </c>
      <c r="AA1478">
        <v>1.37968</v>
      </c>
      <c r="AB1478">
        <v>2.9635199999999999</v>
      </c>
      <c r="AC1478" s="2">
        <v>726138000</v>
      </c>
      <c r="AD1478" s="1">
        <v>0</v>
      </c>
      <c r="AE1478" s="1">
        <v>0</v>
      </c>
      <c r="AF1478" s="1">
        <v>0</v>
      </c>
      <c r="AG1478" s="1">
        <v>0</v>
      </c>
      <c r="AH1478" s="2">
        <v>4620430</v>
      </c>
      <c r="AI1478" s="1">
        <v>150608</v>
      </c>
      <c r="AJ1478" s="1">
        <v>0</v>
      </c>
      <c r="AK1478" s="8">
        <f t="shared" si="91"/>
        <v>21</v>
      </c>
      <c r="AL1478" s="8">
        <f t="shared" si="94"/>
        <v>29</v>
      </c>
      <c r="AM1478">
        <f t="shared" si="92"/>
        <v>0</v>
      </c>
      <c r="AN1478">
        <f t="shared" si="93"/>
        <v>0</v>
      </c>
    </row>
    <row r="1479" spans="1:40" x14ac:dyDescent="0.35">
      <c r="A1479">
        <v>80.766599999999997</v>
      </c>
      <c r="B1479">
        <v>85.138999999999996</v>
      </c>
      <c r="C1479">
        <v>2.5598900000000002</v>
      </c>
      <c r="D1479">
        <v>0</v>
      </c>
      <c r="E1479">
        <v>0.04</v>
      </c>
      <c r="F1479">
        <v>3.0214099999999999</v>
      </c>
      <c r="G1479">
        <v>3.0214099999999999</v>
      </c>
      <c r="H1479">
        <v>0</v>
      </c>
      <c r="I1479">
        <v>0.57409399999999999</v>
      </c>
      <c r="J1479">
        <v>5.3222399999999999</v>
      </c>
      <c r="K1479" s="2">
        <v>179725000</v>
      </c>
      <c r="L1479" s="1">
        <v>0</v>
      </c>
      <c r="M1479" s="1">
        <v>0</v>
      </c>
      <c r="N1479" s="1">
        <v>0</v>
      </c>
      <c r="O1479" s="1">
        <v>0</v>
      </c>
      <c r="P1479" s="2">
        <v>4516930</v>
      </c>
      <c r="Q1479" s="1">
        <v>310607</v>
      </c>
      <c r="R1479" s="1">
        <v>0</v>
      </c>
      <c r="S1479">
        <v>99.302199999999999</v>
      </c>
      <c r="T1479">
        <v>98.274000000000001</v>
      </c>
      <c r="U1479">
        <v>4.04678</v>
      </c>
      <c r="V1479">
        <v>0</v>
      </c>
      <c r="W1479">
        <v>1</v>
      </c>
      <c r="X1479">
        <v>1.7591300000000001</v>
      </c>
      <c r="Y1479">
        <v>1.7591300000000001</v>
      </c>
      <c r="Z1479">
        <v>0</v>
      </c>
      <c r="AA1479">
        <v>1.37975</v>
      </c>
      <c r="AB1479">
        <v>2.9635199999999999</v>
      </c>
      <c r="AC1479" s="2">
        <v>726286000</v>
      </c>
      <c r="AD1479" s="1">
        <v>0</v>
      </c>
      <c r="AE1479" s="1">
        <v>0</v>
      </c>
      <c r="AF1479" s="1">
        <v>0</v>
      </c>
      <c r="AG1479" s="1">
        <v>0</v>
      </c>
      <c r="AH1479" s="2">
        <v>4551290</v>
      </c>
      <c r="AI1479" s="1">
        <v>148354</v>
      </c>
      <c r="AJ1479" s="1">
        <v>0</v>
      </c>
      <c r="AK1479" s="8">
        <f t="shared" si="91"/>
        <v>22</v>
      </c>
      <c r="AL1479" s="8">
        <f t="shared" si="94"/>
        <v>29</v>
      </c>
      <c r="AM1479">
        <f t="shared" si="92"/>
        <v>0</v>
      </c>
      <c r="AN1479">
        <f t="shared" si="93"/>
        <v>0</v>
      </c>
    </row>
    <row r="1480" spans="1:40" x14ac:dyDescent="0.35">
      <c r="A1480">
        <v>79.940899999999999</v>
      </c>
      <c r="B1480">
        <v>85.138999999999996</v>
      </c>
      <c r="C1480">
        <v>2.4581300000000001</v>
      </c>
      <c r="D1480">
        <v>0</v>
      </c>
      <c r="E1480">
        <v>0.04</v>
      </c>
      <c r="F1480">
        <v>3.0215700000000001</v>
      </c>
      <c r="G1480">
        <v>3.0215700000000001</v>
      </c>
      <c r="H1480">
        <v>0</v>
      </c>
      <c r="I1480">
        <v>0.56621200000000005</v>
      </c>
      <c r="J1480">
        <v>5.3222399999999999</v>
      </c>
      <c r="K1480" s="2">
        <v>180036000</v>
      </c>
      <c r="L1480" s="1">
        <v>0</v>
      </c>
      <c r="M1480" s="1">
        <v>0</v>
      </c>
      <c r="N1480" s="1">
        <v>0</v>
      </c>
      <c r="O1480" s="1">
        <v>0</v>
      </c>
      <c r="P1480" s="2">
        <v>4517170</v>
      </c>
      <c r="Q1480" s="1">
        <v>310623</v>
      </c>
      <c r="R1480" s="1">
        <v>0</v>
      </c>
      <c r="S1480">
        <v>99.302199999999999</v>
      </c>
      <c r="T1480">
        <v>98.274000000000001</v>
      </c>
      <c r="U1480">
        <v>3.8525800000000001</v>
      </c>
      <c r="V1480">
        <v>0</v>
      </c>
      <c r="W1480">
        <v>1</v>
      </c>
      <c r="X1480">
        <v>1.7592300000000001</v>
      </c>
      <c r="Y1480">
        <v>1.7592300000000001</v>
      </c>
      <c r="Z1480">
        <v>0</v>
      </c>
      <c r="AA1480">
        <v>1.3591</v>
      </c>
      <c r="AB1480">
        <v>2.9635199999999999</v>
      </c>
      <c r="AC1480" s="2">
        <v>726435000</v>
      </c>
      <c r="AD1480" s="1">
        <v>0</v>
      </c>
      <c r="AE1480" s="1">
        <v>0</v>
      </c>
      <c r="AF1480" s="1">
        <v>0</v>
      </c>
      <c r="AG1480" s="1">
        <v>0</v>
      </c>
      <c r="AH1480" s="2">
        <v>4551530</v>
      </c>
      <c r="AI1480" s="1">
        <v>148362</v>
      </c>
      <c r="AJ1480" s="1">
        <v>0</v>
      </c>
      <c r="AK1480" s="8">
        <f t="shared" ref="AK1480:AK1543" si="95">IF(AK1479=52, 1, AK1479+1)</f>
        <v>23</v>
      </c>
      <c r="AL1480" s="8">
        <f t="shared" si="94"/>
        <v>29</v>
      </c>
      <c r="AM1480">
        <f t="shared" si="92"/>
        <v>0</v>
      </c>
      <c r="AN1480">
        <f t="shared" si="93"/>
        <v>0</v>
      </c>
    </row>
    <row r="1481" spans="1:40" x14ac:dyDescent="0.35">
      <c r="A1481">
        <v>79.078000000000003</v>
      </c>
      <c r="B1481">
        <v>85.138999999999996</v>
      </c>
      <c r="C1481">
        <v>2.3680099999999999</v>
      </c>
      <c r="D1481">
        <v>0</v>
      </c>
      <c r="E1481">
        <v>0.04</v>
      </c>
      <c r="F1481">
        <v>3.0217299999999998</v>
      </c>
      <c r="G1481">
        <v>3.0217299999999998</v>
      </c>
      <c r="H1481">
        <v>0</v>
      </c>
      <c r="I1481">
        <v>0.56624200000000002</v>
      </c>
      <c r="J1481">
        <v>5.3222399999999999</v>
      </c>
      <c r="K1481" s="2">
        <v>180346000</v>
      </c>
      <c r="L1481" s="1">
        <v>0</v>
      </c>
      <c r="M1481" s="1">
        <v>0</v>
      </c>
      <c r="N1481" s="1">
        <v>0</v>
      </c>
      <c r="O1481" s="1">
        <v>0</v>
      </c>
      <c r="P1481" s="2">
        <v>4517410</v>
      </c>
      <c r="Q1481" s="1">
        <v>310640</v>
      </c>
      <c r="R1481" s="1">
        <v>0</v>
      </c>
      <c r="S1481">
        <v>99.302199999999999</v>
      </c>
      <c r="T1481">
        <v>98.274000000000001</v>
      </c>
      <c r="U1481">
        <v>4.0289799999999998</v>
      </c>
      <c r="V1481">
        <v>0</v>
      </c>
      <c r="W1481">
        <v>1</v>
      </c>
      <c r="X1481">
        <v>1.75932</v>
      </c>
      <c r="Y1481">
        <v>1.75932</v>
      </c>
      <c r="Z1481">
        <v>0</v>
      </c>
      <c r="AA1481">
        <v>1.3591800000000001</v>
      </c>
      <c r="AB1481">
        <v>2.9635199999999999</v>
      </c>
      <c r="AC1481" s="2">
        <v>726583000</v>
      </c>
      <c r="AD1481" s="1">
        <v>0</v>
      </c>
      <c r="AE1481" s="1">
        <v>0</v>
      </c>
      <c r="AF1481" s="1">
        <v>0</v>
      </c>
      <c r="AG1481" s="1">
        <v>0</v>
      </c>
      <c r="AH1481" s="2">
        <v>4551780</v>
      </c>
      <c r="AI1481" s="1">
        <v>148370</v>
      </c>
      <c r="AJ1481" s="1">
        <v>0</v>
      </c>
      <c r="AK1481" s="8">
        <f t="shared" si="95"/>
        <v>24</v>
      </c>
      <c r="AL1481" s="8">
        <f t="shared" si="94"/>
        <v>29</v>
      </c>
      <c r="AM1481">
        <f t="shared" si="92"/>
        <v>0</v>
      </c>
      <c r="AN1481">
        <f t="shared" si="93"/>
        <v>0</v>
      </c>
    </row>
    <row r="1482" spans="1:40" x14ac:dyDescent="0.35">
      <c r="A1482">
        <v>78.057100000000005</v>
      </c>
      <c r="B1482">
        <v>85.138999999999996</v>
      </c>
      <c r="C1482">
        <v>2.1916799999999999</v>
      </c>
      <c r="D1482">
        <v>0</v>
      </c>
      <c r="E1482">
        <v>0.04</v>
      </c>
      <c r="F1482">
        <v>3.0219</v>
      </c>
      <c r="G1482">
        <v>3.0219</v>
      </c>
      <c r="H1482">
        <v>0</v>
      </c>
      <c r="I1482">
        <v>0.56627300000000003</v>
      </c>
      <c r="J1482">
        <v>5.3222399999999999</v>
      </c>
      <c r="K1482" s="2">
        <v>180657000</v>
      </c>
      <c r="L1482" s="1">
        <v>0</v>
      </c>
      <c r="M1482" s="1">
        <v>0</v>
      </c>
      <c r="N1482" s="1">
        <v>0</v>
      </c>
      <c r="O1482" s="1">
        <v>0</v>
      </c>
      <c r="P1482" s="2">
        <v>4517660</v>
      </c>
      <c r="Q1482" s="1">
        <v>310657</v>
      </c>
      <c r="R1482" s="1">
        <v>0</v>
      </c>
      <c r="S1482">
        <v>99.302199999999999</v>
      </c>
      <c r="T1482">
        <v>98.274000000000001</v>
      </c>
      <c r="U1482">
        <v>3.7864499999999999</v>
      </c>
      <c r="V1482">
        <v>0</v>
      </c>
      <c r="W1482">
        <v>1</v>
      </c>
      <c r="X1482">
        <v>1.7594099999999999</v>
      </c>
      <c r="Y1482">
        <v>1.7594099999999999</v>
      </c>
      <c r="Z1482">
        <v>0</v>
      </c>
      <c r="AA1482">
        <v>1.3592500000000001</v>
      </c>
      <c r="AB1482">
        <v>2.9635199999999999</v>
      </c>
      <c r="AC1482" s="2">
        <v>726732000</v>
      </c>
      <c r="AD1482" s="1">
        <v>0</v>
      </c>
      <c r="AE1482" s="1">
        <v>0</v>
      </c>
      <c r="AF1482" s="1">
        <v>0</v>
      </c>
      <c r="AG1482" s="1">
        <v>0</v>
      </c>
      <c r="AH1482" s="2">
        <v>4552030</v>
      </c>
      <c r="AI1482" s="1">
        <v>148378</v>
      </c>
      <c r="AJ1482" s="1">
        <v>0</v>
      </c>
      <c r="AK1482" s="8">
        <f t="shared" si="95"/>
        <v>25</v>
      </c>
      <c r="AL1482" s="8">
        <f t="shared" si="94"/>
        <v>29</v>
      </c>
      <c r="AM1482">
        <f t="shared" si="92"/>
        <v>0</v>
      </c>
      <c r="AN1482">
        <f t="shared" si="93"/>
        <v>0</v>
      </c>
    </row>
    <row r="1483" spans="1:40" x14ac:dyDescent="0.35">
      <c r="A1483">
        <v>77.343800000000002</v>
      </c>
      <c r="B1483">
        <v>85.138999999999996</v>
      </c>
      <c r="C1483">
        <v>2.3824100000000001</v>
      </c>
      <c r="D1483">
        <v>0.01</v>
      </c>
      <c r="E1483">
        <v>0.04</v>
      </c>
      <c r="F1483">
        <v>2.8630200000000001</v>
      </c>
      <c r="G1483">
        <v>3.1654200000000001</v>
      </c>
      <c r="H1483">
        <v>0</v>
      </c>
      <c r="I1483">
        <v>0.566303</v>
      </c>
      <c r="J1483">
        <v>5.3222399999999999</v>
      </c>
      <c r="K1483" s="2">
        <v>180574000</v>
      </c>
      <c r="L1483" s="1">
        <v>0</v>
      </c>
      <c r="M1483" s="1">
        <v>0</v>
      </c>
      <c r="N1483" s="1">
        <v>0</v>
      </c>
      <c r="O1483" s="1">
        <v>0</v>
      </c>
      <c r="P1483" s="2">
        <v>4280140</v>
      </c>
      <c r="Q1483" s="1">
        <v>-83127.600000000006</v>
      </c>
      <c r="R1483" s="1">
        <v>408539</v>
      </c>
      <c r="S1483">
        <v>99.302199999999999</v>
      </c>
      <c r="T1483">
        <v>98.274000000000001</v>
      </c>
      <c r="U1483">
        <v>3.9892699999999999</v>
      </c>
      <c r="V1483">
        <v>0</v>
      </c>
      <c r="W1483">
        <v>1</v>
      </c>
      <c r="X1483">
        <v>2.1570399999999998</v>
      </c>
      <c r="Y1483">
        <v>1.8546400000000001</v>
      </c>
      <c r="Z1483">
        <v>0</v>
      </c>
      <c r="AA1483">
        <v>1.3593200000000001</v>
      </c>
      <c r="AB1483">
        <v>2.9635199999999999</v>
      </c>
      <c r="AC1483" s="2">
        <v>727670000</v>
      </c>
      <c r="AD1483" s="1">
        <v>0</v>
      </c>
      <c r="AE1483" s="1">
        <v>0</v>
      </c>
      <c r="AF1483" s="1">
        <v>0</v>
      </c>
      <c r="AG1483" s="1">
        <v>0</v>
      </c>
      <c r="AH1483" s="2">
        <v>5580770</v>
      </c>
      <c r="AI1483" s="1">
        <v>938790</v>
      </c>
      <c r="AJ1483" s="1">
        <v>0</v>
      </c>
      <c r="AK1483" s="8">
        <f t="shared" si="95"/>
        <v>26</v>
      </c>
      <c r="AL1483" s="8">
        <f t="shared" si="94"/>
        <v>29</v>
      </c>
      <c r="AM1483">
        <f t="shared" si="92"/>
        <v>0</v>
      </c>
      <c r="AN1483">
        <f t="shared" si="93"/>
        <v>0</v>
      </c>
    </row>
    <row r="1484" spans="1:40" x14ac:dyDescent="0.35">
      <c r="A1484">
        <v>76.499499999999998</v>
      </c>
      <c r="B1484">
        <v>85.138999999999996</v>
      </c>
      <c r="C1484">
        <v>2.2082799999999998</v>
      </c>
      <c r="D1484">
        <v>0.01</v>
      </c>
      <c r="E1484">
        <v>0.04</v>
      </c>
      <c r="F1484">
        <v>2.8631899999999999</v>
      </c>
      <c r="G1484">
        <v>3.1655899999999999</v>
      </c>
      <c r="H1484">
        <v>0</v>
      </c>
      <c r="I1484">
        <v>0.53652900000000003</v>
      </c>
      <c r="J1484">
        <v>5.3222399999999999</v>
      </c>
      <c r="K1484" s="2">
        <v>180491000</v>
      </c>
      <c r="L1484" s="1">
        <v>0</v>
      </c>
      <c r="M1484" s="1">
        <v>0</v>
      </c>
      <c r="N1484" s="1">
        <v>0</v>
      </c>
      <c r="O1484" s="1">
        <v>0</v>
      </c>
      <c r="P1484" s="2">
        <v>4280390</v>
      </c>
      <c r="Q1484" s="1">
        <v>-83110.100000000006</v>
      </c>
      <c r="R1484" s="1">
        <v>408539</v>
      </c>
      <c r="S1484">
        <v>99.302199999999999</v>
      </c>
      <c r="T1484">
        <v>98.274000000000001</v>
      </c>
      <c r="U1484">
        <v>3.8791600000000002</v>
      </c>
      <c r="V1484">
        <v>0</v>
      </c>
      <c r="W1484">
        <v>1</v>
      </c>
      <c r="X1484">
        <v>2.1571400000000001</v>
      </c>
      <c r="Y1484">
        <v>1.8547400000000001</v>
      </c>
      <c r="Z1484">
        <v>0</v>
      </c>
      <c r="AA1484">
        <v>1.6665300000000001</v>
      </c>
      <c r="AB1484">
        <v>2.9635199999999999</v>
      </c>
      <c r="AC1484" s="2">
        <v>728609000</v>
      </c>
      <c r="AD1484" s="1">
        <v>0</v>
      </c>
      <c r="AE1484" s="1">
        <v>0</v>
      </c>
      <c r="AF1484" s="1">
        <v>0</v>
      </c>
      <c r="AG1484" s="1">
        <v>0</v>
      </c>
      <c r="AH1484" s="2">
        <v>5581030</v>
      </c>
      <c r="AI1484" s="1">
        <v>938798</v>
      </c>
      <c r="AJ1484" s="1">
        <v>0</v>
      </c>
      <c r="AK1484" s="8">
        <f t="shared" si="95"/>
        <v>27</v>
      </c>
      <c r="AL1484" s="8">
        <f t="shared" si="94"/>
        <v>29</v>
      </c>
      <c r="AM1484">
        <f t="shared" si="92"/>
        <v>0</v>
      </c>
      <c r="AN1484">
        <f t="shared" si="93"/>
        <v>0</v>
      </c>
    </row>
    <row r="1485" spans="1:40" x14ac:dyDescent="0.35">
      <c r="A1485">
        <v>75.579499999999996</v>
      </c>
      <c r="B1485">
        <v>85.138999999999996</v>
      </c>
      <c r="C1485">
        <v>2.11084</v>
      </c>
      <c r="D1485">
        <v>0.01</v>
      </c>
      <c r="E1485">
        <v>0.04</v>
      </c>
      <c r="F1485">
        <v>2.8633600000000001</v>
      </c>
      <c r="G1485">
        <v>3.1657600000000001</v>
      </c>
      <c r="H1485">
        <v>0</v>
      </c>
      <c r="I1485">
        <v>0.53656099999999995</v>
      </c>
      <c r="J1485">
        <v>5.3222399999999999</v>
      </c>
      <c r="K1485" s="2">
        <v>180408000</v>
      </c>
      <c r="L1485" s="1">
        <v>0</v>
      </c>
      <c r="M1485" s="1">
        <v>0</v>
      </c>
      <c r="N1485" s="1">
        <v>0</v>
      </c>
      <c r="O1485" s="1">
        <v>0</v>
      </c>
      <c r="P1485" s="2">
        <v>4280650</v>
      </c>
      <c r="Q1485" s="1">
        <v>-83092.5</v>
      </c>
      <c r="R1485" s="1">
        <v>408539</v>
      </c>
      <c r="S1485">
        <v>99.302199999999999</v>
      </c>
      <c r="T1485">
        <v>98.274000000000001</v>
      </c>
      <c r="U1485">
        <v>3.9532400000000001</v>
      </c>
      <c r="V1485">
        <v>0</v>
      </c>
      <c r="W1485">
        <v>1</v>
      </c>
      <c r="X1485">
        <v>2.1572399999999998</v>
      </c>
      <c r="Y1485">
        <v>1.85484</v>
      </c>
      <c r="Z1485">
        <v>0</v>
      </c>
      <c r="AA1485">
        <v>1.6666000000000001</v>
      </c>
      <c r="AB1485">
        <v>2.9635199999999999</v>
      </c>
      <c r="AC1485" s="2">
        <v>729548000</v>
      </c>
      <c r="AD1485" s="1">
        <v>0</v>
      </c>
      <c r="AE1485" s="1">
        <v>0</v>
      </c>
      <c r="AF1485" s="1">
        <v>0</v>
      </c>
      <c r="AG1485" s="1">
        <v>0</v>
      </c>
      <c r="AH1485" s="2">
        <v>5581290</v>
      </c>
      <c r="AI1485" s="1">
        <v>938807</v>
      </c>
      <c r="AJ1485" s="1">
        <v>0</v>
      </c>
      <c r="AK1485" s="8">
        <f t="shared" si="95"/>
        <v>28</v>
      </c>
      <c r="AL1485" s="8">
        <f t="shared" si="94"/>
        <v>29</v>
      </c>
      <c r="AM1485">
        <f t="shared" si="92"/>
        <v>0</v>
      </c>
      <c r="AN1485">
        <f t="shared" si="93"/>
        <v>0</v>
      </c>
    </row>
    <row r="1486" spans="1:40" x14ac:dyDescent="0.35">
      <c r="A1486">
        <v>74.5779</v>
      </c>
      <c r="B1486">
        <v>85.138999999999996</v>
      </c>
      <c r="C1486">
        <v>2.0144700000000002</v>
      </c>
      <c r="D1486">
        <v>0.01</v>
      </c>
      <c r="E1486">
        <v>0.04</v>
      </c>
      <c r="F1486">
        <v>2.8635299999999999</v>
      </c>
      <c r="G1486">
        <v>3.1659299999999999</v>
      </c>
      <c r="H1486">
        <v>0</v>
      </c>
      <c r="I1486">
        <v>0.53659299999999999</v>
      </c>
      <c r="J1486">
        <v>5.3222399999999999</v>
      </c>
      <c r="K1486" s="2">
        <v>180324000</v>
      </c>
      <c r="L1486" s="1">
        <v>0</v>
      </c>
      <c r="M1486" s="1">
        <v>0</v>
      </c>
      <c r="N1486" s="1">
        <v>0</v>
      </c>
      <c r="O1486" s="1">
        <v>0</v>
      </c>
      <c r="P1486" s="2">
        <v>4280900</v>
      </c>
      <c r="Q1486" s="1">
        <v>-83075</v>
      </c>
      <c r="R1486" s="1">
        <v>408539</v>
      </c>
      <c r="S1486">
        <v>99.302199999999999</v>
      </c>
      <c r="T1486">
        <v>98.274000000000001</v>
      </c>
      <c r="U1486">
        <v>3.8473199999999999</v>
      </c>
      <c r="V1486">
        <v>0</v>
      </c>
      <c r="W1486">
        <v>1</v>
      </c>
      <c r="X1486">
        <v>2.15734</v>
      </c>
      <c r="Y1486">
        <v>1.85494</v>
      </c>
      <c r="Z1486">
        <v>0</v>
      </c>
      <c r="AA1486">
        <v>1.6666799999999999</v>
      </c>
      <c r="AB1486">
        <v>2.9635199999999999</v>
      </c>
      <c r="AC1486" s="2">
        <v>730487000</v>
      </c>
      <c r="AD1486" s="1">
        <v>0</v>
      </c>
      <c r="AE1486" s="1">
        <v>0</v>
      </c>
      <c r="AF1486" s="1">
        <v>0</v>
      </c>
      <c r="AG1486" s="1">
        <v>0</v>
      </c>
      <c r="AH1486" s="2">
        <v>5581550</v>
      </c>
      <c r="AI1486" s="1">
        <v>938815</v>
      </c>
      <c r="AJ1486" s="1">
        <v>0</v>
      </c>
      <c r="AK1486" s="8">
        <f t="shared" si="95"/>
        <v>29</v>
      </c>
      <c r="AL1486" s="8">
        <f t="shared" si="94"/>
        <v>29</v>
      </c>
      <c r="AM1486">
        <f t="shared" si="92"/>
        <v>0</v>
      </c>
      <c r="AN1486">
        <f t="shared" si="93"/>
        <v>0</v>
      </c>
    </row>
    <row r="1487" spans="1:40" x14ac:dyDescent="0.35">
      <c r="A1487">
        <v>73.514200000000002</v>
      </c>
      <c r="B1487">
        <v>85.138999999999996</v>
      </c>
      <c r="C1487">
        <v>1.9281600000000001</v>
      </c>
      <c r="D1487">
        <v>0.01</v>
      </c>
      <c r="E1487">
        <v>0.04</v>
      </c>
      <c r="F1487">
        <v>2.8637000000000001</v>
      </c>
      <c r="G1487">
        <v>3.1661000000000001</v>
      </c>
      <c r="H1487">
        <v>0</v>
      </c>
      <c r="I1487">
        <v>0.53662500000000002</v>
      </c>
      <c r="J1487">
        <v>5.3222399999999999</v>
      </c>
      <c r="K1487" s="2">
        <v>180241000</v>
      </c>
      <c r="L1487" s="1">
        <v>0</v>
      </c>
      <c r="M1487" s="1">
        <v>0</v>
      </c>
      <c r="N1487" s="1">
        <v>0</v>
      </c>
      <c r="O1487" s="1">
        <v>0</v>
      </c>
      <c r="P1487" s="2">
        <v>4281160</v>
      </c>
      <c r="Q1487" s="1">
        <v>-83057.5</v>
      </c>
      <c r="R1487" s="1">
        <v>408539</v>
      </c>
      <c r="S1487">
        <v>99.302199999999999</v>
      </c>
      <c r="T1487">
        <v>98.274000000000001</v>
      </c>
      <c r="U1487">
        <v>3.6240399999999999</v>
      </c>
      <c r="V1487">
        <v>0</v>
      </c>
      <c r="W1487">
        <v>1</v>
      </c>
      <c r="X1487">
        <v>2.1574399999999998</v>
      </c>
      <c r="Y1487">
        <v>1.85504</v>
      </c>
      <c r="Z1487">
        <v>0</v>
      </c>
      <c r="AA1487">
        <v>1.66676</v>
      </c>
      <c r="AB1487">
        <v>2.9635199999999999</v>
      </c>
      <c r="AC1487" s="2">
        <v>731426000</v>
      </c>
      <c r="AD1487" s="1">
        <v>0</v>
      </c>
      <c r="AE1487" s="1">
        <v>0</v>
      </c>
      <c r="AF1487" s="1">
        <v>0</v>
      </c>
      <c r="AG1487" s="1">
        <v>0</v>
      </c>
      <c r="AH1487" s="2">
        <v>5581810</v>
      </c>
      <c r="AI1487" s="1">
        <v>938824</v>
      </c>
      <c r="AJ1487" s="1">
        <v>0</v>
      </c>
      <c r="AK1487" s="8">
        <f t="shared" si="95"/>
        <v>30</v>
      </c>
      <c r="AL1487" s="8">
        <f t="shared" si="94"/>
        <v>29</v>
      </c>
      <c r="AM1487">
        <f t="shared" si="92"/>
        <v>0</v>
      </c>
      <c r="AN1487">
        <f t="shared" si="93"/>
        <v>0</v>
      </c>
    </row>
    <row r="1488" spans="1:40" x14ac:dyDescent="0.35">
      <c r="A1488">
        <v>72.750200000000007</v>
      </c>
      <c r="B1488">
        <v>85.138999999999996</v>
      </c>
      <c r="C1488">
        <v>2.1481699999999999</v>
      </c>
      <c r="D1488">
        <v>0.02</v>
      </c>
      <c r="E1488">
        <v>0.04</v>
      </c>
      <c r="F1488">
        <v>2.8355100000000002</v>
      </c>
      <c r="G1488">
        <v>3.1379100000000002</v>
      </c>
      <c r="H1488">
        <v>0</v>
      </c>
      <c r="I1488">
        <v>0.53665700000000005</v>
      </c>
      <c r="J1488">
        <v>5.3222399999999999</v>
      </c>
      <c r="K1488" s="2">
        <v>180155000</v>
      </c>
      <c r="L1488" s="1">
        <v>0</v>
      </c>
      <c r="M1488" s="1">
        <v>0</v>
      </c>
      <c r="N1488" s="1">
        <v>0</v>
      </c>
      <c r="O1488" s="1">
        <v>0</v>
      </c>
      <c r="P1488" s="2">
        <v>4239020</v>
      </c>
      <c r="Q1488" s="1">
        <v>-85955.199999999997</v>
      </c>
      <c r="R1488" s="1">
        <v>408539</v>
      </c>
      <c r="S1488">
        <v>99.302199999999999</v>
      </c>
      <c r="T1488">
        <v>98.274000000000001</v>
      </c>
      <c r="U1488">
        <v>3.5836600000000001</v>
      </c>
      <c r="V1488">
        <v>0</v>
      </c>
      <c r="W1488">
        <v>1</v>
      </c>
      <c r="X1488">
        <v>2.2098399999999998</v>
      </c>
      <c r="Y1488">
        <v>1.90744</v>
      </c>
      <c r="Z1488">
        <v>0</v>
      </c>
      <c r="AA1488">
        <v>1.6668400000000001</v>
      </c>
      <c r="AB1488">
        <v>2.9635199999999999</v>
      </c>
      <c r="AC1488" s="2">
        <v>732369000</v>
      </c>
      <c r="AD1488" s="1">
        <v>0</v>
      </c>
      <c r="AE1488" s="1">
        <v>0</v>
      </c>
      <c r="AF1488" s="1">
        <v>0</v>
      </c>
      <c r="AG1488" s="1">
        <v>0</v>
      </c>
      <c r="AH1488" s="2">
        <v>5717370</v>
      </c>
      <c r="AI1488" s="1">
        <v>943242</v>
      </c>
      <c r="AJ1488" s="1">
        <v>0</v>
      </c>
      <c r="AK1488" s="8">
        <f t="shared" si="95"/>
        <v>31</v>
      </c>
      <c r="AL1488" s="8">
        <f t="shared" si="94"/>
        <v>29</v>
      </c>
      <c r="AM1488">
        <f t="shared" si="92"/>
        <v>0</v>
      </c>
      <c r="AN1488">
        <f t="shared" si="93"/>
        <v>0</v>
      </c>
    </row>
    <row r="1489" spans="1:40" x14ac:dyDescent="0.35">
      <c r="A1489">
        <v>71.852800000000002</v>
      </c>
      <c r="B1489">
        <v>85.138999999999996</v>
      </c>
      <c r="C1489">
        <v>2.0077199999999999</v>
      </c>
      <c r="D1489">
        <v>0.02</v>
      </c>
      <c r="E1489">
        <v>0.04</v>
      </c>
      <c r="F1489">
        <v>2.83568</v>
      </c>
      <c r="G1489">
        <v>3.13808</v>
      </c>
      <c r="H1489">
        <v>0</v>
      </c>
      <c r="I1489">
        <v>0.53137500000000004</v>
      </c>
      <c r="J1489">
        <v>5.3222399999999999</v>
      </c>
      <c r="K1489" s="2">
        <v>180069000</v>
      </c>
      <c r="L1489" s="1">
        <v>0</v>
      </c>
      <c r="M1489" s="1">
        <v>0</v>
      </c>
      <c r="N1489" s="1">
        <v>0</v>
      </c>
      <c r="O1489" s="1">
        <v>0</v>
      </c>
      <c r="P1489" s="2">
        <v>4239270</v>
      </c>
      <c r="Q1489" s="1">
        <v>-85937.8</v>
      </c>
      <c r="R1489" s="1">
        <v>408539</v>
      </c>
      <c r="S1489">
        <v>99.302199999999999</v>
      </c>
      <c r="T1489">
        <v>98.274000000000001</v>
      </c>
      <c r="U1489">
        <v>3.4685800000000002</v>
      </c>
      <c r="V1489">
        <v>0</v>
      </c>
      <c r="W1489">
        <v>1</v>
      </c>
      <c r="X1489">
        <v>2.20994</v>
      </c>
      <c r="Y1489">
        <v>1.90754</v>
      </c>
      <c r="Z1489">
        <v>0</v>
      </c>
      <c r="AA1489">
        <v>1.7073199999999999</v>
      </c>
      <c r="AB1489">
        <v>2.9635199999999999</v>
      </c>
      <c r="AC1489" s="2">
        <v>733312000</v>
      </c>
      <c r="AD1489" s="1">
        <v>0</v>
      </c>
      <c r="AE1489" s="1">
        <v>0</v>
      </c>
      <c r="AF1489" s="1">
        <v>0</v>
      </c>
      <c r="AG1489" s="1">
        <v>0</v>
      </c>
      <c r="AH1489" s="2">
        <v>5717640</v>
      </c>
      <c r="AI1489" s="1">
        <v>943251</v>
      </c>
      <c r="AJ1489" s="1">
        <v>0</v>
      </c>
      <c r="AK1489" s="8">
        <f t="shared" si="95"/>
        <v>32</v>
      </c>
      <c r="AL1489" s="8">
        <f t="shared" si="94"/>
        <v>29</v>
      </c>
      <c r="AM1489">
        <f t="shared" si="92"/>
        <v>0</v>
      </c>
      <c r="AN1489">
        <f t="shared" si="93"/>
        <v>0</v>
      </c>
    </row>
    <row r="1490" spans="1:40" x14ac:dyDescent="0.35">
      <c r="A1490">
        <v>70.781899999999993</v>
      </c>
      <c r="B1490">
        <v>85.138999999999996</v>
      </c>
      <c r="C1490">
        <v>1.8255600000000001</v>
      </c>
      <c r="D1490">
        <v>0.02</v>
      </c>
      <c r="E1490">
        <v>0.04</v>
      </c>
      <c r="F1490">
        <v>2.8358500000000002</v>
      </c>
      <c r="G1490">
        <v>3.1382500000000002</v>
      </c>
      <c r="H1490">
        <v>0</v>
      </c>
      <c r="I1490">
        <v>0.53140600000000004</v>
      </c>
      <c r="J1490">
        <v>5.3222399999999999</v>
      </c>
      <c r="K1490" s="2">
        <v>179984000</v>
      </c>
      <c r="L1490" s="1">
        <v>0</v>
      </c>
      <c r="M1490" s="1">
        <v>0</v>
      </c>
      <c r="N1490" s="1">
        <v>0</v>
      </c>
      <c r="O1490" s="1">
        <v>0</v>
      </c>
      <c r="P1490" s="2">
        <v>4239520</v>
      </c>
      <c r="Q1490" s="1">
        <v>-85920.4</v>
      </c>
      <c r="R1490" s="1">
        <v>408539</v>
      </c>
      <c r="S1490">
        <v>99.302199999999999</v>
      </c>
      <c r="T1490">
        <v>98.274000000000001</v>
      </c>
      <c r="U1490">
        <v>3.3006099999999998</v>
      </c>
      <c r="V1490">
        <v>0</v>
      </c>
      <c r="W1490">
        <v>1</v>
      </c>
      <c r="X1490">
        <v>2.2100399999999998</v>
      </c>
      <c r="Y1490">
        <v>1.90764</v>
      </c>
      <c r="Z1490">
        <v>0</v>
      </c>
      <c r="AA1490">
        <v>1.7074</v>
      </c>
      <c r="AB1490">
        <v>2.9635199999999999</v>
      </c>
      <c r="AC1490" s="2">
        <v>734255000</v>
      </c>
      <c r="AD1490" s="1">
        <v>0</v>
      </c>
      <c r="AE1490" s="1">
        <v>0</v>
      </c>
      <c r="AF1490" s="1">
        <v>0</v>
      </c>
      <c r="AG1490" s="1">
        <v>0</v>
      </c>
      <c r="AH1490" s="2">
        <v>5717900</v>
      </c>
      <c r="AI1490" s="1">
        <v>943260</v>
      </c>
      <c r="AJ1490" s="1">
        <v>0</v>
      </c>
      <c r="AK1490" s="8">
        <f t="shared" si="95"/>
        <v>33</v>
      </c>
      <c r="AL1490" s="8">
        <f t="shared" si="94"/>
        <v>29</v>
      </c>
      <c r="AM1490">
        <f t="shared" si="92"/>
        <v>0</v>
      </c>
      <c r="AN1490">
        <f t="shared" si="93"/>
        <v>0</v>
      </c>
    </row>
    <row r="1491" spans="1:40" x14ac:dyDescent="0.35">
      <c r="A1491">
        <v>69.5685</v>
      </c>
      <c r="B1491">
        <v>85.138999999999996</v>
      </c>
      <c r="C1491">
        <v>1.65954</v>
      </c>
      <c r="D1491">
        <v>0.02</v>
      </c>
      <c r="E1491">
        <v>0.04</v>
      </c>
      <c r="F1491">
        <v>2.83602</v>
      </c>
      <c r="G1491">
        <v>3.13842</v>
      </c>
      <c r="H1491">
        <v>0</v>
      </c>
      <c r="I1491">
        <v>0.53143799999999997</v>
      </c>
      <c r="J1491">
        <v>5.3222399999999999</v>
      </c>
      <c r="K1491" s="2">
        <v>179898000</v>
      </c>
      <c r="L1491" s="1">
        <v>0</v>
      </c>
      <c r="M1491" s="1">
        <v>0</v>
      </c>
      <c r="N1491" s="1">
        <v>0</v>
      </c>
      <c r="O1491" s="1">
        <v>0</v>
      </c>
      <c r="P1491" s="2">
        <v>4239780</v>
      </c>
      <c r="Q1491" s="1">
        <v>-85903.1</v>
      </c>
      <c r="R1491" s="1">
        <v>408539</v>
      </c>
      <c r="S1491">
        <v>99.302199999999999</v>
      </c>
      <c r="T1491">
        <v>98.274000000000001</v>
      </c>
      <c r="U1491">
        <v>3.0657999999999999</v>
      </c>
      <c r="V1491">
        <v>0</v>
      </c>
      <c r="W1491">
        <v>1</v>
      </c>
      <c r="X1491">
        <v>2.21014</v>
      </c>
      <c r="Y1491">
        <v>1.90774</v>
      </c>
      <c r="Z1491">
        <v>0</v>
      </c>
      <c r="AA1491">
        <v>1.7074800000000001</v>
      </c>
      <c r="AB1491">
        <v>2.9635199999999999</v>
      </c>
      <c r="AC1491" s="2">
        <v>735199000</v>
      </c>
      <c r="AD1491" s="1">
        <v>0</v>
      </c>
      <c r="AE1491" s="1">
        <v>0</v>
      </c>
      <c r="AF1491" s="1">
        <v>0</v>
      </c>
      <c r="AG1491" s="1">
        <v>0</v>
      </c>
      <c r="AH1491" s="2">
        <v>5718170</v>
      </c>
      <c r="AI1491" s="1">
        <v>943268</v>
      </c>
      <c r="AJ1491" s="1">
        <v>0</v>
      </c>
      <c r="AK1491" s="8">
        <f t="shared" si="95"/>
        <v>34</v>
      </c>
      <c r="AL1491" s="8">
        <f t="shared" si="94"/>
        <v>29</v>
      </c>
      <c r="AM1491">
        <f t="shared" si="92"/>
        <v>0</v>
      </c>
      <c r="AN1491">
        <f t="shared" si="93"/>
        <v>0</v>
      </c>
    </row>
    <row r="1492" spans="1:40" x14ac:dyDescent="0.35">
      <c r="A1492">
        <v>68.813000000000002</v>
      </c>
      <c r="B1492">
        <v>85.138999999999996</v>
      </c>
      <c r="C1492">
        <v>2.1567099999999999</v>
      </c>
      <c r="D1492">
        <v>0.02</v>
      </c>
      <c r="E1492">
        <v>0.04</v>
      </c>
      <c r="F1492">
        <v>2.90944</v>
      </c>
      <c r="G1492">
        <v>3.21184</v>
      </c>
      <c r="H1492">
        <v>0</v>
      </c>
      <c r="I1492">
        <v>0.53147</v>
      </c>
      <c r="J1492">
        <v>5.3222399999999999</v>
      </c>
      <c r="K1492" s="2">
        <v>179819000</v>
      </c>
      <c r="L1492" s="1">
        <v>0</v>
      </c>
      <c r="M1492" s="1">
        <v>0</v>
      </c>
      <c r="N1492" s="1">
        <v>0</v>
      </c>
      <c r="O1492" s="1">
        <v>0</v>
      </c>
      <c r="P1492" s="2">
        <v>4349530</v>
      </c>
      <c r="Q1492" s="1">
        <v>-78355.600000000006</v>
      </c>
      <c r="R1492" s="1">
        <v>408539</v>
      </c>
      <c r="S1492">
        <v>99.302199999999999</v>
      </c>
      <c r="T1492">
        <v>98.274000000000001</v>
      </c>
      <c r="U1492">
        <v>3.45343</v>
      </c>
      <c r="V1492">
        <v>0</v>
      </c>
      <c r="W1492">
        <v>1</v>
      </c>
      <c r="X1492">
        <v>2.2568700000000002</v>
      </c>
      <c r="Y1492">
        <v>1.9544699999999999</v>
      </c>
      <c r="Z1492">
        <v>0</v>
      </c>
      <c r="AA1492">
        <v>1.70756</v>
      </c>
      <c r="AB1492">
        <v>2.9635199999999999</v>
      </c>
      <c r="AC1492" s="2">
        <v>736146000</v>
      </c>
      <c r="AD1492" s="1">
        <v>0</v>
      </c>
      <c r="AE1492" s="1">
        <v>0</v>
      </c>
      <c r="AF1492" s="1">
        <v>0</v>
      </c>
      <c r="AG1492" s="1">
        <v>0</v>
      </c>
      <c r="AH1492" s="2">
        <v>5839050</v>
      </c>
      <c r="AI1492" s="1">
        <v>947209</v>
      </c>
      <c r="AJ1492" s="1">
        <v>0</v>
      </c>
      <c r="AK1492" s="8">
        <f t="shared" si="95"/>
        <v>35</v>
      </c>
      <c r="AL1492" s="8">
        <f t="shared" si="94"/>
        <v>29</v>
      </c>
      <c r="AM1492">
        <f t="shared" si="92"/>
        <v>0</v>
      </c>
      <c r="AN1492">
        <f t="shared" si="93"/>
        <v>0</v>
      </c>
    </row>
    <row r="1493" spans="1:40" x14ac:dyDescent="0.35">
      <c r="A1493">
        <v>68.032300000000006</v>
      </c>
      <c r="B1493">
        <v>85.138999999999996</v>
      </c>
      <c r="C1493">
        <v>2.1282800000000002</v>
      </c>
      <c r="D1493">
        <v>0.02</v>
      </c>
      <c r="E1493">
        <v>0.04</v>
      </c>
      <c r="F1493">
        <v>2.9096099999999998</v>
      </c>
      <c r="G1493">
        <v>3.2120099999999998</v>
      </c>
      <c r="H1493">
        <v>0</v>
      </c>
      <c r="I1493">
        <v>0.54522800000000005</v>
      </c>
      <c r="J1493">
        <v>5.3222399999999999</v>
      </c>
      <c r="K1493" s="2">
        <v>179741000</v>
      </c>
      <c r="L1493" s="1">
        <v>0</v>
      </c>
      <c r="M1493" s="1">
        <v>0</v>
      </c>
      <c r="N1493" s="1">
        <v>0</v>
      </c>
      <c r="O1493" s="1">
        <v>0</v>
      </c>
      <c r="P1493" s="2">
        <v>4349790</v>
      </c>
      <c r="Q1493" s="1">
        <v>-78337.8</v>
      </c>
      <c r="R1493" s="1">
        <v>408539</v>
      </c>
      <c r="S1493">
        <v>99.302199999999999</v>
      </c>
      <c r="T1493">
        <v>98.274000000000001</v>
      </c>
      <c r="U1493">
        <v>3.3641000000000001</v>
      </c>
      <c r="V1493">
        <v>0</v>
      </c>
      <c r="W1493">
        <v>1</v>
      </c>
      <c r="X1493">
        <v>2.2569699999999999</v>
      </c>
      <c r="Y1493">
        <v>1.9545699999999999</v>
      </c>
      <c r="Z1493">
        <v>0</v>
      </c>
      <c r="AA1493">
        <v>1.7436499999999999</v>
      </c>
      <c r="AB1493">
        <v>2.9635199999999999</v>
      </c>
      <c r="AC1493" s="2">
        <v>737093000</v>
      </c>
      <c r="AD1493" s="1">
        <v>0</v>
      </c>
      <c r="AE1493" s="1">
        <v>0</v>
      </c>
      <c r="AF1493" s="1">
        <v>0</v>
      </c>
      <c r="AG1493" s="1">
        <v>0</v>
      </c>
      <c r="AH1493" s="2">
        <v>5839320</v>
      </c>
      <c r="AI1493" s="1">
        <v>947218</v>
      </c>
      <c r="AJ1493" s="1">
        <v>0</v>
      </c>
      <c r="AK1493" s="8">
        <f t="shared" si="95"/>
        <v>36</v>
      </c>
      <c r="AL1493" s="8">
        <f t="shared" si="94"/>
        <v>29</v>
      </c>
      <c r="AM1493">
        <f t="shared" si="92"/>
        <v>0</v>
      </c>
      <c r="AN1493">
        <f t="shared" si="93"/>
        <v>0</v>
      </c>
    </row>
    <row r="1494" spans="1:40" x14ac:dyDescent="0.35">
      <c r="A1494">
        <v>67.096999999999994</v>
      </c>
      <c r="B1494">
        <v>85.138999999999996</v>
      </c>
      <c r="C1494">
        <v>1.96183</v>
      </c>
      <c r="D1494">
        <v>0.02</v>
      </c>
      <c r="E1494">
        <v>0.04</v>
      </c>
      <c r="F1494">
        <v>2.90978</v>
      </c>
      <c r="G1494">
        <v>3.21218</v>
      </c>
      <c r="H1494">
        <v>0</v>
      </c>
      <c r="I1494">
        <v>0.545261</v>
      </c>
      <c r="J1494">
        <v>5.3222399999999999</v>
      </c>
      <c r="K1494" s="2">
        <v>179663000</v>
      </c>
      <c r="L1494" s="1">
        <v>0</v>
      </c>
      <c r="M1494" s="1">
        <v>0</v>
      </c>
      <c r="N1494" s="1">
        <v>0</v>
      </c>
      <c r="O1494" s="1">
        <v>0</v>
      </c>
      <c r="P1494" s="2">
        <v>4350050</v>
      </c>
      <c r="Q1494" s="1">
        <v>-78320</v>
      </c>
      <c r="R1494" s="1">
        <v>408539</v>
      </c>
      <c r="S1494">
        <v>99.302199999999999</v>
      </c>
      <c r="T1494">
        <v>98.274000000000001</v>
      </c>
      <c r="U1494">
        <v>3.2513000000000001</v>
      </c>
      <c r="V1494">
        <v>0</v>
      </c>
      <c r="W1494">
        <v>1</v>
      </c>
      <c r="X1494">
        <v>2.2570800000000002</v>
      </c>
      <c r="Y1494">
        <v>1.95468</v>
      </c>
      <c r="Z1494">
        <v>0</v>
      </c>
      <c r="AA1494">
        <v>1.7437400000000001</v>
      </c>
      <c r="AB1494">
        <v>2.9635199999999999</v>
      </c>
      <c r="AC1494" s="2">
        <v>738040000</v>
      </c>
      <c r="AD1494" s="1">
        <v>0</v>
      </c>
      <c r="AE1494" s="1">
        <v>0</v>
      </c>
      <c r="AF1494" s="1">
        <v>0</v>
      </c>
      <c r="AG1494" s="1">
        <v>0</v>
      </c>
      <c r="AH1494" s="2">
        <v>5839600</v>
      </c>
      <c r="AI1494" s="1">
        <v>947226</v>
      </c>
      <c r="AJ1494" s="1">
        <v>0</v>
      </c>
      <c r="AK1494" s="8">
        <f t="shared" si="95"/>
        <v>37</v>
      </c>
      <c r="AL1494" s="8">
        <f t="shared" si="94"/>
        <v>29</v>
      </c>
      <c r="AM1494">
        <f t="shared" si="92"/>
        <v>0</v>
      </c>
      <c r="AN1494">
        <f t="shared" si="93"/>
        <v>0</v>
      </c>
    </row>
    <row r="1495" spans="1:40" x14ac:dyDescent="0.35">
      <c r="A1495">
        <v>65.867000000000004</v>
      </c>
      <c r="B1495">
        <v>85.138999999999996</v>
      </c>
      <c r="C1495">
        <v>1.6388100000000001</v>
      </c>
      <c r="D1495">
        <v>0.02</v>
      </c>
      <c r="E1495">
        <v>0.04</v>
      </c>
      <c r="F1495">
        <v>2.9099499999999998</v>
      </c>
      <c r="G1495">
        <v>3.2123499999999998</v>
      </c>
      <c r="H1495">
        <v>0</v>
      </c>
      <c r="I1495">
        <v>0.54529300000000003</v>
      </c>
      <c r="J1495">
        <v>5.3222399999999999</v>
      </c>
      <c r="K1495" s="2">
        <v>179584000</v>
      </c>
      <c r="L1495" s="1">
        <v>0</v>
      </c>
      <c r="M1495" s="1">
        <v>0</v>
      </c>
      <c r="N1495" s="1">
        <v>0</v>
      </c>
      <c r="O1495" s="1">
        <v>0</v>
      </c>
      <c r="P1495" s="2">
        <v>4350310</v>
      </c>
      <c r="Q1495" s="1">
        <v>-78302.2</v>
      </c>
      <c r="R1495" s="1">
        <v>408539</v>
      </c>
      <c r="S1495">
        <v>99.302199999999999</v>
      </c>
      <c r="T1495">
        <v>98.274000000000001</v>
      </c>
      <c r="U1495">
        <v>3.2128999999999999</v>
      </c>
      <c r="V1495">
        <v>0</v>
      </c>
      <c r="W1495">
        <v>1</v>
      </c>
      <c r="X1495">
        <v>2.25718</v>
      </c>
      <c r="Y1495">
        <v>1.95478</v>
      </c>
      <c r="Z1495">
        <v>0</v>
      </c>
      <c r="AA1495">
        <v>1.7438199999999999</v>
      </c>
      <c r="AB1495">
        <v>2.9635199999999999</v>
      </c>
      <c r="AC1495" s="2">
        <v>738987000</v>
      </c>
      <c r="AD1495" s="1">
        <v>0</v>
      </c>
      <c r="AE1495" s="1">
        <v>0</v>
      </c>
      <c r="AF1495" s="1">
        <v>0</v>
      </c>
      <c r="AG1495" s="1">
        <v>0</v>
      </c>
      <c r="AH1495" s="2">
        <v>5839870</v>
      </c>
      <c r="AI1495" s="1">
        <v>947235</v>
      </c>
      <c r="AJ1495" s="1">
        <v>0</v>
      </c>
      <c r="AK1495" s="8">
        <f t="shared" si="95"/>
        <v>38</v>
      </c>
      <c r="AL1495" s="8">
        <f t="shared" si="94"/>
        <v>29</v>
      </c>
      <c r="AM1495">
        <f t="shared" si="92"/>
        <v>0</v>
      </c>
      <c r="AN1495">
        <f t="shared" si="93"/>
        <v>0</v>
      </c>
    </row>
    <row r="1496" spans="1:40" x14ac:dyDescent="0.35">
      <c r="A1496">
        <v>64.337199999999996</v>
      </c>
      <c r="B1496">
        <v>85.138999999999996</v>
      </c>
      <c r="C1496">
        <v>1.5121100000000001</v>
      </c>
      <c r="D1496">
        <v>0.02</v>
      </c>
      <c r="E1496">
        <v>0.04</v>
      </c>
      <c r="F1496">
        <v>3.1246800000000001</v>
      </c>
      <c r="G1496">
        <v>3.4270800000000001</v>
      </c>
      <c r="H1496">
        <v>0</v>
      </c>
      <c r="I1496">
        <v>0.54532599999999998</v>
      </c>
      <c r="J1496">
        <v>5.3222399999999999</v>
      </c>
      <c r="K1496" s="2">
        <v>179528000</v>
      </c>
      <c r="L1496" s="1">
        <v>0</v>
      </c>
      <c r="M1496" s="1">
        <v>0</v>
      </c>
      <c r="N1496" s="1">
        <v>0</v>
      </c>
      <c r="O1496" s="1">
        <v>0</v>
      </c>
      <c r="P1496" s="2">
        <v>4671320</v>
      </c>
      <c r="Q1496" s="1">
        <v>-56228.2</v>
      </c>
      <c r="R1496" s="1">
        <v>408539</v>
      </c>
      <c r="S1496">
        <v>99.302199999999999</v>
      </c>
      <c r="T1496">
        <v>98.274000000000001</v>
      </c>
      <c r="U1496">
        <v>3.15543</v>
      </c>
      <c r="V1496">
        <v>0</v>
      </c>
      <c r="W1496">
        <v>1</v>
      </c>
      <c r="X1496">
        <v>2.4255900000000001</v>
      </c>
      <c r="Y1496">
        <v>2.1231900000000001</v>
      </c>
      <c r="Z1496">
        <v>0</v>
      </c>
      <c r="AA1496">
        <v>1.7439</v>
      </c>
      <c r="AB1496">
        <v>2.9635199999999999</v>
      </c>
      <c r="AC1496" s="2">
        <v>739949000</v>
      </c>
      <c r="AD1496" s="1">
        <v>0</v>
      </c>
      <c r="AE1496" s="1">
        <v>0</v>
      </c>
      <c r="AF1496" s="1">
        <v>0</v>
      </c>
      <c r="AG1496" s="1">
        <v>0</v>
      </c>
      <c r="AH1496" s="2">
        <v>6275590</v>
      </c>
      <c r="AI1496" s="1">
        <v>961438</v>
      </c>
      <c r="AJ1496" s="1">
        <v>0</v>
      </c>
      <c r="AK1496" s="8">
        <f t="shared" si="95"/>
        <v>39</v>
      </c>
      <c r="AL1496" s="8">
        <f t="shared" si="94"/>
        <v>29</v>
      </c>
      <c r="AM1496">
        <f t="shared" si="92"/>
        <v>0</v>
      </c>
      <c r="AN1496">
        <f t="shared" si="93"/>
        <v>0</v>
      </c>
    </row>
    <row r="1497" spans="1:40" x14ac:dyDescent="0.35">
      <c r="A1497">
        <v>62.794199999999996</v>
      </c>
      <c r="B1497">
        <v>85.138999999999996</v>
      </c>
      <c r="C1497">
        <v>1.4923999999999999</v>
      </c>
      <c r="D1497">
        <v>0.02</v>
      </c>
      <c r="E1497">
        <v>0.04</v>
      </c>
      <c r="F1497">
        <v>3.12486</v>
      </c>
      <c r="G1497">
        <v>3.42726</v>
      </c>
      <c r="H1497">
        <v>0</v>
      </c>
      <c r="I1497">
        <v>0.585565</v>
      </c>
      <c r="J1497">
        <v>5.3222399999999999</v>
      </c>
      <c r="K1497" s="2">
        <v>179472000</v>
      </c>
      <c r="L1497" s="1">
        <v>0</v>
      </c>
      <c r="M1497" s="1">
        <v>0</v>
      </c>
      <c r="N1497" s="1">
        <v>0</v>
      </c>
      <c r="O1497" s="1">
        <v>0</v>
      </c>
      <c r="P1497" s="2">
        <v>4671590</v>
      </c>
      <c r="Q1497" s="1">
        <v>-56209.2</v>
      </c>
      <c r="R1497" s="1">
        <v>408539</v>
      </c>
      <c r="S1497">
        <v>99.302199999999999</v>
      </c>
      <c r="T1497">
        <v>98.274000000000001</v>
      </c>
      <c r="U1497">
        <v>3.2586300000000001</v>
      </c>
      <c r="V1497">
        <v>0</v>
      </c>
      <c r="W1497">
        <v>1</v>
      </c>
      <c r="X1497">
        <v>2.42571</v>
      </c>
      <c r="Y1497">
        <v>2.12331</v>
      </c>
      <c r="Z1497">
        <v>0</v>
      </c>
      <c r="AA1497">
        <v>1.87401</v>
      </c>
      <c r="AB1497">
        <v>2.9635199999999999</v>
      </c>
      <c r="AC1497" s="2">
        <v>740910000</v>
      </c>
      <c r="AD1497" s="1">
        <v>0</v>
      </c>
      <c r="AE1497" s="1">
        <v>0</v>
      </c>
      <c r="AF1497" s="1">
        <v>0</v>
      </c>
      <c r="AG1497" s="1">
        <v>0</v>
      </c>
      <c r="AH1497" s="2">
        <v>6275890</v>
      </c>
      <c r="AI1497" s="1">
        <v>961448</v>
      </c>
      <c r="AJ1497" s="1">
        <v>0</v>
      </c>
      <c r="AK1497" s="8">
        <f t="shared" si="95"/>
        <v>40</v>
      </c>
      <c r="AL1497" s="8">
        <f t="shared" si="94"/>
        <v>29</v>
      </c>
      <c r="AM1497">
        <f t="shared" si="92"/>
        <v>0</v>
      </c>
      <c r="AN1497">
        <f t="shared" si="93"/>
        <v>0</v>
      </c>
    </row>
    <row r="1498" spans="1:40" x14ac:dyDescent="0.35">
      <c r="A1498">
        <v>61.191699999999997</v>
      </c>
      <c r="B1498">
        <v>85.138999999999996</v>
      </c>
      <c r="C1498">
        <v>1.40737</v>
      </c>
      <c r="D1498">
        <v>0.02</v>
      </c>
      <c r="E1498">
        <v>0.04</v>
      </c>
      <c r="F1498">
        <v>3.1250499999999999</v>
      </c>
      <c r="G1498">
        <v>3.4274499999999999</v>
      </c>
      <c r="H1498">
        <v>0</v>
      </c>
      <c r="I1498">
        <v>0.58559899999999998</v>
      </c>
      <c r="J1498">
        <v>5.3222399999999999</v>
      </c>
      <c r="K1498" s="2">
        <v>179416000</v>
      </c>
      <c r="L1498" s="1">
        <v>0</v>
      </c>
      <c r="M1498" s="1">
        <v>0</v>
      </c>
      <c r="N1498" s="1">
        <v>0</v>
      </c>
      <c r="O1498" s="1">
        <v>0</v>
      </c>
      <c r="P1498" s="2">
        <v>4671870</v>
      </c>
      <c r="Q1498" s="1">
        <v>-56190.2</v>
      </c>
      <c r="R1498" s="1">
        <v>408539</v>
      </c>
      <c r="S1498">
        <v>99.296099999999996</v>
      </c>
      <c r="T1498">
        <v>98.274000000000001</v>
      </c>
      <c r="U1498">
        <v>3.0602800000000001</v>
      </c>
      <c r="V1498">
        <v>0</v>
      </c>
      <c r="W1498">
        <v>1</v>
      </c>
      <c r="X1498">
        <v>2.4258199999999999</v>
      </c>
      <c r="Y1498">
        <v>2.1234199999999999</v>
      </c>
      <c r="Z1498">
        <v>0</v>
      </c>
      <c r="AA1498">
        <v>1.8741000000000001</v>
      </c>
      <c r="AB1498">
        <v>2.9635199999999999</v>
      </c>
      <c r="AC1498" s="2">
        <v>741872000</v>
      </c>
      <c r="AD1498" s="1">
        <v>0</v>
      </c>
      <c r="AE1498" s="1">
        <v>0</v>
      </c>
      <c r="AF1498" s="1">
        <v>0</v>
      </c>
      <c r="AG1498" s="1">
        <v>0</v>
      </c>
      <c r="AH1498" s="2">
        <v>6276180</v>
      </c>
      <c r="AI1498" s="1">
        <v>961458</v>
      </c>
      <c r="AJ1498" s="1">
        <v>0</v>
      </c>
      <c r="AK1498" s="8">
        <f t="shared" si="95"/>
        <v>41</v>
      </c>
      <c r="AL1498" s="8">
        <f t="shared" si="94"/>
        <v>29</v>
      </c>
      <c r="AM1498">
        <f t="shared" si="92"/>
        <v>0</v>
      </c>
      <c r="AN1498">
        <f t="shared" si="93"/>
        <v>0</v>
      </c>
    </row>
    <row r="1499" spans="1:40" x14ac:dyDescent="0.35">
      <c r="A1499">
        <v>60.113100000000003</v>
      </c>
      <c r="B1499">
        <v>85.138999999999996</v>
      </c>
      <c r="C1499">
        <v>1.9190100000000001</v>
      </c>
      <c r="D1499">
        <v>0.02</v>
      </c>
      <c r="E1499">
        <v>0.04</v>
      </c>
      <c r="F1499">
        <v>3.1252300000000002</v>
      </c>
      <c r="G1499">
        <v>3.4276300000000002</v>
      </c>
      <c r="H1499">
        <v>0</v>
      </c>
      <c r="I1499">
        <v>0.58563399999999999</v>
      </c>
      <c r="J1499">
        <v>5.3222399999999999</v>
      </c>
      <c r="K1499" s="2">
        <v>179360000</v>
      </c>
      <c r="L1499" s="1">
        <v>0</v>
      </c>
      <c r="M1499" s="1">
        <v>0</v>
      </c>
      <c r="N1499" s="1">
        <v>0</v>
      </c>
      <c r="O1499" s="1">
        <v>0</v>
      </c>
      <c r="P1499" s="2">
        <v>4672140</v>
      </c>
      <c r="Q1499" s="1">
        <v>-56171.199999999997</v>
      </c>
      <c r="R1499" s="1">
        <v>408539</v>
      </c>
      <c r="S1499">
        <v>99.302199999999999</v>
      </c>
      <c r="T1499">
        <v>98.274000000000001</v>
      </c>
      <c r="U1499">
        <v>3.4365199999999998</v>
      </c>
      <c r="V1499">
        <v>0</v>
      </c>
      <c r="W1499">
        <v>1</v>
      </c>
      <c r="X1499">
        <v>2.4259400000000002</v>
      </c>
      <c r="Y1499">
        <v>2.1235400000000002</v>
      </c>
      <c r="Z1499">
        <v>0</v>
      </c>
      <c r="AA1499">
        <v>1.87419</v>
      </c>
      <c r="AB1499">
        <v>2.9635199999999999</v>
      </c>
      <c r="AC1499" s="2">
        <v>742833000</v>
      </c>
      <c r="AD1499" s="1">
        <v>0</v>
      </c>
      <c r="AE1499" s="1">
        <v>0</v>
      </c>
      <c r="AF1499" s="1">
        <v>0</v>
      </c>
      <c r="AG1499" s="1">
        <v>0</v>
      </c>
      <c r="AH1499" s="2">
        <v>6276480</v>
      </c>
      <c r="AI1499" s="1">
        <v>961467</v>
      </c>
      <c r="AJ1499" s="1">
        <v>0</v>
      </c>
      <c r="AK1499" s="8">
        <f t="shared" si="95"/>
        <v>42</v>
      </c>
      <c r="AL1499" s="8">
        <f t="shared" si="94"/>
        <v>29</v>
      </c>
      <c r="AM1499">
        <f t="shared" si="92"/>
        <v>0</v>
      </c>
      <c r="AN1499">
        <f t="shared" si="93"/>
        <v>0</v>
      </c>
    </row>
    <row r="1500" spans="1:40" x14ac:dyDescent="0.35">
      <c r="A1500">
        <v>59.860799999999998</v>
      </c>
      <c r="B1500">
        <v>85.138999999999996</v>
      </c>
      <c r="C1500">
        <v>2.8120799999999999</v>
      </c>
      <c r="D1500">
        <v>0.02</v>
      </c>
      <c r="E1500">
        <v>0.04</v>
      </c>
      <c r="F1500">
        <v>3.1254200000000001</v>
      </c>
      <c r="G1500">
        <v>3.4278200000000001</v>
      </c>
      <c r="H1500">
        <v>0</v>
      </c>
      <c r="I1500">
        <v>0.585669</v>
      </c>
      <c r="J1500">
        <v>5.3222399999999999</v>
      </c>
      <c r="K1500" s="2">
        <v>179303000</v>
      </c>
      <c r="L1500" s="1">
        <v>0</v>
      </c>
      <c r="M1500" s="1">
        <v>0</v>
      </c>
      <c r="N1500" s="1">
        <v>0</v>
      </c>
      <c r="O1500" s="1">
        <v>0</v>
      </c>
      <c r="P1500" s="2">
        <v>4672420</v>
      </c>
      <c r="Q1500" s="1">
        <v>-56152.2</v>
      </c>
      <c r="R1500" s="1">
        <v>408539</v>
      </c>
      <c r="S1500">
        <v>99.302199999999999</v>
      </c>
      <c r="T1500">
        <v>98.274000000000001</v>
      </c>
      <c r="U1500">
        <v>4.0847699999999998</v>
      </c>
      <c r="V1500">
        <v>0</v>
      </c>
      <c r="W1500">
        <v>1</v>
      </c>
      <c r="X1500">
        <v>2.42605</v>
      </c>
      <c r="Y1500">
        <v>2.12365</v>
      </c>
      <c r="Z1500">
        <v>0</v>
      </c>
      <c r="AA1500">
        <v>1.8742799999999999</v>
      </c>
      <c r="AB1500">
        <v>2.9635199999999999</v>
      </c>
      <c r="AC1500" s="2">
        <v>743795000</v>
      </c>
      <c r="AD1500" s="1">
        <v>0</v>
      </c>
      <c r="AE1500" s="1">
        <v>0</v>
      </c>
      <c r="AF1500" s="1">
        <v>0</v>
      </c>
      <c r="AG1500" s="1">
        <v>0</v>
      </c>
      <c r="AH1500" s="2">
        <v>6276780</v>
      </c>
      <c r="AI1500" s="1">
        <v>961477</v>
      </c>
      <c r="AJ1500" s="1">
        <v>0</v>
      </c>
      <c r="AK1500" s="8">
        <f t="shared" si="95"/>
        <v>43</v>
      </c>
      <c r="AL1500" s="8">
        <f t="shared" si="94"/>
        <v>29</v>
      </c>
      <c r="AM1500">
        <f t="shared" si="92"/>
        <v>0</v>
      </c>
      <c r="AN1500">
        <f t="shared" si="93"/>
        <v>0</v>
      </c>
    </row>
    <row r="1501" spans="1:40" x14ac:dyDescent="0.35">
      <c r="A1501">
        <v>59.3767</v>
      </c>
      <c r="B1501">
        <v>85.138999999999996</v>
      </c>
      <c r="C1501">
        <v>2.4122599999999998</v>
      </c>
      <c r="D1501">
        <v>0.02</v>
      </c>
      <c r="E1501">
        <v>0.04</v>
      </c>
      <c r="F1501">
        <v>3.02101</v>
      </c>
      <c r="G1501">
        <v>3.32341</v>
      </c>
      <c r="H1501">
        <v>0</v>
      </c>
      <c r="I1501">
        <v>0.58570299999999997</v>
      </c>
      <c r="J1501">
        <v>5.3222399999999999</v>
      </c>
      <c r="K1501" s="2">
        <v>179237000</v>
      </c>
      <c r="L1501" s="1">
        <v>0</v>
      </c>
      <c r="M1501" s="1">
        <v>0</v>
      </c>
      <c r="N1501" s="1">
        <v>0</v>
      </c>
      <c r="O1501" s="1">
        <v>0</v>
      </c>
      <c r="P1501" s="2">
        <v>4516330</v>
      </c>
      <c r="Q1501" s="1">
        <v>-66885.5</v>
      </c>
      <c r="R1501" s="1">
        <v>408539</v>
      </c>
      <c r="S1501">
        <v>99.302199999999999</v>
      </c>
      <c r="T1501">
        <v>98.274000000000001</v>
      </c>
      <c r="U1501">
        <v>3.1372300000000002</v>
      </c>
      <c r="V1501">
        <v>0</v>
      </c>
      <c r="W1501">
        <v>1</v>
      </c>
      <c r="X1501">
        <v>2.3239800000000002</v>
      </c>
      <c r="Y1501">
        <v>2.0215800000000002</v>
      </c>
      <c r="Z1501">
        <v>0</v>
      </c>
      <c r="AA1501">
        <v>1.8743700000000001</v>
      </c>
      <c r="AB1501">
        <v>2.9635199999999999</v>
      </c>
      <c r="AC1501" s="2">
        <v>744748000</v>
      </c>
      <c r="AD1501" s="1">
        <v>0</v>
      </c>
      <c r="AE1501" s="1">
        <v>0</v>
      </c>
      <c r="AF1501" s="1">
        <v>0</v>
      </c>
      <c r="AG1501" s="1">
        <v>0</v>
      </c>
      <c r="AH1501" s="2">
        <v>6012700</v>
      </c>
      <c r="AI1501" s="1">
        <v>952869</v>
      </c>
      <c r="AJ1501" s="1">
        <v>0</v>
      </c>
      <c r="AK1501" s="8">
        <f t="shared" si="95"/>
        <v>44</v>
      </c>
      <c r="AL1501" s="8">
        <f t="shared" si="94"/>
        <v>29</v>
      </c>
      <c r="AM1501">
        <f t="shared" si="92"/>
        <v>0</v>
      </c>
      <c r="AN1501">
        <f t="shared" si="93"/>
        <v>0</v>
      </c>
    </row>
    <row r="1502" spans="1:40" x14ac:dyDescent="0.35">
      <c r="A1502">
        <v>58.779299999999999</v>
      </c>
      <c r="B1502">
        <v>85.138999999999996</v>
      </c>
      <c r="C1502">
        <v>2.3800400000000002</v>
      </c>
      <c r="D1502">
        <v>0.02</v>
      </c>
      <c r="E1502">
        <v>0.04</v>
      </c>
      <c r="F1502">
        <v>3.0211899999999998</v>
      </c>
      <c r="G1502">
        <v>3.3235899999999998</v>
      </c>
      <c r="H1502">
        <v>0</v>
      </c>
      <c r="I1502">
        <v>0.566137</v>
      </c>
      <c r="J1502">
        <v>5.3222399999999999</v>
      </c>
      <c r="K1502" s="2">
        <v>179170000</v>
      </c>
      <c r="L1502" s="1">
        <v>0</v>
      </c>
      <c r="M1502" s="1">
        <v>0</v>
      </c>
      <c r="N1502" s="1">
        <v>0</v>
      </c>
      <c r="O1502" s="1">
        <v>0</v>
      </c>
      <c r="P1502" s="2">
        <v>4516600</v>
      </c>
      <c r="Q1502" s="1">
        <v>-66867.100000000006</v>
      </c>
      <c r="R1502" s="1">
        <v>408539</v>
      </c>
      <c r="S1502">
        <v>99.302199999999999</v>
      </c>
      <c r="T1502">
        <v>98.274000000000001</v>
      </c>
      <c r="U1502">
        <v>3.69808</v>
      </c>
      <c r="V1502">
        <v>0</v>
      </c>
      <c r="W1502">
        <v>1</v>
      </c>
      <c r="X1502">
        <v>2.32409</v>
      </c>
      <c r="Y1502">
        <v>2.02169</v>
      </c>
      <c r="Z1502">
        <v>0</v>
      </c>
      <c r="AA1502">
        <v>1.7955099999999999</v>
      </c>
      <c r="AB1502">
        <v>2.9635199999999999</v>
      </c>
      <c r="AC1502" s="2">
        <v>745701000</v>
      </c>
      <c r="AD1502" s="1">
        <v>0</v>
      </c>
      <c r="AE1502" s="1">
        <v>0</v>
      </c>
      <c r="AF1502" s="1">
        <v>0</v>
      </c>
      <c r="AG1502" s="1">
        <v>0</v>
      </c>
      <c r="AH1502" s="2">
        <v>6012980</v>
      </c>
      <c r="AI1502" s="1">
        <v>952878</v>
      </c>
      <c r="AJ1502" s="1">
        <v>0</v>
      </c>
      <c r="AK1502" s="8">
        <f t="shared" si="95"/>
        <v>45</v>
      </c>
      <c r="AL1502" s="8">
        <f t="shared" si="94"/>
        <v>29</v>
      </c>
      <c r="AM1502">
        <f t="shared" si="92"/>
        <v>0</v>
      </c>
      <c r="AN1502">
        <f t="shared" si="93"/>
        <v>0</v>
      </c>
    </row>
    <row r="1503" spans="1:40" x14ac:dyDescent="0.35">
      <c r="A1503">
        <v>58.370800000000003</v>
      </c>
      <c r="B1503">
        <v>85.138999999999996</v>
      </c>
      <c r="C1503">
        <v>2.5792000000000002</v>
      </c>
      <c r="D1503">
        <v>0.04</v>
      </c>
      <c r="E1503">
        <v>0.04</v>
      </c>
      <c r="F1503">
        <v>3.0213700000000001</v>
      </c>
      <c r="G1503">
        <v>3.3237700000000001</v>
      </c>
      <c r="H1503">
        <v>0</v>
      </c>
      <c r="I1503">
        <v>0.56617099999999998</v>
      </c>
      <c r="J1503">
        <v>5.3222399999999999</v>
      </c>
      <c r="K1503" s="2">
        <v>179103000</v>
      </c>
      <c r="L1503" s="1">
        <v>0</v>
      </c>
      <c r="M1503" s="1">
        <v>0</v>
      </c>
      <c r="N1503" s="1">
        <v>0</v>
      </c>
      <c r="O1503" s="1">
        <v>0</v>
      </c>
      <c r="P1503" s="2">
        <v>4516870</v>
      </c>
      <c r="Q1503" s="1">
        <v>-66848.7</v>
      </c>
      <c r="R1503" s="1">
        <v>408539</v>
      </c>
      <c r="S1503">
        <v>99.302199999999999</v>
      </c>
      <c r="T1503">
        <v>98.274000000000001</v>
      </c>
      <c r="U1503">
        <v>4.1052499999999998</v>
      </c>
      <c r="V1503">
        <v>0</v>
      </c>
      <c r="W1503">
        <v>1</v>
      </c>
      <c r="X1503">
        <v>2.3241999999999998</v>
      </c>
      <c r="Y1503">
        <v>2.0217999999999998</v>
      </c>
      <c r="Z1503">
        <v>0</v>
      </c>
      <c r="AA1503">
        <v>1.79559</v>
      </c>
      <c r="AB1503">
        <v>2.9635199999999999</v>
      </c>
      <c r="AC1503" s="2">
        <v>746653000</v>
      </c>
      <c r="AD1503" s="1">
        <v>0</v>
      </c>
      <c r="AE1503" s="1">
        <v>0</v>
      </c>
      <c r="AF1503" s="1">
        <v>0</v>
      </c>
      <c r="AG1503" s="1">
        <v>0</v>
      </c>
      <c r="AH1503" s="2">
        <v>6013260</v>
      </c>
      <c r="AI1503" s="1">
        <v>952887</v>
      </c>
      <c r="AJ1503" s="1">
        <v>0</v>
      </c>
      <c r="AK1503" s="8">
        <f t="shared" si="95"/>
        <v>46</v>
      </c>
      <c r="AL1503" s="8">
        <f t="shared" si="94"/>
        <v>29</v>
      </c>
      <c r="AM1503">
        <f t="shared" si="92"/>
        <v>0</v>
      </c>
      <c r="AN1503">
        <f t="shared" si="93"/>
        <v>0</v>
      </c>
    </row>
    <row r="1504" spans="1:40" x14ac:dyDescent="0.35">
      <c r="A1504">
        <v>58.0122</v>
      </c>
      <c r="B1504">
        <v>85.138999999999996</v>
      </c>
      <c r="C1504">
        <v>2.66303</v>
      </c>
      <c r="D1504">
        <v>0.04</v>
      </c>
      <c r="E1504">
        <v>0.04</v>
      </c>
      <c r="F1504">
        <v>3.02155</v>
      </c>
      <c r="G1504">
        <v>3.32395</v>
      </c>
      <c r="H1504">
        <v>0</v>
      </c>
      <c r="I1504">
        <v>0.56620400000000004</v>
      </c>
      <c r="J1504">
        <v>5.3222399999999999</v>
      </c>
      <c r="K1504" s="2">
        <v>179036000</v>
      </c>
      <c r="L1504" s="1">
        <v>0</v>
      </c>
      <c r="M1504" s="1">
        <v>0</v>
      </c>
      <c r="N1504" s="1">
        <v>0</v>
      </c>
      <c r="O1504" s="1">
        <v>0</v>
      </c>
      <c r="P1504" s="2">
        <v>4517140</v>
      </c>
      <c r="Q1504" s="1">
        <v>-66830.3</v>
      </c>
      <c r="R1504" s="1">
        <v>408539</v>
      </c>
      <c r="S1504">
        <v>99.302199999999999</v>
      </c>
      <c r="T1504">
        <v>98.274000000000001</v>
      </c>
      <c r="U1504">
        <v>4.3188899999999997</v>
      </c>
      <c r="V1504">
        <v>0</v>
      </c>
      <c r="W1504">
        <v>1</v>
      </c>
      <c r="X1504">
        <v>2.3243100000000001</v>
      </c>
      <c r="Y1504">
        <v>2.0219100000000001</v>
      </c>
      <c r="Z1504">
        <v>0</v>
      </c>
      <c r="AA1504">
        <v>1.7956799999999999</v>
      </c>
      <c r="AB1504">
        <v>2.9635199999999999</v>
      </c>
      <c r="AC1504" s="2">
        <v>747606000</v>
      </c>
      <c r="AD1504" s="1">
        <v>0</v>
      </c>
      <c r="AE1504" s="1">
        <v>0</v>
      </c>
      <c r="AF1504" s="1">
        <v>0</v>
      </c>
      <c r="AG1504" s="1">
        <v>0</v>
      </c>
      <c r="AH1504" s="2">
        <v>6013540</v>
      </c>
      <c r="AI1504" s="1">
        <v>952897</v>
      </c>
      <c r="AJ1504" s="1">
        <v>0</v>
      </c>
      <c r="AK1504" s="8">
        <f t="shared" si="95"/>
        <v>47</v>
      </c>
      <c r="AL1504" s="8">
        <f t="shared" si="94"/>
        <v>29</v>
      </c>
      <c r="AM1504">
        <f t="shared" si="92"/>
        <v>0</v>
      </c>
      <c r="AN1504">
        <f t="shared" si="93"/>
        <v>0</v>
      </c>
    </row>
    <row r="1505" spans="1:40" x14ac:dyDescent="0.35">
      <c r="A1505">
        <v>57.257399999999997</v>
      </c>
      <c r="B1505">
        <v>85.138999999999996</v>
      </c>
      <c r="C1505">
        <v>2.2480000000000002</v>
      </c>
      <c r="D1505">
        <v>0.04</v>
      </c>
      <c r="E1505">
        <v>0.04</v>
      </c>
      <c r="F1505">
        <v>2.9358599999999999</v>
      </c>
      <c r="G1505">
        <v>3.2382599999999999</v>
      </c>
      <c r="H1505">
        <v>0</v>
      </c>
      <c r="I1505">
        <v>0.56623800000000002</v>
      </c>
      <c r="J1505">
        <v>5.3222399999999999</v>
      </c>
      <c r="K1505" s="2">
        <v>178960000</v>
      </c>
      <c r="L1505" s="1">
        <v>0</v>
      </c>
      <c r="M1505" s="1">
        <v>0</v>
      </c>
      <c r="N1505" s="1">
        <v>0</v>
      </c>
      <c r="O1505" s="1">
        <v>0</v>
      </c>
      <c r="P1505" s="2">
        <v>4389030</v>
      </c>
      <c r="Q1505" s="1">
        <v>-75639.5</v>
      </c>
      <c r="R1505" s="1">
        <v>408539</v>
      </c>
      <c r="S1505">
        <v>99.302199999999999</v>
      </c>
      <c r="T1505">
        <v>98.274000000000001</v>
      </c>
      <c r="U1505">
        <v>4.7499099999999999</v>
      </c>
      <c r="V1505">
        <v>0</v>
      </c>
      <c r="W1505">
        <v>1</v>
      </c>
      <c r="X1505">
        <v>2.2313900000000002</v>
      </c>
      <c r="Y1505">
        <v>1.92899</v>
      </c>
      <c r="Z1505">
        <v>0</v>
      </c>
      <c r="AA1505">
        <v>1.79576</v>
      </c>
      <c r="AB1505">
        <v>2.9635199999999999</v>
      </c>
      <c r="AC1505" s="2">
        <v>748551000</v>
      </c>
      <c r="AD1505" s="1">
        <v>0</v>
      </c>
      <c r="AE1505" s="1">
        <v>0</v>
      </c>
      <c r="AF1505" s="1">
        <v>0</v>
      </c>
      <c r="AG1505" s="1">
        <v>0</v>
      </c>
      <c r="AH1505" s="2">
        <v>5773130</v>
      </c>
      <c r="AI1505" s="1">
        <v>945060</v>
      </c>
      <c r="AJ1505" s="1">
        <v>0</v>
      </c>
      <c r="AK1505" s="8">
        <f t="shared" si="95"/>
        <v>48</v>
      </c>
      <c r="AL1505" s="8">
        <f t="shared" si="94"/>
        <v>29</v>
      </c>
      <c r="AM1505">
        <f t="shared" si="92"/>
        <v>0</v>
      </c>
      <c r="AN1505">
        <f t="shared" si="93"/>
        <v>0</v>
      </c>
    </row>
    <row r="1506" spans="1:40" x14ac:dyDescent="0.35">
      <c r="A1506">
        <v>55.943300000000001</v>
      </c>
      <c r="B1506">
        <v>85.138999999999996</v>
      </c>
      <c r="C1506">
        <v>1.6513599999999999</v>
      </c>
      <c r="D1506">
        <v>0.03</v>
      </c>
      <c r="E1506">
        <v>0.04</v>
      </c>
      <c r="F1506">
        <v>2.9360300000000001</v>
      </c>
      <c r="G1506">
        <v>3.2384300000000001</v>
      </c>
      <c r="H1506">
        <v>0</v>
      </c>
      <c r="I1506">
        <v>0.55017899999999997</v>
      </c>
      <c r="J1506">
        <v>5.3222399999999999</v>
      </c>
      <c r="K1506" s="2">
        <v>178885000</v>
      </c>
      <c r="L1506" s="1">
        <v>0</v>
      </c>
      <c r="M1506" s="1">
        <v>0</v>
      </c>
      <c r="N1506" s="1">
        <v>0</v>
      </c>
      <c r="O1506" s="1">
        <v>0</v>
      </c>
      <c r="P1506" s="2">
        <v>4389290</v>
      </c>
      <c r="Q1506" s="1">
        <v>-75621.600000000006</v>
      </c>
      <c r="R1506" s="1">
        <v>408539</v>
      </c>
      <c r="S1506">
        <v>99.247200000000007</v>
      </c>
      <c r="T1506">
        <v>98.274000000000001</v>
      </c>
      <c r="U1506">
        <v>3.4926599999999999</v>
      </c>
      <c r="V1506">
        <v>0</v>
      </c>
      <c r="W1506">
        <v>1</v>
      </c>
      <c r="X1506">
        <v>2.23149</v>
      </c>
      <c r="Y1506">
        <v>1.92909</v>
      </c>
      <c r="Z1506">
        <v>0</v>
      </c>
      <c r="AA1506">
        <v>1.72397</v>
      </c>
      <c r="AB1506">
        <v>2.9635199999999999</v>
      </c>
      <c r="AC1506" s="2">
        <v>749496000</v>
      </c>
      <c r="AD1506" s="1">
        <v>0</v>
      </c>
      <c r="AE1506" s="1">
        <v>0</v>
      </c>
      <c r="AF1506" s="1">
        <v>0</v>
      </c>
      <c r="AG1506" s="1">
        <v>0</v>
      </c>
      <c r="AH1506" s="2">
        <v>5773400</v>
      </c>
      <c r="AI1506" s="1">
        <v>945069</v>
      </c>
      <c r="AJ1506" s="1">
        <v>0</v>
      </c>
      <c r="AK1506" s="8">
        <f t="shared" si="95"/>
        <v>49</v>
      </c>
      <c r="AL1506" s="8">
        <f t="shared" si="94"/>
        <v>29</v>
      </c>
      <c r="AM1506">
        <f t="shared" si="92"/>
        <v>0</v>
      </c>
      <c r="AN1506">
        <f t="shared" si="93"/>
        <v>0</v>
      </c>
    </row>
    <row r="1507" spans="1:40" x14ac:dyDescent="0.35">
      <c r="A1507">
        <v>55.162300000000002</v>
      </c>
      <c r="B1507">
        <v>85.138999999999996</v>
      </c>
      <c r="C1507">
        <v>2.2388400000000002</v>
      </c>
      <c r="D1507">
        <v>0.03</v>
      </c>
      <c r="E1507">
        <v>0.04</v>
      </c>
      <c r="F1507">
        <v>2.93621</v>
      </c>
      <c r="G1507">
        <v>3.23861</v>
      </c>
      <c r="H1507">
        <v>0</v>
      </c>
      <c r="I1507">
        <v>0.55021200000000003</v>
      </c>
      <c r="J1507">
        <v>5.3222399999999999</v>
      </c>
      <c r="K1507" s="2">
        <v>178809000</v>
      </c>
      <c r="L1507" s="1">
        <v>0</v>
      </c>
      <c r="M1507" s="1">
        <v>0</v>
      </c>
      <c r="N1507" s="1">
        <v>0</v>
      </c>
      <c r="O1507" s="1">
        <v>0</v>
      </c>
      <c r="P1507" s="2">
        <v>4389550</v>
      </c>
      <c r="Q1507" s="1">
        <v>-75603.7</v>
      </c>
      <c r="R1507" s="1">
        <v>408539</v>
      </c>
      <c r="S1507">
        <v>99.302199999999999</v>
      </c>
      <c r="T1507">
        <v>98.274000000000001</v>
      </c>
      <c r="U1507">
        <v>4.8128200000000003</v>
      </c>
      <c r="V1507">
        <v>0</v>
      </c>
      <c r="W1507">
        <v>1</v>
      </c>
      <c r="X1507">
        <v>2.2315900000000002</v>
      </c>
      <c r="Y1507">
        <v>1.92919</v>
      </c>
      <c r="Z1507">
        <v>0</v>
      </c>
      <c r="AA1507">
        <v>1.7240500000000001</v>
      </c>
      <c r="AB1507">
        <v>2.9635199999999999</v>
      </c>
      <c r="AC1507" s="2">
        <v>750442000</v>
      </c>
      <c r="AD1507" s="1">
        <v>0</v>
      </c>
      <c r="AE1507" s="1">
        <v>0</v>
      </c>
      <c r="AF1507" s="1">
        <v>0</v>
      </c>
      <c r="AG1507" s="1">
        <v>0</v>
      </c>
      <c r="AH1507" s="2">
        <v>5773660</v>
      </c>
      <c r="AI1507" s="1">
        <v>945077</v>
      </c>
      <c r="AJ1507" s="1">
        <v>0</v>
      </c>
      <c r="AK1507" s="8">
        <f t="shared" si="95"/>
        <v>50</v>
      </c>
      <c r="AL1507" s="8">
        <f t="shared" si="94"/>
        <v>29</v>
      </c>
      <c r="AM1507">
        <f t="shared" si="92"/>
        <v>0</v>
      </c>
      <c r="AN1507">
        <f t="shared" si="93"/>
        <v>0</v>
      </c>
    </row>
    <row r="1508" spans="1:40" x14ac:dyDescent="0.35">
      <c r="A1508">
        <v>57.035699999999999</v>
      </c>
      <c r="B1508">
        <v>85.138999999999996</v>
      </c>
      <c r="C1508">
        <v>4.9602300000000001</v>
      </c>
      <c r="D1508">
        <v>0.03</v>
      </c>
      <c r="E1508">
        <v>0.04</v>
      </c>
      <c r="F1508">
        <v>2.9363800000000002</v>
      </c>
      <c r="G1508">
        <v>3.2387800000000002</v>
      </c>
      <c r="H1508">
        <v>0</v>
      </c>
      <c r="I1508">
        <v>0.55024499999999998</v>
      </c>
      <c r="J1508">
        <v>5.3222399999999999</v>
      </c>
      <c r="K1508" s="2">
        <v>178734000</v>
      </c>
      <c r="L1508" s="1">
        <v>0</v>
      </c>
      <c r="M1508" s="1">
        <v>0</v>
      </c>
      <c r="N1508" s="1">
        <v>0</v>
      </c>
      <c r="O1508" s="1">
        <v>0</v>
      </c>
      <c r="P1508" s="2">
        <v>4389810</v>
      </c>
      <c r="Q1508" s="1">
        <v>-75585.7</v>
      </c>
      <c r="R1508" s="1">
        <v>408539</v>
      </c>
      <c r="S1508">
        <v>99.302199999999999</v>
      </c>
      <c r="T1508">
        <v>98.274000000000001</v>
      </c>
      <c r="U1508">
        <v>7.3235200000000003</v>
      </c>
      <c r="V1508">
        <v>0</v>
      </c>
      <c r="W1508">
        <v>1</v>
      </c>
      <c r="X1508">
        <v>2.2317</v>
      </c>
      <c r="Y1508">
        <v>1.9293</v>
      </c>
      <c r="Z1508">
        <v>0</v>
      </c>
      <c r="AA1508">
        <v>1.7241299999999999</v>
      </c>
      <c r="AB1508">
        <v>2.9635199999999999</v>
      </c>
      <c r="AC1508" s="2">
        <v>751387000</v>
      </c>
      <c r="AD1508" s="1">
        <v>0</v>
      </c>
      <c r="AE1508" s="1">
        <v>0</v>
      </c>
      <c r="AF1508" s="1">
        <v>0</v>
      </c>
      <c r="AG1508" s="1">
        <v>0</v>
      </c>
      <c r="AH1508" s="2">
        <v>5773930</v>
      </c>
      <c r="AI1508" s="1">
        <v>945086</v>
      </c>
      <c r="AJ1508" s="1">
        <v>0</v>
      </c>
      <c r="AK1508" s="8">
        <f t="shared" si="95"/>
        <v>51</v>
      </c>
      <c r="AL1508" s="8">
        <f t="shared" si="94"/>
        <v>29</v>
      </c>
      <c r="AM1508">
        <f t="shared" si="92"/>
        <v>0</v>
      </c>
      <c r="AN1508">
        <f t="shared" si="93"/>
        <v>0</v>
      </c>
    </row>
    <row r="1509" spans="1:40" x14ac:dyDescent="0.35">
      <c r="A1509">
        <v>57.643700000000003</v>
      </c>
      <c r="B1509">
        <v>85.138999999999996</v>
      </c>
      <c r="C1509">
        <v>3.508</v>
      </c>
      <c r="D1509">
        <v>0.04</v>
      </c>
      <c r="E1509">
        <v>0.04</v>
      </c>
      <c r="F1509">
        <v>2.6926199999999998</v>
      </c>
      <c r="G1509">
        <v>2.9950199999999998</v>
      </c>
      <c r="H1509">
        <v>0</v>
      </c>
      <c r="I1509">
        <v>0.55027800000000004</v>
      </c>
      <c r="J1509">
        <v>5.3222399999999999</v>
      </c>
      <c r="K1509" s="2">
        <v>178633000</v>
      </c>
      <c r="L1509" s="1">
        <v>0</v>
      </c>
      <c r="M1509" s="1">
        <v>0</v>
      </c>
      <c r="N1509" s="1">
        <v>0</v>
      </c>
      <c r="O1509" s="1">
        <v>0</v>
      </c>
      <c r="P1509" s="2">
        <v>4025400</v>
      </c>
      <c r="Q1509" s="1">
        <v>-100644</v>
      </c>
      <c r="R1509" s="1">
        <v>408539</v>
      </c>
      <c r="S1509">
        <v>99.302199999999999</v>
      </c>
      <c r="T1509">
        <v>98.274000000000001</v>
      </c>
      <c r="U1509">
        <v>5.04413</v>
      </c>
      <c r="V1509">
        <v>0</v>
      </c>
      <c r="W1509">
        <v>1</v>
      </c>
      <c r="X1509">
        <v>2.0379999999999998</v>
      </c>
      <c r="Y1509">
        <v>1.7356</v>
      </c>
      <c r="Z1509">
        <v>0</v>
      </c>
      <c r="AA1509">
        <v>1.72421</v>
      </c>
      <c r="AB1509">
        <v>2.9635199999999999</v>
      </c>
      <c r="AC1509" s="2">
        <v>752315000</v>
      </c>
      <c r="AD1509" s="1">
        <v>0</v>
      </c>
      <c r="AE1509" s="1">
        <v>0</v>
      </c>
      <c r="AF1509" s="1">
        <v>0</v>
      </c>
      <c r="AG1509" s="1">
        <v>0</v>
      </c>
      <c r="AH1509" s="2">
        <v>5272790</v>
      </c>
      <c r="AI1509" s="1">
        <v>928751</v>
      </c>
      <c r="AJ1509" s="1">
        <v>0</v>
      </c>
      <c r="AK1509" s="8">
        <f t="shared" si="95"/>
        <v>52</v>
      </c>
      <c r="AL1509" s="8">
        <f t="shared" si="94"/>
        <v>29</v>
      </c>
      <c r="AM1509">
        <f t="shared" si="92"/>
        <v>752315000</v>
      </c>
      <c r="AN1509">
        <f t="shared" si="93"/>
        <v>178633000</v>
      </c>
    </row>
    <row r="1510" spans="1:40" x14ac:dyDescent="0.35">
      <c r="A1510">
        <v>57.801000000000002</v>
      </c>
      <c r="B1510">
        <v>85.138999999999996</v>
      </c>
      <c r="C1510">
        <v>3.1048200000000001</v>
      </c>
      <c r="D1510">
        <v>0.04</v>
      </c>
      <c r="E1510">
        <v>0.04</v>
      </c>
      <c r="F1510">
        <v>2.69279</v>
      </c>
      <c r="G1510">
        <v>2.99519</v>
      </c>
      <c r="H1510">
        <v>0</v>
      </c>
      <c r="I1510">
        <v>0.50459799999999999</v>
      </c>
      <c r="J1510">
        <v>5.3222399999999999</v>
      </c>
      <c r="K1510" s="2">
        <v>178532000</v>
      </c>
      <c r="L1510" s="1">
        <v>0</v>
      </c>
      <c r="M1510" s="1">
        <v>0</v>
      </c>
      <c r="N1510" s="1">
        <v>0</v>
      </c>
      <c r="O1510" s="1">
        <v>0</v>
      </c>
      <c r="P1510" s="2">
        <v>4025650</v>
      </c>
      <c r="Q1510" s="1">
        <v>-100628</v>
      </c>
      <c r="R1510" s="1">
        <v>408539</v>
      </c>
      <c r="S1510">
        <v>99.302199999999999</v>
      </c>
      <c r="T1510">
        <v>98.274000000000001</v>
      </c>
      <c r="U1510">
        <v>2.9605899999999998</v>
      </c>
      <c r="V1510">
        <v>0</v>
      </c>
      <c r="W1510">
        <v>1</v>
      </c>
      <c r="X1510">
        <v>2.03809</v>
      </c>
      <c r="Y1510">
        <v>1.73569</v>
      </c>
      <c r="Z1510">
        <v>0</v>
      </c>
      <c r="AA1510">
        <v>1.57456</v>
      </c>
      <c r="AB1510">
        <v>2.9635199999999999</v>
      </c>
      <c r="AC1510" s="2">
        <v>753244000</v>
      </c>
      <c r="AD1510" s="1">
        <v>0</v>
      </c>
      <c r="AE1510" s="1">
        <v>0</v>
      </c>
      <c r="AF1510" s="1">
        <v>0</v>
      </c>
      <c r="AG1510" s="1">
        <v>0</v>
      </c>
      <c r="AH1510" s="2">
        <v>5273030</v>
      </c>
      <c r="AI1510" s="1">
        <v>928759</v>
      </c>
      <c r="AJ1510" s="1">
        <v>0</v>
      </c>
      <c r="AK1510" s="8">
        <f t="shared" si="95"/>
        <v>1</v>
      </c>
      <c r="AL1510" s="8">
        <f t="shared" si="94"/>
        <v>30</v>
      </c>
      <c r="AM1510">
        <f t="shared" si="92"/>
        <v>0</v>
      </c>
      <c r="AN1510">
        <f t="shared" si="93"/>
        <v>0</v>
      </c>
    </row>
    <row r="1511" spans="1:40" x14ac:dyDescent="0.35">
      <c r="A1511">
        <v>58.944000000000003</v>
      </c>
      <c r="B1511">
        <v>85.138999999999996</v>
      </c>
      <c r="C1511">
        <v>4.1981799999999998</v>
      </c>
      <c r="D1511">
        <v>0.04</v>
      </c>
      <c r="E1511">
        <v>0.04</v>
      </c>
      <c r="F1511">
        <v>2.6929500000000002</v>
      </c>
      <c r="G1511">
        <v>2.9953500000000002</v>
      </c>
      <c r="H1511">
        <v>0</v>
      </c>
      <c r="I1511">
        <v>0.50462799999999997</v>
      </c>
      <c r="J1511">
        <v>5.3222399999999999</v>
      </c>
      <c r="K1511" s="2">
        <v>178432000</v>
      </c>
      <c r="L1511" s="1">
        <v>0</v>
      </c>
      <c r="M1511" s="1">
        <v>0</v>
      </c>
      <c r="N1511" s="1">
        <v>0</v>
      </c>
      <c r="O1511" s="1">
        <v>0</v>
      </c>
      <c r="P1511" s="2">
        <v>4025890</v>
      </c>
      <c r="Q1511" s="1">
        <v>-100611</v>
      </c>
      <c r="R1511" s="1">
        <v>408539</v>
      </c>
      <c r="S1511">
        <v>99.302199999999999</v>
      </c>
      <c r="T1511">
        <v>98.274000000000001</v>
      </c>
      <c r="U1511">
        <v>5.0416999999999996</v>
      </c>
      <c r="V1511">
        <v>0</v>
      </c>
      <c r="W1511">
        <v>1</v>
      </c>
      <c r="X1511">
        <v>2.0381900000000002</v>
      </c>
      <c r="Y1511">
        <v>1.7357899999999999</v>
      </c>
      <c r="Z1511">
        <v>0</v>
      </c>
      <c r="AA1511">
        <v>1.57463</v>
      </c>
      <c r="AB1511">
        <v>2.9635199999999999</v>
      </c>
      <c r="AC1511" s="2">
        <v>754173000</v>
      </c>
      <c r="AD1511" s="1">
        <v>0</v>
      </c>
      <c r="AE1511" s="1">
        <v>0</v>
      </c>
      <c r="AF1511" s="1">
        <v>0</v>
      </c>
      <c r="AG1511" s="1">
        <v>0</v>
      </c>
      <c r="AH1511" s="2">
        <v>5273270</v>
      </c>
      <c r="AI1511" s="1">
        <v>928767</v>
      </c>
      <c r="AJ1511" s="1">
        <v>0</v>
      </c>
      <c r="AK1511" s="8">
        <f t="shared" si="95"/>
        <v>2</v>
      </c>
      <c r="AL1511" s="8">
        <f t="shared" si="94"/>
        <v>30</v>
      </c>
      <c r="AM1511">
        <f t="shared" si="92"/>
        <v>0</v>
      </c>
      <c r="AN1511">
        <f t="shared" si="93"/>
        <v>0</v>
      </c>
    </row>
    <row r="1512" spans="1:40" x14ac:dyDescent="0.35">
      <c r="A1512">
        <v>58.468899999999998</v>
      </c>
      <c r="B1512">
        <v>85.138999999999996</v>
      </c>
      <c r="C1512">
        <v>2.50101</v>
      </c>
      <c r="D1512">
        <v>0.04</v>
      </c>
      <c r="E1512">
        <v>0.04</v>
      </c>
      <c r="F1512">
        <v>2.6931099999999999</v>
      </c>
      <c r="G1512">
        <v>2.9955099999999999</v>
      </c>
      <c r="H1512">
        <v>0</v>
      </c>
      <c r="I1512">
        <v>0.50465800000000005</v>
      </c>
      <c r="J1512">
        <v>5.3222399999999999</v>
      </c>
      <c r="K1512" s="2">
        <v>178331000</v>
      </c>
      <c r="L1512" s="1">
        <v>0</v>
      </c>
      <c r="M1512" s="1">
        <v>0</v>
      </c>
      <c r="N1512" s="1">
        <v>0</v>
      </c>
      <c r="O1512" s="1">
        <v>0</v>
      </c>
      <c r="P1512" s="2">
        <v>4026130</v>
      </c>
      <c r="Q1512" s="1">
        <v>-100595</v>
      </c>
      <c r="R1512" s="1">
        <v>408539</v>
      </c>
      <c r="S1512">
        <v>99.302199999999999</v>
      </c>
      <c r="T1512">
        <v>98.274000000000001</v>
      </c>
      <c r="U1512">
        <v>4.3698199999999998</v>
      </c>
      <c r="V1512">
        <v>0</v>
      </c>
      <c r="W1512">
        <v>1</v>
      </c>
      <c r="X1512">
        <v>2.0382799999999999</v>
      </c>
      <c r="Y1512">
        <v>1.7358800000000001</v>
      </c>
      <c r="Z1512">
        <v>0</v>
      </c>
      <c r="AA1512">
        <v>1.5747</v>
      </c>
      <c r="AB1512">
        <v>2.9635199999999999</v>
      </c>
      <c r="AC1512" s="2">
        <v>755102000</v>
      </c>
      <c r="AD1512" s="1">
        <v>0</v>
      </c>
      <c r="AE1512" s="1">
        <v>0</v>
      </c>
      <c r="AF1512" s="1">
        <v>0</v>
      </c>
      <c r="AG1512" s="1">
        <v>0</v>
      </c>
      <c r="AH1512" s="2">
        <v>5273520</v>
      </c>
      <c r="AI1512" s="1">
        <v>928775</v>
      </c>
      <c r="AJ1512" s="1">
        <v>0</v>
      </c>
      <c r="AK1512" s="8">
        <f t="shared" si="95"/>
        <v>3</v>
      </c>
      <c r="AL1512" s="8">
        <f t="shared" si="94"/>
        <v>30</v>
      </c>
      <c r="AM1512">
        <f t="shared" si="92"/>
        <v>0</v>
      </c>
      <c r="AN1512">
        <f t="shared" si="93"/>
        <v>0</v>
      </c>
    </row>
    <row r="1513" spans="1:40" x14ac:dyDescent="0.35">
      <c r="A1513">
        <v>59.356699999999996</v>
      </c>
      <c r="B1513">
        <v>85.138999999999996</v>
      </c>
      <c r="C1513">
        <v>3.9519899999999999</v>
      </c>
      <c r="D1513">
        <v>0.05</v>
      </c>
      <c r="E1513">
        <v>0.04</v>
      </c>
      <c r="F1513">
        <v>2.6932700000000001</v>
      </c>
      <c r="G1513">
        <v>2.9956700000000001</v>
      </c>
      <c r="H1513">
        <v>0</v>
      </c>
      <c r="I1513">
        <v>0.50468800000000003</v>
      </c>
      <c r="J1513">
        <v>5.3222399999999999</v>
      </c>
      <c r="K1513" s="2">
        <v>178230000</v>
      </c>
      <c r="L1513" s="1">
        <v>0</v>
      </c>
      <c r="M1513" s="1">
        <v>0</v>
      </c>
      <c r="N1513" s="1">
        <v>0</v>
      </c>
      <c r="O1513" s="1">
        <v>0</v>
      </c>
      <c r="P1513" s="2">
        <v>4026370</v>
      </c>
      <c r="Q1513" s="1">
        <v>-100578</v>
      </c>
      <c r="R1513" s="1">
        <v>408539</v>
      </c>
      <c r="S1513">
        <v>99.302199999999999</v>
      </c>
      <c r="T1513">
        <v>98.274000000000001</v>
      </c>
      <c r="U1513">
        <v>5.5684500000000003</v>
      </c>
      <c r="V1513">
        <v>0</v>
      </c>
      <c r="W1513">
        <v>1</v>
      </c>
      <c r="X1513">
        <v>2.03837</v>
      </c>
      <c r="Y1513">
        <v>1.73597</v>
      </c>
      <c r="Z1513">
        <v>0</v>
      </c>
      <c r="AA1513">
        <v>1.5747800000000001</v>
      </c>
      <c r="AB1513">
        <v>2.9635199999999999</v>
      </c>
      <c r="AC1513" s="2">
        <v>756030000</v>
      </c>
      <c r="AD1513" s="1">
        <v>0</v>
      </c>
      <c r="AE1513" s="1">
        <v>0</v>
      </c>
      <c r="AF1513" s="1">
        <v>0</v>
      </c>
      <c r="AG1513" s="1">
        <v>0</v>
      </c>
      <c r="AH1513" s="2">
        <v>5273760</v>
      </c>
      <c r="AI1513" s="1">
        <v>928782</v>
      </c>
      <c r="AJ1513" s="1">
        <v>0</v>
      </c>
      <c r="AK1513" s="8">
        <f t="shared" si="95"/>
        <v>4</v>
      </c>
      <c r="AL1513" s="8">
        <f t="shared" si="94"/>
        <v>30</v>
      </c>
      <c r="AM1513">
        <f t="shared" si="92"/>
        <v>0</v>
      </c>
      <c r="AN1513">
        <f t="shared" si="93"/>
        <v>0</v>
      </c>
    </row>
    <row r="1514" spans="1:40" x14ac:dyDescent="0.35">
      <c r="A1514">
        <v>60.773699999999998</v>
      </c>
      <c r="B1514">
        <v>85.138999999999996</v>
      </c>
      <c r="C1514">
        <v>4.4865599999999999</v>
      </c>
      <c r="D1514">
        <v>0.04</v>
      </c>
      <c r="E1514">
        <v>0.04</v>
      </c>
      <c r="F1514">
        <v>2.78728</v>
      </c>
      <c r="G1514">
        <v>3.08968</v>
      </c>
      <c r="H1514">
        <v>0</v>
      </c>
      <c r="I1514">
        <v>0.50471900000000003</v>
      </c>
      <c r="J1514">
        <v>5.3222399999999999</v>
      </c>
      <c r="K1514" s="2">
        <v>178140000</v>
      </c>
      <c r="L1514" s="1">
        <v>0</v>
      </c>
      <c r="M1514" s="1">
        <v>0</v>
      </c>
      <c r="N1514" s="1">
        <v>0</v>
      </c>
      <c r="O1514" s="1">
        <v>0</v>
      </c>
      <c r="P1514" s="2">
        <v>4166910</v>
      </c>
      <c r="Q1514" s="1">
        <v>-90913.8</v>
      </c>
      <c r="R1514" s="1">
        <v>408539</v>
      </c>
      <c r="S1514">
        <v>99.302199999999999</v>
      </c>
      <c r="T1514">
        <v>98.274000000000001</v>
      </c>
      <c r="U1514">
        <v>3.8447</v>
      </c>
      <c r="V1514">
        <v>0</v>
      </c>
      <c r="W1514">
        <v>1</v>
      </c>
      <c r="X1514">
        <v>2.0945999999999998</v>
      </c>
      <c r="Y1514">
        <v>1.7922</v>
      </c>
      <c r="Z1514">
        <v>0</v>
      </c>
      <c r="AA1514">
        <v>1.5748500000000001</v>
      </c>
      <c r="AB1514">
        <v>2.9635199999999999</v>
      </c>
      <c r="AC1514" s="2">
        <v>756964000</v>
      </c>
      <c r="AD1514" s="1">
        <v>0</v>
      </c>
      <c r="AE1514" s="1">
        <v>0</v>
      </c>
      <c r="AF1514" s="1">
        <v>0</v>
      </c>
      <c r="AG1514" s="1">
        <v>0</v>
      </c>
      <c r="AH1514" s="2">
        <v>5419220</v>
      </c>
      <c r="AI1514" s="1">
        <v>933524</v>
      </c>
      <c r="AJ1514" s="1">
        <v>0</v>
      </c>
      <c r="AK1514" s="8">
        <f t="shared" si="95"/>
        <v>5</v>
      </c>
      <c r="AL1514" s="8">
        <f t="shared" si="94"/>
        <v>30</v>
      </c>
      <c r="AM1514">
        <f t="shared" si="92"/>
        <v>0</v>
      </c>
      <c r="AN1514">
        <f t="shared" si="93"/>
        <v>0</v>
      </c>
    </row>
    <row r="1515" spans="1:40" x14ac:dyDescent="0.35">
      <c r="A1515">
        <v>61.529600000000002</v>
      </c>
      <c r="B1515">
        <v>85.138999999999996</v>
      </c>
      <c r="C1515">
        <v>3.7361200000000001</v>
      </c>
      <c r="D1515">
        <v>0.04</v>
      </c>
      <c r="E1515">
        <v>0.04</v>
      </c>
      <c r="F1515">
        <v>2.78742</v>
      </c>
      <c r="G1515">
        <v>3.08982</v>
      </c>
      <c r="H1515">
        <v>0</v>
      </c>
      <c r="I1515">
        <v>0.52233600000000002</v>
      </c>
      <c r="J1515">
        <v>5.3222399999999999</v>
      </c>
      <c r="K1515" s="2">
        <v>178049000</v>
      </c>
      <c r="L1515" s="1">
        <v>0</v>
      </c>
      <c r="M1515" s="1">
        <v>0</v>
      </c>
      <c r="N1515" s="1">
        <v>0</v>
      </c>
      <c r="O1515" s="1">
        <v>0</v>
      </c>
      <c r="P1515" s="2">
        <v>4167130</v>
      </c>
      <c r="Q1515" s="1">
        <v>-90898.6</v>
      </c>
      <c r="R1515" s="1">
        <v>408539</v>
      </c>
      <c r="S1515">
        <v>99.302199999999999</v>
      </c>
      <c r="T1515">
        <v>98.274000000000001</v>
      </c>
      <c r="U1515">
        <v>4.4019199999999996</v>
      </c>
      <c r="V1515">
        <v>0</v>
      </c>
      <c r="W1515">
        <v>1</v>
      </c>
      <c r="X1515">
        <v>2.0946799999999999</v>
      </c>
      <c r="Y1515">
        <v>1.7922800000000001</v>
      </c>
      <c r="Z1515">
        <v>0</v>
      </c>
      <c r="AA1515">
        <v>1.61829</v>
      </c>
      <c r="AB1515">
        <v>2.9635199999999999</v>
      </c>
      <c r="AC1515" s="2">
        <v>757897000</v>
      </c>
      <c r="AD1515" s="1">
        <v>0</v>
      </c>
      <c r="AE1515" s="1">
        <v>0</v>
      </c>
      <c r="AF1515" s="1">
        <v>0</v>
      </c>
      <c r="AG1515" s="1">
        <v>0</v>
      </c>
      <c r="AH1515" s="2">
        <v>5419450</v>
      </c>
      <c r="AI1515" s="1">
        <v>933531</v>
      </c>
      <c r="AJ1515" s="1">
        <v>0</v>
      </c>
      <c r="AK1515" s="8">
        <f t="shared" si="95"/>
        <v>6</v>
      </c>
      <c r="AL1515" s="8">
        <f t="shared" si="94"/>
        <v>30</v>
      </c>
      <c r="AM1515">
        <f t="shared" si="92"/>
        <v>0</v>
      </c>
      <c r="AN1515">
        <f t="shared" si="93"/>
        <v>0</v>
      </c>
    </row>
    <row r="1516" spans="1:40" x14ac:dyDescent="0.35">
      <c r="A1516">
        <v>61.203299999999999</v>
      </c>
      <c r="B1516">
        <v>85.138999999999996</v>
      </c>
      <c r="C1516">
        <v>2.61809</v>
      </c>
      <c r="D1516">
        <v>0.04</v>
      </c>
      <c r="E1516">
        <v>0.04</v>
      </c>
      <c r="F1516">
        <v>2.7875700000000001</v>
      </c>
      <c r="G1516">
        <v>3.0899700000000001</v>
      </c>
      <c r="H1516">
        <v>0</v>
      </c>
      <c r="I1516">
        <v>0.52236300000000002</v>
      </c>
      <c r="J1516">
        <v>5.3222399999999999</v>
      </c>
      <c r="K1516" s="2">
        <v>177958000</v>
      </c>
      <c r="L1516" s="1">
        <v>0</v>
      </c>
      <c r="M1516" s="1">
        <v>0</v>
      </c>
      <c r="N1516" s="1">
        <v>0</v>
      </c>
      <c r="O1516" s="1">
        <v>0</v>
      </c>
      <c r="P1516" s="2">
        <v>4167350</v>
      </c>
      <c r="Q1516" s="1">
        <v>-90883.4</v>
      </c>
      <c r="R1516" s="1">
        <v>408539</v>
      </c>
      <c r="S1516">
        <v>99.181100000000001</v>
      </c>
      <c r="T1516">
        <v>98.274000000000001</v>
      </c>
      <c r="U1516">
        <v>3.04393</v>
      </c>
      <c r="V1516">
        <v>0</v>
      </c>
      <c r="W1516">
        <v>1</v>
      </c>
      <c r="X1516">
        <v>2.09477</v>
      </c>
      <c r="Y1516">
        <v>1.79237</v>
      </c>
      <c r="Z1516">
        <v>0</v>
      </c>
      <c r="AA1516">
        <v>1.61835</v>
      </c>
      <c r="AB1516">
        <v>2.9635199999999999</v>
      </c>
      <c r="AC1516" s="2">
        <v>758831000</v>
      </c>
      <c r="AD1516" s="1">
        <v>0</v>
      </c>
      <c r="AE1516" s="1">
        <v>0</v>
      </c>
      <c r="AF1516" s="1">
        <v>0</v>
      </c>
      <c r="AG1516" s="1">
        <v>0</v>
      </c>
      <c r="AH1516" s="2">
        <v>5419670</v>
      </c>
      <c r="AI1516" s="1">
        <v>933538</v>
      </c>
      <c r="AJ1516" s="1">
        <v>0</v>
      </c>
      <c r="AK1516" s="8">
        <f t="shared" si="95"/>
        <v>7</v>
      </c>
      <c r="AL1516" s="8">
        <f t="shared" si="94"/>
        <v>30</v>
      </c>
      <c r="AM1516">
        <f t="shared" si="92"/>
        <v>0</v>
      </c>
      <c r="AN1516">
        <f t="shared" si="93"/>
        <v>0</v>
      </c>
    </row>
    <row r="1517" spans="1:40" x14ac:dyDescent="0.35">
      <c r="A1517">
        <v>61.116</v>
      </c>
      <c r="B1517">
        <v>85.138999999999996</v>
      </c>
      <c r="C1517">
        <v>2.9807700000000001</v>
      </c>
      <c r="D1517">
        <v>0.04</v>
      </c>
      <c r="E1517">
        <v>0.04</v>
      </c>
      <c r="F1517">
        <v>2.7877200000000002</v>
      </c>
      <c r="G1517">
        <v>3.0901200000000002</v>
      </c>
      <c r="H1517">
        <v>0</v>
      </c>
      <c r="I1517">
        <v>0.52239100000000005</v>
      </c>
      <c r="J1517">
        <v>5.3222399999999999</v>
      </c>
      <c r="K1517" s="2">
        <v>177867000</v>
      </c>
      <c r="L1517" s="1">
        <v>0</v>
      </c>
      <c r="M1517" s="1">
        <v>0</v>
      </c>
      <c r="N1517" s="1">
        <v>0</v>
      </c>
      <c r="O1517" s="1">
        <v>0</v>
      </c>
      <c r="P1517" s="2">
        <v>4167570</v>
      </c>
      <c r="Q1517" s="1">
        <v>-90868.3</v>
      </c>
      <c r="R1517" s="1">
        <v>408539</v>
      </c>
      <c r="S1517">
        <v>99.086600000000004</v>
      </c>
      <c r="T1517">
        <v>98.274000000000001</v>
      </c>
      <c r="U1517">
        <v>3.2345299999999999</v>
      </c>
      <c r="V1517">
        <v>0</v>
      </c>
      <c r="W1517">
        <v>1</v>
      </c>
      <c r="X1517">
        <v>2.0948600000000002</v>
      </c>
      <c r="Y1517">
        <v>1.7924599999999999</v>
      </c>
      <c r="Z1517">
        <v>0</v>
      </c>
      <c r="AA1517">
        <v>1.61842</v>
      </c>
      <c r="AB1517">
        <v>2.9635199999999999</v>
      </c>
      <c r="AC1517" s="2">
        <v>759765000</v>
      </c>
      <c r="AD1517" s="1">
        <v>0</v>
      </c>
      <c r="AE1517" s="1">
        <v>0</v>
      </c>
      <c r="AF1517" s="1">
        <v>0</v>
      </c>
      <c r="AG1517" s="1">
        <v>0</v>
      </c>
      <c r="AH1517" s="2">
        <v>5419890</v>
      </c>
      <c r="AI1517" s="1">
        <v>933546</v>
      </c>
      <c r="AJ1517" s="1">
        <v>0</v>
      </c>
      <c r="AK1517" s="8">
        <f t="shared" si="95"/>
        <v>8</v>
      </c>
      <c r="AL1517" s="8">
        <f t="shared" si="94"/>
        <v>30</v>
      </c>
      <c r="AM1517">
        <f t="shared" si="92"/>
        <v>0</v>
      </c>
      <c r="AN1517">
        <f t="shared" si="93"/>
        <v>0</v>
      </c>
    </row>
    <row r="1518" spans="1:40" x14ac:dyDescent="0.35">
      <c r="A1518">
        <v>62.089100000000002</v>
      </c>
      <c r="B1518">
        <v>85.138999999999996</v>
      </c>
      <c r="C1518">
        <v>4.4344400000000004</v>
      </c>
      <c r="D1518">
        <v>0.04</v>
      </c>
      <c r="E1518">
        <v>0.04</v>
      </c>
      <c r="F1518">
        <v>3.0892900000000001</v>
      </c>
      <c r="G1518">
        <v>3.3916900000000001</v>
      </c>
      <c r="H1518">
        <v>0</v>
      </c>
      <c r="I1518">
        <v>0.52241899999999997</v>
      </c>
      <c r="J1518">
        <v>5.3222399999999999</v>
      </c>
      <c r="K1518" s="2">
        <v>177807000</v>
      </c>
      <c r="L1518" s="1">
        <v>0</v>
      </c>
      <c r="M1518" s="1">
        <v>0</v>
      </c>
      <c r="N1518" s="1">
        <v>0</v>
      </c>
      <c r="O1518" s="1">
        <v>0</v>
      </c>
      <c r="P1518" s="2">
        <v>4618400</v>
      </c>
      <c r="Q1518" s="1">
        <v>-59866.7</v>
      </c>
      <c r="R1518" s="1">
        <v>408539</v>
      </c>
      <c r="S1518">
        <v>99.087599999999995</v>
      </c>
      <c r="T1518">
        <v>98.274000000000001</v>
      </c>
      <c r="U1518">
        <v>3.91</v>
      </c>
      <c r="V1518">
        <v>0</v>
      </c>
      <c r="W1518">
        <v>1</v>
      </c>
      <c r="X1518">
        <v>2.3057099999999999</v>
      </c>
      <c r="Y1518">
        <v>2.0033099999999999</v>
      </c>
      <c r="Z1518">
        <v>0</v>
      </c>
      <c r="AA1518">
        <v>1.61849</v>
      </c>
      <c r="AB1518">
        <v>2.9635199999999999</v>
      </c>
      <c r="AC1518" s="2">
        <v>760716000</v>
      </c>
      <c r="AD1518" s="1">
        <v>0</v>
      </c>
      <c r="AE1518" s="1">
        <v>0</v>
      </c>
      <c r="AF1518" s="1">
        <v>0</v>
      </c>
      <c r="AG1518" s="1">
        <v>0</v>
      </c>
      <c r="AH1518" s="2">
        <v>5965410</v>
      </c>
      <c r="AI1518" s="1">
        <v>951328</v>
      </c>
      <c r="AJ1518" s="1">
        <v>0</v>
      </c>
      <c r="AK1518" s="8">
        <f t="shared" si="95"/>
        <v>9</v>
      </c>
      <c r="AL1518" s="8">
        <f t="shared" si="94"/>
        <v>30</v>
      </c>
      <c r="AM1518">
        <f t="shared" si="92"/>
        <v>0</v>
      </c>
      <c r="AN1518">
        <f t="shared" si="93"/>
        <v>0</v>
      </c>
    </row>
    <row r="1519" spans="1:40" x14ac:dyDescent="0.35">
      <c r="A1519">
        <v>65.413200000000003</v>
      </c>
      <c r="B1519">
        <v>85.138999999999996</v>
      </c>
      <c r="C1519">
        <v>6.8377600000000003</v>
      </c>
      <c r="D1519">
        <v>0.04</v>
      </c>
      <c r="E1519">
        <v>0.04</v>
      </c>
      <c r="F1519">
        <v>3.0894499999999998</v>
      </c>
      <c r="G1519">
        <v>3.3918499999999998</v>
      </c>
      <c r="H1519">
        <v>0</v>
      </c>
      <c r="I1519">
        <v>0.578932</v>
      </c>
      <c r="J1519">
        <v>5.3222399999999999</v>
      </c>
      <c r="K1519" s="2">
        <v>177747000</v>
      </c>
      <c r="L1519" s="1">
        <v>0</v>
      </c>
      <c r="M1519" s="1">
        <v>0</v>
      </c>
      <c r="N1519" s="1">
        <v>0</v>
      </c>
      <c r="O1519" s="1">
        <v>0</v>
      </c>
      <c r="P1519" s="2">
        <v>4618650</v>
      </c>
      <c r="Q1519" s="1">
        <v>-59850</v>
      </c>
      <c r="R1519" s="1">
        <v>408539</v>
      </c>
      <c r="S1519">
        <v>99.302199999999999</v>
      </c>
      <c r="T1519">
        <v>98.274000000000001</v>
      </c>
      <c r="U1519">
        <v>5.3804400000000001</v>
      </c>
      <c r="V1519">
        <v>0</v>
      </c>
      <c r="W1519">
        <v>1</v>
      </c>
      <c r="X1519">
        <v>2.3058000000000001</v>
      </c>
      <c r="Y1519">
        <v>2.0034000000000001</v>
      </c>
      <c r="Z1519">
        <v>0</v>
      </c>
      <c r="AA1519">
        <v>1.78139</v>
      </c>
      <c r="AB1519">
        <v>2.9635199999999999</v>
      </c>
      <c r="AC1519" s="2">
        <v>761667000</v>
      </c>
      <c r="AD1519" s="1">
        <v>0</v>
      </c>
      <c r="AE1519" s="1">
        <v>0</v>
      </c>
      <c r="AF1519" s="1">
        <v>0</v>
      </c>
      <c r="AG1519" s="1">
        <v>0</v>
      </c>
      <c r="AH1519" s="2">
        <v>5965660</v>
      </c>
      <c r="AI1519" s="1">
        <v>951336</v>
      </c>
      <c r="AJ1519" s="1">
        <v>0</v>
      </c>
      <c r="AK1519" s="8">
        <f t="shared" si="95"/>
        <v>10</v>
      </c>
      <c r="AL1519" s="8">
        <f t="shared" si="94"/>
        <v>30</v>
      </c>
      <c r="AM1519">
        <f t="shared" si="92"/>
        <v>0</v>
      </c>
      <c r="AN1519">
        <f t="shared" si="93"/>
        <v>0</v>
      </c>
    </row>
    <row r="1520" spans="1:40" x14ac:dyDescent="0.35">
      <c r="A1520">
        <v>68.331500000000005</v>
      </c>
      <c r="B1520">
        <v>85.138999999999996</v>
      </c>
      <c r="C1520">
        <v>6.4962499999999999</v>
      </c>
      <c r="D1520">
        <v>0.04</v>
      </c>
      <c r="E1520">
        <v>0.04</v>
      </c>
      <c r="F1520">
        <v>3.08961</v>
      </c>
      <c r="G1520">
        <v>3.39201</v>
      </c>
      <c r="H1520">
        <v>0</v>
      </c>
      <c r="I1520">
        <v>0.57896199999999998</v>
      </c>
      <c r="J1520">
        <v>5.3222399999999999</v>
      </c>
      <c r="K1520" s="2">
        <v>177687000</v>
      </c>
      <c r="L1520" s="1">
        <v>0</v>
      </c>
      <c r="M1520" s="1">
        <v>0</v>
      </c>
      <c r="N1520" s="1">
        <v>0</v>
      </c>
      <c r="O1520" s="1">
        <v>0</v>
      </c>
      <c r="P1520" s="2">
        <v>4618890</v>
      </c>
      <c r="Q1520" s="1">
        <v>-59833.4</v>
      </c>
      <c r="R1520" s="1">
        <v>408539</v>
      </c>
      <c r="S1520">
        <v>99.302199999999999</v>
      </c>
      <c r="T1520">
        <v>98.274000000000001</v>
      </c>
      <c r="U1520">
        <v>4.8379200000000004</v>
      </c>
      <c r="V1520">
        <v>0</v>
      </c>
      <c r="W1520">
        <v>1</v>
      </c>
      <c r="X1520">
        <v>2.3058999999999998</v>
      </c>
      <c r="Y1520">
        <v>2.0034999999999998</v>
      </c>
      <c r="Z1520">
        <v>0</v>
      </c>
      <c r="AA1520">
        <v>1.78146</v>
      </c>
      <c r="AB1520">
        <v>2.9635199999999999</v>
      </c>
      <c r="AC1520" s="2">
        <v>762619000</v>
      </c>
      <c r="AD1520" s="1">
        <v>0</v>
      </c>
      <c r="AE1520" s="1">
        <v>0</v>
      </c>
      <c r="AF1520" s="1">
        <v>0</v>
      </c>
      <c r="AG1520" s="1">
        <v>0</v>
      </c>
      <c r="AH1520" s="2">
        <v>5965910</v>
      </c>
      <c r="AI1520" s="1">
        <v>951344</v>
      </c>
      <c r="AJ1520" s="1">
        <v>0</v>
      </c>
      <c r="AK1520" s="8">
        <f t="shared" si="95"/>
        <v>11</v>
      </c>
      <c r="AL1520" s="8">
        <f t="shared" si="94"/>
        <v>30</v>
      </c>
      <c r="AM1520">
        <f t="shared" si="92"/>
        <v>0</v>
      </c>
      <c r="AN1520">
        <f t="shared" si="93"/>
        <v>0</v>
      </c>
    </row>
    <row r="1521" spans="1:40" x14ac:dyDescent="0.35">
      <c r="A1521">
        <v>71.973699999999994</v>
      </c>
      <c r="B1521">
        <v>85.138999999999996</v>
      </c>
      <c r="C1521">
        <v>7.2460000000000004</v>
      </c>
      <c r="D1521">
        <v>0.04</v>
      </c>
      <c r="E1521">
        <v>0.04</v>
      </c>
      <c r="F1521">
        <v>3.0897700000000001</v>
      </c>
      <c r="G1521">
        <v>3.3921700000000001</v>
      </c>
      <c r="H1521">
        <v>0</v>
      </c>
      <c r="I1521">
        <v>0.57899299999999998</v>
      </c>
      <c r="J1521">
        <v>5.3222399999999999</v>
      </c>
      <c r="K1521" s="2">
        <v>177628000</v>
      </c>
      <c r="L1521" s="1">
        <v>0</v>
      </c>
      <c r="M1521" s="1">
        <v>0</v>
      </c>
      <c r="N1521" s="1">
        <v>0</v>
      </c>
      <c r="O1521" s="1">
        <v>0</v>
      </c>
      <c r="P1521" s="2">
        <v>4619130</v>
      </c>
      <c r="Q1521" s="1">
        <v>-59816.7</v>
      </c>
      <c r="R1521" s="1">
        <v>408539</v>
      </c>
      <c r="S1521">
        <v>99.302199999999999</v>
      </c>
      <c r="T1521">
        <v>98.274000000000001</v>
      </c>
      <c r="U1521">
        <v>4.7204699999999997</v>
      </c>
      <c r="V1521">
        <v>0</v>
      </c>
      <c r="W1521">
        <v>1</v>
      </c>
      <c r="X1521">
        <v>2.30599</v>
      </c>
      <c r="Y1521">
        <v>2.00359</v>
      </c>
      <c r="Z1521">
        <v>0</v>
      </c>
      <c r="AA1521">
        <v>1.7815399999999999</v>
      </c>
      <c r="AB1521">
        <v>2.9635199999999999</v>
      </c>
      <c r="AC1521" s="2">
        <v>763570000</v>
      </c>
      <c r="AD1521" s="1">
        <v>0</v>
      </c>
      <c r="AE1521" s="1">
        <v>0</v>
      </c>
      <c r="AF1521" s="1">
        <v>0</v>
      </c>
      <c r="AG1521" s="1">
        <v>0</v>
      </c>
      <c r="AH1521" s="2">
        <v>5966150</v>
      </c>
      <c r="AI1521" s="1">
        <v>951352</v>
      </c>
      <c r="AJ1521" s="1">
        <v>0</v>
      </c>
      <c r="AK1521" s="8">
        <f t="shared" si="95"/>
        <v>12</v>
      </c>
      <c r="AL1521" s="8">
        <f t="shared" si="94"/>
        <v>30</v>
      </c>
      <c r="AM1521">
        <f t="shared" si="92"/>
        <v>0</v>
      </c>
      <c r="AN1521">
        <f t="shared" si="93"/>
        <v>0</v>
      </c>
    </row>
    <row r="1522" spans="1:40" x14ac:dyDescent="0.35">
      <c r="A1522">
        <v>74.375900000000001</v>
      </c>
      <c r="B1522">
        <v>85.138999999999996</v>
      </c>
      <c r="C1522">
        <v>5.74512</v>
      </c>
      <c r="D1522">
        <v>0.03</v>
      </c>
      <c r="E1522">
        <v>0.04</v>
      </c>
      <c r="F1522">
        <v>2.6599300000000001</v>
      </c>
      <c r="G1522">
        <v>2.9623300000000001</v>
      </c>
      <c r="H1522">
        <v>0</v>
      </c>
      <c r="I1522">
        <v>0.57902299999999995</v>
      </c>
      <c r="J1522">
        <v>5.3222399999999999</v>
      </c>
      <c r="K1522" s="2">
        <v>177524000</v>
      </c>
      <c r="L1522" s="1">
        <v>0</v>
      </c>
      <c r="M1522" s="1">
        <v>0</v>
      </c>
      <c r="N1522" s="1">
        <v>0</v>
      </c>
      <c r="O1522" s="1">
        <v>0</v>
      </c>
      <c r="P1522" s="2">
        <v>3976530</v>
      </c>
      <c r="Q1522" s="1">
        <v>-104005</v>
      </c>
      <c r="R1522" s="1">
        <v>408539</v>
      </c>
      <c r="S1522">
        <v>99.302199999999999</v>
      </c>
      <c r="T1522">
        <v>98.274000000000001</v>
      </c>
      <c r="U1522">
        <v>4.4007100000000001</v>
      </c>
      <c r="V1522">
        <v>0</v>
      </c>
      <c r="W1522">
        <v>1</v>
      </c>
      <c r="X1522">
        <v>2.02319</v>
      </c>
      <c r="Y1522">
        <v>1.72079</v>
      </c>
      <c r="Z1522">
        <v>0</v>
      </c>
      <c r="AA1522">
        <v>1.7816099999999999</v>
      </c>
      <c r="AB1522">
        <v>2.9635199999999999</v>
      </c>
      <c r="AC1522" s="2">
        <v>764497000</v>
      </c>
      <c r="AD1522" s="1">
        <v>0</v>
      </c>
      <c r="AE1522" s="1">
        <v>0</v>
      </c>
      <c r="AF1522" s="1">
        <v>0</v>
      </c>
      <c r="AG1522" s="1">
        <v>0</v>
      </c>
      <c r="AH1522" s="2">
        <v>5234460</v>
      </c>
      <c r="AI1522" s="1">
        <v>927502</v>
      </c>
      <c r="AJ1522" s="1">
        <v>0</v>
      </c>
      <c r="AK1522" s="8">
        <f t="shared" si="95"/>
        <v>13</v>
      </c>
      <c r="AL1522" s="8">
        <f t="shared" si="94"/>
        <v>30</v>
      </c>
      <c r="AM1522">
        <f t="shared" si="92"/>
        <v>0</v>
      </c>
      <c r="AN1522">
        <f t="shared" si="93"/>
        <v>0</v>
      </c>
    </row>
    <row r="1523" spans="1:40" x14ac:dyDescent="0.35">
      <c r="A1523">
        <v>76.583399999999997</v>
      </c>
      <c r="B1523">
        <v>85.138999999999996</v>
      </c>
      <c r="C1523">
        <v>5.7753800000000002</v>
      </c>
      <c r="D1523">
        <v>0.02</v>
      </c>
      <c r="E1523">
        <v>0.04</v>
      </c>
      <c r="F1523">
        <v>2.6600799999999998</v>
      </c>
      <c r="G1523">
        <v>2.9624799999999998</v>
      </c>
      <c r="H1523">
        <v>0</v>
      </c>
      <c r="I1523">
        <v>0.49847200000000003</v>
      </c>
      <c r="J1523">
        <v>5.3222399999999999</v>
      </c>
      <c r="K1523" s="2">
        <v>177420000</v>
      </c>
      <c r="L1523" s="1">
        <v>0</v>
      </c>
      <c r="M1523" s="1">
        <v>0</v>
      </c>
      <c r="N1523" s="1">
        <v>0</v>
      </c>
      <c r="O1523" s="1">
        <v>0</v>
      </c>
      <c r="P1523" s="2">
        <v>3976750</v>
      </c>
      <c r="Q1523" s="1">
        <v>-103990</v>
      </c>
      <c r="R1523" s="1">
        <v>408539</v>
      </c>
      <c r="S1523">
        <v>99.302199999999999</v>
      </c>
      <c r="T1523">
        <v>98.274000000000001</v>
      </c>
      <c r="U1523">
        <v>7.9340700000000002</v>
      </c>
      <c r="V1523">
        <v>0</v>
      </c>
      <c r="W1523">
        <v>1</v>
      </c>
      <c r="X1523">
        <v>2.0232700000000001</v>
      </c>
      <c r="Y1523">
        <v>1.7208699999999999</v>
      </c>
      <c r="Z1523">
        <v>0</v>
      </c>
      <c r="AA1523">
        <v>1.56311</v>
      </c>
      <c r="AB1523">
        <v>2.9635199999999999</v>
      </c>
      <c r="AC1523" s="2">
        <v>765425000</v>
      </c>
      <c r="AD1523" s="1">
        <v>0</v>
      </c>
      <c r="AE1523" s="1">
        <v>0</v>
      </c>
      <c r="AF1523" s="1">
        <v>0</v>
      </c>
      <c r="AG1523" s="1">
        <v>0</v>
      </c>
      <c r="AH1523" s="2">
        <v>5234680</v>
      </c>
      <c r="AI1523" s="1">
        <v>927509</v>
      </c>
      <c r="AJ1523" s="1">
        <v>0</v>
      </c>
      <c r="AK1523" s="8">
        <f t="shared" si="95"/>
        <v>14</v>
      </c>
      <c r="AL1523" s="8">
        <f t="shared" si="94"/>
        <v>30</v>
      </c>
      <c r="AM1523">
        <f t="shared" si="92"/>
        <v>0</v>
      </c>
      <c r="AN1523">
        <f t="shared" si="93"/>
        <v>0</v>
      </c>
    </row>
    <row r="1524" spans="1:40" x14ac:dyDescent="0.35">
      <c r="A1524">
        <v>78.239400000000003</v>
      </c>
      <c r="B1524">
        <v>85.138999999999996</v>
      </c>
      <c r="C1524">
        <v>5.1678600000000001</v>
      </c>
      <c r="D1524">
        <v>0.02</v>
      </c>
      <c r="E1524">
        <v>0.04</v>
      </c>
      <c r="F1524">
        <v>2.6602199999999998</v>
      </c>
      <c r="G1524">
        <v>2.9626199999999998</v>
      </c>
      <c r="H1524">
        <v>0</v>
      </c>
      <c r="I1524">
        <v>0.498498</v>
      </c>
      <c r="J1524">
        <v>5.3222399999999999</v>
      </c>
      <c r="K1524" s="2">
        <v>177316000</v>
      </c>
      <c r="L1524" s="1">
        <v>0</v>
      </c>
      <c r="M1524" s="1">
        <v>0</v>
      </c>
      <c r="N1524" s="1">
        <v>0</v>
      </c>
      <c r="O1524" s="1">
        <v>0</v>
      </c>
      <c r="P1524" s="2">
        <v>3976960</v>
      </c>
      <c r="Q1524" s="1">
        <v>-103976</v>
      </c>
      <c r="R1524" s="1">
        <v>408539</v>
      </c>
      <c r="S1524">
        <v>99.302199999999999</v>
      </c>
      <c r="T1524">
        <v>98.274000000000001</v>
      </c>
      <c r="U1524">
        <v>5.83169</v>
      </c>
      <c r="V1524">
        <v>0</v>
      </c>
      <c r="W1524">
        <v>1</v>
      </c>
      <c r="X1524">
        <v>2.0233500000000002</v>
      </c>
      <c r="Y1524">
        <v>1.72095</v>
      </c>
      <c r="Z1524">
        <v>0</v>
      </c>
      <c r="AA1524">
        <v>1.56318</v>
      </c>
      <c r="AB1524">
        <v>2.9635199999999999</v>
      </c>
      <c r="AC1524" s="2">
        <v>766352000</v>
      </c>
      <c r="AD1524" s="1">
        <v>0</v>
      </c>
      <c r="AE1524" s="1">
        <v>0</v>
      </c>
      <c r="AF1524" s="1">
        <v>0</v>
      </c>
      <c r="AG1524" s="1">
        <v>0</v>
      </c>
      <c r="AH1524" s="2">
        <v>5234890</v>
      </c>
      <c r="AI1524" s="1">
        <v>927515</v>
      </c>
      <c r="AJ1524" s="1">
        <v>0</v>
      </c>
      <c r="AK1524" s="8">
        <f t="shared" si="95"/>
        <v>15</v>
      </c>
      <c r="AL1524" s="8">
        <f t="shared" si="94"/>
        <v>30</v>
      </c>
      <c r="AM1524">
        <f t="shared" si="92"/>
        <v>0</v>
      </c>
      <c r="AN1524">
        <f t="shared" si="93"/>
        <v>0</v>
      </c>
    </row>
    <row r="1525" spans="1:40" x14ac:dyDescent="0.35">
      <c r="A1525">
        <v>82.144199999999998</v>
      </c>
      <c r="B1525">
        <v>85.138999999999996</v>
      </c>
      <c r="C1525">
        <v>7.3997799999999998</v>
      </c>
      <c r="D1525">
        <v>0.02</v>
      </c>
      <c r="E1525">
        <v>0.04</v>
      </c>
      <c r="F1525">
        <v>2.6603599999999998</v>
      </c>
      <c r="G1525">
        <v>2.9627599999999998</v>
      </c>
      <c r="H1525">
        <v>0</v>
      </c>
      <c r="I1525">
        <v>0.498525</v>
      </c>
      <c r="J1525">
        <v>5.3222399999999999</v>
      </c>
      <c r="K1525" s="2">
        <v>177212000</v>
      </c>
      <c r="L1525" s="1">
        <v>0</v>
      </c>
      <c r="M1525" s="1">
        <v>0</v>
      </c>
      <c r="N1525" s="1">
        <v>0</v>
      </c>
      <c r="O1525" s="1">
        <v>0</v>
      </c>
      <c r="P1525" s="2">
        <v>3977170</v>
      </c>
      <c r="Q1525" s="1">
        <v>-103961</v>
      </c>
      <c r="R1525" s="1">
        <v>408539</v>
      </c>
      <c r="S1525">
        <v>99.302199999999999</v>
      </c>
      <c r="T1525">
        <v>98.274000000000001</v>
      </c>
      <c r="U1525">
        <v>9.9679099999999998</v>
      </c>
      <c r="V1525">
        <v>0</v>
      </c>
      <c r="W1525">
        <v>1</v>
      </c>
      <c r="X1525">
        <v>2.0234299999999998</v>
      </c>
      <c r="Y1525">
        <v>1.7210300000000001</v>
      </c>
      <c r="Z1525">
        <v>0</v>
      </c>
      <c r="AA1525">
        <v>1.56324</v>
      </c>
      <c r="AB1525">
        <v>2.9635199999999999</v>
      </c>
      <c r="AC1525" s="2">
        <v>767280000</v>
      </c>
      <c r="AD1525" s="1">
        <v>0</v>
      </c>
      <c r="AE1525" s="1">
        <v>0</v>
      </c>
      <c r="AF1525" s="1">
        <v>0</v>
      </c>
      <c r="AG1525" s="1">
        <v>0</v>
      </c>
      <c r="AH1525" s="2">
        <v>5235100</v>
      </c>
      <c r="AI1525" s="1">
        <v>927522</v>
      </c>
      <c r="AJ1525" s="1">
        <v>0</v>
      </c>
      <c r="AK1525" s="8">
        <f t="shared" si="95"/>
        <v>16</v>
      </c>
      <c r="AL1525" s="8">
        <f t="shared" si="94"/>
        <v>30</v>
      </c>
      <c r="AM1525">
        <f t="shared" si="92"/>
        <v>0</v>
      </c>
      <c r="AN1525">
        <f t="shared" si="93"/>
        <v>0</v>
      </c>
    </row>
    <row r="1526" spans="1:40" x14ac:dyDescent="0.35">
      <c r="A1526">
        <v>85.138999999999996</v>
      </c>
      <c r="B1526">
        <v>85.138999999999996</v>
      </c>
      <c r="C1526">
        <v>8.9674300000000002</v>
      </c>
      <c r="D1526">
        <v>0</v>
      </c>
      <c r="E1526">
        <v>0.04</v>
      </c>
      <c r="F1526">
        <v>2.9628999999999999</v>
      </c>
      <c r="G1526">
        <v>2.9628999999999999</v>
      </c>
      <c r="H1526">
        <v>0</v>
      </c>
      <c r="I1526">
        <v>0.49855100000000002</v>
      </c>
      <c r="J1526">
        <v>5.3222399999999999</v>
      </c>
      <c r="K1526" s="2">
        <v>177516000</v>
      </c>
      <c r="L1526" s="1">
        <v>0</v>
      </c>
      <c r="M1526" s="1">
        <v>0</v>
      </c>
      <c r="N1526" s="1">
        <v>0</v>
      </c>
      <c r="O1526" s="1">
        <v>0</v>
      </c>
      <c r="P1526" s="2">
        <v>4429460</v>
      </c>
      <c r="Q1526" s="1">
        <v>304592</v>
      </c>
      <c r="R1526" s="1">
        <v>0</v>
      </c>
      <c r="S1526">
        <v>99.302199999999999</v>
      </c>
      <c r="T1526">
        <v>98.274000000000001</v>
      </c>
      <c r="U1526">
        <v>11.5601</v>
      </c>
      <c r="V1526">
        <v>0</v>
      </c>
      <c r="W1526">
        <v>1</v>
      </c>
      <c r="X1526">
        <v>1.72112</v>
      </c>
      <c r="Y1526">
        <v>1.72112</v>
      </c>
      <c r="Z1526">
        <v>0</v>
      </c>
      <c r="AA1526">
        <v>1.5632999999999999</v>
      </c>
      <c r="AB1526">
        <v>2.9635199999999999</v>
      </c>
      <c r="AC1526" s="2">
        <v>767425000</v>
      </c>
      <c r="AD1526" s="1">
        <v>0</v>
      </c>
      <c r="AE1526" s="1">
        <v>0</v>
      </c>
      <c r="AF1526" s="1">
        <v>0</v>
      </c>
      <c r="AG1526" s="1">
        <v>0</v>
      </c>
      <c r="AH1526" s="2">
        <v>4452940</v>
      </c>
      <c r="AI1526" s="1">
        <v>145149</v>
      </c>
      <c r="AJ1526" s="1">
        <v>0</v>
      </c>
      <c r="AK1526" s="8">
        <f t="shared" si="95"/>
        <v>17</v>
      </c>
      <c r="AL1526" s="8">
        <f t="shared" si="94"/>
        <v>30</v>
      </c>
      <c r="AM1526">
        <f t="shared" si="92"/>
        <v>0</v>
      </c>
      <c r="AN1526">
        <f t="shared" si="93"/>
        <v>0</v>
      </c>
    </row>
    <row r="1527" spans="1:40" x14ac:dyDescent="0.35">
      <c r="A1527">
        <v>85.138999999999996</v>
      </c>
      <c r="B1527">
        <v>85.138999999999996</v>
      </c>
      <c r="C1527">
        <v>5.6504599999999998</v>
      </c>
      <c r="D1527">
        <v>0</v>
      </c>
      <c r="E1527">
        <v>0.04</v>
      </c>
      <c r="F1527">
        <v>3.07131</v>
      </c>
      <c r="G1527">
        <v>3.07131</v>
      </c>
      <c r="H1527">
        <v>0</v>
      </c>
      <c r="I1527">
        <v>0.55524799999999996</v>
      </c>
      <c r="J1527">
        <v>5.3222399999999999</v>
      </c>
      <c r="K1527" s="2">
        <v>177832000</v>
      </c>
      <c r="L1527" s="1">
        <v>0</v>
      </c>
      <c r="M1527" s="1">
        <v>0</v>
      </c>
      <c r="N1527" s="1">
        <v>0</v>
      </c>
      <c r="O1527" s="1">
        <v>0</v>
      </c>
      <c r="P1527" s="2">
        <v>4591530</v>
      </c>
      <c r="Q1527" s="1">
        <v>315736</v>
      </c>
      <c r="R1527" s="1">
        <v>0</v>
      </c>
      <c r="S1527">
        <v>99.302199999999999</v>
      </c>
      <c r="T1527">
        <v>98.274000000000001</v>
      </c>
      <c r="U1527">
        <v>9.4214400000000005</v>
      </c>
      <c r="V1527">
        <v>0</v>
      </c>
      <c r="W1527">
        <v>1</v>
      </c>
      <c r="X1527">
        <v>1.7904199999999999</v>
      </c>
      <c r="Y1527">
        <v>1.7904199999999999</v>
      </c>
      <c r="Z1527">
        <v>0</v>
      </c>
      <c r="AA1527">
        <v>1.3297300000000001</v>
      </c>
      <c r="AB1527">
        <v>2.9635199999999999</v>
      </c>
      <c r="AC1527" s="2">
        <v>767576000</v>
      </c>
      <c r="AD1527" s="1">
        <v>0</v>
      </c>
      <c r="AE1527" s="1">
        <v>0</v>
      </c>
      <c r="AF1527" s="1">
        <v>0</v>
      </c>
      <c r="AG1527" s="1">
        <v>0</v>
      </c>
      <c r="AH1527" s="2">
        <v>4632250</v>
      </c>
      <c r="AI1527" s="1">
        <v>150994</v>
      </c>
      <c r="AJ1527" s="1">
        <v>0</v>
      </c>
      <c r="AK1527" s="8">
        <f t="shared" si="95"/>
        <v>18</v>
      </c>
      <c r="AL1527" s="8">
        <f t="shared" si="94"/>
        <v>30</v>
      </c>
      <c r="AM1527">
        <f t="shared" si="92"/>
        <v>0</v>
      </c>
      <c r="AN1527">
        <f t="shared" si="93"/>
        <v>0</v>
      </c>
    </row>
    <row r="1528" spans="1:40" x14ac:dyDescent="0.35">
      <c r="A1528">
        <v>85.138999999999996</v>
      </c>
      <c r="B1528">
        <v>85.138999999999996</v>
      </c>
      <c r="C1528">
        <v>6.3399599999999996</v>
      </c>
      <c r="D1528">
        <v>0</v>
      </c>
      <c r="E1528">
        <v>0.04</v>
      </c>
      <c r="F1528">
        <v>3.07145</v>
      </c>
      <c r="G1528">
        <v>3.07145</v>
      </c>
      <c r="H1528">
        <v>0</v>
      </c>
      <c r="I1528">
        <v>0.57556300000000005</v>
      </c>
      <c r="J1528">
        <v>5.3222399999999999</v>
      </c>
      <c r="K1528" s="2">
        <v>178148000</v>
      </c>
      <c r="L1528" s="1">
        <v>0</v>
      </c>
      <c r="M1528" s="1">
        <v>0</v>
      </c>
      <c r="N1528" s="1">
        <v>0</v>
      </c>
      <c r="O1528" s="1">
        <v>0</v>
      </c>
      <c r="P1528" s="2">
        <v>4591750</v>
      </c>
      <c r="Q1528" s="1">
        <v>315751</v>
      </c>
      <c r="R1528" s="1">
        <v>0</v>
      </c>
      <c r="S1528">
        <v>99.302199999999999</v>
      </c>
      <c r="T1528">
        <v>98.274000000000001</v>
      </c>
      <c r="U1528">
        <v>8.3690700000000007</v>
      </c>
      <c r="V1528">
        <v>0</v>
      </c>
      <c r="W1528">
        <v>1</v>
      </c>
      <c r="X1528">
        <v>1.79051</v>
      </c>
      <c r="Y1528">
        <v>1.79051</v>
      </c>
      <c r="Z1528">
        <v>0</v>
      </c>
      <c r="AA1528">
        <v>1.3832800000000001</v>
      </c>
      <c r="AB1528">
        <v>2.9635199999999999</v>
      </c>
      <c r="AC1528" s="2">
        <v>767727000</v>
      </c>
      <c r="AD1528" s="1">
        <v>0</v>
      </c>
      <c r="AE1528" s="1">
        <v>0</v>
      </c>
      <c r="AF1528" s="1">
        <v>0</v>
      </c>
      <c r="AG1528" s="1">
        <v>0</v>
      </c>
      <c r="AH1528" s="2">
        <v>4632470</v>
      </c>
      <c r="AI1528" s="1">
        <v>151001</v>
      </c>
      <c r="AJ1528" s="1">
        <v>0</v>
      </c>
      <c r="AK1528" s="8">
        <f t="shared" si="95"/>
        <v>19</v>
      </c>
      <c r="AL1528" s="8">
        <f t="shared" si="94"/>
        <v>30</v>
      </c>
      <c r="AM1528">
        <f t="shared" si="92"/>
        <v>0</v>
      </c>
      <c r="AN1528">
        <f t="shared" si="93"/>
        <v>0</v>
      </c>
    </row>
    <row r="1529" spans="1:40" x14ac:dyDescent="0.35">
      <c r="A1529">
        <v>85.138999999999996</v>
      </c>
      <c r="B1529">
        <v>85.138999999999996</v>
      </c>
      <c r="C1529">
        <v>4.2226800000000004</v>
      </c>
      <c r="D1529">
        <v>0</v>
      </c>
      <c r="E1529">
        <v>0.04</v>
      </c>
      <c r="F1529">
        <v>3.0716000000000001</v>
      </c>
      <c r="G1529">
        <v>3.0716000000000001</v>
      </c>
      <c r="H1529">
        <v>0</v>
      </c>
      <c r="I1529">
        <v>0.57559000000000005</v>
      </c>
      <c r="J1529">
        <v>5.3222399999999999</v>
      </c>
      <c r="K1529" s="2">
        <v>178463000</v>
      </c>
      <c r="L1529" s="1">
        <v>0</v>
      </c>
      <c r="M1529" s="1">
        <v>0</v>
      </c>
      <c r="N1529" s="1">
        <v>0</v>
      </c>
      <c r="O1529" s="1">
        <v>0</v>
      </c>
      <c r="P1529" s="2">
        <v>4591960</v>
      </c>
      <c r="Q1529" s="1">
        <v>315767</v>
      </c>
      <c r="R1529" s="1">
        <v>0</v>
      </c>
      <c r="S1529">
        <v>99.302199999999999</v>
      </c>
      <c r="T1529">
        <v>98.274000000000001</v>
      </c>
      <c r="U1529">
        <v>5.9296300000000004</v>
      </c>
      <c r="V1529">
        <v>0</v>
      </c>
      <c r="W1529">
        <v>1</v>
      </c>
      <c r="X1529">
        <v>1.7905899999999999</v>
      </c>
      <c r="Y1529">
        <v>1.7905899999999999</v>
      </c>
      <c r="Z1529">
        <v>0</v>
      </c>
      <c r="AA1529">
        <v>1.3833500000000001</v>
      </c>
      <c r="AB1529">
        <v>2.9635199999999999</v>
      </c>
      <c r="AC1529" s="2">
        <v>767878000</v>
      </c>
      <c r="AD1529" s="1">
        <v>0</v>
      </c>
      <c r="AE1529" s="1">
        <v>0</v>
      </c>
      <c r="AF1529" s="1">
        <v>0</v>
      </c>
      <c r="AG1529" s="1">
        <v>0</v>
      </c>
      <c r="AH1529" s="2">
        <v>4632690</v>
      </c>
      <c r="AI1529" s="1">
        <v>151008</v>
      </c>
      <c r="AJ1529" s="1">
        <v>0</v>
      </c>
      <c r="AK1529" s="8">
        <f t="shared" si="95"/>
        <v>20</v>
      </c>
      <c r="AL1529" s="8">
        <f t="shared" si="94"/>
        <v>30</v>
      </c>
      <c r="AM1529">
        <f t="shared" si="92"/>
        <v>0</v>
      </c>
      <c r="AN1529">
        <f t="shared" si="93"/>
        <v>0</v>
      </c>
    </row>
    <row r="1530" spans="1:40" x14ac:dyDescent="0.35">
      <c r="A1530">
        <v>85.138999999999996</v>
      </c>
      <c r="B1530">
        <v>85.138999999999996</v>
      </c>
      <c r="C1530">
        <v>4.5085300000000004</v>
      </c>
      <c r="D1530">
        <v>0</v>
      </c>
      <c r="E1530">
        <v>0.04</v>
      </c>
      <c r="F1530">
        <v>3.0717500000000002</v>
      </c>
      <c r="G1530">
        <v>3.0717500000000002</v>
      </c>
      <c r="H1530">
        <v>0</v>
      </c>
      <c r="I1530">
        <v>0.57561799999999996</v>
      </c>
      <c r="J1530">
        <v>5.3222399999999999</v>
      </c>
      <c r="K1530" s="2">
        <v>178779000</v>
      </c>
      <c r="L1530" s="1">
        <v>0</v>
      </c>
      <c r="M1530" s="1">
        <v>0</v>
      </c>
      <c r="N1530" s="1">
        <v>0</v>
      </c>
      <c r="O1530" s="1">
        <v>0</v>
      </c>
      <c r="P1530" s="2">
        <v>4592180</v>
      </c>
      <c r="Q1530" s="1">
        <v>315782</v>
      </c>
      <c r="R1530" s="1">
        <v>0</v>
      </c>
      <c r="S1530">
        <v>99.302199999999999</v>
      </c>
      <c r="T1530">
        <v>98.274000000000001</v>
      </c>
      <c r="U1530">
        <v>6.3314399999999997</v>
      </c>
      <c r="V1530">
        <v>0</v>
      </c>
      <c r="W1530">
        <v>1</v>
      </c>
      <c r="X1530">
        <v>1.79068</v>
      </c>
      <c r="Y1530">
        <v>1.79068</v>
      </c>
      <c r="Z1530">
        <v>0</v>
      </c>
      <c r="AA1530">
        <v>1.38341</v>
      </c>
      <c r="AB1530">
        <v>2.9635199999999999</v>
      </c>
      <c r="AC1530" s="2">
        <v>768029000</v>
      </c>
      <c r="AD1530" s="1">
        <v>0</v>
      </c>
      <c r="AE1530" s="1">
        <v>0</v>
      </c>
      <c r="AF1530" s="1">
        <v>0</v>
      </c>
      <c r="AG1530" s="1">
        <v>0</v>
      </c>
      <c r="AH1530" s="2">
        <v>4632920</v>
      </c>
      <c r="AI1530" s="1">
        <v>151015</v>
      </c>
      <c r="AJ1530" s="1">
        <v>0</v>
      </c>
      <c r="AK1530" s="8">
        <f t="shared" si="95"/>
        <v>21</v>
      </c>
      <c r="AL1530" s="8">
        <f t="shared" si="94"/>
        <v>30</v>
      </c>
      <c r="AM1530">
        <f t="shared" si="92"/>
        <v>0</v>
      </c>
      <c r="AN1530">
        <f t="shared" si="93"/>
        <v>0</v>
      </c>
    </row>
    <row r="1531" spans="1:40" x14ac:dyDescent="0.35">
      <c r="A1531">
        <v>85.138999999999996</v>
      </c>
      <c r="B1531">
        <v>85.138999999999996</v>
      </c>
      <c r="C1531">
        <v>4.1898799999999996</v>
      </c>
      <c r="D1531">
        <v>0</v>
      </c>
      <c r="E1531">
        <v>0.04</v>
      </c>
      <c r="F1531">
        <v>3.02956</v>
      </c>
      <c r="G1531">
        <v>3.02956</v>
      </c>
      <c r="H1531">
        <v>0</v>
      </c>
      <c r="I1531">
        <v>0.57564499999999996</v>
      </c>
      <c r="J1531">
        <v>5.3222399999999999</v>
      </c>
      <c r="K1531" s="2">
        <v>179091000</v>
      </c>
      <c r="L1531" s="1">
        <v>0</v>
      </c>
      <c r="M1531" s="1">
        <v>0</v>
      </c>
      <c r="N1531" s="1">
        <v>0</v>
      </c>
      <c r="O1531" s="1">
        <v>0</v>
      </c>
      <c r="P1531" s="2">
        <v>4529110</v>
      </c>
      <c r="Q1531" s="1">
        <v>311444</v>
      </c>
      <c r="R1531" s="1">
        <v>0</v>
      </c>
      <c r="S1531">
        <v>99.302199999999999</v>
      </c>
      <c r="T1531">
        <v>98.274000000000001</v>
      </c>
      <c r="U1531">
        <v>6.5436899999999998</v>
      </c>
      <c r="V1531">
        <v>0</v>
      </c>
      <c r="W1531">
        <v>1</v>
      </c>
      <c r="X1531">
        <v>1.76387</v>
      </c>
      <c r="Y1531">
        <v>1.76387</v>
      </c>
      <c r="Z1531">
        <v>0</v>
      </c>
      <c r="AA1531">
        <v>1.38348</v>
      </c>
      <c r="AB1531">
        <v>2.9635199999999999</v>
      </c>
      <c r="AC1531" s="2">
        <v>768178000</v>
      </c>
      <c r="AD1531" s="1">
        <v>0</v>
      </c>
      <c r="AE1531" s="1">
        <v>0</v>
      </c>
      <c r="AF1531" s="1">
        <v>0</v>
      </c>
      <c r="AG1531" s="1">
        <v>0</v>
      </c>
      <c r="AH1531" s="2">
        <v>4563560</v>
      </c>
      <c r="AI1531" s="1">
        <v>148755</v>
      </c>
      <c r="AJ1531" s="1">
        <v>0</v>
      </c>
      <c r="AK1531" s="8">
        <f t="shared" si="95"/>
        <v>22</v>
      </c>
      <c r="AL1531" s="8">
        <f t="shared" si="94"/>
        <v>30</v>
      </c>
      <c r="AM1531">
        <f t="shared" si="92"/>
        <v>0</v>
      </c>
      <c r="AN1531">
        <f t="shared" si="93"/>
        <v>0</v>
      </c>
    </row>
    <row r="1532" spans="1:40" x14ac:dyDescent="0.35">
      <c r="A1532">
        <v>85.138999999999996</v>
      </c>
      <c r="B1532">
        <v>85.138999999999996</v>
      </c>
      <c r="C1532">
        <v>3.5699800000000002</v>
      </c>
      <c r="D1532">
        <v>0</v>
      </c>
      <c r="E1532">
        <v>0.04</v>
      </c>
      <c r="F1532">
        <v>3.0297000000000001</v>
      </c>
      <c r="G1532">
        <v>3.0297000000000001</v>
      </c>
      <c r="H1532">
        <v>0</v>
      </c>
      <c r="I1532">
        <v>0.56773899999999999</v>
      </c>
      <c r="J1532">
        <v>5.3222399999999999</v>
      </c>
      <c r="K1532" s="2">
        <v>179402000</v>
      </c>
      <c r="L1532" s="1">
        <v>0</v>
      </c>
      <c r="M1532" s="1">
        <v>0</v>
      </c>
      <c r="N1532" s="1">
        <v>0</v>
      </c>
      <c r="O1532" s="1">
        <v>0</v>
      </c>
      <c r="P1532" s="2">
        <v>4529330</v>
      </c>
      <c r="Q1532" s="1">
        <v>311459</v>
      </c>
      <c r="R1532" s="1">
        <v>0</v>
      </c>
      <c r="S1532">
        <v>99.302199999999999</v>
      </c>
      <c r="T1532">
        <v>98.274000000000001</v>
      </c>
      <c r="U1532">
        <v>5.72851</v>
      </c>
      <c r="V1532">
        <v>0</v>
      </c>
      <c r="W1532">
        <v>1</v>
      </c>
      <c r="X1532">
        <v>1.76396</v>
      </c>
      <c r="Y1532">
        <v>1.76396</v>
      </c>
      <c r="Z1532">
        <v>0</v>
      </c>
      <c r="AA1532">
        <v>1.36277</v>
      </c>
      <c r="AB1532">
        <v>2.9635199999999999</v>
      </c>
      <c r="AC1532" s="2">
        <v>768327000</v>
      </c>
      <c r="AD1532" s="1">
        <v>0</v>
      </c>
      <c r="AE1532" s="1">
        <v>0</v>
      </c>
      <c r="AF1532" s="1">
        <v>0</v>
      </c>
      <c r="AG1532" s="1">
        <v>0</v>
      </c>
      <c r="AH1532" s="2">
        <v>4563780</v>
      </c>
      <c r="AI1532" s="1">
        <v>148762</v>
      </c>
      <c r="AJ1532" s="1">
        <v>0</v>
      </c>
      <c r="AK1532" s="8">
        <f t="shared" si="95"/>
        <v>23</v>
      </c>
      <c r="AL1532" s="8">
        <f t="shared" si="94"/>
        <v>30</v>
      </c>
      <c r="AM1532">
        <f t="shared" si="92"/>
        <v>0</v>
      </c>
      <c r="AN1532">
        <f t="shared" si="93"/>
        <v>0</v>
      </c>
    </row>
    <row r="1533" spans="1:40" x14ac:dyDescent="0.35">
      <c r="A1533">
        <v>84.866900000000001</v>
      </c>
      <c r="B1533">
        <v>85.138999999999996</v>
      </c>
      <c r="C1533">
        <v>3.1475</v>
      </c>
      <c r="D1533">
        <v>0</v>
      </c>
      <c r="E1533">
        <v>0.04</v>
      </c>
      <c r="F1533">
        <v>3.0298500000000002</v>
      </c>
      <c r="G1533">
        <v>3.0298500000000002</v>
      </c>
      <c r="H1533">
        <v>0</v>
      </c>
      <c r="I1533">
        <v>0.56776599999999999</v>
      </c>
      <c r="J1533">
        <v>5.3222399999999999</v>
      </c>
      <c r="K1533" s="2">
        <v>179714000</v>
      </c>
      <c r="L1533" s="1">
        <v>0</v>
      </c>
      <c r="M1533" s="1">
        <v>0</v>
      </c>
      <c r="N1533" s="1">
        <v>0</v>
      </c>
      <c r="O1533" s="1">
        <v>0</v>
      </c>
      <c r="P1533" s="2">
        <v>4529540</v>
      </c>
      <c r="Q1533" s="1">
        <v>311474</v>
      </c>
      <c r="R1533" s="1">
        <v>0</v>
      </c>
      <c r="S1533">
        <v>99.302199999999999</v>
      </c>
      <c r="T1533">
        <v>98.274000000000001</v>
      </c>
      <c r="U1533">
        <v>5.0978599999999998</v>
      </c>
      <c r="V1533">
        <v>0</v>
      </c>
      <c r="W1533">
        <v>1</v>
      </c>
      <c r="X1533">
        <v>1.7640400000000001</v>
      </c>
      <c r="Y1533">
        <v>1.7640400000000001</v>
      </c>
      <c r="Z1533">
        <v>0</v>
      </c>
      <c r="AA1533">
        <v>1.36283</v>
      </c>
      <c r="AB1533">
        <v>2.9635199999999999</v>
      </c>
      <c r="AC1533" s="2">
        <v>768475000</v>
      </c>
      <c r="AD1533" s="1">
        <v>0</v>
      </c>
      <c r="AE1533" s="1">
        <v>0</v>
      </c>
      <c r="AF1533" s="1">
        <v>0</v>
      </c>
      <c r="AG1533" s="1">
        <v>0</v>
      </c>
      <c r="AH1533" s="2">
        <v>4564000</v>
      </c>
      <c r="AI1533" s="1">
        <v>148769</v>
      </c>
      <c r="AJ1533" s="1">
        <v>0</v>
      </c>
      <c r="AK1533" s="8">
        <f t="shared" si="95"/>
        <v>24</v>
      </c>
      <c r="AL1533" s="8">
        <f t="shared" si="94"/>
        <v>30</v>
      </c>
      <c r="AM1533">
        <f t="shared" si="92"/>
        <v>0</v>
      </c>
      <c r="AN1533">
        <f t="shared" si="93"/>
        <v>0</v>
      </c>
    </row>
    <row r="1534" spans="1:40" x14ac:dyDescent="0.35">
      <c r="A1534">
        <v>84.310199999999995</v>
      </c>
      <c r="B1534">
        <v>85.138999999999996</v>
      </c>
      <c r="C1534">
        <v>2.8290199999999999</v>
      </c>
      <c r="D1534">
        <v>0</v>
      </c>
      <c r="E1534">
        <v>0.04</v>
      </c>
      <c r="F1534">
        <v>3.0299900000000002</v>
      </c>
      <c r="G1534">
        <v>3.0299900000000002</v>
      </c>
      <c r="H1534">
        <v>0</v>
      </c>
      <c r="I1534">
        <v>0.56779299999999999</v>
      </c>
      <c r="J1534">
        <v>5.3222399999999999</v>
      </c>
      <c r="K1534" s="2">
        <v>180025000</v>
      </c>
      <c r="L1534" s="1">
        <v>0</v>
      </c>
      <c r="M1534" s="1">
        <v>0</v>
      </c>
      <c r="N1534" s="1">
        <v>0</v>
      </c>
      <c r="O1534" s="1">
        <v>0</v>
      </c>
      <c r="P1534" s="2">
        <v>4529760</v>
      </c>
      <c r="Q1534" s="1">
        <v>311489</v>
      </c>
      <c r="R1534" s="1">
        <v>0</v>
      </c>
      <c r="S1534">
        <v>99.302199999999999</v>
      </c>
      <c r="T1534">
        <v>98.274000000000001</v>
      </c>
      <c r="U1534">
        <v>4.56799</v>
      </c>
      <c r="V1534">
        <v>0</v>
      </c>
      <c r="W1534">
        <v>1</v>
      </c>
      <c r="X1534">
        <v>1.76413</v>
      </c>
      <c r="Y1534">
        <v>1.76413</v>
      </c>
      <c r="Z1534">
        <v>0</v>
      </c>
      <c r="AA1534">
        <v>1.3629</v>
      </c>
      <c r="AB1534">
        <v>2.9635199999999999</v>
      </c>
      <c r="AC1534" s="2">
        <v>768624000</v>
      </c>
      <c r="AD1534" s="1">
        <v>0</v>
      </c>
      <c r="AE1534" s="1">
        <v>0</v>
      </c>
      <c r="AF1534" s="1">
        <v>0</v>
      </c>
      <c r="AG1534" s="1">
        <v>0</v>
      </c>
      <c r="AH1534" s="2">
        <v>4564220</v>
      </c>
      <c r="AI1534" s="1">
        <v>148776</v>
      </c>
      <c r="AJ1534" s="1">
        <v>0</v>
      </c>
      <c r="AK1534" s="8">
        <f t="shared" si="95"/>
        <v>25</v>
      </c>
      <c r="AL1534" s="8">
        <f t="shared" si="94"/>
        <v>30</v>
      </c>
      <c r="AM1534">
        <f t="shared" si="92"/>
        <v>0</v>
      </c>
      <c r="AN1534">
        <f t="shared" si="93"/>
        <v>0</v>
      </c>
    </row>
    <row r="1535" spans="1:40" x14ac:dyDescent="0.35">
      <c r="A1535">
        <v>83.448499999999996</v>
      </c>
      <c r="B1535">
        <v>85.138999999999996</v>
      </c>
      <c r="C1535">
        <v>2.5876299999999999</v>
      </c>
      <c r="D1535">
        <v>0</v>
      </c>
      <c r="E1535">
        <v>0.04</v>
      </c>
      <c r="F1535">
        <v>3.17388</v>
      </c>
      <c r="G1535">
        <v>3.17388</v>
      </c>
      <c r="H1535">
        <v>0</v>
      </c>
      <c r="I1535">
        <v>0.56781999999999999</v>
      </c>
      <c r="J1535">
        <v>5.3222399999999999</v>
      </c>
      <c r="K1535" s="2">
        <v>180351000</v>
      </c>
      <c r="L1535" s="1">
        <v>0</v>
      </c>
      <c r="M1535" s="1">
        <v>0</v>
      </c>
      <c r="N1535" s="1">
        <v>0</v>
      </c>
      <c r="O1535" s="1">
        <v>0</v>
      </c>
      <c r="P1535" s="2">
        <v>4744870</v>
      </c>
      <c r="Q1535" s="1">
        <v>326281</v>
      </c>
      <c r="R1535" s="1">
        <v>0</v>
      </c>
      <c r="S1535">
        <v>99.302199999999999</v>
      </c>
      <c r="T1535">
        <v>98.274000000000001</v>
      </c>
      <c r="U1535">
        <v>4.4304100000000002</v>
      </c>
      <c r="V1535">
        <v>0</v>
      </c>
      <c r="W1535">
        <v>1</v>
      </c>
      <c r="X1535">
        <v>1.8595900000000001</v>
      </c>
      <c r="Y1535">
        <v>1.8595900000000001</v>
      </c>
      <c r="Z1535">
        <v>0</v>
      </c>
      <c r="AA1535">
        <v>1.36297</v>
      </c>
      <c r="AB1535">
        <v>2.9635199999999999</v>
      </c>
      <c r="AC1535" s="2">
        <v>768781000</v>
      </c>
      <c r="AD1535" s="1">
        <v>0</v>
      </c>
      <c r="AE1535" s="1">
        <v>0</v>
      </c>
      <c r="AF1535" s="1">
        <v>0</v>
      </c>
      <c r="AG1535" s="1">
        <v>0</v>
      </c>
      <c r="AH1535" s="2">
        <v>4811210</v>
      </c>
      <c r="AI1535" s="1">
        <v>156827</v>
      </c>
      <c r="AJ1535" s="1">
        <v>0</v>
      </c>
      <c r="AK1535" s="8">
        <f t="shared" si="95"/>
        <v>26</v>
      </c>
      <c r="AL1535" s="8">
        <f t="shared" si="94"/>
        <v>30</v>
      </c>
      <c r="AM1535">
        <f t="shared" si="92"/>
        <v>0</v>
      </c>
      <c r="AN1535">
        <f t="shared" si="93"/>
        <v>0</v>
      </c>
    </row>
    <row r="1536" spans="1:40" x14ac:dyDescent="0.35">
      <c r="A1536">
        <v>82.341899999999995</v>
      </c>
      <c r="B1536">
        <v>85.138999999999996</v>
      </c>
      <c r="C1536">
        <v>2.2731599999999998</v>
      </c>
      <c r="D1536">
        <v>0</v>
      </c>
      <c r="E1536">
        <v>0.04</v>
      </c>
      <c r="F1536">
        <v>3.1740300000000001</v>
      </c>
      <c r="G1536">
        <v>3.1740300000000001</v>
      </c>
      <c r="H1536">
        <v>0</v>
      </c>
      <c r="I1536">
        <v>0.59478399999999998</v>
      </c>
      <c r="J1536">
        <v>5.3222399999999999</v>
      </c>
      <c r="K1536" s="2">
        <v>180678000</v>
      </c>
      <c r="L1536" s="1">
        <v>0</v>
      </c>
      <c r="M1536" s="1">
        <v>0</v>
      </c>
      <c r="N1536" s="1">
        <v>0</v>
      </c>
      <c r="O1536" s="1">
        <v>0</v>
      </c>
      <c r="P1536" s="2">
        <v>4745090</v>
      </c>
      <c r="Q1536" s="1">
        <v>326296</v>
      </c>
      <c r="R1536" s="1">
        <v>0</v>
      </c>
      <c r="S1536">
        <v>99.302199999999999</v>
      </c>
      <c r="T1536">
        <v>98.274000000000001</v>
      </c>
      <c r="U1536">
        <v>4.0380000000000003</v>
      </c>
      <c r="V1536">
        <v>0</v>
      </c>
      <c r="W1536">
        <v>1</v>
      </c>
      <c r="X1536">
        <v>1.85968</v>
      </c>
      <c r="Y1536">
        <v>1.85968</v>
      </c>
      <c r="Z1536">
        <v>0</v>
      </c>
      <c r="AA1536">
        <v>1.43672</v>
      </c>
      <c r="AB1536">
        <v>2.9635199999999999</v>
      </c>
      <c r="AC1536" s="2">
        <v>768938000</v>
      </c>
      <c r="AD1536" s="1">
        <v>0</v>
      </c>
      <c r="AE1536" s="1">
        <v>0</v>
      </c>
      <c r="AF1536" s="1">
        <v>0</v>
      </c>
      <c r="AG1536" s="1">
        <v>0</v>
      </c>
      <c r="AH1536" s="2">
        <v>4811440</v>
      </c>
      <c r="AI1536" s="1">
        <v>156835</v>
      </c>
      <c r="AJ1536" s="1">
        <v>0</v>
      </c>
      <c r="AK1536" s="8">
        <f t="shared" si="95"/>
        <v>27</v>
      </c>
      <c r="AL1536" s="8">
        <f t="shared" si="94"/>
        <v>30</v>
      </c>
      <c r="AM1536">
        <f t="shared" si="92"/>
        <v>0</v>
      </c>
      <c r="AN1536">
        <f t="shared" si="93"/>
        <v>0</v>
      </c>
    </row>
    <row r="1537" spans="1:40" x14ac:dyDescent="0.35">
      <c r="A1537">
        <v>81.029600000000002</v>
      </c>
      <c r="B1537">
        <v>85.138999999999996</v>
      </c>
      <c r="C1537">
        <v>1.9892300000000001</v>
      </c>
      <c r="D1537">
        <v>0</v>
      </c>
      <c r="E1537">
        <v>0.04</v>
      </c>
      <c r="F1537">
        <v>3.1741799999999998</v>
      </c>
      <c r="G1537">
        <v>3.1741799999999998</v>
      </c>
      <c r="H1537">
        <v>0</v>
      </c>
      <c r="I1537">
        <v>0.59481300000000004</v>
      </c>
      <c r="J1537">
        <v>5.3222399999999999</v>
      </c>
      <c r="K1537" s="2">
        <v>181004000</v>
      </c>
      <c r="L1537" s="1">
        <v>0</v>
      </c>
      <c r="M1537" s="1">
        <v>0</v>
      </c>
      <c r="N1537" s="1">
        <v>0</v>
      </c>
      <c r="O1537" s="1">
        <v>0</v>
      </c>
      <c r="P1537" s="2">
        <v>4745320</v>
      </c>
      <c r="Q1537" s="1">
        <v>326312</v>
      </c>
      <c r="R1537" s="1">
        <v>0</v>
      </c>
      <c r="S1537">
        <v>99.302199999999999</v>
      </c>
      <c r="T1537">
        <v>98.274000000000001</v>
      </c>
      <c r="U1537">
        <v>3.9755500000000001</v>
      </c>
      <c r="V1537">
        <v>0</v>
      </c>
      <c r="W1537">
        <v>1</v>
      </c>
      <c r="X1537">
        <v>1.8597699999999999</v>
      </c>
      <c r="Y1537">
        <v>1.8597699999999999</v>
      </c>
      <c r="Z1537">
        <v>0</v>
      </c>
      <c r="AA1537">
        <v>1.43679</v>
      </c>
      <c r="AB1537">
        <v>2.9635199999999999</v>
      </c>
      <c r="AC1537" s="2">
        <v>769095000</v>
      </c>
      <c r="AD1537" s="1">
        <v>0</v>
      </c>
      <c r="AE1537" s="1">
        <v>0</v>
      </c>
      <c r="AF1537" s="1">
        <v>0</v>
      </c>
      <c r="AG1537" s="1">
        <v>0</v>
      </c>
      <c r="AH1537" s="2">
        <v>4811680</v>
      </c>
      <c r="AI1537" s="1">
        <v>156842</v>
      </c>
      <c r="AJ1537" s="1">
        <v>0</v>
      </c>
      <c r="AK1537" s="8">
        <f t="shared" si="95"/>
        <v>28</v>
      </c>
      <c r="AL1537" s="8">
        <f t="shared" si="94"/>
        <v>30</v>
      </c>
      <c r="AM1537">
        <f t="shared" si="92"/>
        <v>0</v>
      </c>
      <c r="AN1537">
        <f t="shared" si="93"/>
        <v>0</v>
      </c>
    </row>
    <row r="1538" spans="1:40" x14ac:dyDescent="0.35">
      <c r="A1538">
        <v>79.703999999999994</v>
      </c>
      <c r="B1538">
        <v>85.138999999999996</v>
      </c>
      <c r="C1538">
        <v>1.96255</v>
      </c>
      <c r="D1538">
        <v>0</v>
      </c>
      <c r="E1538">
        <v>0.04</v>
      </c>
      <c r="F1538">
        <v>3.1743299999999999</v>
      </c>
      <c r="G1538">
        <v>3.1743299999999999</v>
      </c>
      <c r="H1538">
        <v>0</v>
      </c>
      <c r="I1538">
        <v>0.59484099999999995</v>
      </c>
      <c r="J1538">
        <v>5.3222399999999999</v>
      </c>
      <c r="K1538" s="2">
        <v>181330000</v>
      </c>
      <c r="L1538" s="1">
        <v>0</v>
      </c>
      <c r="M1538" s="1">
        <v>0</v>
      </c>
      <c r="N1538" s="1">
        <v>0</v>
      </c>
      <c r="O1538" s="1">
        <v>0</v>
      </c>
      <c r="P1538" s="2">
        <v>4745550</v>
      </c>
      <c r="Q1538" s="1">
        <v>326328</v>
      </c>
      <c r="R1538" s="1">
        <v>0</v>
      </c>
      <c r="S1538">
        <v>99.302199999999999</v>
      </c>
      <c r="T1538">
        <v>98.274000000000001</v>
      </c>
      <c r="U1538">
        <v>4.00936</v>
      </c>
      <c r="V1538">
        <v>0</v>
      </c>
      <c r="W1538">
        <v>1</v>
      </c>
      <c r="X1538">
        <v>1.8598600000000001</v>
      </c>
      <c r="Y1538">
        <v>1.8598600000000001</v>
      </c>
      <c r="Z1538">
        <v>0</v>
      </c>
      <c r="AA1538">
        <v>1.43686</v>
      </c>
      <c r="AB1538">
        <v>2.9635199999999999</v>
      </c>
      <c r="AC1538" s="2">
        <v>769252000</v>
      </c>
      <c r="AD1538" s="1">
        <v>0</v>
      </c>
      <c r="AE1538" s="1">
        <v>0</v>
      </c>
      <c r="AF1538" s="1">
        <v>0</v>
      </c>
      <c r="AG1538" s="1">
        <v>0</v>
      </c>
      <c r="AH1538" s="2">
        <v>4811910</v>
      </c>
      <c r="AI1538" s="1">
        <v>156850</v>
      </c>
      <c r="AJ1538" s="1">
        <v>0</v>
      </c>
      <c r="AK1538" s="8">
        <f t="shared" si="95"/>
        <v>29</v>
      </c>
      <c r="AL1538" s="8">
        <f t="shared" si="94"/>
        <v>30</v>
      </c>
      <c r="AM1538">
        <f t="shared" si="92"/>
        <v>0</v>
      </c>
      <c r="AN1538">
        <f t="shared" si="93"/>
        <v>0</v>
      </c>
    </row>
    <row r="1539" spans="1:40" x14ac:dyDescent="0.35">
      <c r="A1539">
        <v>78.272900000000007</v>
      </c>
      <c r="B1539">
        <v>85.138999999999996</v>
      </c>
      <c r="C1539">
        <v>1.8382000000000001</v>
      </c>
      <c r="D1539">
        <v>0</v>
      </c>
      <c r="E1539">
        <v>0.04</v>
      </c>
      <c r="F1539">
        <v>3.17448</v>
      </c>
      <c r="G1539">
        <v>3.17448</v>
      </c>
      <c r="H1539">
        <v>0</v>
      </c>
      <c r="I1539">
        <v>0.59487000000000001</v>
      </c>
      <c r="J1539">
        <v>5.3222399999999999</v>
      </c>
      <c r="K1539" s="2">
        <v>181657000</v>
      </c>
      <c r="L1539" s="1">
        <v>0</v>
      </c>
      <c r="M1539" s="1">
        <v>0</v>
      </c>
      <c r="N1539" s="1">
        <v>0</v>
      </c>
      <c r="O1539" s="1">
        <v>0</v>
      </c>
      <c r="P1539" s="2">
        <v>4745770</v>
      </c>
      <c r="Q1539" s="1">
        <v>326343</v>
      </c>
      <c r="R1539" s="1">
        <v>0</v>
      </c>
      <c r="S1539">
        <v>99.302199999999999</v>
      </c>
      <c r="T1539">
        <v>98.274000000000001</v>
      </c>
      <c r="U1539">
        <v>3.8289599999999999</v>
      </c>
      <c r="V1539">
        <v>0</v>
      </c>
      <c r="W1539">
        <v>1</v>
      </c>
      <c r="X1539">
        <v>1.85995</v>
      </c>
      <c r="Y1539">
        <v>1.85995</v>
      </c>
      <c r="Z1539">
        <v>0</v>
      </c>
      <c r="AA1539">
        <v>1.43693</v>
      </c>
      <c r="AB1539">
        <v>2.9635199999999999</v>
      </c>
      <c r="AC1539" s="2">
        <v>769408000</v>
      </c>
      <c r="AD1539" s="1">
        <v>0</v>
      </c>
      <c r="AE1539" s="1">
        <v>0</v>
      </c>
      <c r="AF1539" s="1">
        <v>0</v>
      </c>
      <c r="AG1539" s="1">
        <v>0</v>
      </c>
      <c r="AH1539" s="2">
        <v>4812140</v>
      </c>
      <c r="AI1539" s="1">
        <v>156857</v>
      </c>
      <c r="AJ1539" s="1">
        <v>0</v>
      </c>
      <c r="AK1539" s="8">
        <f t="shared" si="95"/>
        <v>30</v>
      </c>
      <c r="AL1539" s="8">
        <f t="shared" si="94"/>
        <v>30</v>
      </c>
      <c r="AM1539">
        <f t="shared" ref="AM1539:AM1602" si="96">IF(AK1539=52,AC1539,0)</f>
        <v>0</v>
      </c>
      <c r="AN1539">
        <f t="shared" ref="AN1539:AN1602" si="97">IF(AK1539=52,K1539,0)</f>
        <v>0</v>
      </c>
    </row>
    <row r="1540" spans="1:40" x14ac:dyDescent="0.35">
      <c r="A1540">
        <v>78.053100000000001</v>
      </c>
      <c r="B1540">
        <v>85.138999999999996</v>
      </c>
      <c r="C1540">
        <v>2.7836099999999999</v>
      </c>
      <c r="D1540">
        <v>0.01</v>
      </c>
      <c r="E1540">
        <v>0.04</v>
      </c>
      <c r="F1540">
        <v>2.8437999999999999</v>
      </c>
      <c r="G1540">
        <v>3.1461999999999999</v>
      </c>
      <c r="H1540">
        <v>0</v>
      </c>
      <c r="I1540">
        <v>0.59489800000000004</v>
      </c>
      <c r="J1540">
        <v>5.3222399999999999</v>
      </c>
      <c r="K1540" s="2">
        <v>181572000</v>
      </c>
      <c r="L1540" s="1">
        <v>0</v>
      </c>
      <c r="M1540" s="1">
        <v>0</v>
      </c>
      <c r="N1540" s="1">
        <v>0</v>
      </c>
      <c r="O1540" s="1">
        <v>0</v>
      </c>
      <c r="P1540" s="2">
        <v>4251410</v>
      </c>
      <c r="Q1540" s="1">
        <v>-85102.8</v>
      </c>
      <c r="R1540" s="1">
        <v>408539</v>
      </c>
      <c r="S1540">
        <v>99.296199999999999</v>
      </c>
      <c r="T1540">
        <v>98.274000000000001</v>
      </c>
      <c r="U1540">
        <v>3.5226199999999999</v>
      </c>
      <c r="V1540">
        <v>0</v>
      </c>
      <c r="W1540">
        <v>1</v>
      </c>
      <c r="X1540">
        <v>2.21488</v>
      </c>
      <c r="Y1540">
        <v>1.91248</v>
      </c>
      <c r="Z1540">
        <v>0</v>
      </c>
      <c r="AA1540">
        <v>1.4370000000000001</v>
      </c>
      <c r="AB1540">
        <v>2.9635199999999999</v>
      </c>
      <c r="AC1540" s="2">
        <v>770352000</v>
      </c>
      <c r="AD1540" s="1">
        <v>0</v>
      </c>
      <c r="AE1540" s="1">
        <v>0</v>
      </c>
      <c r="AF1540" s="1">
        <v>0</v>
      </c>
      <c r="AG1540" s="1">
        <v>0</v>
      </c>
      <c r="AH1540" s="2">
        <v>5730410</v>
      </c>
      <c r="AI1540" s="1">
        <v>943668</v>
      </c>
      <c r="AJ1540" s="1">
        <v>0</v>
      </c>
      <c r="AK1540" s="8">
        <f t="shared" si="95"/>
        <v>31</v>
      </c>
      <c r="AL1540" s="8">
        <f t="shared" ref="AL1540:AL1603" si="98">IF(AK1539=52,AL1539+1,AL1539)</f>
        <v>30</v>
      </c>
      <c r="AM1540">
        <f t="shared" si="96"/>
        <v>0</v>
      </c>
      <c r="AN1540">
        <f t="shared" si="97"/>
        <v>0</v>
      </c>
    </row>
    <row r="1541" spans="1:40" x14ac:dyDescent="0.35">
      <c r="A1541">
        <v>77.6678</v>
      </c>
      <c r="B1541">
        <v>85.138999999999996</v>
      </c>
      <c r="C1541">
        <v>2.6165600000000002</v>
      </c>
      <c r="D1541">
        <v>0.01</v>
      </c>
      <c r="E1541">
        <v>0.04</v>
      </c>
      <c r="F1541">
        <v>2.84395</v>
      </c>
      <c r="G1541">
        <v>3.14635</v>
      </c>
      <c r="H1541">
        <v>0</v>
      </c>
      <c r="I1541">
        <v>0.53292899999999999</v>
      </c>
      <c r="J1541">
        <v>5.3222399999999999</v>
      </c>
      <c r="K1541" s="2">
        <v>181486000</v>
      </c>
      <c r="L1541" s="1">
        <v>0</v>
      </c>
      <c r="M1541" s="1">
        <v>0</v>
      </c>
      <c r="N1541" s="1">
        <v>0</v>
      </c>
      <c r="O1541" s="1">
        <v>0</v>
      </c>
      <c r="P1541" s="2">
        <v>4251640</v>
      </c>
      <c r="Q1541" s="1">
        <v>-85087.3</v>
      </c>
      <c r="R1541" s="1">
        <v>408539</v>
      </c>
      <c r="S1541">
        <v>99.245199999999997</v>
      </c>
      <c r="T1541">
        <v>98.274000000000001</v>
      </c>
      <c r="U1541">
        <v>3.3513799999999998</v>
      </c>
      <c r="V1541">
        <v>0</v>
      </c>
      <c r="W1541">
        <v>1</v>
      </c>
      <c r="X1541">
        <v>2.2149700000000001</v>
      </c>
      <c r="Y1541">
        <v>1.9125700000000001</v>
      </c>
      <c r="Z1541">
        <v>0</v>
      </c>
      <c r="AA1541">
        <v>1.7112099999999999</v>
      </c>
      <c r="AB1541">
        <v>2.9635199999999999</v>
      </c>
      <c r="AC1541" s="2">
        <v>771296000</v>
      </c>
      <c r="AD1541" s="1">
        <v>0</v>
      </c>
      <c r="AE1541" s="1">
        <v>0</v>
      </c>
      <c r="AF1541" s="1">
        <v>0</v>
      </c>
      <c r="AG1541" s="1">
        <v>0</v>
      </c>
      <c r="AH1541" s="2">
        <v>5730650</v>
      </c>
      <c r="AI1541" s="1">
        <v>943675</v>
      </c>
      <c r="AJ1541" s="1">
        <v>0</v>
      </c>
      <c r="AK1541" s="8">
        <f t="shared" si="95"/>
        <v>32</v>
      </c>
      <c r="AL1541" s="8">
        <f t="shared" si="98"/>
        <v>30</v>
      </c>
      <c r="AM1541">
        <f t="shared" si="96"/>
        <v>0</v>
      </c>
      <c r="AN1541">
        <f t="shared" si="97"/>
        <v>0</v>
      </c>
    </row>
    <row r="1542" spans="1:40" x14ac:dyDescent="0.35">
      <c r="A1542">
        <v>77.0625</v>
      </c>
      <c r="B1542">
        <v>85.138999999999996</v>
      </c>
      <c r="C1542">
        <v>2.3909600000000002</v>
      </c>
      <c r="D1542">
        <v>0.01</v>
      </c>
      <c r="E1542">
        <v>0.04</v>
      </c>
      <c r="F1542">
        <v>2.8441000000000001</v>
      </c>
      <c r="G1542">
        <v>3.1465000000000001</v>
      </c>
      <c r="H1542">
        <v>0</v>
      </c>
      <c r="I1542">
        <v>0.53295700000000001</v>
      </c>
      <c r="J1542">
        <v>5.3222399999999999</v>
      </c>
      <c r="K1542" s="2">
        <v>181401000</v>
      </c>
      <c r="L1542" s="1">
        <v>0</v>
      </c>
      <c r="M1542" s="1">
        <v>0</v>
      </c>
      <c r="N1542" s="1">
        <v>0</v>
      </c>
      <c r="O1542" s="1">
        <v>0</v>
      </c>
      <c r="P1542" s="2">
        <v>4251860</v>
      </c>
      <c r="Q1542" s="1">
        <v>-85071.8</v>
      </c>
      <c r="R1542" s="1">
        <v>408539</v>
      </c>
      <c r="S1542">
        <v>99.172799999999995</v>
      </c>
      <c r="T1542">
        <v>98.274000000000001</v>
      </c>
      <c r="U1542">
        <v>3.28708</v>
      </c>
      <c r="V1542">
        <v>0</v>
      </c>
      <c r="W1542">
        <v>1</v>
      </c>
      <c r="X1542">
        <v>2.2150599999999998</v>
      </c>
      <c r="Y1542">
        <v>1.91266</v>
      </c>
      <c r="Z1542">
        <v>0</v>
      </c>
      <c r="AA1542">
        <v>1.7112799999999999</v>
      </c>
      <c r="AB1542">
        <v>2.9635199999999999</v>
      </c>
      <c r="AC1542" s="2">
        <v>772239000</v>
      </c>
      <c r="AD1542" s="1">
        <v>0</v>
      </c>
      <c r="AE1542" s="1">
        <v>0</v>
      </c>
      <c r="AF1542" s="1">
        <v>0</v>
      </c>
      <c r="AG1542" s="1">
        <v>0</v>
      </c>
      <c r="AH1542" s="2">
        <v>5730890</v>
      </c>
      <c r="AI1542" s="1">
        <v>943683</v>
      </c>
      <c r="AJ1542" s="1">
        <v>0</v>
      </c>
      <c r="AK1542" s="8">
        <f t="shared" si="95"/>
        <v>33</v>
      </c>
      <c r="AL1542" s="8">
        <f t="shared" si="98"/>
        <v>30</v>
      </c>
      <c r="AM1542">
        <f t="shared" si="96"/>
        <v>0</v>
      </c>
      <c r="AN1542">
        <f t="shared" si="97"/>
        <v>0</v>
      </c>
    </row>
    <row r="1543" spans="1:40" x14ac:dyDescent="0.35">
      <c r="A1543">
        <v>76.254999999999995</v>
      </c>
      <c r="B1543">
        <v>85.138999999999996</v>
      </c>
      <c r="C1543">
        <v>2.1675499999999999</v>
      </c>
      <c r="D1543">
        <v>0.01</v>
      </c>
      <c r="E1543">
        <v>0.04</v>
      </c>
      <c r="F1543">
        <v>2.8442500000000002</v>
      </c>
      <c r="G1543">
        <v>3.1466500000000002</v>
      </c>
      <c r="H1543">
        <v>0</v>
      </c>
      <c r="I1543">
        <v>0.53298500000000004</v>
      </c>
      <c r="J1543">
        <v>5.3222399999999999</v>
      </c>
      <c r="K1543" s="2">
        <v>181316000</v>
      </c>
      <c r="L1543" s="1">
        <v>0</v>
      </c>
      <c r="M1543" s="1">
        <v>0</v>
      </c>
      <c r="N1543" s="1">
        <v>0</v>
      </c>
      <c r="O1543" s="1">
        <v>0</v>
      </c>
      <c r="P1543" s="2">
        <v>4252090</v>
      </c>
      <c r="Q1543" s="1">
        <v>-85056.3</v>
      </c>
      <c r="R1543" s="1">
        <v>408539</v>
      </c>
      <c r="S1543">
        <v>99.048100000000005</v>
      </c>
      <c r="T1543">
        <v>98.274000000000001</v>
      </c>
      <c r="U1543">
        <v>2.9875400000000001</v>
      </c>
      <c r="V1543">
        <v>0</v>
      </c>
      <c r="W1543">
        <v>1</v>
      </c>
      <c r="X1543">
        <v>2.21515</v>
      </c>
      <c r="Y1543">
        <v>1.91275</v>
      </c>
      <c r="Z1543">
        <v>0</v>
      </c>
      <c r="AA1543">
        <v>1.7113499999999999</v>
      </c>
      <c r="AB1543">
        <v>2.9635199999999999</v>
      </c>
      <c r="AC1543" s="2">
        <v>773183000</v>
      </c>
      <c r="AD1543" s="1">
        <v>0</v>
      </c>
      <c r="AE1543" s="1">
        <v>0</v>
      </c>
      <c r="AF1543" s="1">
        <v>0</v>
      </c>
      <c r="AG1543" s="1">
        <v>0</v>
      </c>
      <c r="AH1543" s="2">
        <v>5731120</v>
      </c>
      <c r="AI1543" s="1">
        <v>943691</v>
      </c>
      <c r="AJ1543" s="1">
        <v>0</v>
      </c>
      <c r="AK1543" s="8">
        <f t="shared" si="95"/>
        <v>34</v>
      </c>
      <c r="AL1543" s="8">
        <f t="shared" si="98"/>
        <v>30</v>
      </c>
      <c r="AM1543">
        <f t="shared" si="96"/>
        <v>0</v>
      </c>
      <c r="AN1543">
        <f t="shared" si="97"/>
        <v>0</v>
      </c>
    </row>
    <row r="1544" spans="1:40" x14ac:dyDescent="0.35">
      <c r="A1544">
        <v>75.226500000000001</v>
      </c>
      <c r="B1544">
        <v>85.138999999999996</v>
      </c>
      <c r="C1544">
        <v>1.9450700000000001</v>
      </c>
      <c r="D1544">
        <v>0.02</v>
      </c>
      <c r="E1544">
        <v>0.04</v>
      </c>
      <c r="F1544">
        <v>2.9178500000000001</v>
      </c>
      <c r="G1544">
        <v>3.2202500000000001</v>
      </c>
      <c r="H1544">
        <v>0</v>
      </c>
      <c r="I1544">
        <v>0.53301299999999996</v>
      </c>
      <c r="J1544">
        <v>5.3222399999999999</v>
      </c>
      <c r="K1544" s="2">
        <v>181239000</v>
      </c>
      <c r="L1544" s="1">
        <v>0</v>
      </c>
      <c r="M1544" s="1">
        <v>0</v>
      </c>
      <c r="N1544" s="1">
        <v>0</v>
      </c>
      <c r="O1544" s="1">
        <v>0</v>
      </c>
      <c r="P1544" s="2">
        <v>4362100</v>
      </c>
      <c r="Q1544" s="1">
        <v>-77491.100000000006</v>
      </c>
      <c r="R1544" s="1">
        <v>408539</v>
      </c>
      <c r="S1544">
        <v>98.772499999999994</v>
      </c>
      <c r="T1544">
        <v>98.274000000000001</v>
      </c>
      <c r="U1544">
        <v>2.74878</v>
      </c>
      <c r="V1544">
        <v>0</v>
      </c>
      <c r="W1544">
        <v>1</v>
      </c>
      <c r="X1544">
        <v>2.2619799999999999</v>
      </c>
      <c r="Y1544">
        <v>1.9595800000000001</v>
      </c>
      <c r="Z1544">
        <v>0</v>
      </c>
      <c r="AA1544">
        <v>1.71143</v>
      </c>
      <c r="AB1544">
        <v>2.9635199999999999</v>
      </c>
      <c r="AC1544" s="2">
        <v>774131000</v>
      </c>
      <c r="AD1544" s="1">
        <v>0</v>
      </c>
      <c r="AE1544" s="1">
        <v>0</v>
      </c>
      <c r="AF1544" s="1">
        <v>0</v>
      </c>
      <c r="AG1544" s="1">
        <v>0</v>
      </c>
      <c r="AH1544" s="2">
        <v>5852290</v>
      </c>
      <c r="AI1544" s="1">
        <v>947640</v>
      </c>
      <c r="AJ1544" s="1">
        <v>0</v>
      </c>
      <c r="AK1544" s="8">
        <f t="shared" ref="AK1544:AK1607" si="99">IF(AK1543=52, 1, AK1543+1)</f>
        <v>35</v>
      </c>
      <c r="AL1544" s="8">
        <f t="shared" si="98"/>
        <v>30</v>
      </c>
      <c r="AM1544">
        <f t="shared" si="96"/>
        <v>0</v>
      </c>
      <c r="AN1544">
        <f t="shared" si="97"/>
        <v>0</v>
      </c>
    </row>
    <row r="1545" spans="1:40" x14ac:dyDescent="0.35">
      <c r="A1545">
        <v>74.188999999999993</v>
      </c>
      <c r="B1545">
        <v>85.138999999999996</v>
      </c>
      <c r="C1545">
        <v>1.9550099999999999</v>
      </c>
      <c r="D1545">
        <v>0.02</v>
      </c>
      <c r="E1545">
        <v>0.04</v>
      </c>
      <c r="F1545">
        <v>2.9180000000000001</v>
      </c>
      <c r="G1545">
        <v>3.2204000000000002</v>
      </c>
      <c r="H1545">
        <v>0</v>
      </c>
      <c r="I1545">
        <v>0.54680399999999996</v>
      </c>
      <c r="J1545">
        <v>5.3222399999999999</v>
      </c>
      <c r="K1545" s="2">
        <v>181161000</v>
      </c>
      <c r="L1545" s="1">
        <v>0</v>
      </c>
      <c r="M1545" s="1">
        <v>0</v>
      </c>
      <c r="N1545" s="1">
        <v>0</v>
      </c>
      <c r="O1545" s="1">
        <v>0</v>
      </c>
      <c r="P1545" s="2">
        <v>4362340</v>
      </c>
      <c r="Q1545" s="1">
        <v>-77475.199999999997</v>
      </c>
      <c r="R1545" s="1">
        <v>408539</v>
      </c>
      <c r="S1545">
        <v>98.465000000000003</v>
      </c>
      <c r="T1545">
        <v>98.274000000000001</v>
      </c>
      <c r="U1545">
        <v>2.8998200000000001</v>
      </c>
      <c r="V1545">
        <v>0</v>
      </c>
      <c r="W1545">
        <v>1</v>
      </c>
      <c r="X1545">
        <v>2.2620800000000001</v>
      </c>
      <c r="Y1545">
        <v>1.9596800000000001</v>
      </c>
      <c r="Z1545">
        <v>0</v>
      </c>
      <c r="AA1545">
        <v>1.7476100000000001</v>
      </c>
      <c r="AB1545">
        <v>2.9635199999999999</v>
      </c>
      <c r="AC1545" s="2">
        <v>775078000</v>
      </c>
      <c r="AD1545" s="1">
        <v>0</v>
      </c>
      <c r="AE1545" s="1">
        <v>0</v>
      </c>
      <c r="AF1545" s="1">
        <v>0</v>
      </c>
      <c r="AG1545" s="1">
        <v>0</v>
      </c>
      <c r="AH1545" s="2">
        <v>5852530</v>
      </c>
      <c r="AI1545" s="1">
        <v>947648</v>
      </c>
      <c r="AJ1545" s="1">
        <v>0</v>
      </c>
      <c r="AK1545" s="8">
        <f t="shared" si="99"/>
        <v>36</v>
      </c>
      <c r="AL1545" s="8">
        <f t="shared" si="98"/>
        <v>30</v>
      </c>
      <c r="AM1545">
        <f t="shared" si="96"/>
        <v>0</v>
      </c>
      <c r="AN1545">
        <f t="shared" si="97"/>
        <v>0</v>
      </c>
    </row>
    <row r="1546" spans="1:40" x14ac:dyDescent="0.35">
      <c r="A1546">
        <v>73.036799999999999</v>
      </c>
      <c r="B1546">
        <v>85.138999999999996</v>
      </c>
      <c r="C1546">
        <v>1.80321</v>
      </c>
      <c r="D1546">
        <v>0.02</v>
      </c>
      <c r="E1546">
        <v>0.04</v>
      </c>
      <c r="F1546">
        <v>2.9181499999999998</v>
      </c>
      <c r="G1546">
        <v>3.2205499999999998</v>
      </c>
      <c r="H1546">
        <v>0</v>
      </c>
      <c r="I1546">
        <v>0.54683300000000001</v>
      </c>
      <c r="J1546">
        <v>5.3222399999999999</v>
      </c>
      <c r="K1546" s="2">
        <v>181084000</v>
      </c>
      <c r="L1546" s="1">
        <v>0</v>
      </c>
      <c r="M1546" s="1">
        <v>0</v>
      </c>
      <c r="N1546" s="1">
        <v>0</v>
      </c>
      <c r="O1546" s="1">
        <v>0</v>
      </c>
      <c r="P1546" s="2">
        <v>4362570</v>
      </c>
      <c r="Q1546" s="1">
        <v>-77459.399999999994</v>
      </c>
      <c r="R1546" s="1">
        <v>408539</v>
      </c>
      <c r="S1546">
        <v>98.080100000000002</v>
      </c>
      <c r="T1546">
        <v>98.274000000000001</v>
      </c>
      <c r="U1546">
        <v>2.7704399999999998</v>
      </c>
      <c r="V1546">
        <v>0</v>
      </c>
      <c r="W1546">
        <v>1</v>
      </c>
      <c r="X1546">
        <v>2.2621699999999998</v>
      </c>
      <c r="Y1546">
        <v>1.95977</v>
      </c>
      <c r="Z1546">
        <v>0</v>
      </c>
      <c r="AA1546">
        <v>1.7476799999999999</v>
      </c>
      <c r="AB1546">
        <v>2.9635199999999999</v>
      </c>
      <c r="AC1546" s="2">
        <v>776026000</v>
      </c>
      <c r="AD1546" s="1">
        <v>0</v>
      </c>
      <c r="AE1546" s="1">
        <v>0</v>
      </c>
      <c r="AF1546" s="1">
        <v>0</v>
      </c>
      <c r="AG1546" s="1">
        <v>0</v>
      </c>
      <c r="AH1546" s="2">
        <v>5852780</v>
      </c>
      <c r="AI1546" s="1">
        <v>947656</v>
      </c>
      <c r="AJ1546" s="1">
        <v>0</v>
      </c>
      <c r="AK1546" s="8">
        <f t="shared" si="99"/>
        <v>37</v>
      </c>
      <c r="AL1546" s="8">
        <f t="shared" si="98"/>
        <v>30</v>
      </c>
      <c r="AM1546">
        <f t="shared" si="96"/>
        <v>0</v>
      </c>
      <c r="AN1546">
        <f t="shared" si="97"/>
        <v>0</v>
      </c>
    </row>
    <row r="1547" spans="1:40" x14ac:dyDescent="0.35">
      <c r="A1547">
        <v>71.740300000000005</v>
      </c>
      <c r="B1547">
        <v>85.138999999999996</v>
      </c>
      <c r="C1547">
        <v>1.6412899999999999</v>
      </c>
      <c r="D1547">
        <v>0.02</v>
      </c>
      <c r="E1547">
        <v>0.04</v>
      </c>
      <c r="F1547">
        <v>2.91831</v>
      </c>
      <c r="G1547">
        <v>3.22071</v>
      </c>
      <c r="H1547">
        <v>0</v>
      </c>
      <c r="I1547">
        <v>0.54686199999999996</v>
      </c>
      <c r="J1547">
        <v>5.3222399999999999</v>
      </c>
      <c r="K1547" s="2">
        <v>181006000</v>
      </c>
      <c r="L1547" s="1">
        <v>0</v>
      </c>
      <c r="M1547" s="1">
        <v>0</v>
      </c>
      <c r="N1547" s="1">
        <v>0</v>
      </c>
      <c r="O1547" s="1">
        <v>0</v>
      </c>
      <c r="P1547" s="2">
        <v>4362800</v>
      </c>
      <c r="Q1547" s="1">
        <v>-77443.5</v>
      </c>
      <c r="R1547" s="1">
        <v>408539</v>
      </c>
      <c r="S1547">
        <v>97.659099999999995</v>
      </c>
      <c r="T1547">
        <v>98.274000000000001</v>
      </c>
      <c r="U1547">
        <v>2.4148700000000001</v>
      </c>
      <c r="V1547">
        <v>0</v>
      </c>
      <c r="W1547">
        <v>1</v>
      </c>
      <c r="X1547">
        <v>2.2622599999999999</v>
      </c>
      <c r="Y1547">
        <v>1.9598599999999999</v>
      </c>
      <c r="Z1547">
        <v>0</v>
      </c>
      <c r="AA1547">
        <v>1.7477499999999999</v>
      </c>
      <c r="AB1547">
        <v>2.9635199999999999</v>
      </c>
      <c r="AC1547" s="2">
        <v>776974000</v>
      </c>
      <c r="AD1547" s="1">
        <v>0</v>
      </c>
      <c r="AE1547" s="1">
        <v>0</v>
      </c>
      <c r="AF1547" s="1">
        <v>0</v>
      </c>
      <c r="AG1547" s="1">
        <v>0</v>
      </c>
      <c r="AH1547" s="2">
        <v>5853020</v>
      </c>
      <c r="AI1547" s="1">
        <v>947664</v>
      </c>
      <c r="AJ1547" s="1">
        <v>0</v>
      </c>
      <c r="AK1547" s="8">
        <f t="shared" si="99"/>
        <v>38</v>
      </c>
      <c r="AL1547" s="8">
        <f t="shared" si="98"/>
        <v>30</v>
      </c>
      <c r="AM1547">
        <f t="shared" si="96"/>
        <v>0</v>
      </c>
      <c r="AN1547">
        <f t="shared" si="97"/>
        <v>0</v>
      </c>
    </row>
    <row r="1548" spans="1:40" x14ac:dyDescent="0.35">
      <c r="A1548">
        <v>70.432699999999997</v>
      </c>
      <c r="B1548">
        <v>85.138999999999996</v>
      </c>
      <c r="C1548">
        <v>1.7885599999999999</v>
      </c>
      <c r="D1548">
        <v>0.02</v>
      </c>
      <c r="E1548">
        <v>0.04</v>
      </c>
      <c r="F1548">
        <v>3.1335700000000002</v>
      </c>
      <c r="G1548">
        <v>3.4359700000000002</v>
      </c>
      <c r="H1548">
        <v>0</v>
      </c>
      <c r="I1548">
        <v>0.54689100000000002</v>
      </c>
      <c r="J1548">
        <v>5.3222399999999999</v>
      </c>
      <c r="K1548" s="2">
        <v>180951000</v>
      </c>
      <c r="L1548" s="1">
        <v>0</v>
      </c>
      <c r="M1548" s="1">
        <v>0</v>
      </c>
      <c r="N1548" s="1">
        <v>0</v>
      </c>
      <c r="O1548" s="1">
        <v>0</v>
      </c>
      <c r="P1548" s="2">
        <v>4684610</v>
      </c>
      <c r="Q1548" s="1">
        <v>-55314.2</v>
      </c>
      <c r="R1548" s="1">
        <v>408539</v>
      </c>
      <c r="S1548">
        <v>97.344499999999996</v>
      </c>
      <c r="T1548">
        <v>98.274000000000001</v>
      </c>
      <c r="U1548">
        <v>3.1101399999999999</v>
      </c>
      <c r="V1548">
        <v>0</v>
      </c>
      <c r="W1548">
        <v>1</v>
      </c>
      <c r="X1548">
        <v>2.4310999999999998</v>
      </c>
      <c r="Y1548">
        <v>2.1286999999999998</v>
      </c>
      <c r="Z1548">
        <v>0</v>
      </c>
      <c r="AA1548">
        <v>1.74783</v>
      </c>
      <c r="AB1548">
        <v>2.9635199999999999</v>
      </c>
      <c r="AC1548" s="2">
        <v>777936000</v>
      </c>
      <c r="AD1548" s="1">
        <v>0</v>
      </c>
      <c r="AE1548" s="1">
        <v>0</v>
      </c>
      <c r="AF1548" s="1">
        <v>0</v>
      </c>
      <c r="AG1548" s="1">
        <v>0</v>
      </c>
      <c r="AH1548" s="2">
        <v>6289840</v>
      </c>
      <c r="AI1548" s="1">
        <v>961903</v>
      </c>
      <c r="AJ1548" s="1">
        <v>0</v>
      </c>
      <c r="AK1548" s="8">
        <f t="shared" si="99"/>
        <v>39</v>
      </c>
      <c r="AL1548" s="8">
        <f t="shared" si="98"/>
        <v>30</v>
      </c>
      <c r="AM1548">
        <f t="shared" si="96"/>
        <v>0</v>
      </c>
      <c r="AN1548">
        <f t="shared" si="97"/>
        <v>0</v>
      </c>
    </row>
    <row r="1549" spans="1:40" x14ac:dyDescent="0.35">
      <c r="A1549">
        <v>68.925899999999999</v>
      </c>
      <c r="B1549">
        <v>85.138999999999996</v>
      </c>
      <c r="C1549">
        <v>1.5581400000000001</v>
      </c>
      <c r="D1549">
        <v>0.02</v>
      </c>
      <c r="E1549">
        <v>0.04</v>
      </c>
      <c r="F1549">
        <v>3.1337299999999999</v>
      </c>
      <c r="G1549">
        <v>3.4361299999999999</v>
      </c>
      <c r="H1549">
        <v>0</v>
      </c>
      <c r="I1549">
        <v>0.58723099999999995</v>
      </c>
      <c r="J1549">
        <v>5.3222399999999999</v>
      </c>
      <c r="K1549" s="2">
        <v>180896000</v>
      </c>
      <c r="L1549" s="1">
        <v>0</v>
      </c>
      <c r="M1549" s="1">
        <v>0</v>
      </c>
      <c r="N1549" s="1">
        <v>0</v>
      </c>
      <c r="O1549" s="1">
        <v>0</v>
      </c>
      <c r="P1549" s="2">
        <v>4684850</v>
      </c>
      <c r="Q1549" s="1">
        <v>-55297.3</v>
      </c>
      <c r="R1549" s="1">
        <v>408539</v>
      </c>
      <c r="S1549">
        <v>96.91</v>
      </c>
      <c r="T1549">
        <v>98.274000000000001</v>
      </c>
      <c r="U1549">
        <v>2.38192</v>
      </c>
      <c r="V1549">
        <v>0</v>
      </c>
      <c r="W1549">
        <v>1</v>
      </c>
      <c r="X1549">
        <v>2.4312</v>
      </c>
      <c r="Y1549">
        <v>2.1288</v>
      </c>
      <c r="Z1549">
        <v>0</v>
      </c>
      <c r="AA1549">
        <v>1.8782700000000001</v>
      </c>
      <c r="AB1549">
        <v>2.9635199999999999</v>
      </c>
      <c r="AC1549" s="2">
        <v>778898000</v>
      </c>
      <c r="AD1549" s="1">
        <v>0</v>
      </c>
      <c r="AE1549" s="1">
        <v>0</v>
      </c>
      <c r="AF1549" s="1">
        <v>0</v>
      </c>
      <c r="AG1549" s="1">
        <v>0</v>
      </c>
      <c r="AH1549" s="2">
        <v>6290110</v>
      </c>
      <c r="AI1549" s="1">
        <v>961911</v>
      </c>
      <c r="AJ1549" s="1">
        <v>0</v>
      </c>
      <c r="AK1549" s="8">
        <f t="shared" si="99"/>
        <v>40</v>
      </c>
      <c r="AL1549" s="8">
        <f t="shared" si="98"/>
        <v>30</v>
      </c>
      <c r="AM1549">
        <f t="shared" si="96"/>
        <v>0</v>
      </c>
      <c r="AN1549">
        <f t="shared" si="97"/>
        <v>0</v>
      </c>
    </row>
    <row r="1550" spans="1:40" x14ac:dyDescent="0.35">
      <c r="A1550">
        <v>67.252600000000001</v>
      </c>
      <c r="B1550">
        <v>85.138999999999996</v>
      </c>
      <c r="C1550">
        <v>1.40303</v>
      </c>
      <c r="D1550">
        <v>0.02</v>
      </c>
      <c r="E1550">
        <v>0.04</v>
      </c>
      <c r="F1550">
        <v>3.1339000000000001</v>
      </c>
      <c r="G1550">
        <v>3.4363000000000001</v>
      </c>
      <c r="H1550">
        <v>0</v>
      </c>
      <c r="I1550">
        <v>0.58726199999999995</v>
      </c>
      <c r="J1550">
        <v>5.3222399999999999</v>
      </c>
      <c r="K1550" s="2">
        <v>180841000</v>
      </c>
      <c r="L1550" s="1">
        <v>0</v>
      </c>
      <c r="M1550" s="1">
        <v>0</v>
      </c>
      <c r="N1550" s="1">
        <v>0</v>
      </c>
      <c r="O1550" s="1">
        <v>0</v>
      </c>
      <c r="P1550" s="2">
        <v>4685100</v>
      </c>
      <c r="Q1550" s="1">
        <v>-55280.4</v>
      </c>
      <c r="R1550" s="1">
        <v>408539</v>
      </c>
      <c r="S1550">
        <v>96.456699999999998</v>
      </c>
      <c r="T1550">
        <v>98.274000000000001</v>
      </c>
      <c r="U1550">
        <v>2.2820299999999998</v>
      </c>
      <c r="V1550">
        <v>0</v>
      </c>
      <c r="W1550">
        <v>1</v>
      </c>
      <c r="X1550">
        <v>2.4313099999999999</v>
      </c>
      <c r="Y1550">
        <v>2.1289099999999999</v>
      </c>
      <c r="Z1550">
        <v>0</v>
      </c>
      <c r="AA1550">
        <v>1.87835</v>
      </c>
      <c r="AB1550">
        <v>2.9635199999999999</v>
      </c>
      <c r="AC1550" s="2">
        <v>779859000</v>
      </c>
      <c r="AD1550" s="1">
        <v>0</v>
      </c>
      <c r="AE1550" s="1">
        <v>0</v>
      </c>
      <c r="AF1550" s="1">
        <v>0</v>
      </c>
      <c r="AG1550" s="1">
        <v>0</v>
      </c>
      <c r="AH1550" s="2">
        <v>6290370</v>
      </c>
      <c r="AI1550" s="1">
        <v>961920</v>
      </c>
      <c r="AJ1550" s="1">
        <v>0</v>
      </c>
      <c r="AK1550" s="8">
        <f t="shared" si="99"/>
        <v>41</v>
      </c>
      <c r="AL1550" s="8">
        <f t="shared" si="98"/>
        <v>30</v>
      </c>
      <c r="AM1550">
        <f t="shared" si="96"/>
        <v>0</v>
      </c>
      <c r="AN1550">
        <f t="shared" si="97"/>
        <v>0</v>
      </c>
    </row>
    <row r="1551" spans="1:40" x14ac:dyDescent="0.35">
      <c r="A1551">
        <v>65.621899999999997</v>
      </c>
      <c r="B1551">
        <v>85.138999999999996</v>
      </c>
      <c r="C1551">
        <v>1.41506</v>
      </c>
      <c r="D1551">
        <v>0.02</v>
      </c>
      <c r="E1551">
        <v>0.04</v>
      </c>
      <c r="F1551">
        <v>3.1340599999999998</v>
      </c>
      <c r="G1551">
        <v>3.4364599999999998</v>
      </c>
      <c r="H1551">
        <v>0</v>
      </c>
      <c r="I1551">
        <v>0.58729299999999995</v>
      </c>
      <c r="J1551">
        <v>5.3222399999999999</v>
      </c>
      <c r="K1551" s="2">
        <v>180785000</v>
      </c>
      <c r="L1551" s="1">
        <v>0</v>
      </c>
      <c r="M1551" s="1">
        <v>0</v>
      </c>
      <c r="N1551" s="1">
        <v>0</v>
      </c>
      <c r="O1551" s="1">
        <v>0</v>
      </c>
      <c r="P1551" s="2">
        <v>4685340</v>
      </c>
      <c r="Q1551" s="1">
        <v>-55263.5</v>
      </c>
      <c r="R1551" s="1">
        <v>408539</v>
      </c>
      <c r="S1551">
        <v>96.083500000000001</v>
      </c>
      <c r="T1551">
        <v>98.274000000000001</v>
      </c>
      <c r="U1551">
        <v>2.4562300000000001</v>
      </c>
      <c r="V1551">
        <v>0</v>
      </c>
      <c r="W1551">
        <v>1</v>
      </c>
      <c r="X1551">
        <v>2.4314100000000001</v>
      </c>
      <c r="Y1551">
        <v>2.1290100000000001</v>
      </c>
      <c r="Z1551">
        <v>0</v>
      </c>
      <c r="AA1551">
        <v>1.87843</v>
      </c>
      <c r="AB1551">
        <v>2.9635199999999999</v>
      </c>
      <c r="AC1551" s="2">
        <v>780821000</v>
      </c>
      <c r="AD1551" s="1">
        <v>0</v>
      </c>
      <c r="AE1551" s="1">
        <v>0</v>
      </c>
      <c r="AF1551" s="1">
        <v>0</v>
      </c>
      <c r="AG1551" s="1">
        <v>0</v>
      </c>
      <c r="AH1551" s="2">
        <v>6290630</v>
      </c>
      <c r="AI1551" s="1">
        <v>961929</v>
      </c>
      <c r="AJ1551" s="1">
        <v>0</v>
      </c>
      <c r="AK1551" s="8">
        <f t="shared" si="99"/>
        <v>42</v>
      </c>
      <c r="AL1551" s="8">
        <f t="shared" si="98"/>
        <v>30</v>
      </c>
      <c r="AM1551">
        <f t="shared" si="96"/>
        <v>0</v>
      </c>
      <c r="AN1551">
        <f t="shared" si="97"/>
        <v>0</v>
      </c>
    </row>
    <row r="1552" spans="1:40" x14ac:dyDescent="0.35">
      <c r="A1552">
        <v>64.017399999999995</v>
      </c>
      <c r="B1552">
        <v>85.138999999999996</v>
      </c>
      <c r="C1552">
        <v>1.4283399999999999</v>
      </c>
      <c r="D1552">
        <v>0.02</v>
      </c>
      <c r="E1552">
        <v>0.04</v>
      </c>
      <c r="F1552">
        <v>3.1342300000000001</v>
      </c>
      <c r="G1552">
        <v>3.4366300000000001</v>
      </c>
      <c r="H1552">
        <v>0</v>
      </c>
      <c r="I1552">
        <v>0.58732300000000004</v>
      </c>
      <c r="J1552">
        <v>5.3222399999999999</v>
      </c>
      <c r="K1552" s="2">
        <v>180730000</v>
      </c>
      <c r="L1552" s="1">
        <v>0</v>
      </c>
      <c r="M1552" s="1">
        <v>0</v>
      </c>
      <c r="N1552" s="1">
        <v>0</v>
      </c>
      <c r="O1552" s="1">
        <v>0</v>
      </c>
      <c r="P1552" s="2">
        <v>4685590</v>
      </c>
      <c r="Q1552" s="1">
        <v>-55246.6</v>
      </c>
      <c r="R1552" s="1">
        <v>408539</v>
      </c>
      <c r="S1552">
        <v>95.722499999999997</v>
      </c>
      <c r="T1552">
        <v>98.274000000000001</v>
      </c>
      <c r="U1552">
        <v>2.91777</v>
      </c>
      <c r="V1552">
        <v>0</v>
      </c>
      <c r="W1552">
        <v>1</v>
      </c>
      <c r="X1552">
        <v>2.4315099999999998</v>
      </c>
      <c r="Y1552">
        <v>2.1291099999999998</v>
      </c>
      <c r="Z1552">
        <v>0</v>
      </c>
      <c r="AA1552">
        <v>1.8785099999999999</v>
      </c>
      <c r="AB1552">
        <v>2.9635199999999999</v>
      </c>
      <c r="AC1552" s="2">
        <v>781783000</v>
      </c>
      <c r="AD1552" s="1">
        <v>0</v>
      </c>
      <c r="AE1552" s="1">
        <v>0</v>
      </c>
      <c r="AF1552" s="1">
        <v>0</v>
      </c>
      <c r="AG1552" s="1">
        <v>0</v>
      </c>
      <c r="AH1552" s="2">
        <v>6290900</v>
      </c>
      <c r="AI1552" s="1">
        <v>961937</v>
      </c>
      <c r="AJ1552" s="1">
        <v>0</v>
      </c>
      <c r="AK1552" s="8">
        <f t="shared" si="99"/>
        <v>43</v>
      </c>
      <c r="AL1552" s="8">
        <f t="shared" si="98"/>
        <v>30</v>
      </c>
      <c r="AM1552">
        <f t="shared" si="96"/>
        <v>0</v>
      </c>
      <c r="AN1552">
        <f t="shared" si="97"/>
        <v>0</v>
      </c>
    </row>
    <row r="1553" spans="1:40" x14ac:dyDescent="0.35">
      <c r="A1553">
        <v>63.030700000000003</v>
      </c>
      <c r="B1553">
        <v>85.138999999999996</v>
      </c>
      <c r="C1553">
        <v>1.9475800000000001</v>
      </c>
      <c r="D1553">
        <v>0.02</v>
      </c>
      <c r="E1553">
        <v>0.04</v>
      </c>
      <c r="F1553">
        <v>3.0295299999999998</v>
      </c>
      <c r="G1553">
        <v>3.3319299999999998</v>
      </c>
      <c r="H1553">
        <v>0</v>
      </c>
      <c r="I1553">
        <v>0.58735400000000004</v>
      </c>
      <c r="J1553">
        <v>5.3222399999999999</v>
      </c>
      <c r="K1553" s="2">
        <v>180664000</v>
      </c>
      <c r="L1553" s="1">
        <v>0</v>
      </c>
      <c r="M1553" s="1">
        <v>0</v>
      </c>
      <c r="N1553" s="1">
        <v>0</v>
      </c>
      <c r="O1553" s="1">
        <v>0</v>
      </c>
      <c r="P1553" s="2">
        <v>4529070</v>
      </c>
      <c r="Q1553" s="1">
        <v>-66009.600000000006</v>
      </c>
      <c r="R1553" s="1">
        <v>408539</v>
      </c>
      <c r="S1553">
        <v>95.576099999999997</v>
      </c>
      <c r="T1553">
        <v>98.274000000000001</v>
      </c>
      <c r="U1553">
        <v>3.5527500000000001</v>
      </c>
      <c r="V1553">
        <v>0</v>
      </c>
      <c r="W1553">
        <v>1</v>
      </c>
      <c r="X1553">
        <v>2.32917</v>
      </c>
      <c r="Y1553">
        <v>2.02677</v>
      </c>
      <c r="Z1553">
        <v>0</v>
      </c>
      <c r="AA1553">
        <v>1.8785799999999999</v>
      </c>
      <c r="AB1553">
        <v>2.9635199999999999</v>
      </c>
      <c r="AC1553" s="2">
        <v>782737000</v>
      </c>
      <c r="AD1553" s="1">
        <v>0</v>
      </c>
      <c r="AE1553" s="1">
        <v>0</v>
      </c>
      <c r="AF1553" s="1">
        <v>0</v>
      </c>
      <c r="AG1553" s="1">
        <v>0</v>
      </c>
      <c r="AH1553" s="2">
        <v>6026110</v>
      </c>
      <c r="AI1553" s="1">
        <v>953306</v>
      </c>
      <c r="AJ1553" s="1">
        <v>0</v>
      </c>
      <c r="AK1553" s="8">
        <f t="shared" si="99"/>
        <v>44</v>
      </c>
      <c r="AL1553" s="8">
        <f t="shared" si="98"/>
        <v>30</v>
      </c>
      <c r="AM1553">
        <f t="shared" si="96"/>
        <v>0</v>
      </c>
      <c r="AN1553">
        <f t="shared" si="97"/>
        <v>0</v>
      </c>
    </row>
    <row r="1554" spans="1:40" x14ac:dyDescent="0.35">
      <c r="A1554">
        <v>61.357700000000001</v>
      </c>
      <c r="B1554">
        <v>85.138999999999996</v>
      </c>
      <c r="C1554">
        <v>1.3076300000000001</v>
      </c>
      <c r="D1554">
        <v>0.02</v>
      </c>
      <c r="E1554">
        <v>0.04</v>
      </c>
      <c r="F1554">
        <v>3.02969</v>
      </c>
      <c r="G1554">
        <v>3.33209</v>
      </c>
      <c r="H1554">
        <v>0</v>
      </c>
      <c r="I1554">
        <v>0.56773399999999996</v>
      </c>
      <c r="J1554">
        <v>5.3222399999999999</v>
      </c>
      <c r="K1554" s="2">
        <v>180598000</v>
      </c>
      <c r="L1554" s="1">
        <v>0</v>
      </c>
      <c r="M1554" s="1">
        <v>0</v>
      </c>
      <c r="N1554" s="1">
        <v>0</v>
      </c>
      <c r="O1554" s="1">
        <v>0</v>
      </c>
      <c r="P1554" s="2">
        <v>4529310</v>
      </c>
      <c r="Q1554" s="1">
        <v>-65993.2</v>
      </c>
      <c r="R1554" s="1">
        <v>408539</v>
      </c>
      <c r="S1554">
        <v>95.183199999999999</v>
      </c>
      <c r="T1554">
        <v>98.274000000000001</v>
      </c>
      <c r="U1554">
        <v>2.6892100000000001</v>
      </c>
      <c r="V1554">
        <v>0</v>
      </c>
      <c r="W1554">
        <v>1</v>
      </c>
      <c r="X1554">
        <v>2.3292600000000001</v>
      </c>
      <c r="Y1554">
        <v>2.0268600000000001</v>
      </c>
      <c r="Z1554">
        <v>0</v>
      </c>
      <c r="AA1554">
        <v>1.7995099999999999</v>
      </c>
      <c r="AB1554">
        <v>2.9635199999999999</v>
      </c>
      <c r="AC1554" s="2">
        <v>783690000</v>
      </c>
      <c r="AD1554" s="1">
        <v>0</v>
      </c>
      <c r="AE1554" s="1">
        <v>0</v>
      </c>
      <c r="AF1554" s="1">
        <v>0</v>
      </c>
      <c r="AG1554" s="1">
        <v>0</v>
      </c>
      <c r="AH1554" s="2">
        <v>6026360</v>
      </c>
      <c r="AI1554" s="1">
        <v>953314</v>
      </c>
      <c r="AJ1554" s="1">
        <v>0</v>
      </c>
      <c r="AK1554" s="8">
        <f t="shared" si="99"/>
        <v>45</v>
      </c>
      <c r="AL1554" s="8">
        <f t="shared" si="98"/>
        <v>30</v>
      </c>
      <c r="AM1554">
        <f t="shared" si="96"/>
        <v>0</v>
      </c>
      <c r="AN1554">
        <f t="shared" si="97"/>
        <v>0</v>
      </c>
    </row>
    <row r="1555" spans="1:40" x14ac:dyDescent="0.35">
      <c r="A1555">
        <v>59.493099999999998</v>
      </c>
      <c r="B1555">
        <v>85.138999999999996</v>
      </c>
      <c r="C1555">
        <v>1.03772</v>
      </c>
      <c r="D1555">
        <v>0.02</v>
      </c>
      <c r="E1555">
        <v>0.04</v>
      </c>
      <c r="F1555">
        <v>3.0298500000000002</v>
      </c>
      <c r="G1555">
        <v>3.3322500000000002</v>
      </c>
      <c r="H1555">
        <v>0</v>
      </c>
      <c r="I1555">
        <v>0.56776400000000005</v>
      </c>
      <c r="J1555">
        <v>5.3222399999999999</v>
      </c>
      <c r="K1555" s="2">
        <v>180532000</v>
      </c>
      <c r="L1555" s="1">
        <v>0</v>
      </c>
      <c r="M1555" s="1">
        <v>0</v>
      </c>
      <c r="N1555" s="1">
        <v>0</v>
      </c>
      <c r="O1555" s="1">
        <v>0</v>
      </c>
      <c r="P1555" s="2">
        <v>4529550</v>
      </c>
      <c r="Q1555" s="1">
        <v>-65976.800000000003</v>
      </c>
      <c r="R1555" s="1">
        <v>408539</v>
      </c>
      <c r="S1555">
        <v>94.742400000000004</v>
      </c>
      <c r="T1555">
        <v>98.274000000000001</v>
      </c>
      <c r="U1555">
        <v>1.9856</v>
      </c>
      <c r="V1555">
        <v>0</v>
      </c>
      <c r="W1555">
        <v>1</v>
      </c>
      <c r="X1555">
        <v>2.3293599999999999</v>
      </c>
      <c r="Y1555">
        <v>2.0269599999999999</v>
      </c>
      <c r="Z1555">
        <v>0</v>
      </c>
      <c r="AA1555">
        <v>1.79959</v>
      </c>
      <c r="AB1555">
        <v>2.9635199999999999</v>
      </c>
      <c r="AC1555" s="2">
        <v>784643000</v>
      </c>
      <c r="AD1555" s="1">
        <v>0</v>
      </c>
      <c r="AE1555" s="1">
        <v>0</v>
      </c>
      <c r="AF1555" s="1">
        <v>0</v>
      </c>
      <c r="AG1555" s="1">
        <v>0</v>
      </c>
      <c r="AH1555" s="2">
        <v>6026610</v>
      </c>
      <c r="AI1555" s="1">
        <v>953322</v>
      </c>
      <c r="AJ1555" s="1">
        <v>0</v>
      </c>
      <c r="AK1555" s="8">
        <f t="shared" si="99"/>
        <v>46</v>
      </c>
      <c r="AL1555" s="8">
        <f t="shared" si="98"/>
        <v>30</v>
      </c>
      <c r="AM1555">
        <f t="shared" si="96"/>
        <v>0</v>
      </c>
      <c r="AN1555">
        <f t="shared" si="97"/>
        <v>0</v>
      </c>
    </row>
    <row r="1556" spans="1:40" x14ac:dyDescent="0.35">
      <c r="A1556">
        <v>58.981900000000003</v>
      </c>
      <c r="B1556">
        <v>85.138999999999996</v>
      </c>
      <c r="C1556">
        <v>2.4588899999999998</v>
      </c>
      <c r="D1556">
        <v>0.02</v>
      </c>
      <c r="E1556">
        <v>0.04</v>
      </c>
      <c r="F1556">
        <v>3.0300099999999999</v>
      </c>
      <c r="G1556">
        <v>3.3324099999999999</v>
      </c>
      <c r="H1556">
        <v>0</v>
      </c>
      <c r="I1556">
        <v>0.56779400000000002</v>
      </c>
      <c r="J1556">
        <v>5.3222399999999999</v>
      </c>
      <c r="K1556" s="2">
        <v>180466000</v>
      </c>
      <c r="L1556" s="1">
        <v>0</v>
      </c>
      <c r="M1556" s="1">
        <v>0</v>
      </c>
      <c r="N1556" s="1">
        <v>0</v>
      </c>
      <c r="O1556" s="1">
        <v>0</v>
      </c>
      <c r="P1556" s="2">
        <v>4529790</v>
      </c>
      <c r="Q1556" s="1">
        <v>-65960.399999999994</v>
      </c>
      <c r="R1556" s="1">
        <v>408539</v>
      </c>
      <c r="S1556">
        <v>94.598500000000001</v>
      </c>
      <c r="T1556">
        <v>98.274000000000001</v>
      </c>
      <c r="U1556">
        <v>4.1910100000000003</v>
      </c>
      <c r="V1556">
        <v>0</v>
      </c>
      <c r="W1556">
        <v>1</v>
      </c>
      <c r="X1556">
        <v>2.3294600000000001</v>
      </c>
      <c r="Y1556">
        <v>2.0270600000000001</v>
      </c>
      <c r="Z1556">
        <v>0</v>
      </c>
      <c r="AA1556">
        <v>1.79966</v>
      </c>
      <c r="AB1556">
        <v>2.9635199999999999</v>
      </c>
      <c r="AC1556" s="2">
        <v>785597000</v>
      </c>
      <c r="AD1556" s="1">
        <v>0</v>
      </c>
      <c r="AE1556" s="1">
        <v>0</v>
      </c>
      <c r="AF1556" s="1">
        <v>0</v>
      </c>
      <c r="AG1556" s="1">
        <v>0</v>
      </c>
      <c r="AH1556" s="2">
        <v>6026860</v>
      </c>
      <c r="AI1556" s="1">
        <v>953331</v>
      </c>
      <c r="AJ1556" s="1">
        <v>0</v>
      </c>
      <c r="AK1556" s="8">
        <f t="shared" si="99"/>
        <v>47</v>
      </c>
      <c r="AL1556" s="8">
        <f t="shared" si="98"/>
        <v>30</v>
      </c>
      <c r="AM1556">
        <f t="shared" si="96"/>
        <v>0</v>
      </c>
      <c r="AN1556">
        <f t="shared" si="97"/>
        <v>0</v>
      </c>
    </row>
    <row r="1557" spans="1:40" x14ac:dyDescent="0.35">
      <c r="A1557">
        <v>60.107199999999999</v>
      </c>
      <c r="B1557">
        <v>85.138999999999996</v>
      </c>
      <c r="C1557">
        <v>4.24763</v>
      </c>
      <c r="D1557">
        <v>0.04</v>
      </c>
      <c r="E1557">
        <v>0.04</v>
      </c>
      <c r="F1557">
        <v>2.94408</v>
      </c>
      <c r="G1557">
        <v>3.24648</v>
      </c>
      <c r="H1557">
        <v>0</v>
      </c>
      <c r="I1557">
        <v>0.567824</v>
      </c>
      <c r="J1557">
        <v>5.3222399999999999</v>
      </c>
      <c r="K1557" s="2">
        <v>180391000</v>
      </c>
      <c r="L1557" s="1">
        <v>0</v>
      </c>
      <c r="M1557" s="1">
        <v>0</v>
      </c>
      <c r="N1557" s="1">
        <v>0</v>
      </c>
      <c r="O1557" s="1">
        <v>0</v>
      </c>
      <c r="P1557" s="2">
        <v>4401330</v>
      </c>
      <c r="Q1557" s="1">
        <v>-74794.100000000006</v>
      </c>
      <c r="R1557" s="1">
        <v>408539</v>
      </c>
      <c r="S1557">
        <v>95.638199999999998</v>
      </c>
      <c r="T1557">
        <v>98.274000000000001</v>
      </c>
      <c r="U1557">
        <v>7.4261499999999998</v>
      </c>
      <c r="V1557">
        <v>0</v>
      </c>
      <c r="W1557">
        <v>1</v>
      </c>
      <c r="X1557">
        <v>2.2362899999999999</v>
      </c>
      <c r="Y1557">
        <v>1.9338900000000001</v>
      </c>
      <c r="Z1557">
        <v>0</v>
      </c>
      <c r="AA1557">
        <v>1.7997399999999999</v>
      </c>
      <c r="AB1557">
        <v>2.9635199999999999</v>
      </c>
      <c r="AC1557" s="2">
        <v>786542000</v>
      </c>
      <c r="AD1557" s="1">
        <v>0</v>
      </c>
      <c r="AE1557" s="1">
        <v>0</v>
      </c>
      <c r="AF1557" s="1">
        <v>0</v>
      </c>
      <c r="AG1557" s="1">
        <v>0</v>
      </c>
      <c r="AH1557" s="2">
        <v>5785800</v>
      </c>
      <c r="AI1557" s="1">
        <v>945473</v>
      </c>
      <c r="AJ1557" s="1">
        <v>0</v>
      </c>
      <c r="AK1557" s="8">
        <f t="shared" si="99"/>
        <v>48</v>
      </c>
      <c r="AL1557" s="8">
        <f t="shared" si="98"/>
        <v>30</v>
      </c>
      <c r="AM1557">
        <f t="shared" si="96"/>
        <v>0</v>
      </c>
      <c r="AN1557">
        <f t="shared" si="97"/>
        <v>0</v>
      </c>
    </row>
    <row r="1558" spans="1:40" x14ac:dyDescent="0.35">
      <c r="A1558">
        <v>61.687800000000003</v>
      </c>
      <c r="B1558">
        <v>85.138999999999996</v>
      </c>
      <c r="C1558">
        <v>4.7137099999999998</v>
      </c>
      <c r="D1558">
        <v>0.02</v>
      </c>
      <c r="E1558">
        <v>0.04</v>
      </c>
      <c r="F1558">
        <v>2.9442400000000002</v>
      </c>
      <c r="G1558">
        <v>3.2466400000000002</v>
      </c>
      <c r="H1558">
        <v>0</v>
      </c>
      <c r="I1558">
        <v>0.55172100000000002</v>
      </c>
      <c r="J1558">
        <v>5.3222399999999999</v>
      </c>
      <c r="K1558" s="2">
        <v>180317000</v>
      </c>
      <c r="L1558" s="1">
        <v>0</v>
      </c>
      <c r="M1558" s="1">
        <v>0</v>
      </c>
      <c r="N1558" s="1">
        <v>0</v>
      </c>
      <c r="O1558" s="1">
        <v>0</v>
      </c>
      <c r="P1558" s="2">
        <v>4401560</v>
      </c>
      <c r="Q1558" s="1">
        <v>-74778.100000000006</v>
      </c>
      <c r="R1558" s="1">
        <v>408539</v>
      </c>
      <c r="S1558">
        <v>96.999799999999993</v>
      </c>
      <c r="T1558">
        <v>98.274000000000001</v>
      </c>
      <c r="U1558">
        <v>6.7126400000000004</v>
      </c>
      <c r="V1558">
        <v>0</v>
      </c>
      <c r="W1558">
        <v>1</v>
      </c>
      <c r="X1558">
        <v>2.23638</v>
      </c>
      <c r="Y1558">
        <v>1.93398</v>
      </c>
      <c r="Z1558">
        <v>0</v>
      </c>
      <c r="AA1558">
        <v>1.7277499999999999</v>
      </c>
      <c r="AB1558">
        <v>2.9635199999999999</v>
      </c>
      <c r="AC1558" s="2">
        <v>787488000</v>
      </c>
      <c r="AD1558" s="1">
        <v>0</v>
      </c>
      <c r="AE1558" s="1">
        <v>0</v>
      </c>
      <c r="AF1558" s="1">
        <v>0</v>
      </c>
      <c r="AG1558" s="1">
        <v>0</v>
      </c>
      <c r="AH1558" s="2">
        <v>5786040</v>
      </c>
      <c r="AI1558" s="1">
        <v>945481</v>
      </c>
      <c r="AJ1558" s="1">
        <v>0</v>
      </c>
      <c r="AK1558" s="8">
        <f t="shared" si="99"/>
        <v>49</v>
      </c>
      <c r="AL1558" s="8">
        <f t="shared" si="98"/>
        <v>30</v>
      </c>
      <c r="AM1558">
        <f t="shared" si="96"/>
        <v>0</v>
      </c>
      <c r="AN1558">
        <f t="shared" si="97"/>
        <v>0</v>
      </c>
    </row>
    <row r="1559" spans="1:40" x14ac:dyDescent="0.35">
      <c r="A1559">
        <v>63.748600000000003</v>
      </c>
      <c r="B1559">
        <v>85.138999999999996</v>
      </c>
      <c r="C1559">
        <v>5.2460300000000002</v>
      </c>
      <c r="D1559">
        <v>0.02</v>
      </c>
      <c r="E1559">
        <v>0.04</v>
      </c>
      <c r="F1559">
        <v>2.9443899999999998</v>
      </c>
      <c r="G1559">
        <v>3.2467899999999998</v>
      </c>
      <c r="H1559">
        <v>0</v>
      </c>
      <c r="I1559">
        <v>0.55174999999999996</v>
      </c>
      <c r="J1559">
        <v>5.3222399999999999</v>
      </c>
      <c r="K1559" s="2">
        <v>180242000</v>
      </c>
      <c r="L1559" s="1">
        <v>0</v>
      </c>
      <c r="M1559" s="1">
        <v>0</v>
      </c>
      <c r="N1559" s="1">
        <v>0</v>
      </c>
      <c r="O1559" s="1">
        <v>0</v>
      </c>
      <c r="P1559" s="2">
        <v>4401790</v>
      </c>
      <c r="Q1559" s="1">
        <v>-74762.100000000006</v>
      </c>
      <c r="R1559" s="1">
        <v>408539</v>
      </c>
      <c r="S1559">
        <v>98.377499999999998</v>
      </c>
      <c r="T1559">
        <v>98.274000000000001</v>
      </c>
      <c r="U1559">
        <v>7.8319900000000002</v>
      </c>
      <c r="V1559">
        <v>0</v>
      </c>
      <c r="W1559">
        <v>1</v>
      </c>
      <c r="X1559">
        <v>2.2364700000000002</v>
      </c>
      <c r="Y1559">
        <v>1.93407</v>
      </c>
      <c r="Z1559">
        <v>0</v>
      </c>
      <c r="AA1559">
        <v>1.72783</v>
      </c>
      <c r="AB1559">
        <v>2.9635199999999999</v>
      </c>
      <c r="AC1559" s="2">
        <v>788433000</v>
      </c>
      <c r="AD1559" s="1">
        <v>0</v>
      </c>
      <c r="AE1559" s="1">
        <v>0</v>
      </c>
      <c r="AF1559" s="1">
        <v>0</v>
      </c>
      <c r="AG1559" s="1">
        <v>0</v>
      </c>
      <c r="AH1559" s="2">
        <v>5786280</v>
      </c>
      <c r="AI1559" s="1">
        <v>945489</v>
      </c>
      <c r="AJ1559" s="1">
        <v>0</v>
      </c>
      <c r="AK1559" s="8">
        <f t="shared" si="99"/>
        <v>50</v>
      </c>
      <c r="AL1559" s="8">
        <f t="shared" si="98"/>
        <v>30</v>
      </c>
      <c r="AM1559">
        <f t="shared" si="96"/>
        <v>0</v>
      </c>
      <c r="AN1559">
        <f t="shared" si="97"/>
        <v>0</v>
      </c>
    </row>
    <row r="1560" spans="1:40" x14ac:dyDescent="0.35">
      <c r="A1560">
        <v>65.1892</v>
      </c>
      <c r="B1560">
        <v>85.138999999999996</v>
      </c>
      <c r="C1560">
        <v>4.6159100000000004</v>
      </c>
      <c r="D1560">
        <v>0.02</v>
      </c>
      <c r="E1560">
        <v>0.04</v>
      </c>
      <c r="F1560">
        <v>2.94455</v>
      </c>
      <c r="G1560">
        <v>3.24695</v>
      </c>
      <c r="H1560">
        <v>0</v>
      </c>
      <c r="I1560">
        <v>0.55177900000000002</v>
      </c>
      <c r="J1560">
        <v>5.3222399999999999</v>
      </c>
      <c r="K1560" s="2">
        <v>180167000</v>
      </c>
      <c r="L1560" s="1">
        <v>0</v>
      </c>
      <c r="M1560" s="1">
        <v>0</v>
      </c>
      <c r="N1560" s="1">
        <v>0</v>
      </c>
      <c r="O1560" s="1">
        <v>0</v>
      </c>
      <c r="P1560" s="2">
        <v>4402020</v>
      </c>
      <c r="Q1560" s="1">
        <v>-74746.100000000006</v>
      </c>
      <c r="R1560" s="1">
        <v>408539</v>
      </c>
      <c r="S1560">
        <v>98.91</v>
      </c>
      <c r="T1560">
        <v>98.274000000000001</v>
      </c>
      <c r="U1560">
        <v>5.6452499999999999</v>
      </c>
      <c r="V1560">
        <v>0</v>
      </c>
      <c r="W1560">
        <v>1</v>
      </c>
      <c r="X1560">
        <v>2.2365599999999999</v>
      </c>
      <c r="Y1560">
        <v>1.9341600000000001</v>
      </c>
      <c r="Z1560">
        <v>0</v>
      </c>
      <c r="AA1560">
        <v>1.7279</v>
      </c>
      <c r="AB1560">
        <v>2.9635199999999999</v>
      </c>
      <c r="AC1560" s="2">
        <v>789379000</v>
      </c>
      <c r="AD1560" s="1">
        <v>0</v>
      </c>
      <c r="AE1560" s="1">
        <v>0</v>
      </c>
      <c r="AF1560" s="1">
        <v>0</v>
      </c>
      <c r="AG1560" s="1">
        <v>0</v>
      </c>
      <c r="AH1560" s="2">
        <v>5786520</v>
      </c>
      <c r="AI1560" s="1">
        <v>945496</v>
      </c>
      <c r="AJ1560" s="1">
        <v>0</v>
      </c>
      <c r="AK1560" s="8">
        <f t="shared" si="99"/>
        <v>51</v>
      </c>
      <c r="AL1560" s="8">
        <f t="shared" si="98"/>
        <v>30</v>
      </c>
      <c r="AM1560">
        <f t="shared" si="96"/>
        <v>0</v>
      </c>
      <c r="AN1560">
        <f t="shared" si="97"/>
        <v>0</v>
      </c>
    </row>
    <row r="1561" spans="1:40" x14ac:dyDescent="0.35">
      <c r="A1561">
        <v>67.355500000000006</v>
      </c>
      <c r="B1561">
        <v>85.138999999999996</v>
      </c>
      <c r="C1561">
        <v>5.2733699999999999</v>
      </c>
      <c r="D1561">
        <v>0.02</v>
      </c>
      <c r="E1561">
        <v>0.04</v>
      </c>
      <c r="F1561">
        <v>2.7001599999999999</v>
      </c>
      <c r="G1561">
        <v>3.0025599999999999</v>
      </c>
      <c r="H1561">
        <v>0</v>
      </c>
      <c r="I1561">
        <v>0.55180799999999997</v>
      </c>
      <c r="J1561">
        <v>5.3222399999999999</v>
      </c>
      <c r="K1561" s="2">
        <v>180067000</v>
      </c>
      <c r="L1561" s="1">
        <v>0</v>
      </c>
      <c r="M1561" s="1">
        <v>0</v>
      </c>
      <c r="N1561" s="1">
        <v>0</v>
      </c>
      <c r="O1561" s="1">
        <v>0</v>
      </c>
      <c r="P1561" s="2">
        <v>4036670</v>
      </c>
      <c r="Q1561" s="1">
        <v>-99869.8</v>
      </c>
      <c r="R1561" s="1">
        <v>408539</v>
      </c>
      <c r="S1561">
        <v>99.302199999999999</v>
      </c>
      <c r="T1561">
        <v>98.274000000000001</v>
      </c>
      <c r="U1561">
        <v>5.4218700000000002</v>
      </c>
      <c r="V1561">
        <v>0</v>
      </c>
      <c r="W1561">
        <v>1</v>
      </c>
      <c r="X1561">
        <v>2.04237</v>
      </c>
      <c r="Y1561">
        <v>1.73997</v>
      </c>
      <c r="Z1561">
        <v>0</v>
      </c>
      <c r="AA1561">
        <v>1.72797</v>
      </c>
      <c r="AB1561">
        <v>2.9635199999999999</v>
      </c>
      <c r="AC1561" s="2">
        <v>790308000</v>
      </c>
      <c r="AD1561" s="1">
        <v>0</v>
      </c>
      <c r="AE1561" s="1">
        <v>0</v>
      </c>
      <c r="AF1561" s="1">
        <v>0</v>
      </c>
      <c r="AG1561" s="1">
        <v>0</v>
      </c>
      <c r="AH1561" s="2">
        <v>5284090</v>
      </c>
      <c r="AI1561" s="1">
        <v>929119</v>
      </c>
      <c r="AJ1561" s="1">
        <v>0</v>
      </c>
      <c r="AK1561" s="8">
        <f t="shared" si="99"/>
        <v>52</v>
      </c>
      <c r="AL1561" s="8">
        <f t="shared" si="98"/>
        <v>30</v>
      </c>
      <c r="AM1561">
        <f t="shared" si="96"/>
        <v>790308000</v>
      </c>
      <c r="AN1561">
        <f t="shared" si="97"/>
        <v>180067000</v>
      </c>
    </row>
    <row r="1562" spans="1:40" x14ac:dyDescent="0.35">
      <c r="A1562">
        <v>72.532700000000006</v>
      </c>
      <c r="B1562">
        <v>85.138999999999996</v>
      </c>
      <c r="C1562">
        <v>8.4587299999999992</v>
      </c>
      <c r="D1562">
        <v>0.02</v>
      </c>
      <c r="E1562">
        <v>0.04</v>
      </c>
      <c r="F1562">
        <v>2.7002999999999999</v>
      </c>
      <c r="G1562">
        <v>3.0026999999999999</v>
      </c>
      <c r="H1562">
        <v>0</v>
      </c>
      <c r="I1562">
        <v>0.50600999999999996</v>
      </c>
      <c r="J1562">
        <v>5.3222399999999999</v>
      </c>
      <c r="K1562" s="2">
        <v>179967000</v>
      </c>
      <c r="L1562" s="1">
        <v>0</v>
      </c>
      <c r="M1562" s="1">
        <v>0</v>
      </c>
      <c r="N1562" s="1">
        <v>0</v>
      </c>
      <c r="O1562" s="1">
        <v>0</v>
      </c>
      <c r="P1562" s="2">
        <v>4036880</v>
      </c>
      <c r="Q1562" s="1">
        <v>-99855</v>
      </c>
      <c r="R1562" s="1">
        <v>408539</v>
      </c>
      <c r="S1562">
        <v>99.302199999999999</v>
      </c>
      <c r="T1562">
        <v>98.274000000000001</v>
      </c>
      <c r="U1562">
        <v>3.9208699999999999</v>
      </c>
      <c r="V1562">
        <v>0</v>
      </c>
      <c r="W1562">
        <v>1</v>
      </c>
      <c r="X1562">
        <v>2.0424500000000001</v>
      </c>
      <c r="Y1562">
        <v>1.7400500000000001</v>
      </c>
      <c r="Z1562">
        <v>0</v>
      </c>
      <c r="AA1562">
        <v>1.5779300000000001</v>
      </c>
      <c r="AB1562">
        <v>2.9635199999999999</v>
      </c>
      <c r="AC1562" s="2">
        <v>791237000</v>
      </c>
      <c r="AD1562" s="1">
        <v>0</v>
      </c>
      <c r="AE1562" s="1">
        <v>0</v>
      </c>
      <c r="AF1562" s="1">
        <v>0</v>
      </c>
      <c r="AG1562" s="1">
        <v>0</v>
      </c>
      <c r="AH1562" s="2">
        <v>5284300</v>
      </c>
      <c r="AI1562" s="1">
        <v>929126</v>
      </c>
      <c r="AJ1562" s="1">
        <v>0</v>
      </c>
      <c r="AK1562" s="8">
        <f t="shared" si="99"/>
        <v>1</v>
      </c>
      <c r="AL1562" s="8">
        <f t="shared" si="98"/>
        <v>31</v>
      </c>
      <c r="AM1562">
        <f t="shared" si="96"/>
        <v>0</v>
      </c>
      <c r="AN1562">
        <f t="shared" si="97"/>
        <v>0</v>
      </c>
    </row>
    <row r="1563" spans="1:40" x14ac:dyDescent="0.35">
      <c r="A1563">
        <v>76.276799999999994</v>
      </c>
      <c r="B1563">
        <v>85.138999999999996</v>
      </c>
      <c r="C1563">
        <v>7.0316700000000001</v>
      </c>
      <c r="D1563">
        <v>0.02</v>
      </c>
      <c r="E1563">
        <v>0.04</v>
      </c>
      <c r="F1563">
        <v>2.70045</v>
      </c>
      <c r="G1563">
        <v>3.00285</v>
      </c>
      <c r="H1563">
        <v>0</v>
      </c>
      <c r="I1563">
        <v>0.50603699999999996</v>
      </c>
      <c r="J1563">
        <v>5.3222399999999999</v>
      </c>
      <c r="K1563" s="2">
        <v>179867000</v>
      </c>
      <c r="L1563" s="1">
        <v>0</v>
      </c>
      <c r="M1563" s="1">
        <v>0</v>
      </c>
      <c r="N1563" s="1">
        <v>0</v>
      </c>
      <c r="O1563" s="1">
        <v>0</v>
      </c>
      <c r="P1563" s="2">
        <v>4037100</v>
      </c>
      <c r="Q1563" s="1">
        <v>-99840.2</v>
      </c>
      <c r="R1563" s="1">
        <v>408539</v>
      </c>
      <c r="S1563">
        <v>99.302199999999999</v>
      </c>
      <c r="T1563">
        <v>98.274000000000001</v>
      </c>
      <c r="U1563">
        <v>4.5869600000000004</v>
      </c>
      <c r="V1563">
        <v>0</v>
      </c>
      <c r="W1563">
        <v>1</v>
      </c>
      <c r="X1563">
        <v>2.0425300000000002</v>
      </c>
      <c r="Y1563">
        <v>1.74013</v>
      </c>
      <c r="Z1563">
        <v>0</v>
      </c>
      <c r="AA1563">
        <v>1.5780000000000001</v>
      </c>
      <c r="AB1563">
        <v>2.9635199999999999</v>
      </c>
      <c r="AC1563" s="2">
        <v>792166000</v>
      </c>
      <c r="AD1563" s="1">
        <v>0</v>
      </c>
      <c r="AE1563" s="1">
        <v>0</v>
      </c>
      <c r="AF1563" s="1">
        <v>0</v>
      </c>
      <c r="AG1563" s="1">
        <v>0</v>
      </c>
      <c r="AH1563" s="2">
        <v>5284520</v>
      </c>
      <c r="AI1563" s="1">
        <v>929133</v>
      </c>
      <c r="AJ1563" s="1">
        <v>0</v>
      </c>
      <c r="AK1563" s="8">
        <f t="shared" si="99"/>
        <v>2</v>
      </c>
      <c r="AL1563" s="8">
        <f t="shared" si="98"/>
        <v>31</v>
      </c>
      <c r="AM1563">
        <f t="shared" si="96"/>
        <v>0</v>
      </c>
      <c r="AN1563">
        <f t="shared" si="97"/>
        <v>0</v>
      </c>
    </row>
    <row r="1564" spans="1:40" x14ac:dyDescent="0.35">
      <c r="A1564">
        <v>79.2911</v>
      </c>
      <c r="B1564">
        <v>85.138999999999996</v>
      </c>
      <c r="C1564">
        <v>6.2369700000000003</v>
      </c>
      <c r="D1564">
        <v>0.01</v>
      </c>
      <c r="E1564">
        <v>0.04</v>
      </c>
      <c r="F1564">
        <v>2.70059</v>
      </c>
      <c r="G1564">
        <v>3.00299</v>
      </c>
      <c r="H1564">
        <v>0</v>
      </c>
      <c r="I1564">
        <v>0.50606300000000004</v>
      </c>
      <c r="J1564">
        <v>5.3222399999999999</v>
      </c>
      <c r="K1564" s="2">
        <v>179768000</v>
      </c>
      <c r="L1564" s="1">
        <v>0</v>
      </c>
      <c r="M1564" s="1">
        <v>0</v>
      </c>
      <c r="N1564" s="1">
        <v>0</v>
      </c>
      <c r="O1564" s="1">
        <v>0</v>
      </c>
      <c r="P1564" s="2">
        <v>4037310</v>
      </c>
      <c r="Q1564" s="1">
        <v>-99825.4</v>
      </c>
      <c r="R1564" s="1">
        <v>408539</v>
      </c>
      <c r="S1564">
        <v>99.302199999999999</v>
      </c>
      <c r="T1564">
        <v>98.274000000000001</v>
      </c>
      <c r="U1564">
        <v>6.6169700000000002</v>
      </c>
      <c r="V1564">
        <v>0</v>
      </c>
      <c r="W1564">
        <v>1</v>
      </c>
      <c r="X1564">
        <v>2.0426199999999999</v>
      </c>
      <c r="Y1564">
        <v>1.7402200000000001</v>
      </c>
      <c r="Z1564">
        <v>0</v>
      </c>
      <c r="AA1564">
        <v>1.57806</v>
      </c>
      <c r="AB1564">
        <v>2.9635199999999999</v>
      </c>
      <c r="AC1564" s="2">
        <v>793095000</v>
      </c>
      <c r="AD1564" s="1">
        <v>0</v>
      </c>
      <c r="AE1564" s="1">
        <v>0</v>
      </c>
      <c r="AF1564" s="1">
        <v>0</v>
      </c>
      <c r="AG1564" s="1">
        <v>0</v>
      </c>
      <c r="AH1564" s="2">
        <v>5284730</v>
      </c>
      <c r="AI1564" s="1">
        <v>929140</v>
      </c>
      <c r="AJ1564" s="1">
        <v>0</v>
      </c>
      <c r="AK1564" s="8">
        <f t="shared" si="99"/>
        <v>3</v>
      </c>
      <c r="AL1564" s="8">
        <f t="shared" si="98"/>
        <v>31</v>
      </c>
      <c r="AM1564">
        <f t="shared" si="96"/>
        <v>0</v>
      </c>
      <c r="AN1564">
        <f t="shared" si="97"/>
        <v>0</v>
      </c>
    </row>
    <row r="1565" spans="1:40" x14ac:dyDescent="0.35">
      <c r="A1565">
        <v>82.117900000000006</v>
      </c>
      <c r="B1565">
        <v>85.138999999999996</v>
      </c>
      <c r="C1565">
        <v>6.3729699999999996</v>
      </c>
      <c r="D1565">
        <v>0</v>
      </c>
      <c r="E1565">
        <v>0.04</v>
      </c>
      <c r="F1565">
        <v>3.0031300000000001</v>
      </c>
      <c r="G1565">
        <v>3.0031300000000001</v>
      </c>
      <c r="H1565">
        <v>0</v>
      </c>
      <c r="I1565">
        <v>0.50609000000000004</v>
      </c>
      <c r="J1565">
        <v>5.3222399999999999</v>
      </c>
      <c r="K1565" s="2">
        <v>180076000</v>
      </c>
      <c r="L1565" s="1">
        <v>0</v>
      </c>
      <c r="M1565" s="1">
        <v>0</v>
      </c>
      <c r="N1565" s="1">
        <v>0</v>
      </c>
      <c r="O1565" s="1">
        <v>0</v>
      </c>
      <c r="P1565" s="2">
        <v>4489610</v>
      </c>
      <c r="Q1565" s="1">
        <v>308728</v>
      </c>
      <c r="R1565" s="1">
        <v>0</v>
      </c>
      <c r="S1565">
        <v>99.302199999999999</v>
      </c>
      <c r="T1565">
        <v>98.274000000000001</v>
      </c>
      <c r="U1565">
        <v>7.2279</v>
      </c>
      <c r="V1565">
        <v>0</v>
      </c>
      <c r="W1565">
        <v>1</v>
      </c>
      <c r="X1565">
        <v>1.7403</v>
      </c>
      <c r="Y1565">
        <v>1.7403</v>
      </c>
      <c r="Z1565">
        <v>0</v>
      </c>
      <c r="AA1565">
        <v>1.57812</v>
      </c>
      <c r="AB1565">
        <v>2.9635199999999999</v>
      </c>
      <c r="AC1565" s="2">
        <v>793242000</v>
      </c>
      <c r="AD1565" s="1">
        <v>0</v>
      </c>
      <c r="AE1565" s="1">
        <v>0</v>
      </c>
      <c r="AF1565" s="1">
        <v>0</v>
      </c>
      <c r="AG1565" s="1">
        <v>0</v>
      </c>
      <c r="AH1565" s="2">
        <v>4502570</v>
      </c>
      <c r="AI1565" s="1">
        <v>146766</v>
      </c>
      <c r="AJ1565" s="1">
        <v>0</v>
      </c>
      <c r="AK1565" s="8">
        <f t="shared" si="99"/>
        <v>4</v>
      </c>
      <c r="AL1565" s="8">
        <f t="shared" si="98"/>
        <v>31</v>
      </c>
      <c r="AM1565">
        <f t="shared" si="96"/>
        <v>0</v>
      </c>
      <c r="AN1565">
        <f t="shared" si="97"/>
        <v>0</v>
      </c>
    </row>
    <row r="1566" spans="1:40" x14ac:dyDescent="0.35">
      <c r="A1566">
        <v>85.077699999999993</v>
      </c>
      <c r="B1566">
        <v>85.138999999999996</v>
      </c>
      <c r="C1566">
        <v>6.5776899999999996</v>
      </c>
      <c r="D1566">
        <v>0</v>
      </c>
      <c r="E1566">
        <v>0.04</v>
      </c>
      <c r="F1566">
        <v>3.0031300000000001</v>
      </c>
      <c r="G1566">
        <v>3.0031300000000001</v>
      </c>
      <c r="H1566">
        <v>0</v>
      </c>
      <c r="I1566">
        <v>0.56278700000000004</v>
      </c>
      <c r="J1566">
        <v>5.3222399999999999</v>
      </c>
      <c r="K1566" s="2">
        <v>180385000</v>
      </c>
      <c r="L1566" s="1">
        <v>0</v>
      </c>
      <c r="M1566" s="1">
        <v>0</v>
      </c>
      <c r="N1566" s="1">
        <v>0</v>
      </c>
      <c r="O1566" s="1">
        <v>0</v>
      </c>
      <c r="P1566" s="2">
        <v>4489610</v>
      </c>
      <c r="Q1566" s="1">
        <v>308728</v>
      </c>
      <c r="R1566" s="1">
        <v>0</v>
      </c>
      <c r="S1566">
        <v>99.302199999999999</v>
      </c>
      <c r="T1566">
        <v>98.274000000000001</v>
      </c>
      <c r="U1566">
        <v>8.9269300000000005</v>
      </c>
      <c r="V1566">
        <v>0</v>
      </c>
      <c r="W1566">
        <v>1</v>
      </c>
      <c r="X1566">
        <v>1.7403</v>
      </c>
      <c r="Y1566">
        <v>1.7403</v>
      </c>
      <c r="Z1566">
        <v>0</v>
      </c>
      <c r="AA1566">
        <v>1.3445499999999999</v>
      </c>
      <c r="AB1566">
        <v>2.9635199999999999</v>
      </c>
      <c r="AC1566" s="2">
        <v>793389000</v>
      </c>
      <c r="AD1566" s="1">
        <v>0</v>
      </c>
      <c r="AE1566" s="1">
        <v>0</v>
      </c>
      <c r="AF1566" s="1">
        <v>0</v>
      </c>
      <c r="AG1566" s="1">
        <v>0</v>
      </c>
      <c r="AH1566" s="2">
        <v>4502570</v>
      </c>
      <c r="AI1566" s="1">
        <v>146766</v>
      </c>
      <c r="AJ1566" s="1">
        <v>0</v>
      </c>
      <c r="AK1566" s="8">
        <f t="shared" si="99"/>
        <v>5</v>
      </c>
      <c r="AL1566" s="8">
        <f t="shared" si="98"/>
        <v>31</v>
      </c>
      <c r="AM1566">
        <f t="shared" si="96"/>
        <v>0</v>
      </c>
      <c r="AN1566">
        <f t="shared" si="97"/>
        <v>0</v>
      </c>
    </row>
    <row r="1567" spans="1:40" x14ac:dyDescent="0.35">
      <c r="A1567">
        <v>85.138999999999996</v>
      </c>
      <c r="B1567">
        <v>85.138999999999996</v>
      </c>
      <c r="C1567">
        <v>5.2786200000000001</v>
      </c>
      <c r="D1567">
        <v>0</v>
      </c>
      <c r="E1567">
        <v>0.04</v>
      </c>
      <c r="F1567">
        <v>3.0973600000000001</v>
      </c>
      <c r="G1567">
        <v>3.0973600000000001</v>
      </c>
      <c r="H1567">
        <v>0</v>
      </c>
      <c r="I1567">
        <v>0.56278700000000004</v>
      </c>
      <c r="J1567">
        <v>5.3222399999999999</v>
      </c>
      <c r="K1567" s="2">
        <v>180704000</v>
      </c>
      <c r="L1567" s="1">
        <v>0</v>
      </c>
      <c r="M1567" s="1">
        <v>0</v>
      </c>
      <c r="N1567" s="1">
        <v>0</v>
      </c>
      <c r="O1567" s="1">
        <v>0</v>
      </c>
      <c r="P1567" s="2">
        <v>4630470</v>
      </c>
      <c r="Q1567" s="1">
        <v>318414</v>
      </c>
      <c r="R1567" s="1">
        <v>0</v>
      </c>
      <c r="S1567">
        <v>99.302199999999999</v>
      </c>
      <c r="T1567">
        <v>98.274000000000001</v>
      </c>
      <c r="U1567">
        <v>4.8784999999999998</v>
      </c>
      <c r="V1567">
        <v>0</v>
      </c>
      <c r="W1567">
        <v>1</v>
      </c>
      <c r="X1567">
        <v>1.7966500000000001</v>
      </c>
      <c r="Y1567">
        <v>1.7966500000000001</v>
      </c>
      <c r="Z1567">
        <v>0</v>
      </c>
      <c r="AA1567">
        <v>1.3445499999999999</v>
      </c>
      <c r="AB1567">
        <v>2.9635199999999999</v>
      </c>
      <c r="AC1567" s="2">
        <v>793540000</v>
      </c>
      <c r="AD1567" s="1">
        <v>0</v>
      </c>
      <c r="AE1567" s="1">
        <v>0</v>
      </c>
      <c r="AF1567" s="1">
        <v>0</v>
      </c>
      <c r="AG1567" s="1">
        <v>0</v>
      </c>
      <c r="AH1567" s="2">
        <v>4648370</v>
      </c>
      <c r="AI1567" s="1">
        <v>151519</v>
      </c>
      <c r="AJ1567" s="1">
        <v>0</v>
      </c>
      <c r="AK1567" s="8">
        <f t="shared" si="99"/>
        <v>6</v>
      </c>
      <c r="AL1567" s="8">
        <f t="shared" si="98"/>
        <v>31</v>
      </c>
      <c r="AM1567">
        <f t="shared" si="96"/>
        <v>0</v>
      </c>
      <c r="AN1567">
        <f t="shared" si="97"/>
        <v>0</v>
      </c>
    </row>
    <row r="1568" spans="1:40" x14ac:dyDescent="0.35">
      <c r="A1568">
        <v>85.138999999999996</v>
      </c>
      <c r="B1568">
        <v>85.138999999999996</v>
      </c>
      <c r="C1568">
        <v>4.5841700000000003</v>
      </c>
      <c r="D1568">
        <v>0</v>
      </c>
      <c r="E1568">
        <v>0.04</v>
      </c>
      <c r="F1568">
        <v>3.0974900000000001</v>
      </c>
      <c r="G1568">
        <v>3.0974900000000001</v>
      </c>
      <c r="H1568">
        <v>0</v>
      </c>
      <c r="I1568">
        <v>0.58044399999999996</v>
      </c>
      <c r="J1568">
        <v>5.3222399999999999</v>
      </c>
      <c r="K1568" s="2">
        <v>181022000</v>
      </c>
      <c r="L1568" s="1">
        <v>0</v>
      </c>
      <c r="M1568" s="1">
        <v>0</v>
      </c>
      <c r="N1568" s="1">
        <v>0</v>
      </c>
      <c r="O1568" s="1">
        <v>0</v>
      </c>
      <c r="P1568" s="2">
        <v>4630660</v>
      </c>
      <c r="Q1568" s="1">
        <v>318427</v>
      </c>
      <c r="R1568" s="1">
        <v>0</v>
      </c>
      <c r="S1568">
        <v>99.302199999999999</v>
      </c>
      <c r="T1568">
        <v>98.274000000000001</v>
      </c>
      <c r="U1568">
        <v>4.4133699999999996</v>
      </c>
      <c r="V1568">
        <v>0</v>
      </c>
      <c r="W1568">
        <v>1</v>
      </c>
      <c r="X1568">
        <v>1.7967299999999999</v>
      </c>
      <c r="Y1568">
        <v>1.7967299999999999</v>
      </c>
      <c r="Z1568">
        <v>0</v>
      </c>
      <c r="AA1568">
        <v>1.38809</v>
      </c>
      <c r="AB1568">
        <v>2.9635199999999999</v>
      </c>
      <c r="AC1568" s="2">
        <v>793692000</v>
      </c>
      <c r="AD1568" s="1">
        <v>0</v>
      </c>
      <c r="AE1568" s="1">
        <v>0</v>
      </c>
      <c r="AF1568" s="1">
        <v>0</v>
      </c>
      <c r="AG1568" s="1">
        <v>0</v>
      </c>
      <c r="AH1568" s="2">
        <v>4648560</v>
      </c>
      <c r="AI1568" s="1">
        <v>151525</v>
      </c>
      <c r="AJ1568" s="1">
        <v>0</v>
      </c>
      <c r="AK1568" s="8">
        <f t="shared" si="99"/>
        <v>7</v>
      </c>
      <c r="AL1568" s="8">
        <f t="shared" si="98"/>
        <v>31</v>
      </c>
      <c r="AM1568">
        <f t="shared" si="96"/>
        <v>0</v>
      </c>
      <c r="AN1568">
        <f t="shared" si="97"/>
        <v>0</v>
      </c>
    </row>
    <row r="1569" spans="1:40" x14ac:dyDescent="0.35">
      <c r="A1569">
        <v>85.138999999999996</v>
      </c>
      <c r="B1569">
        <v>85.138999999999996</v>
      </c>
      <c r="C1569">
        <v>4.1338999999999997</v>
      </c>
      <c r="D1569">
        <v>0</v>
      </c>
      <c r="E1569">
        <v>0.04</v>
      </c>
      <c r="F1569">
        <v>3.09761</v>
      </c>
      <c r="G1569">
        <v>3.09761</v>
      </c>
      <c r="H1569">
        <v>0</v>
      </c>
      <c r="I1569">
        <v>0.58046900000000001</v>
      </c>
      <c r="J1569">
        <v>5.3222399999999999</v>
      </c>
      <c r="K1569" s="2">
        <v>181340000</v>
      </c>
      <c r="L1569" s="1">
        <v>0</v>
      </c>
      <c r="M1569" s="1">
        <v>0</v>
      </c>
      <c r="N1569" s="1">
        <v>0</v>
      </c>
      <c r="O1569" s="1">
        <v>0</v>
      </c>
      <c r="P1569" s="2">
        <v>4630860</v>
      </c>
      <c r="Q1569" s="1">
        <v>318441</v>
      </c>
      <c r="R1569" s="1">
        <v>0</v>
      </c>
      <c r="S1569">
        <v>99.302199999999999</v>
      </c>
      <c r="T1569">
        <v>98.274000000000001</v>
      </c>
      <c r="U1569">
        <v>4.0603699999999998</v>
      </c>
      <c r="V1569">
        <v>0</v>
      </c>
      <c r="W1569">
        <v>1</v>
      </c>
      <c r="X1569">
        <v>1.7968</v>
      </c>
      <c r="Y1569">
        <v>1.7968</v>
      </c>
      <c r="Z1569">
        <v>0</v>
      </c>
      <c r="AA1569">
        <v>1.38815</v>
      </c>
      <c r="AB1569">
        <v>2.9635199999999999</v>
      </c>
      <c r="AC1569" s="2">
        <v>793843000</v>
      </c>
      <c r="AD1569" s="1">
        <v>0</v>
      </c>
      <c r="AE1569" s="1">
        <v>0</v>
      </c>
      <c r="AF1569" s="1">
        <v>0</v>
      </c>
      <c r="AG1569" s="1">
        <v>0</v>
      </c>
      <c r="AH1569" s="2">
        <v>4648760</v>
      </c>
      <c r="AI1569" s="1">
        <v>151532</v>
      </c>
      <c r="AJ1569" s="1">
        <v>0</v>
      </c>
      <c r="AK1569" s="8">
        <f t="shared" si="99"/>
        <v>8</v>
      </c>
      <c r="AL1569" s="8">
        <f t="shared" si="98"/>
        <v>31</v>
      </c>
      <c r="AM1569">
        <f t="shared" si="96"/>
        <v>0</v>
      </c>
      <c r="AN1569">
        <f t="shared" si="97"/>
        <v>0</v>
      </c>
    </row>
    <row r="1570" spans="1:40" x14ac:dyDescent="0.35">
      <c r="A1570">
        <v>85.138999999999996</v>
      </c>
      <c r="B1570">
        <v>85.138999999999996</v>
      </c>
      <c r="C1570">
        <v>4.2782600000000004</v>
      </c>
      <c r="D1570">
        <v>0</v>
      </c>
      <c r="E1570">
        <v>0.04</v>
      </c>
      <c r="F1570">
        <v>3.0977399999999999</v>
      </c>
      <c r="G1570">
        <v>3.0977399999999999</v>
      </c>
      <c r="H1570">
        <v>0</v>
      </c>
      <c r="I1570">
        <v>0.58049300000000004</v>
      </c>
      <c r="J1570">
        <v>5.3222399999999999</v>
      </c>
      <c r="K1570" s="2">
        <v>181659000</v>
      </c>
      <c r="L1570" s="1">
        <v>0</v>
      </c>
      <c r="M1570" s="1">
        <v>0</v>
      </c>
      <c r="N1570" s="1">
        <v>0</v>
      </c>
      <c r="O1570" s="1">
        <v>0</v>
      </c>
      <c r="P1570" s="2">
        <v>4631050</v>
      </c>
      <c r="Q1570" s="1">
        <v>318454</v>
      </c>
      <c r="R1570" s="1">
        <v>0</v>
      </c>
      <c r="S1570">
        <v>99.302199999999999</v>
      </c>
      <c r="T1570">
        <v>98.274000000000001</v>
      </c>
      <c r="U1570">
        <v>4.1718999999999999</v>
      </c>
      <c r="V1570">
        <v>0</v>
      </c>
      <c r="W1570">
        <v>1</v>
      </c>
      <c r="X1570">
        <v>1.79688</v>
      </c>
      <c r="Y1570">
        <v>1.79688</v>
      </c>
      <c r="Z1570">
        <v>0</v>
      </c>
      <c r="AA1570">
        <v>1.3882099999999999</v>
      </c>
      <c r="AB1570">
        <v>2.9635199999999999</v>
      </c>
      <c r="AC1570" s="2">
        <v>793995000</v>
      </c>
      <c r="AD1570" s="1">
        <v>0</v>
      </c>
      <c r="AE1570" s="1">
        <v>0</v>
      </c>
      <c r="AF1570" s="1">
        <v>0</v>
      </c>
      <c r="AG1570" s="1">
        <v>0</v>
      </c>
      <c r="AH1570" s="2">
        <v>4648950</v>
      </c>
      <c r="AI1570" s="1">
        <v>151538</v>
      </c>
      <c r="AJ1570" s="1">
        <v>0</v>
      </c>
      <c r="AK1570" s="8">
        <f t="shared" si="99"/>
        <v>9</v>
      </c>
      <c r="AL1570" s="8">
        <f t="shared" si="98"/>
        <v>31</v>
      </c>
      <c r="AM1570">
        <f t="shared" si="96"/>
        <v>0</v>
      </c>
      <c r="AN1570">
        <f t="shared" si="97"/>
        <v>0</v>
      </c>
    </row>
    <row r="1571" spans="1:40" x14ac:dyDescent="0.35">
      <c r="A1571">
        <v>85.138999999999996</v>
      </c>
      <c r="B1571">
        <v>85.138999999999996</v>
      </c>
      <c r="C1571">
        <v>5.5074100000000001</v>
      </c>
      <c r="D1571">
        <v>0</v>
      </c>
      <c r="E1571">
        <v>0.04</v>
      </c>
      <c r="F1571">
        <v>3.4000300000000001</v>
      </c>
      <c r="G1571">
        <v>3.4000300000000001</v>
      </c>
      <c r="H1571">
        <v>0</v>
      </c>
      <c r="I1571">
        <v>0.58051699999999995</v>
      </c>
      <c r="J1571">
        <v>5.3222399999999999</v>
      </c>
      <c r="K1571" s="2">
        <v>182008000</v>
      </c>
      <c r="L1571" s="1">
        <v>0</v>
      </c>
      <c r="M1571" s="1">
        <v>0</v>
      </c>
      <c r="N1571" s="1">
        <v>0</v>
      </c>
      <c r="O1571" s="1">
        <v>0</v>
      </c>
      <c r="P1571" s="2">
        <v>5082960</v>
      </c>
      <c r="Q1571" s="1">
        <v>349530</v>
      </c>
      <c r="R1571" s="1">
        <v>0</v>
      </c>
      <c r="S1571">
        <v>99.302199999999999</v>
      </c>
      <c r="T1571">
        <v>98.274000000000001</v>
      </c>
      <c r="U1571">
        <v>3.89913</v>
      </c>
      <c r="V1571">
        <v>0</v>
      </c>
      <c r="W1571">
        <v>1</v>
      </c>
      <c r="X1571">
        <v>2.0082399999999998</v>
      </c>
      <c r="Y1571">
        <v>2.0082399999999998</v>
      </c>
      <c r="Z1571">
        <v>0</v>
      </c>
      <c r="AA1571">
        <v>1.3882699999999999</v>
      </c>
      <c r="AB1571">
        <v>2.9635199999999999</v>
      </c>
      <c r="AC1571" s="2">
        <v>794164000</v>
      </c>
      <c r="AD1571" s="1">
        <v>0</v>
      </c>
      <c r="AE1571" s="1">
        <v>0</v>
      </c>
      <c r="AF1571" s="1">
        <v>0</v>
      </c>
      <c r="AG1571" s="1">
        <v>0</v>
      </c>
      <c r="AH1571" s="2">
        <v>5195790</v>
      </c>
      <c r="AI1571" s="1">
        <v>169363</v>
      </c>
      <c r="AJ1571" s="1">
        <v>0</v>
      </c>
      <c r="AK1571" s="8">
        <f t="shared" si="99"/>
        <v>10</v>
      </c>
      <c r="AL1571" s="8">
        <f t="shared" si="98"/>
        <v>31</v>
      </c>
      <c r="AM1571">
        <f t="shared" si="96"/>
        <v>0</v>
      </c>
      <c r="AN1571">
        <f t="shared" si="97"/>
        <v>0</v>
      </c>
    </row>
    <row r="1572" spans="1:40" x14ac:dyDescent="0.35">
      <c r="A1572">
        <v>84.625399999999999</v>
      </c>
      <c r="B1572">
        <v>85.138999999999996</v>
      </c>
      <c r="C1572">
        <v>3.3251200000000001</v>
      </c>
      <c r="D1572">
        <v>0</v>
      </c>
      <c r="E1572">
        <v>0.04</v>
      </c>
      <c r="F1572">
        <v>3.4001800000000002</v>
      </c>
      <c r="G1572">
        <v>3.4001800000000002</v>
      </c>
      <c r="H1572">
        <v>0</v>
      </c>
      <c r="I1572">
        <v>0.63716600000000001</v>
      </c>
      <c r="J1572">
        <v>5.3222399999999999</v>
      </c>
      <c r="K1572" s="2">
        <v>182358000</v>
      </c>
      <c r="L1572" s="1">
        <v>0</v>
      </c>
      <c r="M1572" s="1">
        <v>0</v>
      </c>
      <c r="N1572" s="1">
        <v>0</v>
      </c>
      <c r="O1572" s="1">
        <v>0</v>
      </c>
      <c r="P1572" s="2">
        <v>5083180</v>
      </c>
      <c r="Q1572" s="1">
        <v>349545</v>
      </c>
      <c r="R1572" s="1">
        <v>0</v>
      </c>
      <c r="S1572">
        <v>99.302199999999999</v>
      </c>
      <c r="T1572">
        <v>98.274000000000001</v>
      </c>
      <c r="U1572">
        <v>5.2657999999999996</v>
      </c>
      <c r="V1572">
        <v>0</v>
      </c>
      <c r="W1572">
        <v>1</v>
      </c>
      <c r="X1572">
        <v>2.0083199999999999</v>
      </c>
      <c r="Y1572">
        <v>2.0083199999999999</v>
      </c>
      <c r="Z1572">
        <v>0</v>
      </c>
      <c r="AA1572">
        <v>1.5515600000000001</v>
      </c>
      <c r="AB1572">
        <v>2.9635199999999999</v>
      </c>
      <c r="AC1572" s="2">
        <v>794333000</v>
      </c>
      <c r="AD1572" s="1">
        <v>0</v>
      </c>
      <c r="AE1572" s="1">
        <v>0</v>
      </c>
      <c r="AF1572" s="1">
        <v>0</v>
      </c>
      <c r="AG1572" s="1">
        <v>0</v>
      </c>
      <c r="AH1572" s="2">
        <v>5196000</v>
      </c>
      <c r="AI1572" s="1">
        <v>169370</v>
      </c>
      <c r="AJ1572" s="1">
        <v>0</v>
      </c>
      <c r="AK1572" s="8">
        <f t="shared" si="99"/>
        <v>11</v>
      </c>
      <c r="AL1572" s="8">
        <f t="shared" si="98"/>
        <v>31</v>
      </c>
      <c r="AM1572">
        <f t="shared" si="96"/>
        <v>0</v>
      </c>
      <c r="AN1572">
        <f t="shared" si="97"/>
        <v>0</v>
      </c>
    </row>
    <row r="1573" spans="1:40" x14ac:dyDescent="0.35">
      <c r="A1573">
        <v>85.138999999999996</v>
      </c>
      <c r="B1573">
        <v>85.138999999999996</v>
      </c>
      <c r="C1573">
        <v>4.9207400000000003</v>
      </c>
      <c r="D1573">
        <v>0</v>
      </c>
      <c r="E1573">
        <v>0.04</v>
      </c>
      <c r="F1573">
        <v>3.4003199999999998</v>
      </c>
      <c r="G1573">
        <v>3.4003199999999998</v>
      </c>
      <c r="H1573">
        <v>0</v>
      </c>
      <c r="I1573">
        <v>0.63719300000000001</v>
      </c>
      <c r="J1573">
        <v>5.3222399999999999</v>
      </c>
      <c r="K1573" s="2">
        <v>182707000</v>
      </c>
      <c r="L1573" s="1">
        <v>0</v>
      </c>
      <c r="M1573" s="1">
        <v>0</v>
      </c>
      <c r="N1573" s="1">
        <v>0</v>
      </c>
      <c r="O1573" s="1">
        <v>0</v>
      </c>
      <c r="P1573" s="2">
        <v>5083390</v>
      </c>
      <c r="Q1573" s="1">
        <v>349559</v>
      </c>
      <c r="R1573" s="1">
        <v>0</v>
      </c>
      <c r="S1573">
        <v>99.302199999999999</v>
      </c>
      <c r="T1573">
        <v>98.274000000000001</v>
      </c>
      <c r="U1573">
        <v>5.2020799999999996</v>
      </c>
      <c r="V1573">
        <v>0</v>
      </c>
      <c r="W1573">
        <v>1</v>
      </c>
      <c r="X1573">
        <v>2.0084</v>
      </c>
      <c r="Y1573">
        <v>2.0084</v>
      </c>
      <c r="Z1573">
        <v>0</v>
      </c>
      <c r="AA1573">
        <v>1.5516300000000001</v>
      </c>
      <c r="AB1573">
        <v>2.9635199999999999</v>
      </c>
      <c r="AC1573" s="2">
        <v>794503000</v>
      </c>
      <c r="AD1573" s="1">
        <v>0</v>
      </c>
      <c r="AE1573" s="1">
        <v>0</v>
      </c>
      <c r="AF1573" s="1">
        <v>0</v>
      </c>
      <c r="AG1573" s="1">
        <v>0</v>
      </c>
      <c r="AH1573" s="2">
        <v>5196220</v>
      </c>
      <c r="AI1573" s="1">
        <v>169377</v>
      </c>
      <c r="AJ1573" s="1">
        <v>0</v>
      </c>
      <c r="AK1573" s="8">
        <f t="shared" si="99"/>
        <v>12</v>
      </c>
      <c r="AL1573" s="8">
        <f t="shared" si="98"/>
        <v>31</v>
      </c>
      <c r="AM1573">
        <f t="shared" si="96"/>
        <v>0</v>
      </c>
      <c r="AN1573">
        <f t="shared" si="97"/>
        <v>0</v>
      </c>
    </row>
    <row r="1574" spans="1:40" x14ac:dyDescent="0.35">
      <c r="A1574">
        <v>85.138999999999996</v>
      </c>
      <c r="B1574">
        <v>85.138999999999996</v>
      </c>
      <c r="C1574">
        <v>4.1807499999999997</v>
      </c>
      <c r="D1574">
        <v>0</v>
      </c>
      <c r="E1574">
        <v>0.04</v>
      </c>
      <c r="F1574">
        <v>3.4004599999999998</v>
      </c>
      <c r="G1574">
        <v>3.4004599999999998</v>
      </c>
      <c r="H1574">
        <v>0</v>
      </c>
      <c r="I1574">
        <v>0.63722000000000001</v>
      </c>
      <c r="J1574">
        <v>5.3222399999999999</v>
      </c>
      <c r="K1574" s="2">
        <v>183057000</v>
      </c>
      <c r="L1574" s="1">
        <v>0</v>
      </c>
      <c r="M1574" s="1">
        <v>0</v>
      </c>
      <c r="N1574" s="1">
        <v>0</v>
      </c>
      <c r="O1574" s="1">
        <v>0</v>
      </c>
      <c r="P1574" s="2">
        <v>5083600</v>
      </c>
      <c r="Q1574" s="1">
        <v>349574</v>
      </c>
      <c r="R1574" s="1">
        <v>0</v>
      </c>
      <c r="S1574">
        <v>99.302199999999999</v>
      </c>
      <c r="T1574">
        <v>98.274000000000001</v>
      </c>
      <c r="U1574">
        <v>5.6635400000000002</v>
      </c>
      <c r="V1574">
        <v>0</v>
      </c>
      <c r="W1574">
        <v>1</v>
      </c>
      <c r="X1574">
        <v>2.0084900000000001</v>
      </c>
      <c r="Y1574">
        <v>2.0084900000000001</v>
      </c>
      <c r="Z1574">
        <v>0</v>
      </c>
      <c r="AA1574">
        <v>1.55169</v>
      </c>
      <c r="AB1574">
        <v>2.9635199999999999</v>
      </c>
      <c r="AC1574" s="2">
        <v>794672000</v>
      </c>
      <c r="AD1574" s="1">
        <v>0</v>
      </c>
      <c r="AE1574" s="1">
        <v>0</v>
      </c>
      <c r="AF1574" s="1">
        <v>0</v>
      </c>
      <c r="AG1574" s="1">
        <v>0</v>
      </c>
      <c r="AH1574" s="2">
        <v>5196440</v>
      </c>
      <c r="AI1574" s="1">
        <v>169384</v>
      </c>
      <c r="AJ1574" s="1">
        <v>0</v>
      </c>
      <c r="AK1574" s="8">
        <f t="shared" si="99"/>
        <v>13</v>
      </c>
      <c r="AL1574" s="8">
        <f t="shared" si="98"/>
        <v>31</v>
      </c>
      <c r="AM1574">
        <f t="shared" si="96"/>
        <v>0</v>
      </c>
      <c r="AN1574">
        <f t="shared" si="97"/>
        <v>0</v>
      </c>
    </row>
    <row r="1575" spans="1:40" x14ac:dyDescent="0.35">
      <c r="A1575">
        <v>85.138999999999996</v>
      </c>
      <c r="B1575">
        <v>85.138999999999996</v>
      </c>
      <c r="C1575">
        <v>3.77854</v>
      </c>
      <c r="D1575">
        <v>0</v>
      </c>
      <c r="E1575">
        <v>0.04</v>
      </c>
      <c r="F1575">
        <v>2.9695499999999999</v>
      </c>
      <c r="G1575">
        <v>2.9695499999999999</v>
      </c>
      <c r="H1575">
        <v>0</v>
      </c>
      <c r="I1575">
        <v>0.63724599999999998</v>
      </c>
      <c r="J1575">
        <v>5.3222399999999999</v>
      </c>
      <c r="K1575" s="2">
        <v>183362000</v>
      </c>
      <c r="L1575" s="1">
        <v>0</v>
      </c>
      <c r="M1575" s="1">
        <v>0</v>
      </c>
      <c r="N1575" s="1">
        <v>0</v>
      </c>
      <c r="O1575" s="1">
        <v>0</v>
      </c>
      <c r="P1575" s="2">
        <v>4439410</v>
      </c>
      <c r="Q1575" s="1">
        <v>305276</v>
      </c>
      <c r="R1575" s="1">
        <v>0</v>
      </c>
      <c r="S1575">
        <v>99.302199999999999</v>
      </c>
      <c r="T1575">
        <v>98.274000000000001</v>
      </c>
      <c r="U1575">
        <v>3.8769499999999999</v>
      </c>
      <c r="V1575">
        <v>0</v>
      </c>
      <c r="W1575">
        <v>1</v>
      </c>
      <c r="X1575">
        <v>1.72498</v>
      </c>
      <c r="Y1575">
        <v>1.72498</v>
      </c>
      <c r="Z1575">
        <v>0</v>
      </c>
      <c r="AA1575">
        <v>1.55176</v>
      </c>
      <c r="AB1575">
        <v>2.9635199999999999</v>
      </c>
      <c r="AC1575" s="2">
        <v>794818000</v>
      </c>
      <c r="AD1575" s="1">
        <v>0</v>
      </c>
      <c r="AE1575" s="1">
        <v>0</v>
      </c>
      <c r="AF1575" s="1">
        <v>0</v>
      </c>
      <c r="AG1575" s="1">
        <v>0</v>
      </c>
      <c r="AH1575" s="2">
        <v>4462940</v>
      </c>
      <c r="AI1575" s="1">
        <v>145474</v>
      </c>
      <c r="AJ1575" s="1">
        <v>0</v>
      </c>
      <c r="AK1575" s="8">
        <f t="shared" si="99"/>
        <v>14</v>
      </c>
      <c r="AL1575" s="8">
        <f t="shared" si="98"/>
        <v>31</v>
      </c>
      <c r="AM1575">
        <f t="shared" si="96"/>
        <v>0</v>
      </c>
      <c r="AN1575">
        <f t="shared" si="97"/>
        <v>0</v>
      </c>
    </row>
    <row r="1576" spans="1:40" x14ac:dyDescent="0.35">
      <c r="A1576">
        <v>85.138999999999996</v>
      </c>
      <c r="B1576">
        <v>85.138999999999996</v>
      </c>
      <c r="C1576">
        <v>5.8789100000000003</v>
      </c>
      <c r="D1576">
        <v>0</v>
      </c>
      <c r="E1576">
        <v>0.04</v>
      </c>
      <c r="F1576">
        <v>2.9696799999999999</v>
      </c>
      <c r="G1576">
        <v>2.9696799999999999</v>
      </c>
      <c r="H1576">
        <v>0</v>
      </c>
      <c r="I1576">
        <v>0.55649499999999996</v>
      </c>
      <c r="J1576">
        <v>5.3222399999999999</v>
      </c>
      <c r="K1576" s="2">
        <v>183668000</v>
      </c>
      <c r="L1576" s="1">
        <v>0</v>
      </c>
      <c r="M1576" s="1">
        <v>0</v>
      </c>
      <c r="N1576" s="1">
        <v>0</v>
      </c>
      <c r="O1576" s="1">
        <v>0</v>
      </c>
      <c r="P1576" s="2">
        <v>4439600</v>
      </c>
      <c r="Q1576" s="1">
        <v>305289</v>
      </c>
      <c r="R1576" s="1">
        <v>0</v>
      </c>
      <c r="S1576">
        <v>99.302199999999999</v>
      </c>
      <c r="T1576">
        <v>98.274000000000001</v>
      </c>
      <c r="U1576">
        <v>5.4751899999999996</v>
      </c>
      <c r="V1576">
        <v>0</v>
      </c>
      <c r="W1576">
        <v>1</v>
      </c>
      <c r="X1576">
        <v>1.72505</v>
      </c>
      <c r="Y1576">
        <v>1.72505</v>
      </c>
      <c r="Z1576">
        <v>0</v>
      </c>
      <c r="AA1576">
        <v>1.3327199999999999</v>
      </c>
      <c r="AB1576">
        <v>2.9635199999999999</v>
      </c>
      <c r="AC1576" s="2">
        <v>794963000</v>
      </c>
      <c r="AD1576" s="1">
        <v>0</v>
      </c>
      <c r="AE1576" s="1">
        <v>0</v>
      </c>
      <c r="AF1576" s="1">
        <v>0</v>
      </c>
      <c r="AG1576" s="1">
        <v>0</v>
      </c>
      <c r="AH1576" s="2">
        <v>4463120</v>
      </c>
      <c r="AI1576" s="1">
        <v>145481</v>
      </c>
      <c r="AJ1576" s="1">
        <v>0</v>
      </c>
      <c r="AK1576" s="8">
        <f t="shared" si="99"/>
        <v>15</v>
      </c>
      <c r="AL1576" s="8">
        <f t="shared" si="98"/>
        <v>31</v>
      </c>
      <c r="AM1576">
        <f t="shared" si="96"/>
        <v>0</v>
      </c>
      <c r="AN1576">
        <f t="shared" si="97"/>
        <v>0</v>
      </c>
    </row>
    <row r="1577" spans="1:40" x14ac:dyDescent="0.35">
      <c r="A1577">
        <v>85.138999999999996</v>
      </c>
      <c r="B1577">
        <v>85.138999999999996</v>
      </c>
      <c r="C1577">
        <v>6.0243000000000002</v>
      </c>
      <c r="D1577">
        <v>0</v>
      </c>
      <c r="E1577">
        <v>0.04</v>
      </c>
      <c r="F1577">
        <v>2.9698000000000002</v>
      </c>
      <c r="G1577">
        <v>2.9698000000000002</v>
      </c>
      <c r="H1577">
        <v>0</v>
      </c>
      <c r="I1577">
        <v>0.55651799999999996</v>
      </c>
      <c r="J1577">
        <v>5.3222399999999999</v>
      </c>
      <c r="K1577" s="2">
        <v>183973000</v>
      </c>
      <c r="L1577" s="1">
        <v>0</v>
      </c>
      <c r="M1577" s="1">
        <v>0</v>
      </c>
      <c r="N1577" s="1">
        <v>0</v>
      </c>
      <c r="O1577" s="1">
        <v>0</v>
      </c>
      <c r="P1577" s="2">
        <v>4439780</v>
      </c>
      <c r="Q1577" s="1">
        <v>305302</v>
      </c>
      <c r="R1577" s="1">
        <v>0</v>
      </c>
      <c r="S1577">
        <v>99.302199999999999</v>
      </c>
      <c r="T1577">
        <v>98.274000000000001</v>
      </c>
      <c r="U1577">
        <v>4.9302700000000002</v>
      </c>
      <c r="V1577">
        <v>0</v>
      </c>
      <c r="W1577">
        <v>1</v>
      </c>
      <c r="X1577">
        <v>1.7251300000000001</v>
      </c>
      <c r="Y1577">
        <v>1.7251300000000001</v>
      </c>
      <c r="Z1577">
        <v>0</v>
      </c>
      <c r="AA1577">
        <v>1.3327800000000001</v>
      </c>
      <c r="AB1577">
        <v>2.9635199999999999</v>
      </c>
      <c r="AC1577" s="2">
        <v>795109000</v>
      </c>
      <c r="AD1577" s="1">
        <v>0</v>
      </c>
      <c r="AE1577" s="1">
        <v>0</v>
      </c>
      <c r="AF1577" s="1">
        <v>0</v>
      </c>
      <c r="AG1577" s="1">
        <v>0</v>
      </c>
      <c r="AH1577" s="2">
        <v>4463310</v>
      </c>
      <c r="AI1577" s="1">
        <v>145487</v>
      </c>
      <c r="AJ1577" s="1">
        <v>0</v>
      </c>
      <c r="AK1577" s="8">
        <f t="shared" si="99"/>
        <v>16</v>
      </c>
      <c r="AL1577" s="8">
        <f t="shared" si="98"/>
        <v>31</v>
      </c>
      <c r="AM1577">
        <f t="shared" si="96"/>
        <v>0</v>
      </c>
      <c r="AN1577">
        <f t="shared" si="97"/>
        <v>0</v>
      </c>
    </row>
    <row r="1578" spans="1:40" x14ac:dyDescent="0.35">
      <c r="A1578">
        <v>85.138999999999996</v>
      </c>
      <c r="B1578">
        <v>85.138999999999996</v>
      </c>
      <c r="C1578">
        <v>4.5192600000000001</v>
      </c>
      <c r="D1578">
        <v>0</v>
      </c>
      <c r="E1578">
        <v>0.04</v>
      </c>
      <c r="F1578">
        <v>2.9699300000000002</v>
      </c>
      <c r="G1578">
        <v>2.9699300000000002</v>
      </c>
      <c r="H1578">
        <v>0</v>
      </c>
      <c r="I1578">
        <v>0.55654099999999995</v>
      </c>
      <c r="J1578">
        <v>5.3222399999999999</v>
      </c>
      <c r="K1578" s="2">
        <v>184278000</v>
      </c>
      <c r="L1578" s="1">
        <v>0</v>
      </c>
      <c r="M1578" s="1">
        <v>0</v>
      </c>
      <c r="N1578" s="1">
        <v>0</v>
      </c>
      <c r="O1578" s="1">
        <v>0</v>
      </c>
      <c r="P1578" s="2">
        <v>4439970</v>
      </c>
      <c r="Q1578" s="1">
        <v>305314</v>
      </c>
      <c r="R1578" s="1">
        <v>0</v>
      </c>
      <c r="S1578">
        <v>99.302199999999999</v>
      </c>
      <c r="T1578">
        <v>98.274000000000001</v>
      </c>
      <c r="U1578">
        <v>3.8750900000000001</v>
      </c>
      <c r="V1578">
        <v>0</v>
      </c>
      <c r="W1578">
        <v>1</v>
      </c>
      <c r="X1578">
        <v>1.7252000000000001</v>
      </c>
      <c r="Y1578">
        <v>1.7252000000000001</v>
      </c>
      <c r="Z1578">
        <v>0</v>
      </c>
      <c r="AA1578">
        <v>1.33283</v>
      </c>
      <c r="AB1578">
        <v>2.9635199999999999</v>
      </c>
      <c r="AC1578" s="2">
        <v>795254000</v>
      </c>
      <c r="AD1578" s="1">
        <v>0</v>
      </c>
      <c r="AE1578" s="1">
        <v>0</v>
      </c>
      <c r="AF1578" s="1">
        <v>0</v>
      </c>
      <c r="AG1578" s="1">
        <v>0</v>
      </c>
      <c r="AH1578" s="2">
        <v>4463500</v>
      </c>
      <c r="AI1578" s="1">
        <v>145493</v>
      </c>
      <c r="AJ1578" s="1">
        <v>0</v>
      </c>
      <c r="AK1578" s="8">
        <f t="shared" si="99"/>
        <v>17</v>
      </c>
      <c r="AL1578" s="8">
        <f t="shared" si="98"/>
        <v>31</v>
      </c>
      <c r="AM1578">
        <f t="shared" si="96"/>
        <v>0</v>
      </c>
      <c r="AN1578">
        <f t="shared" si="97"/>
        <v>0</v>
      </c>
    </row>
    <row r="1579" spans="1:40" x14ac:dyDescent="0.35">
      <c r="A1579">
        <v>85.138999999999996</v>
      </c>
      <c r="B1579">
        <v>85.138999999999996</v>
      </c>
      <c r="C1579">
        <v>6.9297300000000002</v>
      </c>
      <c r="D1579">
        <v>0</v>
      </c>
      <c r="E1579">
        <v>0.04</v>
      </c>
      <c r="F1579">
        <v>2.9700500000000001</v>
      </c>
      <c r="G1579">
        <v>2.9700500000000001</v>
      </c>
      <c r="H1579">
        <v>0</v>
      </c>
      <c r="I1579">
        <v>0.55656499999999998</v>
      </c>
      <c r="J1579">
        <v>5.3222399999999999</v>
      </c>
      <c r="K1579" s="2">
        <v>184584000</v>
      </c>
      <c r="L1579" s="1">
        <v>0</v>
      </c>
      <c r="M1579" s="1">
        <v>0</v>
      </c>
      <c r="N1579" s="1">
        <v>0</v>
      </c>
      <c r="O1579" s="1">
        <v>0</v>
      </c>
      <c r="P1579" s="2">
        <v>4440150</v>
      </c>
      <c r="Q1579" s="1">
        <v>305327</v>
      </c>
      <c r="R1579" s="1">
        <v>0</v>
      </c>
      <c r="S1579">
        <v>99.302199999999999</v>
      </c>
      <c r="T1579">
        <v>98.274000000000001</v>
      </c>
      <c r="U1579">
        <v>4.8543399999999997</v>
      </c>
      <c r="V1579">
        <v>0</v>
      </c>
      <c r="W1579">
        <v>1</v>
      </c>
      <c r="X1579">
        <v>1.7252700000000001</v>
      </c>
      <c r="Y1579">
        <v>1.7252700000000001</v>
      </c>
      <c r="Z1579">
        <v>0</v>
      </c>
      <c r="AA1579">
        <v>1.3328899999999999</v>
      </c>
      <c r="AB1579">
        <v>2.9635199999999999</v>
      </c>
      <c r="AC1579" s="2">
        <v>795400000</v>
      </c>
      <c r="AD1579" s="1">
        <v>0</v>
      </c>
      <c r="AE1579" s="1">
        <v>0</v>
      </c>
      <c r="AF1579" s="1">
        <v>0</v>
      </c>
      <c r="AG1579" s="1">
        <v>0</v>
      </c>
      <c r="AH1579" s="2">
        <v>4463680</v>
      </c>
      <c r="AI1579" s="1">
        <v>145499</v>
      </c>
      <c r="AJ1579" s="1">
        <v>0</v>
      </c>
      <c r="AK1579" s="8">
        <f t="shared" si="99"/>
        <v>18</v>
      </c>
      <c r="AL1579" s="8">
        <f t="shared" si="98"/>
        <v>31</v>
      </c>
      <c r="AM1579">
        <f t="shared" si="96"/>
        <v>0</v>
      </c>
      <c r="AN1579">
        <f t="shared" si="97"/>
        <v>0</v>
      </c>
    </row>
    <row r="1580" spans="1:40" x14ac:dyDescent="0.35">
      <c r="A1580">
        <v>85.138999999999996</v>
      </c>
      <c r="B1580">
        <v>85.138999999999996</v>
      </c>
      <c r="C1580">
        <v>6.8826200000000002</v>
      </c>
      <c r="D1580">
        <v>0</v>
      </c>
      <c r="E1580">
        <v>0.04</v>
      </c>
      <c r="F1580">
        <v>3.0787</v>
      </c>
      <c r="G1580">
        <v>3.0787</v>
      </c>
      <c r="H1580">
        <v>0</v>
      </c>
      <c r="I1580">
        <v>0.55658799999999997</v>
      </c>
      <c r="J1580">
        <v>5.3222399999999999</v>
      </c>
      <c r="K1580" s="2">
        <v>184900000</v>
      </c>
      <c r="L1580" s="1">
        <v>0</v>
      </c>
      <c r="M1580" s="1">
        <v>0</v>
      </c>
      <c r="N1580" s="1">
        <v>0</v>
      </c>
      <c r="O1580" s="1">
        <v>0</v>
      </c>
      <c r="P1580" s="2">
        <v>4602580</v>
      </c>
      <c r="Q1580" s="1">
        <v>316496</v>
      </c>
      <c r="R1580" s="1">
        <v>0</v>
      </c>
      <c r="S1580">
        <v>99.302199999999999</v>
      </c>
      <c r="T1580">
        <v>98.274000000000001</v>
      </c>
      <c r="U1580">
        <v>5.4728000000000003</v>
      </c>
      <c r="V1580">
        <v>0</v>
      </c>
      <c r="W1580">
        <v>1</v>
      </c>
      <c r="X1580">
        <v>1.7947299999999999</v>
      </c>
      <c r="Y1580">
        <v>1.7947299999999999</v>
      </c>
      <c r="Z1580">
        <v>0</v>
      </c>
      <c r="AA1580">
        <v>1.33294</v>
      </c>
      <c r="AB1580">
        <v>2.9635199999999999</v>
      </c>
      <c r="AC1580" s="2">
        <v>795551000</v>
      </c>
      <c r="AD1580" s="1">
        <v>0</v>
      </c>
      <c r="AE1580" s="1">
        <v>0</v>
      </c>
      <c r="AF1580" s="1">
        <v>0</v>
      </c>
      <c r="AG1580" s="1">
        <v>0</v>
      </c>
      <c r="AH1580" s="2">
        <v>4643400</v>
      </c>
      <c r="AI1580" s="1">
        <v>151357</v>
      </c>
      <c r="AJ1580" s="1">
        <v>0</v>
      </c>
      <c r="AK1580" s="8">
        <f t="shared" si="99"/>
        <v>19</v>
      </c>
      <c r="AL1580" s="8">
        <f t="shared" si="98"/>
        <v>31</v>
      </c>
      <c r="AM1580">
        <f t="shared" si="96"/>
        <v>0</v>
      </c>
      <c r="AN1580">
        <f t="shared" si="97"/>
        <v>0</v>
      </c>
    </row>
    <row r="1581" spans="1:40" x14ac:dyDescent="0.35">
      <c r="A1581">
        <v>85.138999999999996</v>
      </c>
      <c r="B1581">
        <v>85.138999999999996</v>
      </c>
      <c r="C1581">
        <v>5.0692899999999996</v>
      </c>
      <c r="D1581">
        <v>0</v>
      </c>
      <c r="E1581">
        <v>0.04</v>
      </c>
      <c r="F1581">
        <v>3.07883</v>
      </c>
      <c r="G1581">
        <v>3.07883</v>
      </c>
      <c r="H1581">
        <v>0</v>
      </c>
      <c r="I1581">
        <v>0.57694800000000002</v>
      </c>
      <c r="J1581">
        <v>5.3222399999999999</v>
      </c>
      <c r="K1581" s="2">
        <v>185217000</v>
      </c>
      <c r="L1581" s="1">
        <v>0</v>
      </c>
      <c r="M1581" s="1">
        <v>0</v>
      </c>
      <c r="N1581" s="1">
        <v>0</v>
      </c>
      <c r="O1581" s="1">
        <v>0</v>
      </c>
      <c r="P1581" s="2">
        <v>4602770</v>
      </c>
      <c r="Q1581" s="1">
        <v>316510</v>
      </c>
      <c r="R1581" s="1">
        <v>0</v>
      </c>
      <c r="S1581">
        <v>99.302199999999999</v>
      </c>
      <c r="T1581">
        <v>98.274000000000001</v>
      </c>
      <c r="U1581">
        <v>3.7926000000000002</v>
      </c>
      <c r="V1581">
        <v>0</v>
      </c>
      <c r="W1581">
        <v>1</v>
      </c>
      <c r="X1581">
        <v>1.79481</v>
      </c>
      <c r="Y1581">
        <v>1.79481</v>
      </c>
      <c r="Z1581">
        <v>0</v>
      </c>
      <c r="AA1581">
        <v>1.3866099999999999</v>
      </c>
      <c r="AB1581">
        <v>2.9635199999999999</v>
      </c>
      <c r="AC1581" s="2">
        <v>795702000</v>
      </c>
      <c r="AD1581" s="1">
        <v>0</v>
      </c>
      <c r="AE1581" s="1">
        <v>0</v>
      </c>
      <c r="AF1581" s="1">
        <v>0</v>
      </c>
      <c r="AG1581" s="1">
        <v>0</v>
      </c>
      <c r="AH1581" s="2">
        <v>4643600</v>
      </c>
      <c r="AI1581" s="1">
        <v>151363</v>
      </c>
      <c r="AJ1581" s="1">
        <v>0</v>
      </c>
      <c r="AK1581" s="8">
        <f t="shared" si="99"/>
        <v>20</v>
      </c>
      <c r="AL1581" s="8">
        <f t="shared" si="98"/>
        <v>31</v>
      </c>
      <c r="AM1581">
        <f t="shared" si="96"/>
        <v>0</v>
      </c>
      <c r="AN1581">
        <f t="shared" si="97"/>
        <v>0</v>
      </c>
    </row>
    <row r="1582" spans="1:40" x14ac:dyDescent="0.35">
      <c r="A1582">
        <v>85.138999999999996</v>
      </c>
      <c r="B1582">
        <v>85.138999999999996</v>
      </c>
      <c r="C1582">
        <v>4.4767799999999998</v>
      </c>
      <c r="D1582">
        <v>0</v>
      </c>
      <c r="E1582">
        <v>0.04</v>
      </c>
      <c r="F1582">
        <v>3.0789599999999999</v>
      </c>
      <c r="G1582">
        <v>3.0789599999999999</v>
      </c>
      <c r="H1582">
        <v>0</v>
      </c>
      <c r="I1582">
        <v>0.57697299999999996</v>
      </c>
      <c r="J1582">
        <v>5.3222399999999999</v>
      </c>
      <c r="K1582" s="2">
        <v>185533000</v>
      </c>
      <c r="L1582" s="1">
        <v>0</v>
      </c>
      <c r="M1582" s="1">
        <v>0</v>
      </c>
      <c r="N1582" s="1">
        <v>0</v>
      </c>
      <c r="O1582" s="1">
        <v>0</v>
      </c>
      <c r="P1582" s="2">
        <v>4602960</v>
      </c>
      <c r="Q1582" s="1">
        <v>316523</v>
      </c>
      <c r="R1582" s="1">
        <v>0</v>
      </c>
      <c r="S1582">
        <v>99.150300000000001</v>
      </c>
      <c r="T1582">
        <v>98.274000000000001</v>
      </c>
      <c r="U1582">
        <v>3.3138999999999998</v>
      </c>
      <c r="V1582">
        <v>0</v>
      </c>
      <c r="W1582">
        <v>1</v>
      </c>
      <c r="X1582">
        <v>1.79488</v>
      </c>
      <c r="Y1582">
        <v>1.79488</v>
      </c>
      <c r="Z1582">
        <v>0</v>
      </c>
      <c r="AA1582">
        <v>1.3866700000000001</v>
      </c>
      <c r="AB1582">
        <v>2.9635199999999999</v>
      </c>
      <c r="AC1582" s="2">
        <v>795854000</v>
      </c>
      <c r="AD1582" s="1">
        <v>0</v>
      </c>
      <c r="AE1582" s="1">
        <v>0</v>
      </c>
      <c r="AF1582" s="1">
        <v>0</v>
      </c>
      <c r="AG1582" s="1">
        <v>0</v>
      </c>
      <c r="AH1582" s="2">
        <v>4643790</v>
      </c>
      <c r="AI1582" s="1">
        <v>151370</v>
      </c>
      <c r="AJ1582" s="1">
        <v>0</v>
      </c>
      <c r="AK1582" s="8">
        <f t="shared" si="99"/>
        <v>21</v>
      </c>
      <c r="AL1582" s="8">
        <f t="shared" si="98"/>
        <v>31</v>
      </c>
      <c r="AM1582">
        <f t="shared" si="96"/>
        <v>0</v>
      </c>
      <c r="AN1582">
        <f t="shared" si="97"/>
        <v>0</v>
      </c>
    </row>
    <row r="1583" spans="1:40" x14ac:dyDescent="0.35">
      <c r="A1583">
        <v>85.138999999999996</v>
      </c>
      <c r="B1583">
        <v>85.138999999999996</v>
      </c>
      <c r="C1583">
        <v>3.5586199999999999</v>
      </c>
      <c r="D1583">
        <v>0</v>
      </c>
      <c r="E1583">
        <v>0.04</v>
      </c>
      <c r="F1583">
        <v>3.0790899999999999</v>
      </c>
      <c r="G1583">
        <v>3.0790899999999999</v>
      </c>
      <c r="H1583">
        <v>0</v>
      </c>
      <c r="I1583">
        <v>0.57699699999999998</v>
      </c>
      <c r="J1583">
        <v>5.3222399999999999</v>
      </c>
      <c r="K1583" s="2">
        <v>185850000</v>
      </c>
      <c r="L1583" s="1">
        <v>0</v>
      </c>
      <c r="M1583" s="1">
        <v>0</v>
      </c>
      <c r="N1583" s="1">
        <v>0</v>
      </c>
      <c r="O1583" s="1">
        <v>0</v>
      </c>
      <c r="P1583" s="2">
        <v>4603160</v>
      </c>
      <c r="Q1583" s="1">
        <v>316536</v>
      </c>
      <c r="R1583" s="1">
        <v>0</v>
      </c>
      <c r="S1583">
        <v>98.9983</v>
      </c>
      <c r="T1583">
        <v>98.274000000000001</v>
      </c>
      <c r="U1583">
        <v>2.8332299999999999</v>
      </c>
      <c r="V1583">
        <v>0</v>
      </c>
      <c r="W1583">
        <v>1</v>
      </c>
      <c r="X1583">
        <v>1.7949600000000001</v>
      </c>
      <c r="Y1583">
        <v>1.7949600000000001</v>
      </c>
      <c r="Z1583">
        <v>0</v>
      </c>
      <c r="AA1583">
        <v>1.38673</v>
      </c>
      <c r="AB1583">
        <v>2.9635199999999999</v>
      </c>
      <c r="AC1583" s="2">
        <v>796005000</v>
      </c>
      <c r="AD1583" s="1">
        <v>0</v>
      </c>
      <c r="AE1583" s="1">
        <v>0</v>
      </c>
      <c r="AF1583" s="1">
        <v>0</v>
      </c>
      <c r="AG1583" s="1">
        <v>0</v>
      </c>
      <c r="AH1583" s="2">
        <v>4643990</v>
      </c>
      <c r="AI1583" s="1">
        <v>151376</v>
      </c>
      <c r="AJ1583" s="1">
        <v>0</v>
      </c>
      <c r="AK1583" s="8">
        <f t="shared" si="99"/>
        <v>22</v>
      </c>
      <c r="AL1583" s="8">
        <f t="shared" si="98"/>
        <v>31</v>
      </c>
      <c r="AM1583">
        <f t="shared" si="96"/>
        <v>0</v>
      </c>
      <c r="AN1583">
        <f t="shared" si="97"/>
        <v>0</v>
      </c>
    </row>
    <row r="1584" spans="1:40" x14ac:dyDescent="0.35">
      <c r="A1584">
        <v>84.763000000000005</v>
      </c>
      <c r="B1584">
        <v>85.138999999999996</v>
      </c>
      <c r="C1584">
        <v>2.9612500000000002</v>
      </c>
      <c r="D1584">
        <v>0</v>
      </c>
      <c r="E1584">
        <v>0.04</v>
      </c>
      <c r="F1584">
        <v>3.0367799999999998</v>
      </c>
      <c r="G1584">
        <v>3.0367799999999998</v>
      </c>
      <c r="H1584">
        <v>0</v>
      </c>
      <c r="I1584">
        <v>0.57702100000000001</v>
      </c>
      <c r="J1584">
        <v>5.3222399999999999</v>
      </c>
      <c r="K1584" s="2">
        <v>186162000</v>
      </c>
      <c r="L1584" s="1">
        <v>0</v>
      </c>
      <c r="M1584" s="1">
        <v>0</v>
      </c>
      <c r="N1584" s="1">
        <v>0</v>
      </c>
      <c r="O1584" s="1">
        <v>0</v>
      </c>
      <c r="P1584" s="2">
        <v>4539900</v>
      </c>
      <c r="Q1584" s="1">
        <v>312187</v>
      </c>
      <c r="R1584" s="1">
        <v>0</v>
      </c>
      <c r="S1584">
        <v>99.126199999999997</v>
      </c>
      <c r="T1584">
        <v>98.274000000000001</v>
      </c>
      <c r="U1584">
        <v>2.4401199999999998</v>
      </c>
      <c r="V1584">
        <v>0</v>
      </c>
      <c r="W1584">
        <v>1</v>
      </c>
      <c r="X1584">
        <v>1.7680800000000001</v>
      </c>
      <c r="Y1584">
        <v>1.7680800000000001</v>
      </c>
      <c r="Z1584">
        <v>0</v>
      </c>
      <c r="AA1584">
        <v>1.38679</v>
      </c>
      <c r="AB1584">
        <v>2.9635199999999999</v>
      </c>
      <c r="AC1584" s="2">
        <v>796154000</v>
      </c>
      <c r="AD1584" s="1">
        <v>0</v>
      </c>
      <c r="AE1584" s="1">
        <v>0</v>
      </c>
      <c r="AF1584" s="1">
        <v>0</v>
      </c>
      <c r="AG1584" s="1">
        <v>0</v>
      </c>
      <c r="AH1584" s="2">
        <v>4574440</v>
      </c>
      <c r="AI1584" s="1">
        <v>149109</v>
      </c>
      <c r="AJ1584" s="1">
        <v>0</v>
      </c>
      <c r="AK1584" s="8">
        <f t="shared" si="99"/>
        <v>23</v>
      </c>
      <c r="AL1584" s="8">
        <f t="shared" si="98"/>
        <v>31</v>
      </c>
      <c r="AM1584">
        <f t="shared" si="96"/>
        <v>0</v>
      </c>
      <c r="AN1584">
        <f t="shared" si="97"/>
        <v>0</v>
      </c>
    </row>
    <row r="1585" spans="1:40" x14ac:dyDescent="0.35">
      <c r="A1585">
        <v>85.138999999999996</v>
      </c>
      <c r="B1585">
        <v>85.138999999999996</v>
      </c>
      <c r="C1585">
        <v>4.6238099999999998</v>
      </c>
      <c r="D1585">
        <v>0</v>
      </c>
      <c r="E1585">
        <v>0.04</v>
      </c>
      <c r="F1585">
        <v>3.0369000000000002</v>
      </c>
      <c r="G1585">
        <v>3.0369000000000002</v>
      </c>
      <c r="H1585">
        <v>0</v>
      </c>
      <c r="I1585">
        <v>0.56909200000000004</v>
      </c>
      <c r="J1585">
        <v>5.3222399999999999</v>
      </c>
      <c r="K1585" s="2">
        <v>186474000</v>
      </c>
      <c r="L1585" s="1">
        <v>0</v>
      </c>
      <c r="M1585" s="1">
        <v>0</v>
      </c>
      <c r="N1585" s="1">
        <v>0</v>
      </c>
      <c r="O1585" s="1">
        <v>0</v>
      </c>
      <c r="P1585" s="2">
        <v>4540090</v>
      </c>
      <c r="Q1585" s="1">
        <v>312200</v>
      </c>
      <c r="R1585" s="1">
        <v>0</v>
      </c>
      <c r="S1585">
        <v>99.103999999999999</v>
      </c>
      <c r="T1585">
        <v>98.274000000000001</v>
      </c>
      <c r="U1585">
        <v>2.9235500000000001</v>
      </c>
      <c r="V1585">
        <v>0</v>
      </c>
      <c r="W1585">
        <v>1</v>
      </c>
      <c r="X1585">
        <v>1.7681500000000001</v>
      </c>
      <c r="Y1585">
        <v>1.7681500000000001</v>
      </c>
      <c r="Z1585">
        <v>0</v>
      </c>
      <c r="AA1585">
        <v>1.36602</v>
      </c>
      <c r="AB1585">
        <v>2.9635199999999999</v>
      </c>
      <c r="AC1585" s="2">
        <v>796303000</v>
      </c>
      <c r="AD1585" s="1">
        <v>0</v>
      </c>
      <c r="AE1585" s="1">
        <v>0</v>
      </c>
      <c r="AF1585" s="1">
        <v>0</v>
      </c>
      <c r="AG1585" s="1">
        <v>0</v>
      </c>
      <c r="AH1585" s="2">
        <v>4574630</v>
      </c>
      <c r="AI1585" s="1">
        <v>149115</v>
      </c>
      <c r="AJ1585" s="1">
        <v>0</v>
      </c>
      <c r="AK1585" s="8">
        <f t="shared" si="99"/>
        <v>24</v>
      </c>
      <c r="AL1585" s="8">
        <f t="shared" si="98"/>
        <v>31</v>
      </c>
      <c r="AM1585">
        <f t="shared" si="96"/>
        <v>0</v>
      </c>
      <c r="AN1585">
        <f t="shared" si="97"/>
        <v>0</v>
      </c>
    </row>
    <row r="1586" spans="1:40" x14ac:dyDescent="0.35">
      <c r="A1586">
        <v>84.729200000000006</v>
      </c>
      <c r="B1586">
        <v>85.138999999999996</v>
      </c>
      <c r="C1586">
        <v>2.8725399999999999</v>
      </c>
      <c r="D1586">
        <v>0</v>
      </c>
      <c r="E1586">
        <v>0.04</v>
      </c>
      <c r="F1586">
        <v>3.0370300000000001</v>
      </c>
      <c r="G1586">
        <v>3.0370300000000001</v>
      </c>
      <c r="H1586">
        <v>0</v>
      </c>
      <c r="I1586">
        <v>0.56911599999999996</v>
      </c>
      <c r="J1586">
        <v>5.3222399999999999</v>
      </c>
      <c r="K1586" s="2">
        <v>186786000</v>
      </c>
      <c r="L1586" s="1">
        <v>0</v>
      </c>
      <c r="M1586" s="1">
        <v>0</v>
      </c>
      <c r="N1586" s="1">
        <v>0</v>
      </c>
      <c r="O1586" s="1">
        <v>0</v>
      </c>
      <c r="P1586" s="2">
        <v>4540280</v>
      </c>
      <c r="Q1586" s="1">
        <v>312213</v>
      </c>
      <c r="R1586" s="1">
        <v>0</v>
      </c>
      <c r="S1586">
        <v>98.888000000000005</v>
      </c>
      <c r="T1586">
        <v>98.274000000000001</v>
      </c>
      <c r="U1586">
        <v>2.36774</v>
      </c>
      <c r="V1586">
        <v>0</v>
      </c>
      <c r="W1586">
        <v>1</v>
      </c>
      <c r="X1586">
        <v>1.76823</v>
      </c>
      <c r="Y1586">
        <v>1.76823</v>
      </c>
      <c r="Z1586">
        <v>0</v>
      </c>
      <c r="AA1586">
        <v>1.3660699999999999</v>
      </c>
      <c r="AB1586">
        <v>2.9635199999999999</v>
      </c>
      <c r="AC1586" s="2">
        <v>796452000</v>
      </c>
      <c r="AD1586" s="1">
        <v>0</v>
      </c>
      <c r="AE1586" s="1">
        <v>0</v>
      </c>
      <c r="AF1586" s="1">
        <v>0</v>
      </c>
      <c r="AG1586" s="1">
        <v>0</v>
      </c>
      <c r="AH1586" s="2">
        <v>4574820</v>
      </c>
      <c r="AI1586" s="1">
        <v>149122</v>
      </c>
      <c r="AJ1586" s="1">
        <v>0</v>
      </c>
      <c r="AK1586" s="8">
        <f t="shared" si="99"/>
        <v>25</v>
      </c>
      <c r="AL1586" s="8">
        <f t="shared" si="98"/>
        <v>31</v>
      </c>
      <c r="AM1586">
        <f t="shared" si="96"/>
        <v>0</v>
      </c>
      <c r="AN1586">
        <f t="shared" si="97"/>
        <v>0</v>
      </c>
    </row>
    <row r="1587" spans="1:40" x14ac:dyDescent="0.35">
      <c r="A1587">
        <v>84.037099999999995</v>
      </c>
      <c r="B1587">
        <v>85.138999999999996</v>
      </c>
      <c r="C1587">
        <v>2.5711200000000001</v>
      </c>
      <c r="D1587">
        <v>0</v>
      </c>
      <c r="E1587">
        <v>0.04</v>
      </c>
      <c r="F1587">
        <v>3.0371600000000001</v>
      </c>
      <c r="G1587">
        <v>3.0371600000000001</v>
      </c>
      <c r="H1587">
        <v>0</v>
      </c>
      <c r="I1587">
        <v>0.56913999999999998</v>
      </c>
      <c r="J1587">
        <v>5.3222399999999999</v>
      </c>
      <c r="K1587" s="2">
        <v>187098000</v>
      </c>
      <c r="L1587" s="1">
        <v>0</v>
      </c>
      <c r="M1587" s="1">
        <v>0</v>
      </c>
      <c r="N1587" s="1">
        <v>0</v>
      </c>
      <c r="O1587" s="1">
        <v>0</v>
      </c>
      <c r="P1587" s="2">
        <v>4540470</v>
      </c>
      <c r="Q1587" s="1">
        <v>312226</v>
      </c>
      <c r="R1587" s="1">
        <v>0</v>
      </c>
      <c r="S1587">
        <v>98.755499999999998</v>
      </c>
      <c r="T1587">
        <v>98.274000000000001</v>
      </c>
      <c r="U1587">
        <v>2.1312600000000002</v>
      </c>
      <c r="V1587">
        <v>0</v>
      </c>
      <c r="W1587">
        <v>1</v>
      </c>
      <c r="X1587">
        <v>1.7683</v>
      </c>
      <c r="Y1587">
        <v>1.7683</v>
      </c>
      <c r="Z1587">
        <v>0</v>
      </c>
      <c r="AA1587">
        <v>1.3661300000000001</v>
      </c>
      <c r="AB1587">
        <v>2.9635199999999999</v>
      </c>
      <c r="AC1587" s="2">
        <v>796602000</v>
      </c>
      <c r="AD1587" s="1">
        <v>0</v>
      </c>
      <c r="AE1587" s="1">
        <v>0</v>
      </c>
      <c r="AF1587" s="1">
        <v>0</v>
      </c>
      <c r="AG1587" s="1">
        <v>0</v>
      </c>
      <c r="AH1587" s="2">
        <v>4575020</v>
      </c>
      <c r="AI1587" s="1">
        <v>149128</v>
      </c>
      <c r="AJ1587" s="1">
        <v>0</v>
      </c>
      <c r="AK1587" s="8">
        <f t="shared" si="99"/>
        <v>26</v>
      </c>
      <c r="AL1587" s="8">
        <f t="shared" si="98"/>
        <v>31</v>
      </c>
      <c r="AM1587">
        <f t="shared" si="96"/>
        <v>0</v>
      </c>
      <c r="AN1587">
        <f t="shared" si="97"/>
        <v>0</v>
      </c>
    </row>
    <row r="1588" spans="1:40" x14ac:dyDescent="0.35">
      <c r="A1588">
        <v>83.303100000000001</v>
      </c>
      <c r="B1588">
        <v>85.138999999999996</v>
      </c>
      <c r="C1588">
        <v>2.63327</v>
      </c>
      <c r="D1588">
        <v>0</v>
      </c>
      <c r="E1588">
        <v>0.04</v>
      </c>
      <c r="F1588">
        <v>3.1813699999999998</v>
      </c>
      <c r="G1588">
        <v>3.1813699999999998</v>
      </c>
      <c r="H1588">
        <v>0</v>
      </c>
      <c r="I1588">
        <v>0.56916299999999997</v>
      </c>
      <c r="J1588">
        <v>5.3222399999999999</v>
      </c>
      <c r="K1588" s="2">
        <v>187426000</v>
      </c>
      <c r="L1588" s="1">
        <v>0</v>
      </c>
      <c r="M1588" s="1">
        <v>0</v>
      </c>
      <c r="N1588" s="1">
        <v>0</v>
      </c>
      <c r="O1588" s="1">
        <v>0</v>
      </c>
      <c r="P1588" s="2">
        <v>4756060</v>
      </c>
      <c r="Q1588" s="1">
        <v>327051</v>
      </c>
      <c r="R1588" s="1">
        <v>0</v>
      </c>
      <c r="S1588">
        <v>98.537800000000004</v>
      </c>
      <c r="T1588">
        <v>98.274000000000001</v>
      </c>
      <c r="U1588">
        <v>2.25726</v>
      </c>
      <c r="V1588">
        <v>0</v>
      </c>
      <c r="W1588">
        <v>1</v>
      </c>
      <c r="X1588">
        <v>1.86398</v>
      </c>
      <c r="Y1588">
        <v>1.86398</v>
      </c>
      <c r="Z1588">
        <v>0</v>
      </c>
      <c r="AA1588">
        <v>1.36619</v>
      </c>
      <c r="AB1588">
        <v>2.9635199999999999</v>
      </c>
      <c r="AC1588" s="2">
        <v>796759000</v>
      </c>
      <c r="AD1588" s="1">
        <v>0</v>
      </c>
      <c r="AE1588" s="1">
        <v>0</v>
      </c>
      <c r="AF1588" s="1">
        <v>0</v>
      </c>
      <c r="AG1588" s="1">
        <v>0</v>
      </c>
      <c r="AH1588" s="2">
        <v>4822570</v>
      </c>
      <c r="AI1588" s="1">
        <v>157197</v>
      </c>
      <c r="AJ1588" s="1">
        <v>0</v>
      </c>
      <c r="AK1588" s="8">
        <f t="shared" si="99"/>
        <v>27</v>
      </c>
      <c r="AL1588" s="8">
        <f t="shared" si="98"/>
        <v>31</v>
      </c>
      <c r="AM1588">
        <f t="shared" si="96"/>
        <v>0</v>
      </c>
      <c r="AN1588">
        <f t="shared" si="97"/>
        <v>0</v>
      </c>
    </row>
    <row r="1589" spans="1:40" x14ac:dyDescent="0.35">
      <c r="A1589">
        <v>82.440100000000001</v>
      </c>
      <c r="B1589">
        <v>85.138999999999996</v>
      </c>
      <c r="C1589">
        <v>2.4721899999999999</v>
      </c>
      <c r="D1589">
        <v>0</v>
      </c>
      <c r="E1589">
        <v>0.04</v>
      </c>
      <c r="F1589">
        <v>3.1815000000000002</v>
      </c>
      <c r="G1589">
        <v>3.1815000000000002</v>
      </c>
      <c r="H1589">
        <v>0</v>
      </c>
      <c r="I1589">
        <v>0.59618800000000005</v>
      </c>
      <c r="J1589">
        <v>5.3222399999999999</v>
      </c>
      <c r="K1589" s="2">
        <v>187753000</v>
      </c>
      <c r="L1589" s="1">
        <v>0</v>
      </c>
      <c r="M1589" s="1">
        <v>0</v>
      </c>
      <c r="N1589" s="1">
        <v>0</v>
      </c>
      <c r="O1589" s="1">
        <v>0</v>
      </c>
      <c r="P1589" s="2">
        <v>4756260</v>
      </c>
      <c r="Q1589" s="1">
        <v>327064</v>
      </c>
      <c r="R1589" s="1">
        <v>0</v>
      </c>
      <c r="S1589">
        <v>98.383200000000002</v>
      </c>
      <c r="T1589">
        <v>98.274000000000001</v>
      </c>
      <c r="U1589">
        <v>2.2931599999999999</v>
      </c>
      <c r="V1589">
        <v>0</v>
      </c>
      <c r="W1589">
        <v>1</v>
      </c>
      <c r="X1589">
        <v>1.8640600000000001</v>
      </c>
      <c r="Y1589">
        <v>1.8640600000000001</v>
      </c>
      <c r="Z1589">
        <v>0</v>
      </c>
      <c r="AA1589">
        <v>1.44011</v>
      </c>
      <c r="AB1589">
        <v>2.9635199999999999</v>
      </c>
      <c r="AC1589" s="2">
        <v>796916000</v>
      </c>
      <c r="AD1589" s="1">
        <v>0</v>
      </c>
      <c r="AE1589" s="1">
        <v>0</v>
      </c>
      <c r="AF1589" s="1">
        <v>0</v>
      </c>
      <c r="AG1589" s="1">
        <v>0</v>
      </c>
      <c r="AH1589" s="2">
        <v>4822770</v>
      </c>
      <c r="AI1589" s="1">
        <v>157204</v>
      </c>
      <c r="AJ1589" s="1">
        <v>0</v>
      </c>
      <c r="AK1589" s="8">
        <f t="shared" si="99"/>
        <v>28</v>
      </c>
      <c r="AL1589" s="8">
        <f t="shared" si="98"/>
        <v>31</v>
      </c>
      <c r="AM1589">
        <f t="shared" si="96"/>
        <v>0</v>
      </c>
      <c r="AN1589">
        <f t="shared" si="97"/>
        <v>0</v>
      </c>
    </row>
    <row r="1590" spans="1:40" x14ac:dyDescent="0.35">
      <c r="A1590">
        <v>81.492000000000004</v>
      </c>
      <c r="B1590">
        <v>85.138999999999996</v>
      </c>
      <c r="C1590">
        <v>2.3730500000000001</v>
      </c>
      <c r="D1590">
        <v>0</v>
      </c>
      <c r="E1590">
        <v>0.04</v>
      </c>
      <c r="F1590">
        <v>3.1816300000000002</v>
      </c>
      <c r="G1590">
        <v>3.1816300000000002</v>
      </c>
      <c r="H1590">
        <v>0</v>
      </c>
      <c r="I1590">
        <v>0.59621299999999999</v>
      </c>
      <c r="J1590">
        <v>5.3222399999999999</v>
      </c>
      <c r="K1590" s="2">
        <v>188080000</v>
      </c>
      <c r="L1590" s="1">
        <v>0</v>
      </c>
      <c r="M1590" s="1">
        <v>0</v>
      </c>
      <c r="N1590" s="1">
        <v>0</v>
      </c>
      <c r="O1590" s="1">
        <v>0</v>
      </c>
      <c r="P1590" s="2">
        <v>4756460</v>
      </c>
      <c r="Q1590" s="1">
        <v>327078</v>
      </c>
      <c r="R1590" s="1">
        <v>0</v>
      </c>
      <c r="S1590">
        <v>98.146799999999999</v>
      </c>
      <c r="T1590">
        <v>98.274000000000001</v>
      </c>
      <c r="U1590">
        <v>2.2429100000000002</v>
      </c>
      <c r="V1590">
        <v>0</v>
      </c>
      <c r="W1590">
        <v>1</v>
      </c>
      <c r="X1590">
        <v>1.8641399999999999</v>
      </c>
      <c r="Y1590">
        <v>1.8641399999999999</v>
      </c>
      <c r="Z1590">
        <v>0</v>
      </c>
      <c r="AA1590">
        <v>1.44017</v>
      </c>
      <c r="AB1590">
        <v>2.9635199999999999</v>
      </c>
      <c r="AC1590" s="2">
        <v>797073000</v>
      </c>
      <c r="AD1590" s="1">
        <v>0</v>
      </c>
      <c r="AE1590" s="1">
        <v>0</v>
      </c>
      <c r="AF1590" s="1">
        <v>0</v>
      </c>
      <c r="AG1590" s="1">
        <v>0</v>
      </c>
      <c r="AH1590" s="2">
        <v>4822970</v>
      </c>
      <c r="AI1590" s="1">
        <v>157210</v>
      </c>
      <c r="AJ1590" s="1">
        <v>0</v>
      </c>
      <c r="AK1590" s="8">
        <f t="shared" si="99"/>
        <v>29</v>
      </c>
      <c r="AL1590" s="8">
        <f t="shared" si="98"/>
        <v>31</v>
      </c>
      <c r="AM1590">
        <f t="shared" si="96"/>
        <v>0</v>
      </c>
      <c r="AN1590">
        <f t="shared" si="97"/>
        <v>0</v>
      </c>
    </row>
    <row r="1591" spans="1:40" x14ac:dyDescent="0.35">
      <c r="A1591">
        <v>80.409400000000005</v>
      </c>
      <c r="B1591">
        <v>85.138999999999996</v>
      </c>
      <c r="C1591">
        <v>2.22357</v>
      </c>
      <c r="D1591">
        <v>0</v>
      </c>
      <c r="E1591">
        <v>0.04</v>
      </c>
      <c r="F1591">
        <v>3.1817600000000001</v>
      </c>
      <c r="G1591">
        <v>3.1817600000000001</v>
      </c>
      <c r="H1591">
        <v>0</v>
      </c>
      <c r="I1591">
        <v>0.59623800000000005</v>
      </c>
      <c r="J1591">
        <v>5.3222399999999999</v>
      </c>
      <c r="K1591" s="2">
        <v>188407000</v>
      </c>
      <c r="L1591" s="1">
        <v>0</v>
      </c>
      <c r="M1591" s="1">
        <v>0</v>
      </c>
      <c r="N1591" s="1">
        <v>0</v>
      </c>
      <c r="O1591" s="1">
        <v>0</v>
      </c>
      <c r="P1591" s="2">
        <v>4756660</v>
      </c>
      <c r="Q1591" s="1">
        <v>327092</v>
      </c>
      <c r="R1591" s="1">
        <v>0</v>
      </c>
      <c r="S1591">
        <v>97.951599999999999</v>
      </c>
      <c r="T1591">
        <v>98.274000000000001</v>
      </c>
      <c r="U1591">
        <v>2.0874999999999999</v>
      </c>
      <c r="V1591">
        <v>0</v>
      </c>
      <c r="W1591">
        <v>1</v>
      </c>
      <c r="X1591">
        <v>1.86422</v>
      </c>
      <c r="Y1591">
        <v>1.86422</v>
      </c>
      <c r="Z1591">
        <v>0</v>
      </c>
      <c r="AA1591">
        <v>1.4402299999999999</v>
      </c>
      <c r="AB1591">
        <v>2.9635199999999999</v>
      </c>
      <c r="AC1591" s="2">
        <v>797230000</v>
      </c>
      <c r="AD1591" s="1">
        <v>0</v>
      </c>
      <c r="AE1591" s="1">
        <v>0</v>
      </c>
      <c r="AF1591" s="1">
        <v>0</v>
      </c>
      <c r="AG1591" s="1">
        <v>0</v>
      </c>
      <c r="AH1591" s="2">
        <v>4823170</v>
      </c>
      <c r="AI1591" s="1">
        <v>157217</v>
      </c>
      <c r="AJ1591" s="1">
        <v>0</v>
      </c>
      <c r="AK1591" s="8">
        <f t="shared" si="99"/>
        <v>30</v>
      </c>
      <c r="AL1591" s="8">
        <f t="shared" si="98"/>
        <v>31</v>
      </c>
      <c r="AM1591">
        <f t="shared" si="96"/>
        <v>0</v>
      </c>
      <c r="AN1591">
        <f t="shared" si="97"/>
        <v>0</v>
      </c>
    </row>
    <row r="1592" spans="1:40" x14ac:dyDescent="0.35">
      <c r="A1592">
        <v>79.119100000000003</v>
      </c>
      <c r="B1592">
        <v>85.138999999999996</v>
      </c>
      <c r="C1592">
        <v>1.9580500000000001</v>
      </c>
      <c r="D1592">
        <v>0</v>
      </c>
      <c r="E1592">
        <v>0.04</v>
      </c>
      <c r="F1592">
        <v>3.1819000000000002</v>
      </c>
      <c r="G1592">
        <v>3.1819000000000002</v>
      </c>
      <c r="H1592">
        <v>0</v>
      </c>
      <c r="I1592">
        <v>0.59626299999999999</v>
      </c>
      <c r="J1592">
        <v>5.3222399999999999</v>
      </c>
      <c r="K1592" s="2">
        <v>188734000</v>
      </c>
      <c r="L1592" s="1">
        <v>0</v>
      </c>
      <c r="M1592" s="1">
        <v>0</v>
      </c>
      <c r="N1592" s="1">
        <v>0</v>
      </c>
      <c r="O1592" s="1">
        <v>0</v>
      </c>
      <c r="P1592" s="2">
        <v>4756860</v>
      </c>
      <c r="Q1592" s="1">
        <v>327105</v>
      </c>
      <c r="R1592" s="1">
        <v>0</v>
      </c>
      <c r="S1592">
        <v>97.561800000000005</v>
      </c>
      <c r="T1592">
        <v>98.274000000000001</v>
      </c>
      <c r="U1592">
        <v>2.01322</v>
      </c>
      <c r="V1592">
        <v>0</v>
      </c>
      <c r="W1592">
        <v>1</v>
      </c>
      <c r="X1592">
        <v>1.86429</v>
      </c>
      <c r="Y1592">
        <v>1.86429</v>
      </c>
      <c r="Z1592">
        <v>0</v>
      </c>
      <c r="AA1592">
        <v>1.4402900000000001</v>
      </c>
      <c r="AB1592">
        <v>2.9635199999999999</v>
      </c>
      <c r="AC1592" s="2">
        <v>797388000</v>
      </c>
      <c r="AD1592" s="1">
        <v>0</v>
      </c>
      <c r="AE1592" s="1">
        <v>0</v>
      </c>
      <c r="AF1592" s="1">
        <v>0</v>
      </c>
      <c r="AG1592" s="1">
        <v>0</v>
      </c>
      <c r="AH1592" s="2">
        <v>4823370</v>
      </c>
      <c r="AI1592" s="1">
        <v>157223</v>
      </c>
      <c r="AJ1592" s="1">
        <v>0</v>
      </c>
      <c r="AK1592" s="8">
        <f t="shared" si="99"/>
        <v>31</v>
      </c>
      <c r="AL1592" s="8">
        <f t="shared" si="98"/>
        <v>31</v>
      </c>
      <c r="AM1592">
        <f t="shared" si="96"/>
        <v>0</v>
      </c>
      <c r="AN1592">
        <f t="shared" si="97"/>
        <v>0</v>
      </c>
    </row>
    <row r="1593" spans="1:40" x14ac:dyDescent="0.35">
      <c r="A1593">
        <v>77.738799999999998</v>
      </c>
      <c r="B1593">
        <v>85.138999999999996</v>
      </c>
      <c r="C1593">
        <v>1.8276699999999999</v>
      </c>
      <c r="D1593">
        <v>0</v>
      </c>
      <c r="E1593">
        <v>0.04</v>
      </c>
      <c r="F1593">
        <v>3.1535299999999999</v>
      </c>
      <c r="G1593">
        <v>3.1535299999999999</v>
      </c>
      <c r="H1593">
        <v>0</v>
      </c>
      <c r="I1593">
        <v>0.59628800000000004</v>
      </c>
      <c r="J1593">
        <v>5.3222399999999999</v>
      </c>
      <c r="K1593" s="2">
        <v>189058000</v>
      </c>
      <c r="L1593" s="1">
        <v>0</v>
      </c>
      <c r="M1593" s="1">
        <v>0</v>
      </c>
      <c r="N1593" s="1">
        <v>0</v>
      </c>
      <c r="O1593" s="1">
        <v>0</v>
      </c>
      <c r="P1593" s="2">
        <v>4714450</v>
      </c>
      <c r="Q1593" s="1">
        <v>324189</v>
      </c>
      <c r="R1593" s="1">
        <v>0</v>
      </c>
      <c r="S1593">
        <v>97.188400000000001</v>
      </c>
      <c r="T1593">
        <v>98.274000000000001</v>
      </c>
      <c r="U1593">
        <v>1.90578</v>
      </c>
      <c r="V1593">
        <v>0</v>
      </c>
      <c r="W1593">
        <v>1</v>
      </c>
      <c r="X1593">
        <v>1.91693</v>
      </c>
      <c r="Y1593">
        <v>1.91693</v>
      </c>
      <c r="Z1593">
        <v>0</v>
      </c>
      <c r="AA1593">
        <v>1.44035</v>
      </c>
      <c r="AB1593">
        <v>2.9635199999999999</v>
      </c>
      <c r="AC1593" s="2">
        <v>797549000</v>
      </c>
      <c r="AD1593" s="1">
        <v>0</v>
      </c>
      <c r="AE1593" s="1">
        <v>0</v>
      </c>
      <c r="AF1593" s="1">
        <v>0</v>
      </c>
      <c r="AG1593" s="1">
        <v>0</v>
      </c>
      <c r="AH1593" s="2">
        <v>4959560</v>
      </c>
      <c r="AI1593" s="1">
        <v>161662</v>
      </c>
      <c r="AJ1593" s="1">
        <v>0</v>
      </c>
      <c r="AK1593" s="8">
        <f t="shared" si="99"/>
        <v>32</v>
      </c>
      <c r="AL1593" s="8">
        <f t="shared" si="98"/>
        <v>31</v>
      </c>
      <c r="AM1593">
        <f t="shared" si="96"/>
        <v>0</v>
      </c>
      <c r="AN1593">
        <f t="shared" si="97"/>
        <v>0</v>
      </c>
    </row>
    <row r="1594" spans="1:40" x14ac:dyDescent="0.35">
      <c r="A1594">
        <v>76.466899999999995</v>
      </c>
      <c r="B1594">
        <v>85.138999999999996</v>
      </c>
      <c r="C1594">
        <v>1.6712400000000001</v>
      </c>
      <c r="D1594">
        <v>0.01</v>
      </c>
      <c r="E1594">
        <v>0.04</v>
      </c>
      <c r="F1594">
        <v>2.8512599999999999</v>
      </c>
      <c r="G1594">
        <v>3.1536599999999999</v>
      </c>
      <c r="H1594">
        <v>0</v>
      </c>
      <c r="I1594">
        <v>0.59097200000000005</v>
      </c>
      <c r="J1594">
        <v>5.3222399999999999</v>
      </c>
      <c r="K1594" s="2">
        <v>188974000</v>
      </c>
      <c r="L1594" s="1">
        <v>0</v>
      </c>
      <c r="M1594" s="1">
        <v>0</v>
      </c>
      <c r="N1594" s="1">
        <v>0</v>
      </c>
      <c r="O1594" s="1">
        <v>0</v>
      </c>
      <c r="P1594" s="2">
        <v>4262570</v>
      </c>
      <c r="Q1594" s="1">
        <v>-84335.8</v>
      </c>
      <c r="R1594" s="1">
        <v>408539</v>
      </c>
      <c r="S1594">
        <v>96.462599999999995</v>
      </c>
      <c r="T1594">
        <v>98.274000000000001</v>
      </c>
      <c r="U1594">
        <v>1.9036599999999999</v>
      </c>
      <c r="V1594">
        <v>0</v>
      </c>
      <c r="W1594">
        <v>1</v>
      </c>
      <c r="X1594">
        <v>2.2194099999999999</v>
      </c>
      <c r="Y1594">
        <v>1.9170100000000001</v>
      </c>
      <c r="Z1594">
        <v>0</v>
      </c>
      <c r="AA1594">
        <v>1.48102</v>
      </c>
      <c r="AB1594">
        <v>2.9635199999999999</v>
      </c>
      <c r="AC1594" s="2">
        <v>798493000</v>
      </c>
      <c r="AD1594" s="1">
        <v>0</v>
      </c>
      <c r="AE1594" s="1">
        <v>0</v>
      </c>
      <c r="AF1594" s="1">
        <v>0</v>
      </c>
      <c r="AG1594" s="1">
        <v>0</v>
      </c>
      <c r="AH1594" s="2">
        <v>5742150</v>
      </c>
      <c r="AI1594" s="1">
        <v>944050</v>
      </c>
      <c r="AJ1594" s="1">
        <v>0</v>
      </c>
      <c r="AK1594" s="8">
        <f t="shared" si="99"/>
        <v>33</v>
      </c>
      <c r="AL1594" s="8">
        <f t="shared" si="98"/>
        <v>31</v>
      </c>
      <c r="AM1594">
        <f t="shared" si="96"/>
        <v>0</v>
      </c>
      <c r="AN1594">
        <f t="shared" si="97"/>
        <v>0</v>
      </c>
    </row>
    <row r="1595" spans="1:40" x14ac:dyDescent="0.35">
      <c r="A1595">
        <v>75.048599999999993</v>
      </c>
      <c r="B1595">
        <v>85.138999999999996</v>
      </c>
      <c r="C1595">
        <v>1.5087600000000001</v>
      </c>
      <c r="D1595">
        <v>0.01</v>
      </c>
      <c r="E1595">
        <v>0.04</v>
      </c>
      <c r="F1595">
        <v>2.8513999999999999</v>
      </c>
      <c r="G1595">
        <v>3.1537999999999999</v>
      </c>
      <c r="H1595">
        <v>0</v>
      </c>
      <c r="I1595">
        <v>0.534327</v>
      </c>
      <c r="J1595">
        <v>5.3222399999999999</v>
      </c>
      <c r="K1595" s="2">
        <v>188889000</v>
      </c>
      <c r="L1595" s="1">
        <v>0</v>
      </c>
      <c r="M1595" s="1">
        <v>0</v>
      </c>
      <c r="N1595" s="1">
        <v>0</v>
      </c>
      <c r="O1595" s="1">
        <v>0</v>
      </c>
      <c r="P1595" s="2">
        <v>4262760</v>
      </c>
      <c r="Q1595" s="1">
        <v>-84322.2</v>
      </c>
      <c r="R1595" s="1">
        <v>408539</v>
      </c>
      <c r="S1595">
        <v>95.814800000000005</v>
      </c>
      <c r="T1595">
        <v>98.274000000000001</v>
      </c>
      <c r="U1595">
        <v>1.7146399999999999</v>
      </c>
      <c r="V1595">
        <v>0</v>
      </c>
      <c r="W1595">
        <v>1</v>
      </c>
      <c r="X1595">
        <v>2.21949</v>
      </c>
      <c r="Y1595">
        <v>1.91709</v>
      </c>
      <c r="Z1595">
        <v>0</v>
      </c>
      <c r="AA1595">
        <v>1.71472</v>
      </c>
      <c r="AB1595">
        <v>2.9635199999999999</v>
      </c>
      <c r="AC1595" s="2">
        <v>799437000</v>
      </c>
      <c r="AD1595" s="1">
        <v>0</v>
      </c>
      <c r="AE1595" s="1">
        <v>0</v>
      </c>
      <c r="AF1595" s="1">
        <v>0</v>
      </c>
      <c r="AG1595" s="1">
        <v>0</v>
      </c>
      <c r="AH1595" s="2">
        <v>5742350</v>
      </c>
      <c r="AI1595" s="1">
        <v>944057</v>
      </c>
      <c r="AJ1595" s="1">
        <v>0</v>
      </c>
      <c r="AK1595" s="8">
        <f t="shared" si="99"/>
        <v>34</v>
      </c>
      <c r="AL1595" s="8">
        <f t="shared" si="98"/>
        <v>31</v>
      </c>
      <c r="AM1595">
        <f t="shared" si="96"/>
        <v>0</v>
      </c>
      <c r="AN1595">
        <f t="shared" si="97"/>
        <v>0</v>
      </c>
    </row>
    <row r="1596" spans="1:40" x14ac:dyDescent="0.35">
      <c r="A1596">
        <v>73.598500000000001</v>
      </c>
      <c r="B1596">
        <v>85.138999999999996</v>
      </c>
      <c r="C1596">
        <v>1.43855</v>
      </c>
      <c r="D1596">
        <v>0.02</v>
      </c>
      <c r="E1596">
        <v>0.04</v>
      </c>
      <c r="F1596">
        <v>2.8515299999999999</v>
      </c>
      <c r="G1596">
        <v>3.1539299999999999</v>
      </c>
      <c r="H1596">
        <v>0</v>
      </c>
      <c r="I1596">
        <v>0.53435200000000005</v>
      </c>
      <c r="J1596">
        <v>5.3222399999999999</v>
      </c>
      <c r="K1596" s="2">
        <v>188805000</v>
      </c>
      <c r="L1596" s="1">
        <v>0</v>
      </c>
      <c r="M1596" s="1">
        <v>0</v>
      </c>
      <c r="N1596" s="1">
        <v>0</v>
      </c>
      <c r="O1596" s="1">
        <v>0</v>
      </c>
      <c r="P1596" s="2">
        <v>4262960</v>
      </c>
      <c r="Q1596" s="1">
        <v>-84308.6</v>
      </c>
      <c r="R1596" s="1">
        <v>408539</v>
      </c>
      <c r="S1596">
        <v>95.2637</v>
      </c>
      <c r="T1596">
        <v>98.274000000000001</v>
      </c>
      <c r="U1596">
        <v>1.82379</v>
      </c>
      <c r="V1596">
        <v>0</v>
      </c>
      <c r="W1596">
        <v>1</v>
      </c>
      <c r="X1596">
        <v>2.21957</v>
      </c>
      <c r="Y1596">
        <v>1.91717</v>
      </c>
      <c r="Z1596">
        <v>0</v>
      </c>
      <c r="AA1596">
        <v>1.71478</v>
      </c>
      <c r="AB1596">
        <v>2.9635199999999999</v>
      </c>
      <c r="AC1596" s="2">
        <v>800381000</v>
      </c>
      <c r="AD1596" s="1">
        <v>0</v>
      </c>
      <c r="AE1596" s="1">
        <v>0</v>
      </c>
      <c r="AF1596" s="1">
        <v>0</v>
      </c>
      <c r="AG1596" s="1">
        <v>0</v>
      </c>
      <c r="AH1596" s="2">
        <v>5742560</v>
      </c>
      <c r="AI1596" s="1">
        <v>944064</v>
      </c>
      <c r="AJ1596" s="1">
        <v>0</v>
      </c>
      <c r="AK1596" s="8">
        <f t="shared" si="99"/>
        <v>35</v>
      </c>
      <c r="AL1596" s="8">
        <f t="shared" si="98"/>
        <v>31</v>
      </c>
      <c r="AM1596">
        <f t="shared" si="96"/>
        <v>0</v>
      </c>
      <c r="AN1596">
        <f t="shared" si="97"/>
        <v>0</v>
      </c>
    </row>
    <row r="1597" spans="1:40" x14ac:dyDescent="0.35">
      <c r="A1597">
        <v>72.000699999999995</v>
      </c>
      <c r="B1597">
        <v>85.138999999999996</v>
      </c>
      <c r="C1597">
        <v>1.3507400000000001</v>
      </c>
      <c r="D1597">
        <v>0.02</v>
      </c>
      <c r="E1597">
        <v>0.04</v>
      </c>
      <c r="F1597">
        <v>2.9252699999999998</v>
      </c>
      <c r="G1597">
        <v>3.2276699999999998</v>
      </c>
      <c r="H1597">
        <v>0</v>
      </c>
      <c r="I1597">
        <v>0.53437599999999996</v>
      </c>
      <c r="J1597">
        <v>5.3222399999999999</v>
      </c>
      <c r="K1597" s="2">
        <v>188728000</v>
      </c>
      <c r="L1597" s="1">
        <v>0</v>
      </c>
      <c r="M1597" s="1">
        <v>0</v>
      </c>
      <c r="N1597" s="1">
        <v>0</v>
      </c>
      <c r="O1597" s="1">
        <v>0</v>
      </c>
      <c r="P1597" s="2">
        <v>4373200</v>
      </c>
      <c r="Q1597" s="1">
        <v>-76727.899999999994</v>
      </c>
      <c r="R1597" s="1">
        <v>408539</v>
      </c>
      <c r="S1597">
        <v>94.5959</v>
      </c>
      <c r="T1597">
        <v>98.274000000000001</v>
      </c>
      <c r="U1597">
        <v>1.87995</v>
      </c>
      <c r="V1597">
        <v>0</v>
      </c>
      <c r="W1597">
        <v>1</v>
      </c>
      <c r="X1597">
        <v>2.2665000000000002</v>
      </c>
      <c r="Y1597">
        <v>1.9641</v>
      </c>
      <c r="Z1597">
        <v>0</v>
      </c>
      <c r="AA1597">
        <v>1.7148399999999999</v>
      </c>
      <c r="AB1597">
        <v>2.9635199999999999</v>
      </c>
      <c r="AC1597" s="2">
        <v>801329000</v>
      </c>
      <c r="AD1597" s="1">
        <v>0</v>
      </c>
      <c r="AE1597" s="1">
        <v>0</v>
      </c>
      <c r="AF1597" s="1">
        <v>0</v>
      </c>
      <c r="AG1597" s="1">
        <v>0</v>
      </c>
      <c r="AH1597" s="2">
        <v>5863980</v>
      </c>
      <c r="AI1597" s="1">
        <v>948021</v>
      </c>
      <c r="AJ1597" s="1">
        <v>0</v>
      </c>
      <c r="AK1597" s="8">
        <f t="shared" si="99"/>
        <v>36</v>
      </c>
      <c r="AL1597" s="8">
        <f t="shared" si="98"/>
        <v>31</v>
      </c>
      <c r="AM1597">
        <f t="shared" si="96"/>
        <v>0</v>
      </c>
      <c r="AN1597">
        <f t="shared" si="97"/>
        <v>0</v>
      </c>
    </row>
    <row r="1598" spans="1:40" x14ac:dyDescent="0.35">
      <c r="A1598">
        <v>70.334999999999994</v>
      </c>
      <c r="B1598">
        <v>85.138999999999996</v>
      </c>
      <c r="C1598">
        <v>1.2525599999999999</v>
      </c>
      <c r="D1598">
        <v>0.02</v>
      </c>
      <c r="E1598">
        <v>0.04</v>
      </c>
      <c r="F1598">
        <v>2.9253999999999998</v>
      </c>
      <c r="G1598">
        <v>3.2277999999999998</v>
      </c>
      <c r="H1598">
        <v>0</v>
      </c>
      <c r="I1598">
        <v>0.54819499999999999</v>
      </c>
      <c r="J1598">
        <v>5.3222399999999999</v>
      </c>
      <c r="K1598" s="2">
        <v>188652000</v>
      </c>
      <c r="L1598" s="1">
        <v>0</v>
      </c>
      <c r="M1598" s="1">
        <v>0</v>
      </c>
      <c r="N1598" s="1">
        <v>0</v>
      </c>
      <c r="O1598" s="1">
        <v>0</v>
      </c>
      <c r="P1598" s="2">
        <v>4373410</v>
      </c>
      <c r="Q1598" s="1">
        <v>-76714</v>
      </c>
      <c r="R1598" s="1">
        <v>408539</v>
      </c>
      <c r="S1598">
        <v>93.7607</v>
      </c>
      <c r="T1598">
        <v>98.274000000000001</v>
      </c>
      <c r="U1598">
        <v>1.79748</v>
      </c>
      <c r="V1598">
        <v>0</v>
      </c>
      <c r="W1598">
        <v>1</v>
      </c>
      <c r="X1598">
        <v>2.2665799999999998</v>
      </c>
      <c r="Y1598">
        <v>1.96418</v>
      </c>
      <c r="Z1598">
        <v>0</v>
      </c>
      <c r="AA1598">
        <v>1.7511000000000001</v>
      </c>
      <c r="AB1598">
        <v>2.9635199999999999</v>
      </c>
      <c r="AC1598" s="2">
        <v>802278000</v>
      </c>
      <c r="AD1598" s="1">
        <v>0</v>
      </c>
      <c r="AE1598" s="1">
        <v>0</v>
      </c>
      <c r="AF1598" s="1">
        <v>0</v>
      </c>
      <c r="AG1598" s="1">
        <v>0</v>
      </c>
      <c r="AH1598" s="2">
        <v>5864190</v>
      </c>
      <c r="AI1598" s="1">
        <v>948028</v>
      </c>
      <c r="AJ1598" s="1">
        <v>0</v>
      </c>
      <c r="AK1598" s="8">
        <f t="shared" si="99"/>
        <v>37</v>
      </c>
      <c r="AL1598" s="8">
        <f t="shared" si="98"/>
        <v>31</v>
      </c>
      <c r="AM1598">
        <f t="shared" si="96"/>
        <v>0</v>
      </c>
      <c r="AN1598">
        <f t="shared" si="97"/>
        <v>0</v>
      </c>
    </row>
    <row r="1599" spans="1:40" x14ac:dyDescent="0.35">
      <c r="A1599">
        <v>68.577399999999997</v>
      </c>
      <c r="B1599">
        <v>85.138999999999996</v>
      </c>
      <c r="C1599">
        <v>1.1404700000000001</v>
      </c>
      <c r="D1599">
        <v>0.02</v>
      </c>
      <c r="E1599">
        <v>0.04</v>
      </c>
      <c r="F1599">
        <v>2.9255399999999998</v>
      </c>
      <c r="G1599">
        <v>3.2279399999999998</v>
      </c>
      <c r="H1599">
        <v>0</v>
      </c>
      <c r="I1599">
        <v>0.54822099999999996</v>
      </c>
      <c r="J1599">
        <v>5.3222399999999999</v>
      </c>
      <c r="K1599" s="2">
        <v>188575000</v>
      </c>
      <c r="L1599" s="1">
        <v>0</v>
      </c>
      <c r="M1599" s="1">
        <v>0</v>
      </c>
      <c r="N1599" s="1">
        <v>0</v>
      </c>
      <c r="O1599" s="1">
        <v>0</v>
      </c>
      <c r="P1599" s="2">
        <v>4373610</v>
      </c>
      <c r="Q1599" s="1">
        <v>-76700.100000000006</v>
      </c>
      <c r="R1599" s="1">
        <v>408539</v>
      </c>
      <c r="S1599">
        <v>93.297600000000003</v>
      </c>
      <c r="T1599">
        <v>98.274000000000001</v>
      </c>
      <c r="U1599">
        <v>1.59091</v>
      </c>
      <c r="V1599">
        <v>0</v>
      </c>
      <c r="W1599">
        <v>1</v>
      </c>
      <c r="X1599">
        <v>2.26667</v>
      </c>
      <c r="Y1599">
        <v>1.96427</v>
      </c>
      <c r="Z1599">
        <v>0</v>
      </c>
      <c r="AA1599">
        <v>1.75116</v>
      </c>
      <c r="AB1599">
        <v>2.9635199999999999</v>
      </c>
      <c r="AC1599" s="2">
        <v>803226000</v>
      </c>
      <c r="AD1599" s="1">
        <v>0</v>
      </c>
      <c r="AE1599" s="1">
        <v>0</v>
      </c>
      <c r="AF1599" s="1">
        <v>0</v>
      </c>
      <c r="AG1599" s="1">
        <v>0</v>
      </c>
      <c r="AH1599" s="2">
        <v>5864400</v>
      </c>
      <c r="AI1599" s="1">
        <v>948035</v>
      </c>
      <c r="AJ1599" s="1">
        <v>0</v>
      </c>
      <c r="AK1599" s="8">
        <f t="shared" si="99"/>
        <v>38</v>
      </c>
      <c r="AL1599" s="8">
        <f t="shared" si="98"/>
        <v>31</v>
      </c>
      <c r="AM1599">
        <f t="shared" si="96"/>
        <v>0</v>
      </c>
      <c r="AN1599">
        <f t="shared" si="97"/>
        <v>0</v>
      </c>
    </row>
    <row r="1600" spans="1:40" x14ac:dyDescent="0.35">
      <c r="A1600">
        <v>67.032399999999996</v>
      </c>
      <c r="B1600">
        <v>85.138999999999996</v>
      </c>
      <c r="C1600">
        <v>1.3303499999999999</v>
      </c>
      <c r="D1600">
        <v>0.02</v>
      </c>
      <c r="E1600">
        <v>0.04</v>
      </c>
      <c r="F1600">
        <v>2.9256799999999998</v>
      </c>
      <c r="G1600">
        <v>3.2280799999999998</v>
      </c>
      <c r="H1600">
        <v>0</v>
      </c>
      <c r="I1600">
        <v>0.54824600000000001</v>
      </c>
      <c r="J1600">
        <v>5.3222399999999999</v>
      </c>
      <c r="K1600" s="2">
        <v>188498000</v>
      </c>
      <c r="L1600" s="1">
        <v>0</v>
      </c>
      <c r="M1600" s="1">
        <v>0</v>
      </c>
      <c r="N1600" s="1">
        <v>0</v>
      </c>
      <c r="O1600" s="1">
        <v>0</v>
      </c>
      <c r="P1600" s="2">
        <v>4373810</v>
      </c>
      <c r="Q1600" s="1">
        <v>-76686.2</v>
      </c>
      <c r="R1600" s="1">
        <v>408539</v>
      </c>
      <c r="S1600">
        <v>92.531000000000006</v>
      </c>
      <c r="T1600">
        <v>98.274000000000001</v>
      </c>
      <c r="U1600">
        <v>2.23014</v>
      </c>
      <c r="V1600">
        <v>0</v>
      </c>
      <c r="W1600">
        <v>1</v>
      </c>
      <c r="X1600">
        <v>2.26675</v>
      </c>
      <c r="Y1600">
        <v>1.96435</v>
      </c>
      <c r="Z1600">
        <v>0</v>
      </c>
      <c r="AA1600">
        <v>1.7512300000000001</v>
      </c>
      <c r="AB1600">
        <v>2.9635199999999999</v>
      </c>
      <c r="AC1600" s="2">
        <v>804174000</v>
      </c>
      <c r="AD1600" s="1">
        <v>0</v>
      </c>
      <c r="AE1600" s="1">
        <v>0</v>
      </c>
      <c r="AF1600" s="1">
        <v>0</v>
      </c>
      <c r="AG1600" s="1">
        <v>0</v>
      </c>
      <c r="AH1600" s="2">
        <v>5864620</v>
      </c>
      <c r="AI1600" s="1">
        <v>948042</v>
      </c>
      <c r="AJ1600" s="1">
        <v>0</v>
      </c>
      <c r="AK1600" s="8">
        <f t="shared" si="99"/>
        <v>39</v>
      </c>
      <c r="AL1600" s="8">
        <f t="shared" si="98"/>
        <v>31</v>
      </c>
      <c r="AM1600">
        <f t="shared" si="96"/>
        <v>0</v>
      </c>
      <c r="AN1600">
        <f t="shared" si="97"/>
        <v>0</v>
      </c>
    </row>
    <row r="1601" spans="1:40" x14ac:dyDescent="0.35">
      <c r="A1601">
        <v>65.476900000000001</v>
      </c>
      <c r="B1601">
        <v>85.138999999999996</v>
      </c>
      <c r="C1601">
        <v>1.5064200000000001</v>
      </c>
      <c r="D1601">
        <v>0.02</v>
      </c>
      <c r="E1601">
        <v>0.04</v>
      </c>
      <c r="F1601">
        <v>3.14141</v>
      </c>
      <c r="G1601">
        <v>3.44381</v>
      </c>
      <c r="H1601">
        <v>0</v>
      </c>
      <c r="I1601">
        <v>0.54827099999999995</v>
      </c>
      <c r="J1601">
        <v>5.3222399999999999</v>
      </c>
      <c r="K1601" s="2">
        <v>188444000</v>
      </c>
      <c r="L1601" s="1">
        <v>0</v>
      </c>
      <c r="M1601" s="1">
        <v>0</v>
      </c>
      <c r="N1601" s="1">
        <v>0</v>
      </c>
      <c r="O1601" s="1">
        <v>0</v>
      </c>
      <c r="P1601" s="2">
        <v>4696330</v>
      </c>
      <c r="Q1601" s="1">
        <v>-54508.3</v>
      </c>
      <c r="R1601" s="1">
        <v>408539</v>
      </c>
      <c r="S1601">
        <v>92.027699999999996</v>
      </c>
      <c r="T1601">
        <v>98.274000000000001</v>
      </c>
      <c r="U1601">
        <v>1.76664</v>
      </c>
      <c r="V1601">
        <v>0</v>
      </c>
      <c r="W1601">
        <v>1</v>
      </c>
      <c r="X1601">
        <v>2.4359600000000001</v>
      </c>
      <c r="Y1601">
        <v>2.1335600000000001</v>
      </c>
      <c r="Z1601">
        <v>0</v>
      </c>
      <c r="AA1601">
        <v>1.75129</v>
      </c>
      <c r="AB1601">
        <v>2.9635199999999999</v>
      </c>
      <c r="AC1601" s="2">
        <v>805136000</v>
      </c>
      <c r="AD1601" s="1">
        <v>0</v>
      </c>
      <c r="AE1601" s="1">
        <v>0</v>
      </c>
      <c r="AF1601" s="1">
        <v>0</v>
      </c>
      <c r="AG1601" s="1">
        <v>0</v>
      </c>
      <c r="AH1601" s="2">
        <v>6302410</v>
      </c>
      <c r="AI1601" s="1">
        <v>962312</v>
      </c>
      <c r="AJ1601" s="1">
        <v>0</v>
      </c>
      <c r="AK1601" s="8">
        <f t="shared" si="99"/>
        <v>40</v>
      </c>
      <c r="AL1601" s="8">
        <f t="shared" si="98"/>
        <v>31</v>
      </c>
      <c r="AM1601">
        <f t="shared" si="96"/>
        <v>0</v>
      </c>
      <c r="AN1601">
        <f t="shared" si="97"/>
        <v>0</v>
      </c>
    </row>
    <row r="1602" spans="1:40" x14ac:dyDescent="0.35">
      <c r="A1602">
        <v>63.835999999999999</v>
      </c>
      <c r="B1602">
        <v>85.138999999999996</v>
      </c>
      <c r="C1602">
        <v>1.4067499999999999</v>
      </c>
      <c r="D1602">
        <v>0.02</v>
      </c>
      <c r="E1602">
        <v>0.04</v>
      </c>
      <c r="F1602">
        <v>3.1435200000000001</v>
      </c>
      <c r="G1602">
        <v>3.4439500000000001</v>
      </c>
      <c r="H1602">
        <v>0</v>
      </c>
      <c r="I1602">
        <v>0.5887</v>
      </c>
      <c r="J1602">
        <v>5.3222399999999999</v>
      </c>
      <c r="K1602" s="2">
        <v>188392000</v>
      </c>
      <c r="L1602" s="1">
        <v>0</v>
      </c>
      <c r="M1602" s="1">
        <v>0</v>
      </c>
      <c r="N1602" s="1">
        <v>0</v>
      </c>
      <c r="O1602" s="1">
        <v>0</v>
      </c>
      <c r="P1602" s="2">
        <v>4699480</v>
      </c>
      <c r="Q1602" s="1">
        <v>-51835.5</v>
      </c>
      <c r="R1602" s="1">
        <v>405881</v>
      </c>
      <c r="S1602">
        <v>91.635900000000007</v>
      </c>
      <c r="T1602">
        <v>98.274000000000001</v>
      </c>
      <c r="U1602">
        <v>2.0695399999999999</v>
      </c>
      <c r="V1602">
        <v>0</v>
      </c>
      <c r="W1602">
        <v>1</v>
      </c>
      <c r="X1602">
        <v>2.4340799999999998</v>
      </c>
      <c r="Y1602">
        <v>2.1336499999999998</v>
      </c>
      <c r="Z1602">
        <v>0</v>
      </c>
      <c r="AA1602">
        <v>1.88202</v>
      </c>
      <c r="AB1602">
        <v>2.9635199999999999</v>
      </c>
      <c r="AC1602" s="2">
        <v>806093000</v>
      </c>
      <c r="AD1602" s="1">
        <v>0</v>
      </c>
      <c r="AE1602" s="1">
        <v>0</v>
      </c>
      <c r="AF1602" s="1">
        <v>0</v>
      </c>
      <c r="AG1602" s="1">
        <v>0</v>
      </c>
      <c r="AH1602" s="2">
        <v>6297550</v>
      </c>
      <c r="AI1602" s="1">
        <v>957230</v>
      </c>
      <c r="AJ1602" s="1">
        <v>0</v>
      </c>
      <c r="AK1602" s="8">
        <f t="shared" si="99"/>
        <v>41</v>
      </c>
      <c r="AL1602" s="8">
        <f t="shared" si="98"/>
        <v>31</v>
      </c>
      <c r="AM1602">
        <f t="shared" si="96"/>
        <v>0</v>
      </c>
      <c r="AN1602">
        <f t="shared" si="97"/>
        <v>0</v>
      </c>
    </row>
    <row r="1603" spans="1:40" x14ac:dyDescent="0.35">
      <c r="A1603">
        <v>62.131100000000004</v>
      </c>
      <c r="B1603">
        <v>85.138999999999996</v>
      </c>
      <c r="C1603">
        <v>1.3271599999999999</v>
      </c>
      <c r="D1603">
        <v>0.02</v>
      </c>
      <c r="E1603">
        <v>0.04</v>
      </c>
      <c r="F1603">
        <v>3.1437499999999998</v>
      </c>
      <c r="G1603">
        <v>3.4441000000000002</v>
      </c>
      <c r="H1603">
        <v>0</v>
      </c>
      <c r="I1603">
        <v>0.58909599999999995</v>
      </c>
      <c r="J1603">
        <v>5.3222399999999999</v>
      </c>
      <c r="K1603" s="2">
        <v>188340000</v>
      </c>
      <c r="L1603" s="1">
        <v>0</v>
      </c>
      <c r="M1603" s="1">
        <v>0</v>
      </c>
      <c r="N1603" s="1">
        <v>0</v>
      </c>
      <c r="O1603" s="1">
        <v>0</v>
      </c>
      <c r="P1603" s="2">
        <v>4699830</v>
      </c>
      <c r="Q1603" s="1">
        <v>-51700.2</v>
      </c>
      <c r="R1603" s="1">
        <v>405760</v>
      </c>
      <c r="S1603">
        <v>91.231200000000001</v>
      </c>
      <c r="T1603">
        <v>98.274000000000001</v>
      </c>
      <c r="U1603">
        <v>2.2835100000000002</v>
      </c>
      <c r="V1603">
        <v>0</v>
      </c>
      <c r="W1603">
        <v>1</v>
      </c>
      <c r="X1603">
        <v>2.4340799999999998</v>
      </c>
      <c r="Y1603">
        <v>2.13374</v>
      </c>
      <c r="Z1603">
        <v>0</v>
      </c>
      <c r="AA1603">
        <v>1.8805700000000001</v>
      </c>
      <c r="AB1603">
        <v>2.9635199999999999</v>
      </c>
      <c r="AC1603" s="2">
        <v>807050000</v>
      </c>
      <c r="AD1603" s="1">
        <v>0</v>
      </c>
      <c r="AE1603" s="1">
        <v>0</v>
      </c>
      <c r="AF1603" s="1">
        <v>0</v>
      </c>
      <c r="AG1603" s="1">
        <v>0</v>
      </c>
      <c r="AH1603" s="2">
        <v>6297550</v>
      </c>
      <c r="AI1603" s="1">
        <v>957006</v>
      </c>
      <c r="AJ1603" s="1">
        <v>0</v>
      </c>
      <c r="AK1603" s="8">
        <f t="shared" si="99"/>
        <v>42</v>
      </c>
      <c r="AL1603" s="8">
        <f t="shared" si="98"/>
        <v>31</v>
      </c>
      <c r="AM1603">
        <f t="shared" ref="AM1603:AM1666" si="100">IF(AK1603=52,AC1603,0)</f>
        <v>0</v>
      </c>
      <c r="AN1603">
        <f t="shared" ref="AN1603:AN1666" si="101">IF(AK1603=52,K1603,0)</f>
        <v>0</v>
      </c>
    </row>
    <row r="1604" spans="1:40" x14ac:dyDescent="0.35">
      <c r="A1604">
        <v>60.404499999999999</v>
      </c>
      <c r="B1604">
        <v>85.138999999999996</v>
      </c>
      <c r="C1604">
        <v>1.2818700000000001</v>
      </c>
      <c r="D1604">
        <v>0.02</v>
      </c>
      <c r="E1604">
        <v>0.04</v>
      </c>
      <c r="F1604">
        <v>3.1439900000000001</v>
      </c>
      <c r="G1604">
        <v>3.4442400000000002</v>
      </c>
      <c r="H1604">
        <v>0</v>
      </c>
      <c r="I1604">
        <v>0.58913899999999997</v>
      </c>
      <c r="J1604">
        <v>5.3222399999999999</v>
      </c>
      <c r="K1604" s="2">
        <v>188289000</v>
      </c>
      <c r="L1604" s="1">
        <v>0</v>
      </c>
      <c r="M1604" s="1">
        <v>0</v>
      </c>
      <c r="N1604" s="1">
        <v>0</v>
      </c>
      <c r="O1604" s="1">
        <v>0</v>
      </c>
      <c r="P1604" s="2">
        <v>4700180</v>
      </c>
      <c r="Q1604" s="1">
        <v>-51564.6</v>
      </c>
      <c r="R1604" s="1">
        <v>405639</v>
      </c>
      <c r="S1604">
        <v>90.822400000000002</v>
      </c>
      <c r="T1604">
        <v>98.274000000000001</v>
      </c>
      <c r="U1604">
        <v>2.2555000000000001</v>
      </c>
      <c r="V1604">
        <v>0</v>
      </c>
      <c r="W1604">
        <v>1</v>
      </c>
      <c r="X1604">
        <v>2.4340799999999998</v>
      </c>
      <c r="Y1604">
        <v>2.1338300000000001</v>
      </c>
      <c r="Z1604">
        <v>0</v>
      </c>
      <c r="AA1604">
        <v>1.8805700000000001</v>
      </c>
      <c r="AB1604">
        <v>2.9635199999999999</v>
      </c>
      <c r="AC1604" s="2">
        <v>808007000</v>
      </c>
      <c r="AD1604" s="1">
        <v>0</v>
      </c>
      <c r="AE1604" s="1">
        <v>0</v>
      </c>
      <c r="AF1604" s="1">
        <v>0</v>
      </c>
      <c r="AG1604" s="1">
        <v>0</v>
      </c>
      <c r="AH1604" s="2">
        <v>6297550</v>
      </c>
      <c r="AI1604" s="1">
        <v>956783</v>
      </c>
      <c r="AJ1604" s="1">
        <v>0</v>
      </c>
      <c r="AK1604" s="8">
        <f t="shared" si="99"/>
        <v>43</v>
      </c>
      <c r="AL1604" s="8">
        <f t="shared" ref="AL1604:AL1667" si="102">IF(AK1603=52,AL1603+1,AL1603)</f>
        <v>31</v>
      </c>
      <c r="AM1604">
        <f t="shared" si="100"/>
        <v>0</v>
      </c>
      <c r="AN1604">
        <f t="shared" si="101"/>
        <v>0</v>
      </c>
    </row>
    <row r="1605" spans="1:40" x14ac:dyDescent="0.35">
      <c r="A1605">
        <v>59.682899999999997</v>
      </c>
      <c r="B1605">
        <v>85.138999999999996</v>
      </c>
      <c r="C1605">
        <v>2.36971</v>
      </c>
      <c r="D1605">
        <v>0.02</v>
      </c>
      <c r="E1605">
        <v>0.04</v>
      </c>
      <c r="F1605">
        <v>3.1442199999999998</v>
      </c>
      <c r="G1605">
        <v>3.4443899999999998</v>
      </c>
      <c r="H1605">
        <v>0</v>
      </c>
      <c r="I1605">
        <v>0.58918300000000001</v>
      </c>
      <c r="J1605">
        <v>5.3222399999999999</v>
      </c>
      <c r="K1605" s="2">
        <v>188237000</v>
      </c>
      <c r="L1605" s="1">
        <v>0</v>
      </c>
      <c r="M1605" s="1">
        <v>0</v>
      </c>
      <c r="N1605" s="1">
        <v>0</v>
      </c>
      <c r="O1605" s="1">
        <v>0</v>
      </c>
      <c r="P1605" s="2">
        <v>4700530</v>
      </c>
      <c r="Q1605" s="1">
        <v>-51429</v>
      </c>
      <c r="R1605" s="1">
        <v>405518</v>
      </c>
      <c r="S1605">
        <v>90.82</v>
      </c>
      <c r="T1605">
        <v>98.274000000000001</v>
      </c>
      <c r="U1605">
        <v>3.4756900000000002</v>
      </c>
      <c r="V1605">
        <v>0</v>
      </c>
      <c r="W1605">
        <v>1</v>
      </c>
      <c r="X1605">
        <v>2.4340799999999998</v>
      </c>
      <c r="Y1605">
        <v>2.1339199999999998</v>
      </c>
      <c r="Z1605">
        <v>0</v>
      </c>
      <c r="AA1605">
        <v>1.8805700000000001</v>
      </c>
      <c r="AB1605">
        <v>2.9635199999999999</v>
      </c>
      <c r="AC1605" s="2">
        <v>808963000</v>
      </c>
      <c r="AD1605" s="1">
        <v>0</v>
      </c>
      <c r="AE1605" s="1">
        <v>0</v>
      </c>
      <c r="AF1605" s="1">
        <v>0</v>
      </c>
      <c r="AG1605" s="1">
        <v>0</v>
      </c>
      <c r="AH1605" s="2">
        <v>6297550</v>
      </c>
      <c r="AI1605" s="1">
        <v>956559</v>
      </c>
      <c r="AJ1605" s="1">
        <v>0</v>
      </c>
      <c r="AK1605" s="8">
        <f t="shared" si="99"/>
        <v>44</v>
      </c>
      <c r="AL1605" s="8">
        <f t="shared" si="102"/>
        <v>31</v>
      </c>
      <c r="AM1605">
        <f t="shared" si="100"/>
        <v>0</v>
      </c>
      <c r="AN1605">
        <f t="shared" si="101"/>
        <v>0</v>
      </c>
    </row>
    <row r="1606" spans="1:40" x14ac:dyDescent="0.35">
      <c r="A1606">
        <v>58.827500000000001</v>
      </c>
      <c r="B1606">
        <v>85.138999999999996</v>
      </c>
      <c r="C1606">
        <v>2.1441400000000002</v>
      </c>
      <c r="D1606">
        <v>0.02</v>
      </c>
      <c r="E1606">
        <v>0.04</v>
      </c>
      <c r="F1606">
        <v>3.0393599999999998</v>
      </c>
      <c r="G1606">
        <v>3.3394300000000001</v>
      </c>
      <c r="H1606">
        <v>0</v>
      </c>
      <c r="I1606">
        <v>0.58922699999999995</v>
      </c>
      <c r="J1606">
        <v>5.3222399999999999</v>
      </c>
      <c r="K1606" s="2">
        <v>188175000</v>
      </c>
      <c r="L1606" s="1">
        <v>0</v>
      </c>
      <c r="M1606" s="1">
        <v>0</v>
      </c>
      <c r="N1606" s="1">
        <v>0</v>
      </c>
      <c r="O1606" s="1">
        <v>0</v>
      </c>
      <c r="P1606" s="2">
        <v>4543760</v>
      </c>
      <c r="Q1606" s="1">
        <v>-62097.5</v>
      </c>
      <c r="R1606" s="1">
        <v>405398</v>
      </c>
      <c r="S1606">
        <v>90.692599999999999</v>
      </c>
      <c r="T1606">
        <v>98.274000000000001</v>
      </c>
      <c r="U1606">
        <v>3.03545</v>
      </c>
      <c r="V1606">
        <v>0</v>
      </c>
      <c r="W1606">
        <v>1</v>
      </c>
      <c r="X1606">
        <v>2.3313999999999999</v>
      </c>
      <c r="Y1606">
        <v>2.0313300000000001</v>
      </c>
      <c r="Z1606">
        <v>0</v>
      </c>
      <c r="AA1606">
        <v>1.8805700000000001</v>
      </c>
      <c r="AB1606">
        <v>2.9635199999999999</v>
      </c>
      <c r="AC1606" s="2">
        <v>809911000</v>
      </c>
      <c r="AD1606" s="1">
        <v>0</v>
      </c>
      <c r="AE1606" s="1">
        <v>0</v>
      </c>
      <c r="AF1606" s="1">
        <v>0</v>
      </c>
      <c r="AG1606" s="1">
        <v>0</v>
      </c>
      <c r="AH1606" s="2">
        <v>6031900</v>
      </c>
      <c r="AI1606" s="1">
        <v>947676</v>
      </c>
      <c r="AJ1606" s="1">
        <v>0</v>
      </c>
      <c r="AK1606" s="8">
        <f t="shared" si="99"/>
        <v>45</v>
      </c>
      <c r="AL1606" s="8">
        <f t="shared" si="102"/>
        <v>31</v>
      </c>
      <c r="AM1606">
        <f t="shared" si="100"/>
        <v>0</v>
      </c>
      <c r="AN1606">
        <f t="shared" si="101"/>
        <v>0</v>
      </c>
    </row>
    <row r="1607" spans="1:40" x14ac:dyDescent="0.35">
      <c r="A1607">
        <v>58.034999999999997</v>
      </c>
      <c r="B1607">
        <v>85.138999999999996</v>
      </c>
      <c r="C1607">
        <v>2.2055400000000001</v>
      </c>
      <c r="D1607">
        <v>0.04</v>
      </c>
      <c r="E1607">
        <v>0.04</v>
      </c>
      <c r="F1607">
        <v>3.0371700000000001</v>
      </c>
      <c r="G1607">
        <v>3.3395700000000001</v>
      </c>
      <c r="H1607">
        <v>0</v>
      </c>
      <c r="I1607">
        <v>0.56957599999999997</v>
      </c>
      <c r="J1607">
        <v>5.3222399999999999</v>
      </c>
      <c r="K1607" s="2">
        <v>188110000</v>
      </c>
      <c r="L1607" s="1">
        <v>0</v>
      </c>
      <c r="M1607" s="1">
        <v>0</v>
      </c>
      <c r="N1607" s="1">
        <v>0</v>
      </c>
      <c r="O1607" s="1">
        <v>0</v>
      </c>
      <c r="P1607" s="2">
        <v>4540500</v>
      </c>
      <c r="Q1607" s="1">
        <v>-65224</v>
      </c>
      <c r="R1607" s="1">
        <v>408539</v>
      </c>
      <c r="S1607">
        <v>90.529799999999994</v>
      </c>
      <c r="T1607">
        <v>98.274000000000001</v>
      </c>
      <c r="U1607">
        <v>3.04454</v>
      </c>
      <c r="V1607">
        <v>0</v>
      </c>
      <c r="W1607">
        <v>1</v>
      </c>
      <c r="X1607">
        <v>2.3338100000000002</v>
      </c>
      <c r="Y1607">
        <v>2.0314100000000002</v>
      </c>
      <c r="Z1607">
        <v>0</v>
      </c>
      <c r="AA1607">
        <v>1.80124</v>
      </c>
      <c r="AB1607">
        <v>2.9635199999999999</v>
      </c>
      <c r="AC1607" s="2">
        <v>810865000</v>
      </c>
      <c r="AD1607" s="1">
        <v>0</v>
      </c>
      <c r="AE1607" s="1">
        <v>0</v>
      </c>
      <c r="AF1607" s="1">
        <v>0</v>
      </c>
      <c r="AG1607" s="1">
        <v>0</v>
      </c>
      <c r="AH1607" s="2">
        <v>6038130</v>
      </c>
      <c r="AI1607" s="1">
        <v>953698</v>
      </c>
      <c r="AJ1607" s="1">
        <v>0</v>
      </c>
      <c r="AK1607" s="8">
        <f t="shared" si="99"/>
        <v>46</v>
      </c>
      <c r="AL1607" s="8">
        <f t="shared" si="102"/>
        <v>31</v>
      </c>
      <c r="AM1607">
        <f t="shared" si="100"/>
        <v>0</v>
      </c>
      <c r="AN1607">
        <f t="shared" si="101"/>
        <v>0</v>
      </c>
    </row>
    <row r="1608" spans="1:40" x14ac:dyDescent="0.35">
      <c r="A1608">
        <v>57.615000000000002</v>
      </c>
      <c r="B1608">
        <v>85.138999999999996</v>
      </c>
      <c r="C1608">
        <v>2.5687199999999999</v>
      </c>
      <c r="D1608">
        <v>0.04</v>
      </c>
      <c r="E1608">
        <v>0.04</v>
      </c>
      <c r="F1608">
        <v>3.0373100000000002</v>
      </c>
      <c r="G1608">
        <v>3.3397100000000002</v>
      </c>
      <c r="H1608">
        <v>0</v>
      </c>
      <c r="I1608">
        <v>0.56916599999999995</v>
      </c>
      <c r="J1608">
        <v>5.3222399999999999</v>
      </c>
      <c r="K1608" s="2">
        <v>188045000</v>
      </c>
      <c r="L1608" s="1">
        <v>0</v>
      </c>
      <c r="M1608" s="1">
        <v>0</v>
      </c>
      <c r="N1608" s="1">
        <v>0</v>
      </c>
      <c r="O1608" s="1">
        <v>0</v>
      </c>
      <c r="P1608" s="2">
        <v>4540710</v>
      </c>
      <c r="Q1608" s="1">
        <v>-65209.599999999999</v>
      </c>
      <c r="R1608" s="1">
        <v>408539</v>
      </c>
      <c r="S1608">
        <v>90.653800000000004</v>
      </c>
      <c r="T1608">
        <v>98.274000000000001</v>
      </c>
      <c r="U1608">
        <v>3.8746800000000001</v>
      </c>
      <c r="V1608">
        <v>0</v>
      </c>
      <c r="W1608">
        <v>1</v>
      </c>
      <c r="X1608">
        <v>2.3338999999999999</v>
      </c>
      <c r="Y1608">
        <v>2.0314999999999999</v>
      </c>
      <c r="Z1608">
        <v>0</v>
      </c>
      <c r="AA1608">
        <v>1.80311</v>
      </c>
      <c r="AB1608">
        <v>2.9635199999999999</v>
      </c>
      <c r="AC1608" s="2">
        <v>811819000</v>
      </c>
      <c r="AD1608" s="1">
        <v>0</v>
      </c>
      <c r="AE1608" s="1">
        <v>0</v>
      </c>
      <c r="AF1608" s="1">
        <v>0</v>
      </c>
      <c r="AG1608" s="1">
        <v>0</v>
      </c>
      <c r="AH1608" s="2">
        <v>6038350</v>
      </c>
      <c r="AI1608" s="1">
        <v>953705</v>
      </c>
      <c r="AJ1608" s="1">
        <v>0</v>
      </c>
      <c r="AK1608" s="8">
        <f t="shared" ref="AK1608:AK1671" si="103">IF(AK1607=52, 1, AK1607+1)</f>
        <v>47</v>
      </c>
      <c r="AL1608" s="8">
        <f t="shared" si="102"/>
        <v>31</v>
      </c>
      <c r="AM1608">
        <f t="shared" si="100"/>
        <v>0</v>
      </c>
      <c r="AN1608">
        <f t="shared" si="101"/>
        <v>0</v>
      </c>
    </row>
    <row r="1609" spans="1:40" x14ac:dyDescent="0.35">
      <c r="A1609">
        <v>59.018900000000002</v>
      </c>
      <c r="B1609">
        <v>85.138999999999996</v>
      </c>
      <c r="C1609">
        <v>4.5325899999999999</v>
      </c>
      <c r="D1609">
        <v>0.04</v>
      </c>
      <c r="E1609">
        <v>0.04</v>
      </c>
      <c r="F1609">
        <v>3.0374500000000002</v>
      </c>
      <c r="G1609">
        <v>3.3398500000000002</v>
      </c>
      <c r="H1609">
        <v>0</v>
      </c>
      <c r="I1609">
        <v>0.56919200000000003</v>
      </c>
      <c r="J1609">
        <v>5.3222399999999999</v>
      </c>
      <c r="K1609" s="2">
        <v>187979000</v>
      </c>
      <c r="L1609" s="1">
        <v>0</v>
      </c>
      <c r="M1609" s="1">
        <v>0</v>
      </c>
      <c r="N1609" s="1">
        <v>0</v>
      </c>
      <c r="O1609" s="1">
        <v>0</v>
      </c>
      <c r="P1609" s="2">
        <v>4540910</v>
      </c>
      <c r="Q1609" s="1">
        <v>-65195.199999999997</v>
      </c>
      <c r="R1609" s="1">
        <v>408539</v>
      </c>
      <c r="S1609">
        <v>91.037300000000002</v>
      </c>
      <c r="T1609">
        <v>98.274000000000001</v>
      </c>
      <c r="U1609">
        <v>5.1897099999999998</v>
      </c>
      <c r="V1609">
        <v>0</v>
      </c>
      <c r="W1609">
        <v>1</v>
      </c>
      <c r="X1609">
        <v>2.3339799999999999</v>
      </c>
      <c r="Y1609">
        <v>2.0315799999999999</v>
      </c>
      <c r="Z1609">
        <v>0</v>
      </c>
      <c r="AA1609">
        <v>1.8031699999999999</v>
      </c>
      <c r="AB1609">
        <v>2.9635199999999999</v>
      </c>
      <c r="AC1609" s="2">
        <v>812772000</v>
      </c>
      <c r="AD1609" s="1">
        <v>0</v>
      </c>
      <c r="AE1609" s="1">
        <v>0</v>
      </c>
      <c r="AF1609" s="1">
        <v>0</v>
      </c>
      <c r="AG1609" s="1">
        <v>0</v>
      </c>
      <c r="AH1609" s="2">
        <v>6038570</v>
      </c>
      <c r="AI1609" s="1">
        <v>953712</v>
      </c>
      <c r="AJ1609" s="1">
        <v>0</v>
      </c>
      <c r="AK1609" s="8">
        <f t="shared" si="103"/>
        <v>48</v>
      </c>
      <c r="AL1609" s="8">
        <f t="shared" si="102"/>
        <v>31</v>
      </c>
      <c r="AM1609">
        <f t="shared" si="100"/>
        <v>0</v>
      </c>
      <c r="AN1609">
        <f t="shared" si="101"/>
        <v>0</v>
      </c>
    </row>
    <row r="1610" spans="1:40" x14ac:dyDescent="0.35">
      <c r="A1610">
        <v>59.965499999999999</v>
      </c>
      <c r="B1610">
        <v>85.138999999999996</v>
      </c>
      <c r="C1610">
        <v>4.1243699999999999</v>
      </c>
      <c r="D1610">
        <v>0.03</v>
      </c>
      <c r="E1610">
        <v>0.04</v>
      </c>
      <c r="F1610">
        <v>2.9513099999999999</v>
      </c>
      <c r="G1610">
        <v>3.2537099999999999</v>
      </c>
      <c r="H1610">
        <v>0</v>
      </c>
      <c r="I1610">
        <v>0.56921900000000003</v>
      </c>
      <c r="J1610">
        <v>5.3222399999999999</v>
      </c>
      <c r="K1610" s="2">
        <v>187905000</v>
      </c>
      <c r="L1610" s="1">
        <v>0</v>
      </c>
      <c r="M1610" s="1">
        <v>0</v>
      </c>
      <c r="N1610" s="1">
        <v>0</v>
      </c>
      <c r="O1610" s="1">
        <v>0</v>
      </c>
      <c r="P1610" s="2">
        <v>4412140</v>
      </c>
      <c r="Q1610" s="1">
        <v>-74050.600000000006</v>
      </c>
      <c r="R1610" s="1">
        <v>408539</v>
      </c>
      <c r="S1610">
        <v>92.037400000000005</v>
      </c>
      <c r="T1610">
        <v>98.274000000000001</v>
      </c>
      <c r="U1610">
        <v>5.6959400000000002</v>
      </c>
      <c r="V1610">
        <v>0</v>
      </c>
      <c r="W1610">
        <v>1</v>
      </c>
      <c r="X1610">
        <v>2.2405900000000001</v>
      </c>
      <c r="Y1610">
        <v>1.9381900000000001</v>
      </c>
      <c r="Z1610">
        <v>0</v>
      </c>
      <c r="AA1610">
        <v>1.80324</v>
      </c>
      <c r="AB1610">
        <v>2.9635199999999999</v>
      </c>
      <c r="AC1610" s="2">
        <v>813718000</v>
      </c>
      <c r="AD1610" s="1">
        <v>0</v>
      </c>
      <c r="AE1610" s="1">
        <v>0</v>
      </c>
      <c r="AF1610" s="1">
        <v>0</v>
      </c>
      <c r="AG1610" s="1">
        <v>0</v>
      </c>
      <c r="AH1610" s="2">
        <v>5796950</v>
      </c>
      <c r="AI1610" s="1">
        <v>945836</v>
      </c>
      <c r="AJ1610" s="1">
        <v>0</v>
      </c>
      <c r="AK1610" s="8">
        <f t="shared" si="103"/>
        <v>49</v>
      </c>
      <c r="AL1610" s="8">
        <f t="shared" si="102"/>
        <v>31</v>
      </c>
      <c r="AM1610">
        <f t="shared" si="100"/>
        <v>0</v>
      </c>
      <c r="AN1610">
        <f t="shared" si="101"/>
        <v>0</v>
      </c>
    </row>
    <row r="1611" spans="1:40" x14ac:dyDescent="0.35">
      <c r="A1611">
        <v>62.344799999999999</v>
      </c>
      <c r="B1611">
        <v>85.138999999999996</v>
      </c>
      <c r="C1611">
        <v>5.5650700000000004</v>
      </c>
      <c r="D1611">
        <v>0.02</v>
      </c>
      <c r="E1611">
        <v>0.04</v>
      </c>
      <c r="F1611">
        <v>2.9514499999999999</v>
      </c>
      <c r="G1611">
        <v>3.2538499999999999</v>
      </c>
      <c r="H1611">
        <v>0</v>
      </c>
      <c r="I1611">
        <v>0.55307600000000001</v>
      </c>
      <c r="J1611">
        <v>5.3222399999999999</v>
      </c>
      <c r="K1611" s="2">
        <v>187831000</v>
      </c>
      <c r="L1611" s="1">
        <v>0</v>
      </c>
      <c r="M1611" s="1">
        <v>0</v>
      </c>
      <c r="N1611" s="1">
        <v>0</v>
      </c>
      <c r="O1611" s="1">
        <v>0</v>
      </c>
      <c r="P1611" s="2">
        <v>4412340</v>
      </c>
      <c r="Q1611" s="1">
        <v>-74036.600000000006</v>
      </c>
      <c r="R1611" s="1">
        <v>408539</v>
      </c>
      <c r="S1611">
        <v>93.007099999999994</v>
      </c>
      <c r="T1611">
        <v>98.274000000000001</v>
      </c>
      <c r="U1611">
        <v>6.7126799999999998</v>
      </c>
      <c r="V1611">
        <v>0</v>
      </c>
      <c r="W1611">
        <v>1</v>
      </c>
      <c r="X1611">
        <v>2.2406700000000002</v>
      </c>
      <c r="Y1611">
        <v>1.9382699999999999</v>
      </c>
      <c r="Z1611">
        <v>0</v>
      </c>
      <c r="AA1611">
        <v>1.73108</v>
      </c>
      <c r="AB1611">
        <v>2.9635199999999999</v>
      </c>
      <c r="AC1611" s="2">
        <v>814664000</v>
      </c>
      <c r="AD1611" s="1">
        <v>0</v>
      </c>
      <c r="AE1611" s="1">
        <v>0</v>
      </c>
      <c r="AF1611" s="1">
        <v>0</v>
      </c>
      <c r="AG1611" s="1">
        <v>0</v>
      </c>
      <c r="AH1611" s="2">
        <v>5797160</v>
      </c>
      <c r="AI1611" s="1">
        <v>945843</v>
      </c>
      <c r="AJ1611" s="1">
        <v>0</v>
      </c>
      <c r="AK1611" s="8">
        <f t="shared" si="103"/>
        <v>50</v>
      </c>
      <c r="AL1611" s="8">
        <f t="shared" si="102"/>
        <v>31</v>
      </c>
      <c r="AM1611">
        <f t="shared" si="100"/>
        <v>0</v>
      </c>
      <c r="AN1611">
        <f t="shared" si="101"/>
        <v>0</v>
      </c>
    </row>
    <row r="1612" spans="1:40" x14ac:dyDescent="0.35">
      <c r="A1612">
        <v>63.4236</v>
      </c>
      <c r="B1612">
        <v>85.138999999999996</v>
      </c>
      <c r="C1612">
        <v>4.3078000000000003</v>
      </c>
      <c r="D1612">
        <v>0.02</v>
      </c>
      <c r="E1612">
        <v>0.04</v>
      </c>
      <c r="F1612">
        <v>2.9515799999999999</v>
      </c>
      <c r="G1612">
        <v>3.2539799999999999</v>
      </c>
      <c r="H1612">
        <v>0</v>
      </c>
      <c r="I1612">
        <v>0.55310099999999995</v>
      </c>
      <c r="J1612">
        <v>5.3222399999999999</v>
      </c>
      <c r="K1612" s="2">
        <v>187757000</v>
      </c>
      <c r="L1612" s="1">
        <v>0</v>
      </c>
      <c r="M1612" s="1">
        <v>0</v>
      </c>
      <c r="N1612" s="1">
        <v>0</v>
      </c>
      <c r="O1612" s="1">
        <v>0</v>
      </c>
      <c r="P1612" s="2">
        <v>4412540</v>
      </c>
      <c r="Q1612" s="1">
        <v>-74022.600000000006</v>
      </c>
      <c r="R1612" s="1">
        <v>408539</v>
      </c>
      <c r="S1612">
        <v>93.198599999999999</v>
      </c>
      <c r="T1612">
        <v>98.274000000000001</v>
      </c>
      <c r="U1612">
        <v>4.3105599999999997</v>
      </c>
      <c r="V1612">
        <v>0</v>
      </c>
      <c r="W1612">
        <v>1</v>
      </c>
      <c r="X1612">
        <v>2.2407599999999999</v>
      </c>
      <c r="Y1612">
        <v>1.9383600000000001</v>
      </c>
      <c r="Z1612">
        <v>0</v>
      </c>
      <c r="AA1612">
        <v>1.7311399999999999</v>
      </c>
      <c r="AB1612">
        <v>2.9635199999999999</v>
      </c>
      <c r="AC1612" s="2">
        <v>815610000</v>
      </c>
      <c r="AD1612" s="1">
        <v>0</v>
      </c>
      <c r="AE1612" s="1">
        <v>0</v>
      </c>
      <c r="AF1612" s="1">
        <v>0</v>
      </c>
      <c r="AG1612" s="1">
        <v>0</v>
      </c>
      <c r="AH1612" s="2">
        <v>5797370</v>
      </c>
      <c r="AI1612" s="1">
        <v>945850</v>
      </c>
      <c r="AJ1612" s="1">
        <v>0</v>
      </c>
      <c r="AK1612" s="8">
        <f t="shared" si="103"/>
        <v>51</v>
      </c>
      <c r="AL1612" s="8">
        <f t="shared" si="102"/>
        <v>31</v>
      </c>
      <c r="AM1612">
        <f t="shared" si="100"/>
        <v>0</v>
      </c>
      <c r="AN1612">
        <f t="shared" si="101"/>
        <v>0</v>
      </c>
    </row>
    <row r="1613" spans="1:40" x14ac:dyDescent="0.35">
      <c r="A1613">
        <v>65.0916</v>
      </c>
      <c r="B1613">
        <v>85.138999999999996</v>
      </c>
      <c r="C1613">
        <v>4.9354899999999997</v>
      </c>
      <c r="D1613">
        <v>0.02</v>
      </c>
      <c r="E1613">
        <v>0.04</v>
      </c>
      <c r="F1613">
        <v>2.9517199999999999</v>
      </c>
      <c r="G1613">
        <v>3.2541199999999999</v>
      </c>
      <c r="H1613">
        <v>0</v>
      </c>
      <c r="I1613">
        <v>0.55312700000000004</v>
      </c>
      <c r="J1613">
        <v>5.3222399999999999</v>
      </c>
      <c r="K1613" s="2">
        <v>187683000</v>
      </c>
      <c r="L1613" s="1">
        <v>0</v>
      </c>
      <c r="M1613" s="1">
        <v>0</v>
      </c>
      <c r="N1613" s="1">
        <v>0</v>
      </c>
      <c r="O1613" s="1">
        <v>0</v>
      </c>
      <c r="P1613" s="2">
        <v>4412750</v>
      </c>
      <c r="Q1613" s="1">
        <v>-74008.600000000006</v>
      </c>
      <c r="R1613" s="1">
        <v>408539</v>
      </c>
      <c r="S1613">
        <v>93.8536</v>
      </c>
      <c r="T1613">
        <v>98.274000000000001</v>
      </c>
      <c r="U1613">
        <v>5.5289000000000001</v>
      </c>
      <c r="V1613">
        <v>0</v>
      </c>
      <c r="W1613">
        <v>1</v>
      </c>
      <c r="X1613">
        <v>2.2408399999999999</v>
      </c>
      <c r="Y1613">
        <v>1.9384399999999999</v>
      </c>
      <c r="Z1613">
        <v>0</v>
      </c>
      <c r="AA1613">
        <v>1.7312099999999999</v>
      </c>
      <c r="AB1613">
        <v>2.9635199999999999</v>
      </c>
      <c r="AC1613" s="2">
        <v>816556000</v>
      </c>
      <c r="AD1613" s="1">
        <v>0</v>
      </c>
      <c r="AE1613" s="1">
        <v>0</v>
      </c>
      <c r="AF1613" s="1">
        <v>0</v>
      </c>
      <c r="AG1613" s="1">
        <v>0</v>
      </c>
      <c r="AH1613" s="2">
        <v>5797580</v>
      </c>
      <c r="AI1613" s="1">
        <v>945857</v>
      </c>
      <c r="AJ1613" s="1">
        <v>0</v>
      </c>
      <c r="AK1613" s="8">
        <f t="shared" si="103"/>
        <v>52</v>
      </c>
      <c r="AL1613" s="8">
        <f t="shared" si="102"/>
        <v>31</v>
      </c>
      <c r="AM1613">
        <f t="shared" si="100"/>
        <v>816556000</v>
      </c>
      <c r="AN1613">
        <f t="shared" si="101"/>
        <v>187683000</v>
      </c>
    </row>
    <row r="1614" spans="1:40" x14ac:dyDescent="0.35">
      <c r="A1614">
        <v>64.226100000000002</v>
      </c>
      <c r="B1614">
        <v>85.138999999999996</v>
      </c>
      <c r="C1614">
        <v>2.1585700000000001</v>
      </c>
      <c r="D1614">
        <v>0.02</v>
      </c>
      <c r="E1614">
        <v>0.04</v>
      </c>
      <c r="F1614">
        <v>2.7067700000000001</v>
      </c>
      <c r="G1614">
        <v>3.0091700000000001</v>
      </c>
      <c r="H1614">
        <v>0</v>
      </c>
      <c r="I1614">
        <v>0.55315199999999998</v>
      </c>
      <c r="J1614">
        <v>5.3222399999999999</v>
      </c>
      <c r="K1614" s="2">
        <v>187584000</v>
      </c>
      <c r="L1614" s="1">
        <v>0</v>
      </c>
      <c r="M1614" s="1">
        <v>0</v>
      </c>
      <c r="N1614" s="1">
        <v>0</v>
      </c>
      <c r="O1614" s="1">
        <v>0</v>
      </c>
      <c r="P1614" s="2">
        <v>4046560</v>
      </c>
      <c r="Q1614" s="1">
        <v>-99189.6</v>
      </c>
      <c r="R1614" s="1">
        <v>408539</v>
      </c>
      <c r="S1614">
        <v>94.335700000000003</v>
      </c>
      <c r="T1614">
        <v>98.274000000000001</v>
      </c>
      <c r="U1614">
        <v>3.8551299999999999</v>
      </c>
      <c r="V1614">
        <v>0</v>
      </c>
      <c r="W1614">
        <v>1</v>
      </c>
      <c r="X1614">
        <v>2.0461999999999998</v>
      </c>
      <c r="Y1614">
        <v>1.7438</v>
      </c>
      <c r="Z1614">
        <v>0</v>
      </c>
      <c r="AA1614">
        <v>1.7312700000000001</v>
      </c>
      <c r="AB1614">
        <v>2.9635199999999999</v>
      </c>
      <c r="AC1614" s="2">
        <v>817485000</v>
      </c>
      <c r="AD1614" s="1">
        <v>0</v>
      </c>
      <c r="AE1614" s="1">
        <v>0</v>
      </c>
      <c r="AF1614" s="1">
        <v>0</v>
      </c>
      <c r="AG1614" s="1">
        <v>0</v>
      </c>
      <c r="AH1614" s="2">
        <v>5294010</v>
      </c>
      <c r="AI1614" s="1">
        <v>929442</v>
      </c>
      <c r="AJ1614" s="1">
        <v>0</v>
      </c>
      <c r="AK1614" s="8">
        <f t="shared" si="103"/>
        <v>1</v>
      </c>
      <c r="AL1614" s="8">
        <f t="shared" si="102"/>
        <v>32</v>
      </c>
      <c r="AM1614">
        <f t="shared" si="100"/>
        <v>0</v>
      </c>
      <c r="AN1614">
        <f t="shared" si="101"/>
        <v>0</v>
      </c>
    </row>
    <row r="1615" spans="1:40" x14ac:dyDescent="0.35">
      <c r="A1615">
        <v>63.152299999999997</v>
      </c>
      <c r="B1615">
        <v>85.138999999999996</v>
      </c>
      <c r="C1615">
        <v>1.7991699999999999</v>
      </c>
      <c r="D1615">
        <v>0.02</v>
      </c>
      <c r="E1615">
        <v>0.04</v>
      </c>
      <c r="F1615">
        <v>2.7069000000000001</v>
      </c>
      <c r="G1615">
        <v>3.0093000000000001</v>
      </c>
      <c r="H1615">
        <v>0</v>
      </c>
      <c r="I1615">
        <v>0.50724999999999998</v>
      </c>
      <c r="J1615">
        <v>5.3222399999999999</v>
      </c>
      <c r="K1615" s="2">
        <v>187485000</v>
      </c>
      <c r="L1615" s="1">
        <v>0</v>
      </c>
      <c r="M1615" s="1">
        <v>0</v>
      </c>
      <c r="N1615" s="1">
        <v>0</v>
      </c>
      <c r="O1615" s="1">
        <v>0</v>
      </c>
      <c r="P1615" s="2">
        <v>4046750</v>
      </c>
      <c r="Q1615" s="1">
        <v>-99176.6</v>
      </c>
      <c r="R1615" s="1">
        <v>408539</v>
      </c>
      <c r="S1615">
        <v>94.627300000000005</v>
      </c>
      <c r="T1615">
        <v>98.274000000000001</v>
      </c>
      <c r="U1615">
        <v>3.3832100000000001</v>
      </c>
      <c r="V1615">
        <v>0</v>
      </c>
      <c r="W1615">
        <v>1</v>
      </c>
      <c r="X1615">
        <v>2.0462699999999998</v>
      </c>
      <c r="Y1615">
        <v>1.74387</v>
      </c>
      <c r="Z1615">
        <v>0</v>
      </c>
      <c r="AA1615">
        <v>1.5808899999999999</v>
      </c>
      <c r="AB1615">
        <v>2.9635199999999999</v>
      </c>
      <c r="AC1615" s="2">
        <v>818415000</v>
      </c>
      <c r="AD1615" s="1">
        <v>0</v>
      </c>
      <c r="AE1615" s="1">
        <v>0</v>
      </c>
      <c r="AF1615" s="1">
        <v>0</v>
      </c>
      <c r="AG1615" s="1">
        <v>0</v>
      </c>
      <c r="AH1615" s="2">
        <v>5294200</v>
      </c>
      <c r="AI1615" s="1">
        <v>929449</v>
      </c>
      <c r="AJ1615" s="1">
        <v>0</v>
      </c>
      <c r="AK1615" s="8">
        <f t="shared" si="103"/>
        <v>2</v>
      </c>
      <c r="AL1615" s="8">
        <f t="shared" si="102"/>
        <v>32</v>
      </c>
      <c r="AM1615">
        <f t="shared" si="100"/>
        <v>0</v>
      </c>
      <c r="AN1615">
        <f t="shared" si="101"/>
        <v>0</v>
      </c>
    </row>
    <row r="1616" spans="1:40" x14ac:dyDescent="0.35">
      <c r="A1616">
        <v>64.8797</v>
      </c>
      <c r="B1616">
        <v>85.138999999999996</v>
      </c>
      <c r="C1616">
        <v>4.7020900000000001</v>
      </c>
      <c r="D1616">
        <v>0.02</v>
      </c>
      <c r="E1616">
        <v>0.04</v>
      </c>
      <c r="F1616">
        <v>2.70703</v>
      </c>
      <c r="G1616">
        <v>3.00943</v>
      </c>
      <c r="H1616">
        <v>0</v>
      </c>
      <c r="I1616">
        <v>0.50727299999999997</v>
      </c>
      <c r="J1616">
        <v>5.3222399999999999</v>
      </c>
      <c r="K1616" s="2">
        <v>187386000</v>
      </c>
      <c r="L1616" s="1">
        <v>0</v>
      </c>
      <c r="M1616" s="1">
        <v>0</v>
      </c>
      <c r="N1616" s="1">
        <v>0</v>
      </c>
      <c r="O1616" s="1">
        <v>0</v>
      </c>
      <c r="P1616" s="2">
        <v>4046940</v>
      </c>
      <c r="Q1616" s="1">
        <v>-99163.7</v>
      </c>
      <c r="R1616" s="1">
        <v>408539</v>
      </c>
      <c r="S1616">
        <v>96.461100000000002</v>
      </c>
      <c r="T1616">
        <v>98.274000000000001</v>
      </c>
      <c r="U1616">
        <v>6.9912599999999996</v>
      </c>
      <c r="V1616">
        <v>0</v>
      </c>
      <c r="W1616">
        <v>1</v>
      </c>
      <c r="X1616">
        <v>2.0463499999999999</v>
      </c>
      <c r="Y1616">
        <v>1.7439499999999999</v>
      </c>
      <c r="Z1616">
        <v>0</v>
      </c>
      <c r="AA1616">
        <v>1.5809500000000001</v>
      </c>
      <c r="AB1616">
        <v>2.9635199999999999</v>
      </c>
      <c r="AC1616" s="2">
        <v>819344000</v>
      </c>
      <c r="AD1616" s="1">
        <v>0</v>
      </c>
      <c r="AE1616" s="1">
        <v>0</v>
      </c>
      <c r="AF1616" s="1">
        <v>0</v>
      </c>
      <c r="AG1616" s="1">
        <v>0</v>
      </c>
      <c r="AH1616" s="2">
        <v>5294380</v>
      </c>
      <c r="AI1616" s="1">
        <v>929455</v>
      </c>
      <c r="AJ1616" s="1">
        <v>0</v>
      </c>
      <c r="AK1616" s="8">
        <f t="shared" si="103"/>
        <v>3</v>
      </c>
      <c r="AL1616" s="8">
        <f t="shared" si="102"/>
        <v>32</v>
      </c>
      <c r="AM1616">
        <f t="shared" si="100"/>
        <v>0</v>
      </c>
      <c r="AN1616">
        <f t="shared" si="101"/>
        <v>0</v>
      </c>
    </row>
    <row r="1617" spans="1:40" x14ac:dyDescent="0.35">
      <c r="A1617">
        <v>68.529799999999994</v>
      </c>
      <c r="B1617">
        <v>85.138999999999996</v>
      </c>
      <c r="C1617">
        <v>7.07484</v>
      </c>
      <c r="D1617">
        <v>0.04</v>
      </c>
      <c r="E1617">
        <v>0.04</v>
      </c>
      <c r="F1617">
        <v>2.7071499999999999</v>
      </c>
      <c r="G1617">
        <v>3.0095499999999999</v>
      </c>
      <c r="H1617">
        <v>0</v>
      </c>
      <c r="I1617">
        <v>0.507297</v>
      </c>
      <c r="J1617">
        <v>5.3222399999999999</v>
      </c>
      <c r="K1617" s="2">
        <v>187287000</v>
      </c>
      <c r="L1617" s="1">
        <v>0</v>
      </c>
      <c r="M1617" s="1">
        <v>0</v>
      </c>
      <c r="N1617" s="1">
        <v>0</v>
      </c>
      <c r="O1617" s="1">
        <v>0</v>
      </c>
      <c r="P1617" s="2">
        <v>4047120</v>
      </c>
      <c r="Q1617" s="1">
        <v>-99150.7</v>
      </c>
      <c r="R1617" s="1">
        <v>408539</v>
      </c>
      <c r="S1617">
        <v>99.302199999999999</v>
      </c>
      <c r="T1617">
        <v>98.274000000000001</v>
      </c>
      <c r="U1617">
        <v>10.735099999999999</v>
      </c>
      <c r="V1617">
        <v>0</v>
      </c>
      <c r="W1617">
        <v>1</v>
      </c>
      <c r="X1617">
        <v>2.0464199999999999</v>
      </c>
      <c r="Y1617">
        <v>1.7440199999999999</v>
      </c>
      <c r="Z1617">
        <v>0</v>
      </c>
      <c r="AA1617">
        <v>1.58101</v>
      </c>
      <c r="AB1617">
        <v>2.9635199999999999</v>
      </c>
      <c r="AC1617" s="2">
        <v>820273000</v>
      </c>
      <c r="AD1617" s="1">
        <v>0</v>
      </c>
      <c r="AE1617" s="1">
        <v>0</v>
      </c>
      <c r="AF1617" s="1">
        <v>0</v>
      </c>
      <c r="AG1617" s="1">
        <v>0</v>
      </c>
      <c r="AH1617" s="2">
        <v>5294570</v>
      </c>
      <c r="AI1617" s="1">
        <v>929461</v>
      </c>
      <c r="AJ1617" s="1">
        <v>0</v>
      </c>
      <c r="AK1617" s="8">
        <f t="shared" si="103"/>
        <v>4</v>
      </c>
      <c r="AL1617" s="8">
        <f t="shared" si="102"/>
        <v>32</v>
      </c>
      <c r="AM1617">
        <f t="shared" si="100"/>
        <v>0</v>
      </c>
      <c r="AN1617">
        <f t="shared" si="101"/>
        <v>0</v>
      </c>
    </row>
    <row r="1618" spans="1:40" x14ac:dyDescent="0.35">
      <c r="A1618">
        <v>71.576700000000002</v>
      </c>
      <c r="B1618">
        <v>85.138999999999996</v>
      </c>
      <c r="C1618">
        <v>6.3322200000000004</v>
      </c>
      <c r="D1618">
        <v>0.04</v>
      </c>
      <c r="E1618">
        <v>0.04</v>
      </c>
      <c r="F1618">
        <v>2.7072799999999999</v>
      </c>
      <c r="G1618">
        <v>3.0096799999999999</v>
      </c>
      <c r="H1618">
        <v>0</v>
      </c>
      <c r="I1618">
        <v>0.50731999999999999</v>
      </c>
      <c r="J1618">
        <v>5.3222399999999999</v>
      </c>
      <c r="K1618" s="2">
        <v>187188000</v>
      </c>
      <c r="L1618" s="1">
        <v>0</v>
      </c>
      <c r="M1618" s="1">
        <v>0</v>
      </c>
      <c r="N1618" s="1">
        <v>0</v>
      </c>
      <c r="O1618" s="1">
        <v>0</v>
      </c>
      <c r="P1618" s="2">
        <v>4047310</v>
      </c>
      <c r="Q1618" s="1">
        <v>-99137.8</v>
      </c>
      <c r="R1618" s="1">
        <v>408539</v>
      </c>
      <c r="S1618">
        <v>99.302199999999999</v>
      </c>
      <c r="T1618">
        <v>98.274000000000001</v>
      </c>
      <c r="U1618">
        <v>6.8938899999999999</v>
      </c>
      <c r="V1618">
        <v>0</v>
      </c>
      <c r="W1618">
        <v>1</v>
      </c>
      <c r="X1618">
        <v>2.0464899999999999</v>
      </c>
      <c r="Y1618">
        <v>1.7440899999999999</v>
      </c>
      <c r="Z1618">
        <v>0</v>
      </c>
      <c r="AA1618">
        <v>1.5810599999999999</v>
      </c>
      <c r="AB1618">
        <v>2.9635199999999999</v>
      </c>
      <c r="AC1618" s="2">
        <v>821203000</v>
      </c>
      <c r="AD1618" s="1">
        <v>0</v>
      </c>
      <c r="AE1618" s="1">
        <v>0</v>
      </c>
      <c r="AF1618" s="1">
        <v>0</v>
      </c>
      <c r="AG1618" s="1">
        <v>0</v>
      </c>
      <c r="AH1618" s="2">
        <v>5294760</v>
      </c>
      <c r="AI1618" s="1">
        <v>929467</v>
      </c>
      <c r="AJ1618" s="1">
        <v>0</v>
      </c>
      <c r="AK1618" s="8">
        <f t="shared" si="103"/>
        <v>5</v>
      </c>
      <c r="AL1618" s="8">
        <f t="shared" si="102"/>
        <v>32</v>
      </c>
      <c r="AM1618">
        <f t="shared" si="100"/>
        <v>0</v>
      </c>
      <c r="AN1618">
        <f t="shared" si="101"/>
        <v>0</v>
      </c>
    </row>
    <row r="1619" spans="1:40" x14ac:dyDescent="0.35">
      <c r="A1619">
        <v>76.174099999999996</v>
      </c>
      <c r="B1619">
        <v>85.138999999999996</v>
      </c>
      <c r="C1619">
        <v>8.0365400000000005</v>
      </c>
      <c r="D1619">
        <v>0.03</v>
      </c>
      <c r="E1619">
        <v>0.04</v>
      </c>
      <c r="F1619">
        <v>2.8016899999999998</v>
      </c>
      <c r="G1619">
        <v>3.1040899999999998</v>
      </c>
      <c r="H1619">
        <v>0</v>
      </c>
      <c r="I1619">
        <v>0.50734400000000002</v>
      </c>
      <c r="J1619">
        <v>5.3222399999999999</v>
      </c>
      <c r="K1619" s="2">
        <v>187098000</v>
      </c>
      <c r="L1619" s="1">
        <v>0</v>
      </c>
      <c r="M1619" s="1">
        <v>0</v>
      </c>
      <c r="N1619" s="1">
        <v>0</v>
      </c>
      <c r="O1619" s="1">
        <v>0</v>
      </c>
      <c r="P1619" s="2">
        <v>4188450</v>
      </c>
      <c r="Q1619" s="1">
        <v>-89432.3</v>
      </c>
      <c r="R1619" s="1">
        <v>408539</v>
      </c>
      <c r="S1619">
        <v>99.302199999999999</v>
      </c>
      <c r="T1619">
        <v>98.274000000000001</v>
      </c>
      <c r="U1619">
        <v>9.0860800000000008</v>
      </c>
      <c r="V1619">
        <v>0</v>
      </c>
      <c r="W1619">
        <v>1</v>
      </c>
      <c r="X1619">
        <v>2.1029599999999999</v>
      </c>
      <c r="Y1619">
        <v>1.8005599999999999</v>
      </c>
      <c r="Z1619">
        <v>0</v>
      </c>
      <c r="AA1619">
        <v>1.5811200000000001</v>
      </c>
      <c r="AB1619">
        <v>2.9635199999999999</v>
      </c>
      <c r="AC1619" s="2">
        <v>822137000</v>
      </c>
      <c r="AD1619" s="1">
        <v>0</v>
      </c>
      <c r="AE1619" s="1">
        <v>0</v>
      </c>
      <c r="AF1619" s="1">
        <v>0</v>
      </c>
      <c r="AG1619" s="1">
        <v>0</v>
      </c>
      <c r="AH1619" s="2">
        <v>5440850</v>
      </c>
      <c r="AI1619" s="1">
        <v>934229</v>
      </c>
      <c r="AJ1619" s="1">
        <v>0</v>
      </c>
      <c r="AK1619" s="8">
        <f t="shared" si="103"/>
        <v>6</v>
      </c>
      <c r="AL1619" s="8">
        <f t="shared" si="102"/>
        <v>32</v>
      </c>
      <c r="AM1619">
        <f t="shared" si="100"/>
        <v>0</v>
      </c>
      <c r="AN1619">
        <f t="shared" si="101"/>
        <v>0</v>
      </c>
    </row>
    <row r="1620" spans="1:40" x14ac:dyDescent="0.35">
      <c r="A1620">
        <v>77.218199999999996</v>
      </c>
      <c r="B1620">
        <v>85.138999999999996</v>
      </c>
      <c r="C1620">
        <v>4.3632799999999996</v>
      </c>
      <c r="D1620">
        <v>0.02</v>
      </c>
      <c r="E1620">
        <v>0.04</v>
      </c>
      <c r="F1620">
        <v>2.8018000000000001</v>
      </c>
      <c r="G1620">
        <v>3.1042000000000001</v>
      </c>
      <c r="H1620">
        <v>0</v>
      </c>
      <c r="I1620">
        <v>0.52503599999999995</v>
      </c>
      <c r="J1620">
        <v>5.3222399999999999</v>
      </c>
      <c r="K1620" s="2">
        <v>187009000</v>
      </c>
      <c r="L1620" s="1">
        <v>0</v>
      </c>
      <c r="M1620" s="1">
        <v>0</v>
      </c>
      <c r="N1620" s="1">
        <v>0</v>
      </c>
      <c r="O1620" s="1">
        <v>0</v>
      </c>
      <c r="P1620" s="2">
        <v>4188620</v>
      </c>
      <c r="Q1620" s="1">
        <v>-89420.800000000003</v>
      </c>
      <c r="R1620" s="1">
        <v>408539</v>
      </c>
      <c r="S1620">
        <v>99.302199999999999</v>
      </c>
      <c r="T1620">
        <v>98.274000000000001</v>
      </c>
      <c r="U1620">
        <v>6.1079999999999997</v>
      </c>
      <c r="V1620">
        <v>0</v>
      </c>
      <c r="W1620">
        <v>1</v>
      </c>
      <c r="X1620">
        <v>2.1030199999999999</v>
      </c>
      <c r="Y1620">
        <v>1.8006200000000001</v>
      </c>
      <c r="Z1620">
        <v>0</v>
      </c>
      <c r="AA1620">
        <v>1.6247499999999999</v>
      </c>
      <c r="AB1620">
        <v>2.9635199999999999</v>
      </c>
      <c r="AC1620" s="2">
        <v>823071000</v>
      </c>
      <c r="AD1620" s="1">
        <v>0</v>
      </c>
      <c r="AE1620" s="1">
        <v>0</v>
      </c>
      <c r="AF1620" s="1">
        <v>0</v>
      </c>
      <c r="AG1620" s="1">
        <v>0</v>
      </c>
      <c r="AH1620" s="2">
        <v>5441020</v>
      </c>
      <c r="AI1620" s="1">
        <v>934234</v>
      </c>
      <c r="AJ1620" s="1">
        <v>0</v>
      </c>
      <c r="AK1620" s="8">
        <f t="shared" si="103"/>
        <v>7</v>
      </c>
      <c r="AL1620" s="8">
        <f t="shared" si="102"/>
        <v>32</v>
      </c>
      <c r="AM1620">
        <f t="shared" si="100"/>
        <v>0</v>
      </c>
      <c r="AN1620">
        <f t="shared" si="101"/>
        <v>0</v>
      </c>
    </row>
    <row r="1621" spans="1:40" x14ac:dyDescent="0.35">
      <c r="A1621">
        <v>80.364099999999993</v>
      </c>
      <c r="B1621">
        <v>85.138999999999996</v>
      </c>
      <c r="C1621">
        <v>6.59579</v>
      </c>
      <c r="D1621">
        <v>0.02</v>
      </c>
      <c r="E1621">
        <v>0.04</v>
      </c>
      <c r="F1621">
        <v>2.8019099999999999</v>
      </c>
      <c r="G1621">
        <v>3.1043099999999999</v>
      </c>
      <c r="H1621">
        <v>0</v>
      </c>
      <c r="I1621">
        <v>0.525057</v>
      </c>
      <c r="J1621">
        <v>5.3222399999999999</v>
      </c>
      <c r="K1621" s="2">
        <v>186919000</v>
      </c>
      <c r="L1621" s="1">
        <v>0</v>
      </c>
      <c r="M1621" s="1">
        <v>0</v>
      </c>
      <c r="N1621" s="1">
        <v>0</v>
      </c>
      <c r="O1621" s="1">
        <v>0</v>
      </c>
      <c r="P1621" s="2">
        <v>4188790</v>
      </c>
      <c r="Q1621" s="1">
        <v>-89409.3</v>
      </c>
      <c r="R1621" s="1">
        <v>408539</v>
      </c>
      <c r="S1621">
        <v>99.302199999999999</v>
      </c>
      <c r="T1621">
        <v>98.274000000000001</v>
      </c>
      <c r="U1621">
        <v>9.3666400000000003</v>
      </c>
      <c r="V1621">
        <v>0</v>
      </c>
      <c r="W1621">
        <v>1</v>
      </c>
      <c r="X1621">
        <v>2.1030899999999999</v>
      </c>
      <c r="Y1621">
        <v>1.8006899999999999</v>
      </c>
      <c r="Z1621">
        <v>0</v>
      </c>
      <c r="AA1621">
        <v>1.6248</v>
      </c>
      <c r="AB1621">
        <v>2.9635199999999999</v>
      </c>
      <c r="AC1621" s="2">
        <v>824006000</v>
      </c>
      <c r="AD1621" s="1">
        <v>0</v>
      </c>
      <c r="AE1621" s="1">
        <v>0</v>
      </c>
      <c r="AF1621" s="1">
        <v>0</v>
      </c>
      <c r="AG1621" s="1">
        <v>0</v>
      </c>
      <c r="AH1621" s="2">
        <v>5441190</v>
      </c>
      <c r="AI1621" s="1">
        <v>934240</v>
      </c>
      <c r="AJ1621" s="1">
        <v>0</v>
      </c>
      <c r="AK1621" s="8">
        <f t="shared" si="103"/>
        <v>8</v>
      </c>
      <c r="AL1621" s="8">
        <f t="shared" si="102"/>
        <v>32</v>
      </c>
      <c r="AM1621">
        <f t="shared" si="100"/>
        <v>0</v>
      </c>
      <c r="AN1621">
        <f t="shared" si="101"/>
        <v>0</v>
      </c>
    </row>
    <row r="1622" spans="1:40" x14ac:dyDescent="0.35">
      <c r="A1622">
        <v>81.525099999999995</v>
      </c>
      <c r="B1622">
        <v>85.138999999999996</v>
      </c>
      <c r="C1622">
        <v>5.0702100000000003</v>
      </c>
      <c r="D1622">
        <v>0</v>
      </c>
      <c r="E1622">
        <v>0.04</v>
      </c>
      <c r="F1622">
        <v>3.1044200000000002</v>
      </c>
      <c r="G1622">
        <v>3.1044200000000002</v>
      </c>
      <c r="H1622">
        <v>0</v>
      </c>
      <c r="I1622">
        <v>0.52507800000000004</v>
      </c>
      <c r="J1622">
        <v>5.3222399999999999</v>
      </c>
      <c r="K1622" s="2">
        <v>187238000</v>
      </c>
      <c r="L1622" s="1">
        <v>0</v>
      </c>
      <c r="M1622" s="1">
        <v>0</v>
      </c>
      <c r="N1622" s="1">
        <v>0</v>
      </c>
      <c r="O1622" s="1">
        <v>0</v>
      </c>
      <c r="P1622" s="2">
        <v>4641030</v>
      </c>
      <c r="Q1622" s="1">
        <v>319141</v>
      </c>
      <c r="R1622" s="1">
        <v>0</v>
      </c>
      <c r="S1622">
        <v>99.302199999999999</v>
      </c>
      <c r="T1622">
        <v>98.274000000000001</v>
      </c>
      <c r="U1622">
        <v>6.1497700000000002</v>
      </c>
      <c r="V1622">
        <v>0</v>
      </c>
      <c r="W1622">
        <v>1</v>
      </c>
      <c r="X1622">
        <v>1.8007500000000001</v>
      </c>
      <c r="Y1622">
        <v>1.8007500000000001</v>
      </c>
      <c r="Z1622">
        <v>0</v>
      </c>
      <c r="AA1622">
        <v>1.6248499999999999</v>
      </c>
      <c r="AB1622">
        <v>2.9635199999999999</v>
      </c>
      <c r="AC1622" s="2">
        <v>824158000</v>
      </c>
      <c r="AD1622" s="1">
        <v>0</v>
      </c>
      <c r="AE1622" s="1">
        <v>0</v>
      </c>
      <c r="AF1622" s="1">
        <v>0</v>
      </c>
      <c r="AG1622" s="1">
        <v>0</v>
      </c>
      <c r="AH1622" s="2">
        <v>4658970</v>
      </c>
      <c r="AI1622" s="1">
        <v>151865</v>
      </c>
      <c r="AJ1622" s="1">
        <v>0</v>
      </c>
      <c r="AK1622" s="8">
        <f t="shared" si="103"/>
        <v>9</v>
      </c>
      <c r="AL1622" s="8">
        <f t="shared" si="102"/>
        <v>32</v>
      </c>
      <c r="AM1622">
        <f t="shared" si="100"/>
        <v>0</v>
      </c>
      <c r="AN1622">
        <f t="shared" si="101"/>
        <v>0</v>
      </c>
    </row>
    <row r="1623" spans="1:40" x14ac:dyDescent="0.35">
      <c r="A1623">
        <v>85.138999999999996</v>
      </c>
      <c r="B1623">
        <v>85.138999999999996</v>
      </c>
      <c r="C1623">
        <v>15.668100000000001</v>
      </c>
      <c r="D1623">
        <v>0</v>
      </c>
      <c r="E1623">
        <v>0.04</v>
      </c>
      <c r="F1623">
        <v>3.40734</v>
      </c>
      <c r="G1623">
        <v>3.40734</v>
      </c>
      <c r="H1623">
        <v>0</v>
      </c>
      <c r="I1623">
        <v>0.58176899999999998</v>
      </c>
      <c r="J1623">
        <v>5.3222399999999999</v>
      </c>
      <c r="K1623" s="2">
        <v>187589000</v>
      </c>
      <c r="L1623" s="1">
        <v>0</v>
      </c>
      <c r="M1623" s="1">
        <v>0</v>
      </c>
      <c r="N1623" s="1">
        <v>0</v>
      </c>
      <c r="O1623" s="1">
        <v>0</v>
      </c>
      <c r="P1623" s="2">
        <v>5093890</v>
      </c>
      <c r="Q1623" s="1">
        <v>350282</v>
      </c>
      <c r="R1623" s="1">
        <v>0</v>
      </c>
      <c r="S1623">
        <v>99.302199999999999</v>
      </c>
      <c r="T1623">
        <v>98.274000000000001</v>
      </c>
      <c r="U1623">
        <v>13.3132</v>
      </c>
      <c r="V1623">
        <v>0</v>
      </c>
      <c r="W1623">
        <v>1</v>
      </c>
      <c r="X1623">
        <v>2.0125500000000001</v>
      </c>
      <c r="Y1623">
        <v>2.0125500000000001</v>
      </c>
      <c r="Z1623">
        <v>0</v>
      </c>
      <c r="AA1623">
        <v>1.3912599999999999</v>
      </c>
      <c r="AB1623">
        <v>2.9635199999999999</v>
      </c>
      <c r="AC1623" s="2">
        <v>824327000</v>
      </c>
      <c r="AD1623" s="1">
        <v>0</v>
      </c>
      <c r="AE1623" s="1">
        <v>0</v>
      </c>
      <c r="AF1623" s="1">
        <v>0</v>
      </c>
      <c r="AG1623" s="1">
        <v>0</v>
      </c>
      <c r="AH1623" s="2">
        <v>5206960</v>
      </c>
      <c r="AI1623" s="1">
        <v>169727</v>
      </c>
      <c r="AJ1623" s="1">
        <v>0</v>
      </c>
      <c r="AK1623" s="8">
        <f t="shared" si="103"/>
        <v>10</v>
      </c>
      <c r="AL1623" s="8">
        <f t="shared" si="102"/>
        <v>32</v>
      </c>
      <c r="AM1623">
        <f t="shared" si="100"/>
        <v>0</v>
      </c>
      <c r="AN1623">
        <f t="shared" si="101"/>
        <v>0</v>
      </c>
    </row>
    <row r="1624" spans="1:40" x14ac:dyDescent="0.35">
      <c r="A1624">
        <v>85.138999999999996</v>
      </c>
      <c r="B1624">
        <v>85.138999999999996</v>
      </c>
      <c r="C1624">
        <v>8.3381799999999995</v>
      </c>
      <c r="D1624">
        <v>0</v>
      </c>
      <c r="E1624">
        <v>0.04</v>
      </c>
      <c r="F1624">
        <v>3.40747</v>
      </c>
      <c r="G1624">
        <v>3.40747</v>
      </c>
      <c r="H1624">
        <v>0</v>
      </c>
      <c r="I1624">
        <v>0.63853599999999999</v>
      </c>
      <c r="J1624">
        <v>5.3222399999999999</v>
      </c>
      <c r="K1624" s="2">
        <v>187939000</v>
      </c>
      <c r="L1624" s="1">
        <v>0</v>
      </c>
      <c r="M1624" s="1">
        <v>0</v>
      </c>
      <c r="N1624" s="1">
        <v>0</v>
      </c>
      <c r="O1624" s="1">
        <v>0</v>
      </c>
      <c r="P1624" s="2">
        <v>5094080</v>
      </c>
      <c r="Q1624" s="1">
        <v>350294</v>
      </c>
      <c r="R1624" s="1">
        <v>0</v>
      </c>
      <c r="S1624">
        <v>99.302199999999999</v>
      </c>
      <c r="T1624">
        <v>98.274000000000001</v>
      </c>
      <c r="U1624">
        <v>7.9381300000000001</v>
      </c>
      <c r="V1624">
        <v>0</v>
      </c>
      <c r="W1624">
        <v>1</v>
      </c>
      <c r="X1624">
        <v>2.0126300000000001</v>
      </c>
      <c r="Y1624">
        <v>2.0126300000000001</v>
      </c>
      <c r="Z1624">
        <v>0</v>
      </c>
      <c r="AA1624">
        <v>1.5548999999999999</v>
      </c>
      <c r="AB1624">
        <v>2.9635199999999999</v>
      </c>
      <c r="AC1624" s="2">
        <v>824497000</v>
      </c>
      <c r="AD1624" s="1">
        <v>0</v>
      </c>
      <c r="AE1624" s="1">
        <v>0</v>
      </c>
      <c r="AF1624" s="1">
        <v>0</v>
      </c>
      <c r="AG1624" s="1">
        <v>0</v>
      </c>
      <c r="AH1624" s="2">
        <v>5207150</v>
      </c>
      <c r="AI1624" s="1">
        <v>169733</v>
      </c>
      <c r="AJ1624" s="1">
        <v>0</v>
      </c>
      <c r="AK1624" s="8">
        <f t="shared" si="103"/>
        <v>11</v>
      </c>
      <c r="AL1624" s="8">
        <f t="shared" si="102"/>
        <v>32</v>
      </c>
      <c r="AM1624">
        <f t="shared" si="100"/>
        <v>0</v>
      </c>
      <c r="AN1624">
        <f t="shared" si="101"/>
        <v>0</v>
      </c>
    </row>
    <row r="1625" spans="1:40" x14ac:dyDescent="0.35">
      <c r="A1625">
        <v>85.138999999999996</v>
      </c>
      <c r="B1625">
        <v>85.138999999999996</v>
      </c>
      <c r="C1625">
        <v>5.53613</v>
      </c>
      <c r="D1625">
        <v>0</v>
      </c>
      <c r="E1625">
        <v>0.04</v>
      </c>
      <c r="F1625">
        <v>3.4075899999999999</v>
      </c>
      <c r="G1625">
        <v>3.4075899999999999</v>
      </c>
      <c r="H1625">
        <v>0</v>
      </c>
      <c r="I1625">
        <v>0.63855899999999999</v>
      </c>
      <c r="J1625">
        <v>5.3222399999999999</v>
      </c>
      <c r="K1625" s="2">
        <v>188289000</v>
      </c>
      <c r="L1625" s="1">
        <v>0</v>
      </c>
      <c r="M1625" s="1">
        <v>0</v>
      </c>
      <c r="N1625" s="1">
        <v>0</v>
      </c>
      <c r="O1625" s="1">
        <v>0</v>
      </c>
      <c r="P1625" s="2">
        <v>5094260</v>
      </c>
      <c r="Q1625" s="1">
        <v>350307</v>
      </c>
      <c r="R1625" s="1">
        <v>0</v>
      </c>
      <c r="S1625">
        <v>99.302199999999999</v>
      </c>
      <c r="T1625">
        <v>98.274000000000001</v>
      </c>
      <c r="U1625">
        <v>6.1239299999999997</v>
      </c>
      <c r="V1625">
        <v>0</v>
      </c>
      <c r="W1625">
        <v>1</v>
      </c>
      <c r="X1625">
        <v>2.0127000000000002</v>
      </c>
      <c r="Y1625">
        <v>2.0127000000000002</v>
      </c>
      <c r="Z1625">
        <v>0</v>
      </c>
      <c r="AA1625">
        <v>1.5549599999999999</v>
      </c>
      <c r="AB1625">
        <v>2.9635199999999999</v>
      </c>
      <c r="AC1625" s="2">
        <v>824667000</v>
      </c>
      <c r="AD1625" s="1">
        <v>0</v>
      </c>
      <c r="AE1625" s="1">
        <v>0</v>
      </c>
      <c r="AF1625" s="1">
        <v>0</v>
      </c>
      <c r="AG1625" s="1">
        <v>0</v>
      </c>
      <c r="AH1625" s="2">
        <v>5207330</v>
      </c>
      <c r="AI1625" s="1">
        <v>169739</v>
      </c>
      <c r="AJ1625" s="1">
        <v>0</v>
      </c>
      <c r="AK1625" s="8">
        <f t="shared" si="103"/>
        <v>12</v>
      </c>
      <c r="AL1625" s="8">
        <f t="shared" si="102"/>
        <v>32</v>
      </c>
      <c r="AM1625">
        <f t="shared" si="100"/>
        <v>0</v>
      </c>
      <c r="AN1625">
        <f t="shared" si="101"/>
        <v>0</v>
      </c>
    </row>
    <row r="1626" spans="1:40" x14ac:dyDescent="0.35">
      <c r="A1626">
        <v>85.138999999999996</v>
      </c>
      <c r="B1626">
        <v>85.138999999999996</v>
      </c>
      <c r="C1626">
        <v>6.3531899999999997</v>
      </c>
      <c r="D1626">
        <v>0</v>
      </c>
      <c r="E1626">
        <v>0.04</v>
      </c>
      <c r="F1626">
        <v>3.4077099999999998</v>
      </c>
      <c r="G1626">
        <v>3.4077099999999998</v>
      </c>
      <c r="H1626">
        <v>0</v>
      </c>
      <c r="I1626">
        <v>0.63858199999999998</v>
      </c>
      <c r="J1626">
        <v>5.3222399999999999</v>
      </c>
      <c r="K1626" s="2">
        <v>188640000</v>
      </c>
      <c r="L1626" s="1">
        <v>0</v>
      </c>
      <c r="M1626" s="1">
        <v>0</v>
      </c>
      <c r="N1626" s="1">
        <v>0</v>
      </c>
      <c r="O1626" s="1">
        <v>0</v>
      </c>
      <c r="P1626" s="2">
        <v>5094440</v>
      </c>
      <c r="Q1626" s="1">
        <v>350319</v>
      </c>
      <c r="R1626" s="1">
        <v>0</v>
      </c>
      <c r="S1626">
        <v>99.302199999999999</v>
      </c>
      <c r="T1626">
        <v>98.274000000000001</v>
      </c>
      <c r="U1626">
        <v>10.258800000000001</v>
      </c>
      <c r="V1626">
        <v>0</v>
      </c>
      <c r="W1626">
        <v>1</v>
      </c>
      <c r="X1626">
        <v>2.0127700000000002</v>
      </c>
      <c r="Y1626">
        <v>2.0127700000000002</v>
      </c>
      <c r="Z1626">
        <v>0</v>
      </c>
      <c r="AA1626">
        <v>1.55501</v>
      </c>
      <c r="AB1626">
        <v>2.9635199999999999</v>
      </c>
      <c r="AC1626" s="2">
        <v>824836000</v>
      </c>
      <c r="AD1626" s="1">
        <v>0</v>
      </c>
      <c r="AE1626" s="1">
        <v>0</v>
      </c>
      <c r="AF1626" s="1">
        <v>0</v>
      </c>
      <c r="AG1626" s="1">
        <v>0</v>
      </c>
      <c r="AH1626" s="2">
        <v>5207520</v>
      </c>
      <c r="AI1626" s="1">
        <v>169745</v>
      </c>
      <c r="AJ1626" s="1">
        <v>0</v>
      </c>
      <c r="AK1626" s="8">
        <f t="shared" si="103"/>
        <v>13</v>
      </c>
      <c r="AL1626" s="8">
        <f t="shared" si="102"/>
        <v>32</v>
      </c>
      <c r="AM1626">
        <f t="shared" si="100"/>
        <v>0</v>
      </c>
      <c r="AN1626">
        <f t="shared" si="101"/>
        <v>0</v>
      </c>
    </row>
    <row r="1627" spans="1:40" x14ac:dyDescent="0.35">
      <c r="A1627">
        <v>85.138999999999996</v>
      </c>
      <c r="B1627">
        <v>85.138999999999996</v>
      </c>
      <c r="C1627">
        <v>8.1256299999999992</v>
      </c>
      <c r="D1627">
        <v>0</v>
      </c>
      <c r="E1627">
        <v>0.04</v>
      </c>
      <c r="F1627">
        <v>2.97587</v>
      </c>
      <c r="G1627">
        <v>2.97587</v>
      </c>
      <c r="H1627">
        <v>0</v>
      </c>
      <c r="I1627">
        <v>0.63860499999999998</v>
      </c>
      <c r="J1627">
        <v>5.3222399999999999</v>
      </c>
      <c r="K1627" s="2">
        <v>188946000</v>
      </c>
      <c r="L1627" s="1">
        <v>0</v>
      </c>
      <c r="M1627" s="1">
        <v>0</v>
      </c>
      <c r="N1627" s="1">
        <v>0</v>
      </c>
      <c r="O1627" s="1">
        <v>0</v>
      </c>
      <c r="P1627" s="2">
        <v>4448850</v>
      </c>
      <c r="Q1627" s="1">
        <v>305925</v>
      </c>
      <c r="R1627" s="1">
        <v>0</v>
      </c>
      <c r="S1627">
        <v>99.302199999999999</v>
      </c>
      <c r="T1627">
        <v>98.274000000000001</v>
      </c>
      <c r="U1627">
        <v>13.006600000000001</v>
      </c>
      <c r="V1627">
        <v>0</v>
      </c>
      <c r="W1627">
        <v>1</v>
      </c>
      <c r="X1627">
        <v>1.72865</v>
      </c>
      <c r="Y1627">
        <v>1.72865</v>
      </c>
      <c r="Z1627">
        <v>0</v>
      </c>
      <c r="AA1627">
        <v>1.55507</v>
      </c>
      <c r="AB1627">
        <v>2.9635199999999999</v>
      </c>
      <c r="AC1627" s="2">
        <v>824982000</v>
      </c>
      <c r="AD1627" s="1">
        <v>0</v>
      </c>
      <c r="AE1627" s="1">
        <v>0</v>
      </c>
      <c r="AF1627" s="1">
        <v>0</v>
      </c>
      <c r="AG1627" s="1">
        <v>0</v>
      </c>
      <c r="AH1627" s="2">
        <v>4472430</v>
      </c>
      <c r="AI1627" s="1">
        <v>145784</v>
      </c>
      <c r="AJ1627" s="1">
        <v>0</v>
      </c>
      <c r="AK1627" s="8">
        <f t="shared" si="103"/>
        <v>14</v>
      </c>
      <c r="AL1627" s="8">
        <f t="shared" si="102"/>
        <v>32</v>
      </c>
      <c r="AM1627">
        <f t="shared" si="100"/>
        <v>0</v>
      </c>
      <c r="AN1627">
        <f t="shared" si="101"/>
        <v>0</v>
      </c>
    </row>
    <row r="1628" spans="1:40" x14ac:dyDescent="0.35">
      <c r="A1628">
        <v>85.138999999999996</v>
      </c>
      <c r="B1628">
        <v>85.138999999999996</v>
      </c>
      <c r="C1628">
        <v>7.7413299999999996</v>
      </c>
      <c r="D1628">
        <v>0</v>
      </c>
      <c r="E1628">
        <v>0.04</v>
      </c>
      <c r="F1628">
        <v>2.9759799999999998</v>
      </c>
      <c r="G1628">
        <v>2.9759799999999998</v>
      </c>
      <c r="H1628">
        <v>0</v>
      </c>
      <c r="I1628">
        <v>0.55767800000000001</v>
      </c>
      <c r="J1628">
        <v>5.3222399999999999</v>
      </c>
      <c r="K1628" s="2">
        <v>189251000</v>
      </c>
      <c r="L1628" s="1">
        <v>0</v>
      </c>
      <c r="M1628" s="1">
        <v>0</v>
      </c>
      <c r="N1628" s="1">
        <v>0</v>
      </c>
      <c r="O1628" s="1">
        <v>0</v>
      </c>
      <c r="P1628" s="2">
        <v>4449010</v>
      </c>
      <c r="Q1628" s="1">
        <v>305936</v>
      </c>
      <c r="R1628" s="1">
        <v>0</v>
      </c>
      <c r="S1628">
        <v>99.302199999999999</v>
      </c>
      <c r="T1628">
        <v>98.274000000000001</v>
      </c>
      <c r="U1628">
        <v>10.9649</v>
      </c>
      <c r="V1628">
        <v>0</v>
      </c>
      <c r="W1628">
        <v>1</v>
      </c>
      <c r="X1628">
        <v>1.72871</v>
      </c>
      <c r="Y1628">
        <v>1.72871</v>
      </c>
      <c r="Z1628">
        <v>0</v>
      </c>
      <c r="AA1628">
        <v>1.33555</v>
      </c>
      <c r="AB1628">
        <v>2.9635199999999999</v>
      </c>
      <c r="AC1628" s="2">
        <v>825128000</v>
      </c>
      <c r="AD1628" s="1">
        <v>0</v>
      </c>
      <c r="AE1628" s="1">
        <v>0</v>
      </c>
      <c r="AF1628" s="1">
        <v>0</v>
      </c>
      <c r="AG1628" s="1">
        <v>0</v>
      </c>
      <c r="AH1628" s="2">
        <v>4472590</v>
      </c>
      <c r="AI1628" s="1">
        <v>145789</v>
      </c>
      <c r="AJ1628" s="1">
        <v>0</v>
      </c>
      <c r="AK1628" s="8">
        <f t="shared" si="103"/>
        <v>15</v>
      </c>
      <c r="AL1628" s="8">
        <f t="shared" si="102"/>
        <v>32</v>
      </c>
      <c r="AM1628">
        <f t="shared" si="100"/>
        <v>0</v>
      </c>
      <c r="AN1628">
        <f t="shared" si="101"/>
        <v>0</v>
      </c>
    </row>
    <row r="1629" spans="1:40" x14ac:dyDescent="0.35">
      <c r="A1629">
        <v>85.138999999999996</v>
      </c>
      <c r="B1629">
        <v>85.138999999999996</v>
      </c>
      <c r="C1629">
        <v>5.67354</v>
      </c>
      <c r="D1629">
        <v>0</v>
      </c>
      <c r="E1629">
        <v>0.04</v>
      </c>
      <c r="F1629">
        <v>2.9760800000000001</v>
      </c>
      <c r="G1629">
        <v>2.9760800000000001</v>
      </c>
      <c r="H1629">
        <v>0</v>
      </c>
      <c r="I1629">
        <v>0.55769800000000003</v>
      </c>
      <c r="J1629">
        <v>5.3222399999999999</v>
      </c>
      <c r="K1629" s="2">
        <v>189557000</v>
      </c>
      <c r="L1629" s="1">
        <v>0</v>
      </c>
      <c r="M1629" s="1">
        <v>0</v>
      </c>
      <c r="N1629" s="1">
        <v>0</v>
      </c>
      <c r="O1629" s="1">
        <v>0</v>
      </c>
      <c r="P1629" s="2">
        <v>4449170</v>
      </c>
      <c r="Q1629" s="1">
        <v>305947</v>
      </c>
      <c r="R1629" s="1">
        <v>0</v>
      </c>
      <c r="S1629">
        <v>99.302199999999999</v>
      </c>
      <c r="T1629">
        <v>98.274000000000001</v>
      </c>
      <c r="U1629">
        <v>7.27339</v>
      </c>
      <c r="V1629">
        <v>0</v>
      </c>
      <c r="W1629">
        <v>1</v>
      </c>
      <c r="X1629">
        <v>1.7287699999999999</v>
      </c>
      <c r="Y1629">
        <v>1.7287699999999999</v>
      </c>
      <c r="Z1629">
        <v>0</v>
      </c>
      <c r="AA1629">
        <v>1.3355999999999999</v>
      </c>
      <c r="AB1629">
        <v>2.9635199999999999</v>
      </c>
      <c r="AC1629" s="2">
        <v>825274000</v>
      </c>
      <c r="AD1629" s="1">
        <v>0</v>
      </c>
      <c r="AE1629" s="1">
        <v>0</v>
      </c>
      <c r="AF1629" s="1">
        <v>0</v>
      </c>
      <c r="AG1629" s="1">
        <v>0</v>
      </c>
      <c r="AH1629" s="2">
        <v>4472750</v>
      </c>
      <c r="AI1629" s="1">
        <v>145794</v>
      </c>
      <c r="AJ1629" s="1">
        <v>0</v>
      </c>
      <c r="AK1629" s="8">
        <f t="shared" si="103"/>
        <v>16</v>
      </c>
      <c r="AL1629" s="8">
        <f t="shared" si="102"/>
        <v>32</v>
      </c>
      <c r="AM1629">
        <f t="shared" si="100"/>
        <v>0</v>
      </c>
      <c r="AN1629">
        <f t="shared" si="101"/>
        <v>0</v>
      </c>
    </row>
    <row r="1630" spans="1:40" x14ac:dyDescent="0.35">
      <c r="A1630">
        <v>85.138999999999996</v>
      </c>
      <c r="B1630">
        <v>85.138999999999996</v>
      </c>
      <c r="C1630">
        <v>5.0941400000000003</v>
      </c>
      <c r="D1630">
        <v>0</v>
      </c>
      <c r="E1630">
        <v>0.04</v>
      </c>
      <c r="F1630">
        <v>2.9761899999999999</v>
      </c>
      <c r="G1630">
        <v>2.9761899999999999</v>
      </c>
      <c r="H1630">
        <v>0</v>
      </c>
      <c r="I1630">
        <v>0.55771800000000005</v>
      </c>
      <c r="J1630">
        <v>5.3222399999999999</v>
      </c>
      <c r="K1630" s="2">
        <v>189863000</v>
      </c>
      <c r="L1630" s="1">
        <v>0</v>
      </c>
      <c r="M1630" s="1">
        <v>0</v>
      </c>
      <c r="N1630" s="1">
        <v>0</v>
      </c>
      <c r="O1630" s="1">
        <v>0</v>
      </c>
      <c r="P1630" s="2">
        <v>4449330</v>
      </c>
      <c r="Q1630" s="1">
        <v>305958</v>
      </c>
      <c r="R1630" s="1">
        <v>0</v>
      </c>
      <c r="S1630">
        <v>99.302199999999999</v>
      </c>
      <c r="T1630">
        <v>98.274000000000001</v>
      </c>
      <c r="U1630">
        <v>6.1976300000000002</v>
      </c>
      <c r="V1630">
        <v>0</v>
      </c>
      <c r="W1630">
        <v>1</v>
      </c>
      <c r="X1630">
        <v>1.7288399999999999</v>
      </c>
      <c r="Y1630">
        <v>1.7288399999999999</v>
      </c>
      <c r="Z1630">
        <v>0</v>
      </c>
      <c r="AA1630">
        <v>1.33565</v>
      </c>
      <c r="AB1630">
        <v>2.9635199999999999</v>
      </c>
      <c r="AC1630" s="2">
        <v>825420000</v>
      </c>
      <c r="AD1630" s="1">
        <v>0</v>
      </c>
      <c r="AE1630" s="1">
        <v>0</v>
      </c>
      <c r="AF1630" s="1">
        <v>0</v>
      </c>
      <c r="AG1630" s="1">
        <v>0</v>
      </c>
      <c r="AH1630" s="2">
        <v>4472910</v>
      </c>
      <c r="AI1630" s="1">
        <v>145800</v>
      </c>
      <c r="AJ1630" s="1">
        <v>0</v>
      </c>
      <c r="AK1630" s="8">
        <f t="shared" si="103"/>
        <v>17</v>
      </c>
      <c r="AL1630" s="8">
        <f t="shared" si="102"/>
        <v>32</v>
      </c>
      <c r="AM1630">
        <f t="shared" si="100"/>
        <v>0</v>
      </c>
      <c r="AN1630">
        <f t="shared" si="101"/>
        <v>0</v>
      </c>
    </row>
    <row r="1631" spans="1:40" x14ac:dyDescent="0.35">
      <c r="A1631">
        <v>85.138999999999996</v>
      </c>
      <c r="B1631">
        <v>85.138999999999996</v>
      </c>
      <c r="C1631">
        <v>5.5034700000000001</v>
      </c>
      <c r="D1631">
        <v>0</v>
      </c>
      <c r="E1631">
        <v>0.04</v>
      </c>
      <c r="F1631">
        <v>2.9763000000000002</v>
      </c>
      <c r="G1631">
        <v>2.9763000000000002</v>
      </c>
      <c r="H1631">
        <v>0</v>
      </c>
      <c r="I1631">
        <v>0.55773799999999996</v>
      </c>
      <c r="J1631">
        <v>5.3222399999999999</v>
      </c>
      <c r="K1631" s="2">
        <v>190169000</v>
      </c>
      <c r="L1631" s="1">
        <v>0</v>
      </c>
      <c r="M1631" s="1">
        <v>0</v>
      </c>
      <c r="N1631" s="1">
        <v>0</v>
      </c>
      <c r="O1631" s="1">
        <v>0</v>
      </c>
      <c r="P1631" s="2">
        <v>4449490</v>
      </c>
      <c r="Q1631" s="1">
        <v>305969</v>
      </c>
      <c r="R1631" s="1">
        <v>0</v>
      </c>
      <c r="S1631">
        <v>99.302199999999999</v>
      </c>
      <c r="T1631">
        <v>98.274000000000001</v>
      </c>
      <c r="U1631">
        <v>6.5076799999999997</v>
      </c>
      <c r="V1631">
        <v>0</v>
      </c>
      <c r="W1631">
        <v>1</v>
      </c>
      <c r="X1631">
        <v>1.7289000000000001</v>
      </c>
      <c r="Y1631">
        <v>1.7289000000000001</v>
      </c>
      <c r="Z1631">
        <v>0</v>
      </c>
      <c r="AA1631">
        <v>1.3357000000000001</v>
      </c>
      <c r="AB1631">
        <v>2.9635199999999999</v>
      </c>
      <c r="AC1631" s="2">
        <v>825565000</v>
      </c>
      <c r="AD1631" s="1">
        <v>0</v>
      </c>
      <c r="AE1631" s="1">
        <v>0</v>
      </c>
      <c r="AF1631" s="1">
        <v>0</v>
      </c>
      <c r="AG1631" s="1">
        <v>0</v>
      </c>
      <c r="AH1631" s="2">
        <v>4473070</v>
      </c>
      <c r="AI1631" s="1">
        <v>145805</v>
      </c>
      <c r="AJ1631" s="1">
        <v>0</v>
      </c>
      <c r="AK1631" s="8">
        <f t="shared" si="103"/>
        <v>18</v>
      </c>
      <c r="AL1631" s="8">
        <f t="shared" si="102"/>
        <v>32</v>
      </c>
      <c r="AM1631">
        <f t="shared" si="100"/>
        <v>0</v>
      </c>
      <c r="AN1631">
        <f t="shared" si="101"/>
        <v>0</v>
      </c>
    </row>
    <row r="1632" spans="1:40" x14ac:dyDescent="0.35">
      <c r="A1632">
        <v>85.138999999999996</v>
      </c>
      <c r="B1632">
        <v>85.138999999999996</v>
      </c>
      <c r="C1632">
        <v>6.3521799999999997</v>
      </c>
      <c r="D1632">
        <v>0</v>
      </c>
      <c r="E1632">
        <v>0.04</v>
      </c>
      <c r="F1632">
        <v>3.0851600000000001</v>
      </c>
      <c r="G1632">
        <v>3.0851600000000001</v>
      </c>
      <c r="H1632">
        <v>0</v>
      </c>
      <c r="I1632">
        <v>0.55775799999999998</v>
      </c>
      <c r="J1632">
        <v>5.3222399999999999</v>
      </c>
      <c r="K1632" s="2">
        <v>190487000</v>
      </c>
      <c r="L1632" s="1">
        <v>0</v>
      </c>
      <c r="M1632" s="1">
        <v>0</v>
      </c>
      <c r="N1632" s="1">
        <v>0</v>
      </c>
      <c r="O1632" s="1">
        <v>0</v>
      </c>
      <c r="P1632" s="2">
        <v>4612230</v>
      </c>
      <c r="Q1632" s="1">
        <v>317160</v>
      </c>
      <c r="R1632" s="1">
        <v>0</v>
      </c>
      <c r="S1632">
        <v>99.302199999999999</v>
      </c>
      <c r="T1632">
        <v>98.274000000000001</v>
      </c>
      <c r="U1632">
        <v>7.4836900000000002</v>
      </c>
      <c r="V1632">
        <v>0</v>
      </c>
      <c r="W1632">
        <v>1</v>
      </c>
      <c r="X1632">
        <v>1.7985</v>
      </c>
      <c r="Y1632">
        <v>1.7985</v>
      </c>
      <c r="Z1632">
        <v>0</v>
      </c>
      <c r="AA1632">
        <v>1.33575</v>
      </c>
      <c r="AB1632">
        <v>2.9635199999999999</v>
      </c>
      <c r="AC1632" s="2">
        <v>825717000</v>
      </c>
      <c r="AD1632" s="1">
        <v>0</v>
      </c>
      <c r="AE1632" s="1">
        <v>0</v>
      </c>
      <c r="AF1632" s="1">
        <v>0</v>
      </c>
      <c r="AG1632" s="1">
        <v>0</v>
      </c>
      <c r="AH1632" s="2">
        <v>4653140</v>
      </c>
      <c r="AI1632" s="1">
        <v>151674</v>
      </c>
      <c r="AJ1632" s="1">
        <v>0</v>
      </c>
      <c r="AK1632" s="8">
        <f t="shared" si="103"/>
        <v>19</v>
      </c>
      <c r="AL1632" s="8">
        <f t="shared" si="102"/>
        <v>32</v>
      </c>
      <c r="AM1632">
        <f t="shared" si="100"/>
        <v>0</v>
      </c>
      <c r="AN1632">
        <f t="shared" si="101"/>
        <v>0</v>
      </c>
    </row>
    <row r="1633" spans="1:40" x14ac:dyDescent="0.35">
      <c r="A1633">
        <v>85.138999999999996</v>
      </c>
      <c r="B1633">
        <v>85.138999999999996</v>
      </c>
      <c r="C1633">
        <v>7.9846500000000002</v>
      </c>
      <c r="D1633">
        <v>0</v>
      </c>
      <c r="E1633">
        <v>0.04</v>
      </c>
      <c r="F1633">
        <v>3.08527</v>
      </c>
      <c r="G1633">
        <v>3.08527</v>
      </c>
      <c r="H1633">
        <v>0</v>
      </c>
      <c r="I1633">
        <v>0.57815799999999995</v>
      </c>
      <c r="J1633">
        <v>5.3222399999999999</v>
      </c>
      <c r="K1633" s="2">
        <v>190804000</v>
      </c>
      <c r="L1633" s="1">
        <v>0</v>
      </c>
      <c r="M1633" s="1">
        <v>0</v>
      </c>
      <c r="N1633" s="1">
        <v>0</v>
      </c>
      <c r="O1633" s="1">
        <v>0</v>
      </c>
      <c r="P1633" s="2">
        <v>4612400</v>
      </c>
      <c r="Q1633" s="1">
        <v>317172</v>
      </c>
      <c r="R1633" s="1">
        <v>0</v>
      </c>
      <c r="S1633">
        <v>99.302199999999999</v>
      </c>
      <c r="T1633">
        <v>98.274000000000001</v>
      </c>
      <c r="U1633">
        <v>10.2913</v>
      </c>
      <c r="V1633">
        <v>0</v>
      </c>
      <c r="W1633">
        <v>1</v>
      </c>
      <c r="X1633">
        <v>1.7985599999999999</v>
      </c>
      <c r="Y1633">
        <v>1.7985599999999999</v>
      </c>
      <c r="Z1633">
        <v>0</v>
      </c>
      <c r="AA1633">
        <v>1.3895200000000001</v>
      </c>
      <c r="AB1633">
        <v>2.9635199999999999</v>
      </c>
      <c r="AC1633" s="2">
        <v>825869000</v>
      </c>
      <c r="AD1633" s="1">
        <v>0</v>
      </c>
      <c r="AE1633" s="1">
        <v>0</v>
      </c>
      <c r="AF1633" s="1">
        <v>0</v>
      </c>
      <c r="AG1633" s="1">
        <v>0</v>
      </c>
      <c r="AH1633" s="2">
        <v>4653310</v>
      </c>
      <c r="AI1633" s="1">
        <v>151680</v>
      </c>
      <c r="AJ1633" s="1">
        <v>0</v>
      </c>
      <c r="AK1633" s="8">
        <f t="shared" si="103"/>
        <v>20</v>
      </c>
      <c r="AL1633" s="8">
        <f t="shared" si="102"/>
        <v>32</v>
      </c>
      <c r="AM1633">
        <f t="shared" si="100"/>
        <v>0</v>
      </c>
      <c r="AN1633">
        <f t="shared" si="101"/>
        <v>0</v>
      </c>
    </row>
    <row r="1634" spans="1:40" x14ac:dyDescent="0.35">
      <c r="A1634">
        <v>85.138999999999996</v>
      </c>
      <c r="B1634">
        <v>85.138999999999996</v>
      </c>
      <c r="C1634">
        <v>7.9597800000000003</v>
      </c>
      <c r="D1634">
        <v>0</v>
      </c>
      <c r="E1634">
        <v>0.04</v>
      </c>
      <c r="F1634">
        <v>3.0853799999999998</v>
      </c>
      <c r="G1634">
        <v>3.0853799999999998</v>
      </c>
      <c r="H1634">
        <v>0</v>
      </c>
      <c r="I1634">
        <v>0.578179</v>
      </c>
      <c r="J1634">
        <v>5.3222399999999999</v>
      </c>
      <c r="K1634" s="2">
        <v>191121000</v>
      </c>
      <c r="L1634" s="1">
        <v>0</v>
      </c>
      <c r="M1634" s="1">
        <v>0</v>
      </c>
      <c r="N1634" s="1">
        <v>0</v>
      </c>
      <c r="O1634" s="1">
        <v>0</v>
      </c>
      <c r="P1634" s="2">
        <v>4612560</v>
      </c>
      <c r="Q1634" s="1">
        <v>317183</v>
      </c>
      <c r="R1634" s="1">
        <v>0</v>
      </c>
      <c r="S1634">
        <v>99.302199999999999</v>
      </c>
      <c r="T1634">
        <v>98.274000000000001</v>
      </c>
      <c r="U1634">
        <v>11.6866</v>
      </c>
      <c r="V1634">
        <v>0</v>
      </c>
      <c r="W1634">
        <v>1</v>
      </c>
      <c r="X1634">
        <v>1.79863</v>
      </c>
      <c r="Y1634">
        <v>1.79863</v>
      </c>
      <c r="Z1634">
        <v>0</v>
      </c>
      <c r="AA1634">
        <v>1.38957</v>
      </c>
      <c r="AB1634">
        <v>2.9635199999999999</v>
      </c>
      <c r="AC1634" s="2">
        <v>826020000</v>
      </c>
      <c r="AD1634" s="1">
        <v>0</v>
      </c>
      <c r="AE1634" s="1">
        <v>0</v>
      </c>
      <c r="AF1634" s="1">
        <v>0</v>
      </c>
      <c r="AG1634" s="1">
        <v>0</v>
      </c>
      <c r="AH1634" s="2">
        <v>4653480</v>
      </c>
      <c r="AI1634" s="1">
        <v>151685</v>
      </c>
      <c r="AJ1634" s="1">
        <v>0</v>
      </c>
      <c r="AK1634" s="8">
        <f t="shared" si="103"/>
        <v>21</v>
      </c>
      <c r="AL1634" s="8">
        <f t="shared" si="102"/>
        <v>32</v>
      </c>
      <c r="AM1634">
        <f t="shared" si="100"/>
        <v>0</v>
      </c>
      <c r="AN1634">
        <f t="shared" si="101"/>
        <v>0</v>
      </c>
    </row>
    <row r="1635" spans="1:40" x14ac:dyDescent="0.35">
      <c r="A1635">
        <v>85.138999999999996</v>
      </c>
      <c r="B1635">
        <v>85.138999999999996</v>
      </c>
      <c r="C1635">
        <v>5.4618500000000001</v>
      </c>
      <c r="D1635">
        <v>0</v>
      </c>
      <c r="E1635">
        <v>0.04</v>
      </c>
      <c r="F1635">
        <v>3.0854900000000001</v>
      </c>
      <c r="G1635">
        <v>3.0854900000000001</v>
      </c>
      <c r="H1635">
        <v>0</v>
      </c>
      <c r="I1635">
        <v>0.57820000000000005</v>
      </c>
      <c r="J1635">
        <v>5.3222399999999999</v>
      </c>
      <c r="K1635" s="2">
        <v>191438000</v>
      </c>
      <c r="L1635" s="1">
        <v>0</v>
      </c>
      <c r="M1635" s="1">
        <v>0</v>
      </c>
      <c r="N1635" s="1">
        <v>0</v>
      </c>
      <c r="O1635" s="1">
        <v>0</v>
      </c>
      <c r="P1635" s="2">
        <v>4612730</v>
      </c>
      <c r="Q1635" s="1">
        <v>317194</v>
      </c>
      <c r="R1635" s="1">
        <v>0</v>
      </c>
      <c r="S1635">
        <v>99.302199999999999</v>
      </c>
      <c r="T1635">
        <v>98.274000000000001</v>
      </c>
      <c r="U1635">
        <v>7.3183800000000003</v>
      </c>
      <c r="V1635">
        <v>0</v>
      </c>
      <c r="W1635">
        <v>1</v>
      </c>
      <c r="X1635">
        <v>1.7986899999999999</v>
      </c>
      <c r="Y1635">
        <v>1.7986899999999999</v>
      </c>
      <c r="Z1635">
        <v>0</v>
      </c>
      <c r="AA1635">
        <v>1.3896200000000001</v>
      </c>
      <c r="AB1635">
        <v>2.9635199999999999</v>
      </c>
      <c r="AC1635" s="2">
        <v>826172000</v>
      </c>
      <c r="AD1635" s="1">
        <v>0</v>
      </c>
      <c r="AE1635" s="1">
        <v>0</v>
      </c>
      <c r="AF1635" s="1">
        <v>0</v>
      </c>
      <c r="AG1635" s="1">
        <v>0</v>
      </c>
      <c r="AH1635" s="2">
        <v>4653640</v>
      </c>
      <c r="AI1635" s="1">
        <v>151691</v>
      </c>
      <c r="AJ1635" s="1">
        <v>0</v>
      </c>
      <c r="AK1635" s="8">
        <f t="shared" si="103"/>
        <v>22</v>
      </c>
      <c r="AL1635" s="8">
        <f t="shared" si="102"/>
        <v>32</v>
      </c>
      <c r="AM1635">
        <f t="shared" si="100"/>
        <v>0</v>
      </c>
      <c r="AN1635">
        <f t="shared" si="101"/>
        <v>0</v>
      </c>
    </row>
    <row r="1636" spans="1:40" x14ac:dyDescent="0.35">
      <c r="A1636">
        <v>85.138999999999996</v>
      </c>
      <c r="B1636">
        <v>85.138999999999996</v>
      </c>
      <c r="C1636">
        <v>3.9028200000000002</v>
      </c>
      <c r="D1636">
        <v>0</v>
      </c>
      <c r="E1636">
        <v>0.04</v>
      </c>
      <c r="F1636">
        <v>3.0430700000000002</v>
      </c>
      <c r="G1636">
        <v>3.0430700000000002</v>
      </c>
      <c r="H1636">
        <v>0</v>
      </c>
      <c r="I1636">
        <v>0.57822099999999998</v>
      </c>
      <c r="J1636">
        <v>5.3222399999999999</v>
      </c>
      <c r="K1636" s="2">
        <v>191751000</v>
      </c>
      <c r="L1636" s="1">
        <v>0</v>
      </c>
      <c r="M1636" s="1">
        <v>0</v>
      </c>
      <c r="N1636" s="1">
        <v>0</v>
      </c>
      <c r="O1636" s="1">
        <v>0</v>
      </c>
      <c r="P1636" s="2">
        <v>4549320</v>
      </c>
      <c r="Q1636" s="1">
        <v>312834</v>
      </c>
      <c r="R1636" s="1">
        <v>0</v>
      </c>
      <c r="S1636">
        <v>99.302199999999999</v>
      </c>
      <c r="T1636">
        <v>98.274000000000001</v>
      </c>
      <c r="U1636">
        <v>4.8793100000000003</v>
      </c>
      <c r="V1636">
        <v>0</v>
      </c>
      <c r="W1636">
        <v>1</v>
      </c>
      <c r="X1636">
        <v>1.7717400000000001</v>
      </c>
      <c r="Y1636">
        <v>1.7717400000000001</v>
      </c>
      <c r="Z1636">
        <v>0</v>
      </c>
      <c r="AA1636">
        <v>1.38967</v>
      </c>
      <c r="AB1636">
        <v>2.9635199999999999</v>
      </c>
      <c r="AC1636" s="2">
        <v>826322000</v>
      </c>
      <c r="AD1636" s="1">
        <v>0</v>
      </c>
      <c r="AE1636" s="1">
        <v>0</v>
      </c>
      <c r="AF1636" s="1">
        <v>0</v>
      </c>
      <c r="AG1636" s="1">
        <v>0</v>
      </c>
      <c r="AH1636" s="2">
        <v>4583930</v>
      </c>
      <c r="AI1636" s="1">
        <v>149418</v>
      </c>
      <c r="AJ1636" s="1">
        <v>0</v>
      </c>
      <c r="AK1636" s="8">
        <f t="shared" si="103"/>
        <v>23</v>
      </c>
      <c r="AL1636" s="8">
        <f t="shared" si="102"/>
        <v>32</v>
      </c>
      <c r="AM1636">
        <f t="shared" si="100"/>
        <v>0</v>
      </c>
      <c r="AN1636">
        <f t="shared" si="101"/>
        <v>0</v>
      </c>
    </row>
    <row r="1637" spans="1:40" x14ac:dyDescent="0.35">
      <c r="A1637">
        <v>85.138999999999996</v>
      </c>
      <c r="B1637">
        <v>85.138999999999996</v>
      </c>
      <c r="C1637">
        <v>3.53145</v>
      </c>
      <c r="D1637">
        <v>0</v>
      </c>
      <c r="E1637">
        <v>0.04</v>
      </c>
      <c r="F1637">
        <v>3.04318</v>
      </c>
      <c r="G1637">
        <v>3.04318</v>
      </c>
      <c r="H1637">
        <v>0</v>
      </c>
      <c r="I1637">
        <v>0.570272</v>
      </c>
      <c r="J1637">
        <v>5.3222399999999999</v>
      </c>
      <c r="K1637" s="2">
        <v>192064000</v>
      </c>
      <c r="L1637" s="1">
        <v>0</v>
      </c>
      <c r="M1637" s="1">
        <v>0</v>
      </c>
      <c r="N1637" s="1">
        <v>0</v>
      </c>
      <c r="O1637" s="1">
        <v>0</v>
      </c>
      <c r="P1637" s="2">
        <v>4549480</v>
      </c>
      <c r="Q1637" s="1">
        <v>312845</v>
      </c>
      <c r="R1637" s="1">
        <v>0</v>
      </c>
      <c r="S1637">
        <v>99.302199999999999</v>
      </c>
      <c r="T1637">
        <v>98.274000000000001</v>
      </c>
      <c r="U1637">
        <v>4.4818699999999998</v>
      </c>
      <c r="V1637">
        <v>0</v>
      </c>
      <c r="W1637">
        <v>1</v>
      </c>
      <c r="X1637">
        <v>1.7718100000000001</v>
      </c>
      <c r="Y1637">
        <v>1.7718100000000001</v>
      </c>
      <c r="Z1637">
        <v>0</v>
      </c>
      <c r="AA1637">
        <v>1.3688499999999999</v>
      </c>
      <c r="AB1637">
        <v>2.9635199999999999</v>
      </c>
      <c r="AC1637" s="2">
        <v>826471000</v>
      </c>
      <c r="AD1637" s="1">
        <v>0</v>
      </c>
      <c r="AE1637" s="1">
        <v>0</v>
      </c>
      <c r="AF1637" s="1">
        <v>0</v>
      </c>
      <c r="AG1637" s="1">
        <v>0</v>
      </c>
      <c r="AH1637" s="2">
        <v>4584090</v>
      </c>
      <c r="AI1637" s="1">
        <v>149424</v>
      </c>
      <c r="AJ1637" s="1">
        <v>0</v>
      </c>
      <c r="AK1637" s="8">
        <f t="shared" si="103"/>
        <v>24</v>
      </c>
      <c r="AL1637" s="8">
        <f t="shared" si="102"/>
        <v>32</v>
      </c>
      <c r="AM1637">
        <f t="shared" si="100"/>
        <v>0</v>
      </c>
      <c r="AN1637">
        <f t="shared" si="101"/>
        <v>0</v>
      </c>
    </row>
    <row r="1638" spans="1:40" x14ac:dyDescent="0.35">
      <c r="A1638">
        <v>84.969899999999996</v>
      </c>
      <c r="B1638">
        <v>85.138999999999996</v>
      </c>
      <c r="C1638">
        <v>3.2823600000000002</v>
      </c>
      <c r="D1638">
        <v>0</v>
      </c>
      <c r="E1638">
        <v>0.04</v>
      </c>
      <c r="F1638">
        <v>3.0432899999999998</v>
      </c>
      <c r="G1638">
        <v>3.0432899999999998</v>
      </c>
      <c r="H1638">
        <v>0</v>
      </c>
      <c r="I1638">
        <v>0.57029300000000005</v>
      </c>
      <c r="J1638">
        <v>5.3222399999999999</v>
      </c>
      <c r="K1638" s="2">
        <v>192377000</v>
      </c>
      <c r="L1638" s="1">
        <v>0</v>
      </c>
      <c r="M1638" s="1">
        <v>0</v>
      </c>
      <c r="N1638" s="1">
        <v>0</v>
      </c>
      <c r="O1638" s="1">
        <v>0</v>
      </c>
      <c r="P1638" s="2">
        <v>4549650</v>
      </c>
      <c r="Q1638" s="1">
        <v>312856</v>
      </c>
      <c r="R1638" s="1">
        <v>0</v>
      </c>
      <c r="S1638">
        <v>99.302199999999999</v>
      </c>
      <c r="T1638">
        <v>98.274000000000001</v>
      </c>
      <c r="U1638">
        <v>3.8875899999999999</v>
      </c>
      <c r="V1638">
        <v>0</v>
      </c>
      <c r="W1638">
        <v>1</v>
      </c>
      <c r="X1638">
        <v>1.7718700000000001</v>
      </c>
      <c r="Y1638">
        <v>1.7718700000000001</v>
      </c>
      <c r="Z1638">
        <v>0</v>
      </c>
      <c r="AA1638">
        <v>1.3689</v>
      </c>
      <c r="AB1638">
        <v>2.9635199999999999</v>
      </c>
      <c r="AC1638" s="2">
        <v>826620000</v>
      </c>
      <c r="AD1638" s="1">
        <v>0</v>
      </c>
      <c r="AE1638" s="1">
        <v>0</v>
      </c>
      <c r="AF1638" s="1">
        <v>0</v>
      </c>
      <c r="AG1638" s="1">
        <v>0</v>
      </c>
      <c r="AH1638" s="2">
        <v>4584260</v>
      </c>
      <c r="AI1638" s="1">
        <v>149429</v>
      </c>
      <c r="AJ1638" s="1">
        <v>0</v>
      </c>
      <c r="AK1638" s="8">
        <f t="shared" si="103"/>
        <v>25</v>
      </c>
      <c r="AL1638" s="8">
        <f t="shared" si="102"/>
        <v>32</v>
      </c>
      <c r="AM1638">
        <f t="shared" si="100"/>
        <v>0</v>
      </c>
      <c r="AN1638">
        <f t="shared" si="101"/>
        <v>0</v>
      </c>
    </row>
    <row r="1639" spans="1:40" x14ac:dyDescent="0.35">
      <c r="A1639">
        <v>84.837100000000007</v>
      </c>
      <c r="B1639">
        <v>85.138999999999996</v>
      </c>
      <c r="C1639">
        <v>3.2708400000000002</v>
      </c>
      <c r="D1639">
        <v>0</v>
      </c>
      <c r="E1639">
        <v>0.04</v>
      </c>
      <c r="F1639">
        <v>3.0434000000000001</v>
      </c>
      <c r="G1639">
        <v>3.0434000000000001</v>
      </c>
      <c r="H1639">
        <v>0</v>
      </c>
      <c r="I1639">
        <v>0.57031299999999996</v>
      </c>
      <c r="J1639">
        <v>5.3222399999999999</v>
      </c>
      <c r="K1639" s="2">
        <v>192689000</v>
      </c>
      <c r="L1639" s="1">
        <v>0</v>
      </c>
      <c r="M1639" s="1">
        <v>0</v>
      </c>
      <c r="N1639" s="1">
        <v>0</v>
      </c>
      <c r="O1639" s="1">
        <v>0</v>
      </c>
      <c r="P1639" s="2">
        <v>4549810</v>
      </c>
      <c r="Q1639" s="1">
        <v>312868</v>
      </c>
      <c r="R1639" s="1">
        <v>0</v>
      </c>
      <c r="S1639">
        <v>99.302199999999999</v>
      </c>
      <c r="T1639">
        <v>98.274000000000001</v>
      </c>
      <c r="U1639">
        <v>4.0426900000000003</v>
      </c>
      <c r="V1639">
        <v>0</v>
      </c>
      <c r="W1639">
        <v>1</v>
      </c>
      <c r="X1639">
        <v>1.7719400000000001</v>
      </c>
      <c r="Y1639">
        <v>1.7719400000000001</v>
      </c>
      <c r="Z1639">
        <v>0</v>
      </c>
      <c r="AA1639">
        <v>1.3689499999999999</v>
      </c>
      <c r="AB1639">
        <v>2.9635199999999999</v>
      </c>
      <c r="AC1639" s="2">
        <v>826770000</v>
      </c>
      <c r="AD1639" s="1">
        <v>0</v>
      </c>
      <c r="AE1639" s="1">
        <v>0</v>
      </c>
      <c r="AF1639" s="1">
        <v>0</v>
      </c>
      <c r="AG1639" s="1">
        <v>0</v>
      </c>
      <c r="AH1639" s="2">
        <v>4584420</v>
      </c>
      <c r="AI1639" s="1">
        <v>149434</v>
      </c>
      <c r="AJ1639" s="1">
        <v>0</v>
      </c>
      <c r="AK1639" s="8">
        <f t="shared" si="103"/>
        <v>26</v>
      </c>
      <c r="AL1639" s="8">
        <f t="shared" si="102"/>
        <v>32</v>
      </c>
      <c r="AM1639">
        <f t="shared" si="100"/>
        <v>0</v>
      </c>
      <c r="AN1639">
        <f t="shared" si="101"/>
        <v>0</v>
      </c>
    </row>
    <row r="1640" spans="1:40" x14ac:dyDescent="0.35">
      <c r="A1640">
        <v>84.232699999999994</v>
      </c>
      <c r="B1640">
        <v>85.138999999999996</v>
      </c>
      <c r="C1640">
        <v>2.8848199999999999</v>
      </c>
      <c r="D1640">
        <v>0</v>
      </c>
      <c r="E1640">
        <v>0.04</v>
      </c>
      <c r="F1640">
        <v>3.1878899999999999</v>
      </c>
      <c r="G1640">
        <v>3.1878899999999999</v>
      </c>
      <c r="H1640">
        <v>0</v>
      </c>
      <c r="I1640">
        <v>0.57033400000000001</v>
      </c>
      <c r="J1640">
        <v>5.3222399999999999</v>
      </c>
      <c r="K1640" s="2">
        <v>193017000</v>
      </c>
      <c r="L1640" s="1">
        <v>0</v>
      </c>
      <c r="M1640" s="1">
        <v>0</v>
      </c>
      <c r="N1640" s="1">
        <v>0</v>
      </c>
      <c r="O1640" s="1">
        <v>0</v>
      </c>
      <c r="P1640" s="2">
        <v>4765810</v>
      </c>
      <c r="Q1640" s="1">
        <v>327721</v>
      </c>
      <c r="R1640" s="1">
        <v>0</v>
      </c>
      <c r="S1640">
        <v>99.255600000000001</v>
      </c>
      <c r="T1640">
        <v>98.274000000000001</v>
      </c>
      <c r="U1640">
        <v>3.4909300000000001</v>
      </c>
      <c r="V1640">
        <v>0</v>
      </c>
      <c r="W1640">
        <v>1</v>
      </c>
      <c r="X1640">
        <v>1.8677999999999999</v>
      </c>
      <c r="Y1640">
        <v>1.8677999999999999</v>
      </c>
      <c r="Z1640">
        <v>0</v>
      </c>
      <c r="AA1640">
        <v>1.369</v>
      </c>
      <c r="AB1640">
        <v>2.9635199999999999</v>
      </c>
      <c r="AC1640" s="2">
        <v>826927000</v>
      </c>
      <c r="AD1640" s="1">
        <v>0</v>
      </c>
      <c r="AE1640" s="1">
        <v>0</v>
      </c>
      <c r="AF1640" s="1">
        <v>0</v>
      </c>
      <c r="AG1640" s="1">
        <v>0</v>
      </c>
      <c r="AH1640" s="2">
        <v>4832450</v>
      </c>
      <c r="AI1640" s="1">
        <v>157519</v>
      </c>
      <c r="AJ1640" s="1">
        <v>0</v>
      </c>
      <c r="AK1640" s="8">
        <f t="shared" si="103"/>
        <v>27</v>
      </c>
      <c r="AL1640" s="8">
        <f t="shared" si="102"/>
        <v>32</v>
      </c>
      <c r="AM1640">
        <f t="shared" si="100"/>
        <v>0</v>
      </c>
      <c r="AN1640">
        <f t="shared" si="101"/>
        <v>0</v>
      </c>
    </row>
    <row r="1641" spans="1:40" x14ac:dyDescent="0.35">
      <c r="A1641">
        <v>83.517399999999995</v>
      </c>
      <c r="B1641">
        <v>85.138999999999996</v>
      </c>
      <c r="C1641">
        <v>2.6738</v>
      </c>
      <c r="D1641">
        <v>0</v>
      </c>
      <c r="E1641">
        <v>0.04</v>
      </c>
      <c r="F1641">
        <v>3.1880000000000002</v>
      </c>
      <c r="G1641">
        <v>3.1880000000000002</v>
      </c>
      <c r="H1641">
        <v>0</v>
      </c>
      <c r="I1641">
        <v>0.59741</v>
      </c>
      <c r="J1641">
        <v>5.3222399999999999</v>
      </c>
      <c r="K1641" s="2">
        <v>193345000</v>
      </c>
      <c r="L1641" s="1">
        <v>0</v>
      </c>
      <c r="M1641" s="1">
        <v>0</v>
      </c>
      <c r="N1641" s="1">
        <v>0</v>
      </c>
      <c r="O1641" s="1">
        <v>0</v>
      </c>
      <c r="P1641" s="2">
        <v>4765980</v>
      </c>
      <c r="Q1641" s="1">
        <v>327733</v>
      </c>
      <c r="R1641" s="1">
        <v>0</v>
      </c>
      <c r="S1641">
        <v>99.142300000000006</v>
      </c>
      <c r="T1641">
        <v>98.274000000000001</v>
      </c>
      <c r="U1641">
        <v>3.1638099999999998</v>
      </c>
      <c r="V1641">
        <v>0</v>
      </c>
      <c r="W1641">
        <v>1</v>
      </c>
      <c r="X1641">
        <v>1.8678699999999999</v>
      </c>
      <c r="Y1641">
        <v>1.8678699999999999</v>
      </c>
      <c r="Z1641">
        <v>0</v>
      </c>
      <c r="AA1641">
        <v>1.44306</v>
      </c>
      <c r="AB1641">
        <v>2.9635199999999999</v>
      </c>
      <c r="AC1641" s="2">
        <v>827085000</v>
      </c>
      <c r="AD1641" s="1">
        <v>0</v>
      </c>
      <c r="AE1641" s="1">
        <v>0</v>
      </c>
      <c r="AF1641" s="1">
        <v>0</v>
      </c>
      <c r="AG1641" s="1">
        <v>0</v>
      </c>
      <c r="AH1641" s="2">
        <v>4832630</v>
      </c>
      <c r="AI1641" s="1">
        <v>157525</v>
      </c>
      <c r="AJ1641" s="1">
        <v>0</v>
      </c>
      <c r="AK1641" s="8">
        <f t="shared" si="103"/>
        <v>28</v>
      </c>
      <c r="AL1641" s="8">
        <f t="shared" si="102"/>
        <v>32</v>
      </c>
      <c r="AM1641">
        <f t="shared" si="100"/>
        <v>0</v>
      </c>
      <c r="AN1641">
        <f t="shared" si="101"/>
        <v>0</v>
      </c>
    </row>
    <row r="1642" spans="1:40" x14ac:dyDescent="0.35">
      <c r="A1642">
        <v>82.769099999999995</v>
      </c>
      <c r="B1642">
        <v>85.138999999999996</v>
      </c>
      <c r="C1642">
        <v>2.6237400000000002</v>
      </c>
      <c r="D1642">
        <v>0</v>
      </c>
      <c r="E1642">
        <v>0.04</v>
      </c>
      <c r="F1642">
        <v>3.1881200000000001</v>
      </c>
      <c r="G1642">
        <v>3.1881200000000001</v>
      </c>
      <c r="H1642">
        <v>0</v>
      </c>
      <c r="I1642">
        <v>0.59743100000000005</v>
      </c>
      <c r="J1642">
        <v>5.3222399999999999</v>
      </c>
      <c r="K1642" s="2">
        <v>193673000</v>
      </c>
      <c r="L1642" s="1">
        <v>0</v>
      </c>
      <c r="M1642" s="1">
        <v>0</v>
      </c>
      <c r="N1642" s="1">
        <v>0</v>
      </c>
      <c r="O1642" s="1">
        <v>0</v>
      </c>
      <c r="P1642" s="2">
        <v>4766150</v>
      </c>
      <c r="Q1642" s="1">
        <v>327745</v>
      </c>
      <c r="R1642" s="1">
        <v>0</v>
      </c>
      <c r="S1642">
        <v>99.0304</v>
      </c>
      <c r="T1642">
        <v>98.274000000000001</v>
      </c>
      <c r="U1642">
        <v>3.1867999999999999</v>
      </c>
      <c r="V1642">
        <v>0</v>
      </c>
      <c r="W1642">
        <v>1</v>
      </c>
      <c r="X1642">
        <v>1.8679399999999999</v>
      </c>
      <c r="Y1642">
        <v>1.8679399999999999</v>
      </c>
      <c r="Z1642">
        <v>0</v>
      </c>
      <c r="AA1642">
        <v>1.44312</v>
      </c>
      <c r="AB1642">
        <v>2.9635199999999999</v>
      </c>
      <c r="AC1642" s="2">
        <v>827242000</v>
      </c>
      <c r="AD1642" s="1">
        <v>0</v>
      </c>
      <c r="AE1642" s="1">
        <v>0</v>
      </c>
      <c r="AF1642" s="1">
        <v>0</v>
      </c>
      <c r="AG1642" s="1">
        <v>0</v>
      </c>
      <c r="AH1642" s="2">
        <v>4832800</v>
      </c>
      <c r="AI1642" s="1">
        <v>157531</v>
      </c>
      <c r="AJ1642" s="1">
        <v>0</v>
      </c>
      <c r="AK1642" s="8">
        <f t="shared" si="103"/>
        <v>29</v>
      </c>
      <c r="AL1642" s="8">
        <f t="shared" si="102"/>
        <v>32</v>
      </c>
      <c r="AM1642">
        <f t="shared" si="100"/>
        <v>0</v>
      </c>
      <c r="AN1642">
        <f t="shared" si="101"/>
        <v>0</v>
      </c>
    </row>
    <row r="1643" spans="1:40" x14ac:dyDescent="0.35">
      <c r="A1643">
        <v>82.013999999999996</v>
      </c>
      <c r="B1643">
        <v>85.138999999999996</v>
      </c>
      <c r="C1643">
        <v>2.3561800000000002</v>
      </c>
      <c r="D1643">
        <v>0.01</v>
      </c>
      <c r="E1643">
        <v>0.04</v>
      </c>
      <c r="F1643">
        <v>2.8858299999999999</v>
      </c>
      <c r="G1643">
        <v>3.1882299999999999</v>
      </c>
      <c r="H1643">
        <v>0</v>
      </c>
      <c r="I1643">
        <v>0.59745300000000001</v>
      </c>
      <c r="J1643">
        <v>5.3222399999999999</v>
      </c>
      <c r="K1643" s="2">
        <v>193592000</v>
      </c>
      <c r="L1643" s="1">
        <v>0</v>
      </c>
      <c r="M1643" s="1">
        <v>0</v>
      </c>
      <c r="N1643" s="1">
        <v>0</v>
      </c>
      <c r="O1643" s="1">
        <v>0</v>
      </c>
      <c r="P1643" s="2">
        <v>4314240</v>
      </c>
      <c r="Q1643" s="1">
        <v>-80782.2</v>
      </c>
      <c r="R1643" s="1">
        <v>408539</v>
      </c>
      <c r="S1643">
        <v>98.754400000000004</v>
      </c>
      <c r="T1643">
        <v>98.274000000000001</v>
      </c>
      <c r="U1643">
        <v>3.2227199999999998</v>
      </c>
      <c r="V1643">
        <v>0</v>
      </c>
      <c r="W1643">
        <v>1</v>
      </c>
      <c r="X1643">
        <v>2.17041</v>
      </c>
      <c r="Y1643">
        <v>1.8680099999999999</v>
      </c>
      <c r="Z1643">
        <v>0</v>
      </c>
      <c r="AA1643">
        <v>1.4431700000000001</v>
      </c>
      <c r="AB1643">
        <v>2.9635199999999999</v>
      </c>
      <c r="AC1643" s="2">
        <v>828182000</v>
      </c>
      <c r="AD1643" s="1">
        <v>0</v>
      </c>
      <c r="AE1643" s="1">
        <v>0</v>
      </c>
      <c r="AF1643" s="1">
        <v>0</v>
      </c>
      <c r="AG1643" s="1">
        <v>0</v>
      </c>
      <c r="AH1643" s="2">
        <v>5615350</v>
      </c>
      <c r="AI1643" s="1">
        <v>939917</v>
      </c>
      <c r="AJ1643" s="1">
        <v>0</v>
      </c>
      <c r="AK1643" s="8">
        <f t="shared" si="103"/>
        <v>30</v>
      </c>
      <c r="AL1643" s="8">
        <f t="shared" si="102"/>
        <v>32</v>
      </c>
      <c r="AM1643">
        <f t="shared" si="100"/>
        <v>0</v>
      </c>
      <c r="AN1643">
        <f t="shared" si="101"/>
        <v>0</v>
      </c>
    </row>
    <row r="1644" spans="1:40" x14ac:dyDescent="0.35">
      <c r="A1644">
        <v>81.505799999999994</v>
      </c>
      <c r="B1644">
        <v>85.138999999999996</v>
      </c>
      <c r="C1644">
        <v>2.5919500000000002</v>
      </c>
      <c r="D1644">
        <v>0.01</v>
      </c>
      <c r="E1644">
        <v>0.04</v>
      </c>
      <c r="F1644">
        <v>2.8859499999999998</v>
      </c>
      <c r="G1644">
        <v>3.1883499999999998</v>
      </c>
      <c r="H1644">
        <v>0</v>
      </c>
      <c r="I1644">
        <v>0.54080499999999998</v>
      </c>
      <c r="J1644">
        <v>5.3222399999999999</v>
      </c>
      <c r="K1644" s="2">
        <v>193511000</v>
      </c>
      <c r="L1644" s="1">
        <v>0</v>
      </c>
      <c r="M1644" s="1">
        <v>0</v>
      </c>
      <c r="N1644" s="1">
        <v>0</v>
      </c>
      <c r="O1644" s="1">
        <v>0</v>
      </c>
      <c r="P1644" s="2">
        <v>4314420</v>
      </c>
      <c r="Q1644" s="1">
        <v>-80770.399999999994</v>
      </c>
      <c r="R1644" s="1">
        <v>408539</v>
      </c>
      <c r="S1644">
        <v>98.523300000000006</v>
      </c>
      <c r="T1644">
        <v>98.274000000000001</v>
      </c>
      <c r="U1644">
        <v>2.8292899999999999</v>
      </c>
      <c r="V1644">
        <v>0</v>
      </c>
      <c r="W1644">
        <v>1</v>
      </c>
      <c r="X1644">
        <v>2.1704699999999999</v>
      </c>
      <c r="Y1644">
        <v>1.8680699999999999</v>
      </c>
      <c r="Z1644">
        <v>0</v>
      </c>
      <c r="AA1644">
        <v>1.67685</v>
      </c>
      <c r="AB1644">
        <v>2.9635199999999999</v>
      </c>
      <c r="AC1644" s="2">
        <v>829122000</v>
      </c>
      <c r="AD1644" s="1">
        <v>0</v>
      </c>
      <c r="AE1644" s="1">
        <v>0</v>
      </c>
      <c r="AF1644" s="1">
        <v>0</v>
      </c>
      <c r="AG1644" s="1">
        <v>0</v>
      </c>
      <c r="AH1644" s="2">
        <v>5615530</v>
      </c>
      <c r="AI1644" s="1">
        <v>939923</v>
      </c>
      <c r="AJ1644" s="1">
        <v>0</v>
      </c>
      <c r="AK1644" s="8">
        <f t="shared" si="103"/>
        <v>31</v>
      </c>
      <c r="AL1644" s="8">
        <f t="shared" si="102"/>
        <v>32</v>
      </c>
      <c r="AM1644">
        <f t="shared" si="100"/>
        <v>0</v>
      </c>
      <c r="AN1644">
        <f t="shared" si="101"/>
        <v>0</v>
      </c>
    </row>
    <row r="1645" spans="1:40" x14ac:dyDescent="0.35">
      <c r="A1645">
        <v>81.069100000000006</v>
      </c>
      <c r="B1645">
        <v>85.138999999999996</v>
      </c>
      <c r="C1645">
        <v>2.6273599999999999</v>
      </c>
      <c r="D1645">
        <v>0.01</v>
      </c>
      <c r="E1645">
        <v>0.04</v>
      </c>
      <c r="F1645">
        <v>2.8574999999999999</v>
      </c>
      <c r="G1645">
        <v>3.1598999999999999</v>
      </c>
      <c r="H1645">
        <v>0</v>
      </c>
      <c r="I1645">
        <v>0.54082600000000003</v>
      </c>
      <c r="J1645">
        <v>5.3222399999999999</v>
      </c>
      <c r="K1645" s="2">
        <v>193427000</v>
      </c>
      <c r="L1645" s="1">
        <v>0</v>
      </c>
      <c r="M1645" s="1">
        <v>0</v>
      </c>
      <c r="N1645" s="1">
        <v>0</v>
      </c>
      <c r="O1645" s="1">
        <v>0</v>
      </c>
      <c r="P1645" s="2">
        <v>4271900</v>
      </c>
      <c r="Q1645" s="1">
        <v>-83694.399999999994</v>
      </c>
      <c r="R1645" s="1">
        <v>408539</v>
      </c>
      <c r="S1645">
        <v>98.279499999999999</v>
      </c>
      <c r="T1645">
        <v>98.274000000000001</v>
      </c>
      <c r="U1645">
        <v>2.5928399999999998</v>
      </c>
      <c r="V1645">
        <v>0</v>
      </c>
      <c r="W1645">
        <v>1</v>
      </c>
      <c r="X1645">
        <v>2.2231999999999998</v>
      </c>
      <c r="Y1645">
        <v>1.9208000000000001</v>
      </c>
      <c r="Z1645">
        <v>0</v>
      </c>
      <c r="AA1645">
        <v>1.6769099999999999</v>
      </c>
      <c r="AB1645">
        <v>2.9635199999999999</v>
      </c>
      <c r="AC1645" s="2">
        <v>830067000</v>
      </c>
      <c r="AD1645" s="1">
        <v>0</v>
      </c>
      <c r="AE1645" s="1">
        <v>0</v>
      </c>
      <c r="AF1645" s="1">
        <v>0</v>
      </c>
      <c r="AG1645" s="1">
        <v>0</v>
      </c>
      <c r="AH1645" s="2">
        <v>5751960</v>
      </c>
      <c r="AI1645" s="1">
        <v>944370</v>
      </c>
      <c r="AJ1645" s="1">
        <v>0</v>
      </c>
      <c r="AK1645" s="8">
        <f t="shared" si="103"/>
        <v>32</v>
      </c>
      <c r="AL1645" s="8">
        <f t="shared" si="102"/>
        <v>32</v>
      </c>
      <c r="AM1645">
        <f t="shared" si="100"/>
        <v>0</v>
      </c>
      <c r="AN1645">
        <f t="shared" si="101"/>
        <v>0</v>
      </c>
    </row>
    <row r="1646" spans="1:40" x14ac:dyDescent="0.35">
      <c r="A1646">
        <v>80.426100000000005</v>
      </c>
      <c r="B1646">
        <v>85.138999999999996</v>
      </c>
      <c r="C1646">
        <v>2.4156399999999998</v>
      </c>
      <c r="D1646">
        <v>0.01</v>
      </c>
      <c r="E1646">
        <v>0.04</v>
      </c>
      <c r="F1646">
        <v>2.8576199999999998</v>
      </c>
      <c r="G1646">
        <v>3.1600199999999998</v>
      </c>
      <c r="H1646">
        <v>0</v>
      </c>
      <c r="I1646">
        <v>0.53549599999999997</v>
      </c>
      <c r="J1646">
        <v>5.3222399999999999</v>
      </c>
      <c r="K1646" s="2">
        <v>193344000</v>
      </c>
      <c r="L1646" s="1">
        <v>0</v>
      </c>
      <c r="M1646" s="1">
        <v>0</v>
      </c>
      <c r="N1646" s="1">
        <v>0</v>
      </c>
      <c r="O1646" s="1">
        <v>0</v>
      </c>
      <c r="P1646" s="2">
        <v>4272070</v>
      </c>
      <c r="Q1646" s="1">
        <v>-83682.7</v>
      </c>
      <c r="R1646" s="1">
        <v>408539</v>
      </c>
      <c r="S1646">
        <v>98.019900000000007</v>
      </c>
      <c r="T1646">
        <v>98.274000000000001</v>
      </c>
      <c r="U1646">
        <v>2.6007699999999998</v>
      </c>
      <c r="V1646">
        <v>0</v>
      </c>
      <c r="W1646">
        <v>1</v>
      </c>
      <c r="X1646">
        <v>2.2232699999999999</v>
      </c>
      <c r="Y1646">
        <v>1.9208700000000001</v>
      </c>
      <c r="Z1646">
        <v>0</v>
      </c>
      <c r="AA1646">
        <v>1.7176499999999999</v>
      </c>
      <c r="AB1646">
        <v>2.9635199999999999</v>
      </c>
      <c r="AC1646" s="2">
        <v>831011000</v>
      </c>
      <c r="AD1646" s="1">
        <v>0</v>
      </c>
      <c r="AE1646" s="1">
        <v>0</v>
      </c>
      <c r="AF1646" s="1">
        <v>0</v>
      </c>
      <c r="AG1646" s="1">
        <v>0</v>
      </c>
      <c r="AH1646" s="2">
        <v>5752140</v>
      </c>
      <c r="AI1646" s="1">
        <v>944376</v>
      </c>
      <c r="AJ1646" s="1">
        <v>0</v>
      </c>
      <c r="AK1646" s="8">
        <f t="shared" si="103"/>
        <v>33</v>
      </c>
      <c r="AL1646" s="8">
        <f t="shared" si="102"/>
        <v>32</v>
      </c>
      <c r="AM1646">
        <f t="shared" si="100"/>
        <v>0</v>
      </c>
      <c r="AN1646">
        <f t="shared" si="101"/>
        <v>0</v>
      </c>
    </row>
    <row r="1647" spans="1:40" x14ac:dyDescent="0.35">
      <c r="A1647">
        <v>79.595100000000002</v>
      </c>
      <c r="B1647">
        <v>85.138999999999996</v>
      </c>
      <c r="C1647">
        <v>2.2126600000000001</v>
      </c>
      <c r="D1647">
        <v>0.01</v>
      </c>
      <c r="E1647">
        <v>0.04</v>
      </c>
      <c r="F1647">
        <v>2.8577300000000001</v>
      </c>
      <c r="G1647">
        <v>3.1601300000000001</v>
      </c>
      <c r="H1647">
        <v>0</v>
      </c>
      <c r="I1647">
        <v>0.53551700000000002</v>
      </c>
      <c r="J1647">
        <v>5.3222399999999999</v>
      </c>
      <c r="K1647" s="2">
        <v>193260000</v>
      </c>
      <c r="L1647" s="1">
        <v>0</v>
      </c>
      <c r="M1647" s="1">
        <v>0</v>
      </c>
      <c r="N1647" s="1">
        <v>0</v>
      </c>
      <c r="O1647" s="1">
        <v>0</v>
      </c>
      <c r="P1647" s="2">
        <v>4272240</v>
      </c>
      <c r="Q1647" s="1">
        <v>-83671</v>
      </c>
      <c r="R1647" s="1">
        <v>408539</v>
      </c>
      <c r="S1647">
        <v>97.706100000000006</v>
      </c>
      <c r="T1647">
        <v>98.274000000000001</v>
      </c>
      <c r="U1647">
        <v>2.3103099999999999</v>
      </c>
      <c r="V1647">
        <v>0</v>
      </c>
      <c r="W1647">
        <v>1</v>
      </c>
      <c r="X1647">
        <v>2.2233399999999999</v>
      </c>
      <c r="Y1647">
        <v>1.9209400000000001</v>
      </c>
      <c r="Z1647">
        <v>0</v>
      </c>
      <c r="AA1647">
        <v>1.7177</v>
      </c>
      <c r="AB1647">
        <v>2.9635199999999999</v>
      </c>
      <c r="AC1647" s="2">
        <v>831955000</v>
      </c>
      <c r="AD1647" s="1">
        <v>0</v>
      </c>
      <c r="AE1647" s="1">
        <v>0</v>
      </c>
      <c r="AF1647" s="1">
        <v>0</v>
      </c>
      <c r="AG1647" s="1">
        <v>0</v>
      </c>
      <c r="AH1647" s="2">
        <v>5752320</v>
      </c>
      <c r="AI1647" s="1">
        <v>944382</v>
      </c>
      <c r="AJ1647" s="1">
        <v>0</v>
      </c>
      <c r="AK1647" s="8">
        <f t="shared" si="103"/>
        <v>34</v>
      </c>
      <c r="AL1647" s="8">
        <f t="shared" si="102"/>
        <v>32</v>
      </c>
      <c r="AM1647">
        <f t="shared" si="100"/>
        <v>0</v>
      </c>
      <c r="AN1647">
        <f t="shared" si="101"/>
        <v>0</v>
      </c>
    </row>
    <row r="1648" spans="1:40" x14ac:dyDescent="0.35">
      <c r="A1648">
        <v>78.559200000000004</v>
      </c>
      <c r="B1648">
        <v>85.138999999999996</v>
      </c>
      <c r="C1648">
        <v>1.96156</v>
      </c>
      <c r="D1648">
        <v>0.01</v>
      </c>
      <c r="E1648">
        <v>0.04</v>
      </c>
      <c r="F1648">
        <v>2.8578399999999999</v>
      </c>
      <c r="G1648">
        <v>3.1602399999999999</v>
      </c>
      <c r="H1648">
        <v>0</v>
      </c>
      <c r="I1648">
        <v>0.53553899999999999</v>
      </c>
      <c r="J1648">
        <v>5.3222399999999999</v>
      </c>
      <c r="K1648" s="2">
        <v>193176000</v>
      </c>
      <c r="L1648" s="1">
        <v>0</v>
      </c>
      <c r="M1648" s="1">
        <v>0</v>
      </c>
      <c r="N1648" s="1">
        <v>0</v>
      </c>
      <c r="O1648" s="1">
        <v>0</v>
      </c>
      <c r="P1648" s="2">
        <v>4272410</v>
      </c>
      <c r="Q1648" s="1">
        <v>-83659.3</v>
      </c>
      <c r="R1648" s="1">
        <v>408539</v>
      </c>
      <c r="S1648">
        <v>97.310900000000004</v>
      </c>
      <c r="T1648">
        <v>98.274000000000001</v>
      </c>
      <c r="U1648">
        <v>2.1386500000000002</v>
      </c>
      <c r="V1648">
        <v>0</v>
      </c>
      <c r="W1648">
        <v>1</v>
      </c>
      <c r="X1648">
        <v>2.2234099999999999</v>
      </c>
      <c r="Y1648">
        <v>1.9210100000000001</v>
      </c>
      <c r="Z1648">
        <v>0</v>
      </c>
      <c r="AA1648">
        <v>1.7177500000000001</v>
      </c>
      <c r="AB1648">
        <v>2.9635199999999999</v>
      </c>
      <c r="AC1648" s="2">
        <v>832900000</v>
      </c>
      <c r="AD1648" s="1">
        <v>0</v>
      </c>
      <c r="AE1648" s="1">
        <v>0</v>
      </c>
      <c r="AF1648" s="1">
        <v>0</v>
      </c>
      <c r="AG1648" s="1">
        <v>0</v>
      </c>
      <c r="AH1648" s="2">
        <v>5752500</v>
      </c>
      <c r="AI1648" s="1">
        <v>944387</v>
      </c>
      <c r="AJ1648" s="1">
        <v>0</v>
      </c>
      <c r="AK1648" s="8">
        <f t="shared" si="103"/>
        <v>35</v>
      </c>
      <c r="AL1648" s="8">
        <f t="shared" si="102"/>
        <v>32</v>
      </c>
      <c r="AM1648">
        <f t="shared" si="100"/>
        <v>0</v>
      </c>
      <c r="AN1648">
        <f t="shared" si="101"/>
        <v>0</v>
      </c>
    </row>
    <row r="1649" spans="1:40" x14ac:dyDescent="0.35">
      <c r="A1649">
        <v>77.5304</v>
      </c>
      <c r="B1649">
        <v>85.138999999999996</v>
      </c>
      <c r="C1649">
        <v>2.03776</v>
      </c>
      <c r="D1649">
        <v>0.02</v>
      </c>
      <c r="E1649">
        <v>0.04</v>
      </c>
      <c r="F1649">
        <v>2.9317099999999998</v>
      </c>
      <c r="G1649">
        <v>3.2341099999999998</v>
      </c>
      <c r="H1649">
        <v>0</v>
      </c>
      <c r="I1649">
        <v>0.53556000000000004</v>
      </c>
      <c r="J1649">
        <v>5.3222399999999999</v>
      </c>
      <c r="K1649" s="2">
        <v>193100000</v>
      </c>
      <c r="L1649" s="1">
        <v>0</v>
      </c>
      <c r="M1649" s="1">
        <v>0</v>
      </c>
      <c r="N1649" s="1">
        <v>0</v>
      </c>
      <c r="O1649" s="1">
        <v>0</v>
      </c>
      <c r="P1649" s="2">
        <v>4382840</v>
      </c>
      <c r="Q1649" s="1">
        <v>-76065.3</v>
      </c>
      <c r="R1649" s="1">
        <v>408539</v>
      </c>
      <c r="S1649">
        <v>97.010300000000001</v>
      </c>
      <c r="T1649">
        <v>98.274000000000001</v>
      </c>
      <c r="U1649">
        <v>2.3666100000000001</v>
      </c>
      <c r="V1649">
        <v>0</v>
      </c>
      <c r="W1649">
        <v>1</v>
      </c>
      <c r="X1649">
        <v>2.2704200000000001</v>
      </c>
      <c r="Y1649">
        <v>1.9680200000000001</v>
      </c>
      <c r="Z1649">
        <v>0</v>
      </c>
      <c r="AA1649">
        <v>1.7178100000000001</v>
      </c>
      <c r="AB1649">
        <v>2.9635199999999999</v>
      </c>
      <c r="AC1649" s="2">
        <v>833848000</v>
      </c>
      <c r="AD1649" s="1">
        <v>0</v>
      </c>
      <c r="AE1649" s="1">
        <v>0</v>
      </c>
      <c r="AF1649" s="1">
        <v>0</v>
      </c>
      <c r="AG1649" s="1">
        <v>0</v>
      </c>
      <c r="AH1649" s="2">
        <v>5874130</v>
      </c>
      <c r="AI1649" s="1">
        <v>948352</v>
      </c>
      <c r="AJ1649" s="1">
        <v>0</v>
      </c>
      <c r="AK1649" s="8">
        <f t="shared" si="103"/>
        <v>36</v>
      </c>
      <c r="AL1649" s="8">
        <f t="shared" si="102"/>
        <v>32</v>
      </c>
      <c r="AM1649">
        <f t="shared" si="100"/>
        <v>0</v>
      </c>
      <c r="AN1649">
        <f t="shared" si="101"/>
        <v>0</v>
      </c>
    </row>
    <row r="1650" spans="1:40" x14ac:dyDescent="0.35">
      <c r="A1650">
        <v>76.341200000000001</v>
      </c>
      <c r="B1650">
        <v>85.138999999999996</v>
      </c>
      <c r="C1650">
        <v>1.83657</v>
      </c>
      <c r="D1650">
        <v>0.02</v>
      </c>
      <c r="E1650">
        <v>0.04</v>
      </c>
      <c r="F1650">
        <v>2.9318300000000002</v>
      </c>
      <c r="G1650">
        <v>3.2342300000000002</v>
      </c>
      <c r="H1650">
        <v>0</v>
      </c>
      <c r="I1650">
        <v>0.54940299999999997</v>
      </c>
      <c r="J1650">
        <v>5.3222399999999999</v>
      </c>
      <c r="K1650" s="2">
        <v>193024000</v>
      </c>
      <c r="L1650" s="1">
        <v>0</v>
      </c>
      <c r="M1650" s="1">
        <v>0</v>
      </c>
      <c r="N1650" s="1">
        <v>0</v>
      </c>
      <c r="O1650" s="1">
        <v>0</v>
      </c>
      <c r="P1650" s="2">
        <v>4383010</v>
      </c>
      <c r="Q1650" s="1">
        <v>-76053.3</v>
      </c>
      <c r="R1650" s="1">
        <v>408539</v>
      </c>
      <c r="S1650">
        <v>96.543300000000002</v>
      </c>
      <c r="T1650">
        <v>98.274000000000001</v>
      </c>
      <c r="U1650">
        <v>2.2580499999999999</v>
      </c>
      <c r="V1650">
        <v>0</v>
      </c>
      <c r="W1650">
        <v>1</v>
      </c>
      <c r="X1650">
        <v>2.2704900000000001</v>
      </c>
      <c r="Y1650">
        <v>1.9680899999999999</v>
      </c>
      <c r="Z1650">
        <v>0</v>
      </c>
      <c r="AA1650">
        <v>1.75413</v>
      </c>
      <c r="AB1650">
        <v>2.9635199999999999</v>
      </c>
      <c r="AC1650" s="2">
        <v>834796000</v>
      </c>
      <c r="AD1650" s="1">
        <v>0</v>
      </c>
      <c r="AE1650" s="1">
        <v>0</v>
      </c>
      <c r="AF1650" s="1">
        <v>0</v>
      </c>
      <c r="AG1650" s="1">
        <v>0</v>
      </c>
      <c r="AH1650" s="2">
        <v>5874310</v>
      </c>
      <c r="AI1650" s="1">
        <v>948358</v>
      </c>
      <c r="AJ1650" s="1">
        <v>0</v>
      </c>
      <c r="AK1650" s="8">
        <f t="shared" si="103"/>
        <v>37</v>
      </c>
      <c r="AL1650" s="8">
        <f t="shared" si="102"/>
        <v>32</v>
      </c>
      <c r="AM1650">
        <f t="shared" si="100"/>
        <v>0</v>
      </c>
      <c r="AN1650">
        <f t="shared" si="101"/>
        <v>0</v>
      </c>
    </row>
    <row r="1651" spans="1:40" x14ac:dyDescent="0.35">
      <c r="A1651">
        <v>75.006699999999995</v>
      </c>
      <c r="B1651">
        <v>85.138999999999996</v>
      </c>
      <c r="C1651">
        <v>1.67354</v>
      </c>
      <c r="D1651">
        <v>0.02</v>
      </c>
      <c r="E1651">
        <v>0.04</v>
      </c>
      <c r="F1651">
        <v>2.9319500000000001</v>
      </c>
      <c r="G1651">
        <v>3.2343500000000001</v>
      </c>
      <c r="H1651">
        <v>0</v>
      </c>
      <c r="I1651">
        <v>0.54942500000000005</v>
      </c>
      <c r="J1651">
        <v>5.3222399999999999</v>
      </c>
      <c r="K1651" s="2">
        <v>192948000</v>
      </c>
      <c r="L1651" s="1">
        <v>0</v>
      </c>
      <c r="M1651" s="1">
        <v>0</v>
      </c>
      <c r="N1651" s="1">
        <v>0</v>
      </c>
      <c r="O1651" s="1">
        <v>0</v>
      </c>
      <c r="P1651" s="2">
        <v>4383190</v>
      </c>
      <c r="Q1651" s="1">
        <v>-76041.399999999994</v>
      </c>
      <c r="R1651" s="1">
        <v>408539</v>
      </c>
      <c r="S1651">
        <v>96.088099999999997</v>
      </c>
      <c r="T1651">
        <v>98.274000000000001</v>
      </c>
      <c r="U1651">
        <v>1.96736</v>
      </c>
      <c r="V1651">
        <v>0</v>
      </c>
      <c r="W1651">
        <v>1</v>
      </c>
      <c r="X1651">
        <v>2.2705600000000001</v>
      </c>
      <c r="Y1651">
        <v>1.9681599999999999</v>
      </c>
      <c r="Z1651">
        <v>0</v>
      </c>
      <c r="AA1651">
        <v>1.7541800000000001</v>
      </c>
      <c r="AB1651">
        <v>2.9635199999999999</v>
      </c>
      <c r="AC1651" s="2">
        <v>835745000</v>
      </c>
      <c r="AD1651" s="1">
        <v>0</v>
      </c>
      <c r="AE1651" s="1">
        <v>0</v>
      </c>
      <c r="AF1651" s="1">
        <v>0</v>
      </c>
      <c r="AG1651" s="1">
        <v>0</v>
      </c>
      <c r="AH1651" s="2">
        <v>5874490</v>
      </c>
      <c r="AI1651" s="1">
        <v>948364</v>
      </c>
      <c r="AJ1651" s="1">
        <v>0</v>
      </c>
      <c r="AK1651" s="8">
        <f t="shared" si="103"/>
        <v>38</v>
      </c>
      <c r="AL1651" s="8">
        <f t="shared" si="102"/>
        <v>32</v>
      </c>
      <c r="AM1651">
        <f t="shared" si="100"/>
        <v>0</v>
      </c>
      <c r="AN1651">
        <f t="shared" si="101"/>
        <v>0</v>
      </c>
    </row>
    <row r="1652" spans="1:40" x14ac:dyDescent="0.35">
      <c r="A1652">
        <v>73.825800000000001</v>
      </c>
      <c r="B1652">
        <v>85.138999999999996</v>
      </c>
      <c r="C1652">
        <v>1.81145</v>
      </c>
      <c r="D1652">
        <v>0.02</v>
      </c>
      <c r="E1652">
        <v>0.04</v>
      </c>
      <c r="F1652">
        <v>2.9320599999999999</v>
      </c>
      <c r="G1652">
        <v>3.2344599999999999</v>
      </c>
      <c r="H1652">
        <v>0</v>
      </c>
      <c r="I1652">
        <v>0.54944700000000002</v>
      </c>
      <c r="J1652">
        <v>5.3222399999999999</v>
      </c>
      <c r="K1652" s="2">
        <v>192872000</v>
      </c>
      <c r="L1652" s="1">
        <v>0</v>
      </c>
      <c r="M1652" s="1">
        <v>0</v>
      </c>
      <c r="N1652" s="1">
        <v>0</v>
      </c>
      <c r="O1652" s="1">
        <v>0</v>
      </c>
      <c r="P1652" s="2">
        <v>4383360</v>
      </c>
      <c r="Q1652" s="1">
        <v>-76029.399999999994</v>
      </c>
      <c r="R1652" s="1">
        <v>408539</v>
      </c>
      <c r="S1652">
        <v>95.728899999999996</v>
      </c>
      <c r="T1652">
        <v>98.274000000000001</v>
      </c>
      <c r="U1652">
        <v>2.4754900000000002</v>
      </c>
      <c r="V1652">
        <v>0</v>
      </c>
      <c r="W1652">
        <v>1</v>
      </c>
      <c r="X1652">
        <v>2.2706400000000002</v>
      </c>
      <c r="Y1652">
        <v>1.96824</v>
      </c>
      <c r="Z1652">
        <v>0</v>
      </c>
      <c r="AA1652">
        <v>1.75424</v>
      </c>
      <c r="AB1652">
        <v>2.9635199999999999</v>
      </c>
      <c r="AC1652" s="2">
        <v>836693000</v>
      </c>
      <c r="AD1652" s="1">
        <v>0</v>
      </c>
      <c r="AE1652" s="1">
        <v>0</v>
      </c>
      <c r="AF1652" s="1">
        <v>0</v>
      </c>
      <c r="AG1652" s="1">
        <v>0</v>
      </c>
      <c r="AH1652" s="2">
        <v>5874680</v>
      </c>
      <c r="AI1652" s="1">
        <v>948370</v>
      </c>
      <c r="AJ1652" s="1">
        <v>0</v>
      </c>
      <c r="AK1652" s="8">
        <f t="shared" si="103"/>
        <v>39</v>
      </c>
      <c r="AL1652" s="8">
        <f t="shared" si="102"/>
        <v>32</v>
      </c>
      <c r="AM1652">
        <f t="shared" si="100"/>
        <v>0</v>
      </c>
      <c r="AN1652">
        <f t="shared" si="101"/>
        <v>0</v>
      </c>
    </row>
    <row r="1653" spans="1:40" x14ac:dyDescent="0.35">
      <c r="A1653">
        <v>72.205200000000005</v>
      </c>
      <c r="B1653">
        <v>85.138999999999996</v>
      </c>
      <c r="C1653">
        <v>1.5250699999999999</v>
      </c>
      <c r="D1653">
        <v>0.02</v>
      </c>
      <c r="E1653">
        <v>0.04</v>
      </c>
      <c r="F1653">
        <v>3.1482000000000001</v>
      </c>
      <c r="G1653">
        <v>3.4506000000000001</v>
      </c>
      <c r="H1653">
        <v>0</v>
      </c>
      <c r="I1653">
        <v>0.54946899999999999</v>
      </c>
      <c r="J1653">
        <v>5.3222399999999999</v>
      </c>
      <c r="K1653" s="2">
        <v>192818000</v>
      </c>
      <c r="L1653" s="1">
        <v>0</v>
      </c>
      <c r="M1653" s="1">
        <v>0</v>
      </c>
      <c r="N1653" s="1">
        <v>0</v>
      </c>
      <c r="O1653" s="1">
        <v>0</v>
      </c>
      <c r="P1653" s="2">
        <v>4706490</v>
      </c>
      <c r="Q1653" s="1">
        <v>-53809.8</v>
      </c>
      <c r="R1653" s="1">
        <v>408539</v>
      </c>
      <c r="S1653">
        <v>95.421999999999997</v>
      </c>
      <c r="T1653">
        <v>98.274000000000001</v>
      </c>
      <c r="U1653">
        <v>2.6275400000000002</v>
      </c>
      <c r="V1653">
        <v>0</v>
      </c>
      <c r="W1653">
        <v>1</v>
      </c>
      <c r="X1653">
        <v>2.4401700000000002</v>
      </c>
      <c r="Y1653">
        <v>2.1377700000000002</v>
      </c>
      <c r="Z1653">
        <v>0</v>
      </c>
      <c r="AA1653">
        <v>1.7542899999999999</v>
      </c>
      <c r="AB1653">
        <v>2.9635199999999999</v>
      </c>
      <c r="AC1653" s="2">
        <v>837656000</v>
      </c>
      <c r="AD1653" s="1">
        <v>0</v>
      </c>
      <c r="AE1653" s="1">
        <v>0</v>
      </c>
      <c r="AF1653" s="1">
        <v>0</v>
      </c>
      <c r="AG1653" s="1">
        <v>0</v>
      </c>
      <c r="AH1653" s="2">
        <v>6313300</v>
      </c>
      <c r="AI1653" s="1">
        <v>962667</v>
      </c>
      <c r="AJ1653" s="1">
        <v>0</v>
      </c>
      <c r="AK1653" s="8">
        <f t="shared" si="103"/>
        <v>40</v>
      </c>
      <c r="AL1653" s="8">
        <f t="shared" si="102"/>
        <v>32</v>
      </c>
      <c r="AM1653">
        <f t="shared" si="100"/>
        <v>0</v>
      </c>
      <c r="AN1653">
        <f t="shared" si="101"/>
        <v>0</v>
      </c>
    </row>
    <row r="1654" spans="1:40" x14ac:dyDescent="0.35">
      <c r="A1654">
        <v>70.847200000000001</v>
      </c>
      <c r="B1654">
        <v>85.138999999999996</v>
      </c>
      <c r="C1654">
        <v>1.8047800000000001</v>
      </c>
      <c r="D1654">
        <v>0.02</v>
      </c>
      <c r="E1654">
        <v>0.04</v>
      </c>
      <c r="F1654">
        <v>3.1545100000000001</v>
      </c>
      <c r="G1654">
        <v>3.4507300000000001</v>
      </c>
      <c r="H1654">
        <v>0</v>
      </c>
      <c r="I1654">
        <v>0.58997299999999997</v>
      </c>
      <c r="J1654">
        <v>5.3222399999999999</v>
      </c>
      <c r="K1654" s="2">
        <v>192773000</v>
      </c>
      <c r="L1654" s="1">
        <v>0</v>
      </c>
      <c r="M1654" s="1">
        <v>0</v>
      </c>
      <c r="N1654" s="1">
        <v>0</v>
      </c>
      <c r="O1654" s="1">
        <v>0</v>
      </c>
      <c r="P1654" s="2">
        <v>4715910</v>
      </c>
      <c r="Q1654" s="1">
        <v>-45451.3</v>
      </c>
      <c r="R1654" s="1">
        <v>400193</v>
      </c>
      <c r="S1654">
        <v>95.120199999999997</v>
      </c>
      <c r="T1654">
        <v>98.274000000000001</v>
      </c>
      <c r="U1654">
        <v>2.7894800000000002</v>
      </c>
      <c r="V1654">
        <v>0</v>
      </c>
      <c r="W1654">
        <v>1</v>
      </c>
      <c r="X1654">
        <v>2.4340700000000002</v>
      </c>
      <c r="Y1654">
        <v>2.1378499999999998</v>
      </c>
      <c r="Z1654">
        <v>0</v>
      </c>
      <c r="AA1654">
        <v>1.88527</v>
      </c>
      <c r="AB1654">
        <v>2.9635199999999999</v>
      </c>
      <c r="AC1654" s="2">
        <v>838603000</v>
      </c>
      <c r="AD1654" s="1">
        <v>0</v>
      </c>
      <c r="AE1654" s="1">
        <v>0</v>
      </c>
      <c r="AF1654" s="1">
        <v>0</v>
      </c>
      <c r="AG1654" s="1">
        <v>0</v>
      </c>
      <c r="AH1654" s="2">
        <v>6297520</v>
      </c>
      <c r="AI1654" s="1">
        <v>946691</v>
      </c>
      <c r="AJ1654" s="1">
        <v>0</v>
      </c>
      <c r="AK1654" s="8">
        <f t="shared" si="103"/>
        <v>41</v>
      </c>
      <c r="AL1654" s="8">
        <f t="shared" si="102"/>
        <v>32</v>
      </c>
      <c r="AM1654">
        <f t="shared" si="100"/>
        <v>0</v>
      </c>
      <c r="AN1654">
        <f t="shared" si="101"/>
        <v>0</v>
      </c>
    </row>
    <row r="1655" spans="1:40" x14ac:dyDescent="0.35">
      <c r="A1655">
        <v>69.123800000000003</v>
      </c>
      <c r="B1655">
        <v>85.138999999999996</v>
      </c>
      <c r="C1655">
        <v>1.40384</v>
      </c>
      <c r="D1655">
        <v>0.02</v>
      </c>
      <c r="E1655">
        <v>0.04</v>
      </c>
      <c r="F1655">
        <v>3.1547100000000001</v>
      </c>
      <c r="G1655">
        <v>3.45085</v>
      </c>
      <c r="H1655">
        <v>0</v>
      </c>
      <c r="I1655">
        <v>0.59115399999999996</v>
      </c>
      <c r="J1655">
        <v>5.3222399999999999</v>
      </c>
      <c r="K1655" s="2">
        <v>192728000</v>
      </c>
      <c r="L1655" s="1">
        <v>0</v>
      </c>
      <c r="M1655" s="1">
        <v>0</v>
      </c>
      <c r="N1655" s="1">
        <v>0</v>
      </c>
      <c r="O1655" s="1">
        <v>0</v>
      </c>
      <c r="P1655" s="2">
        <v>4716210</v>
      </c>
      <c r="Q1655" s="1">
        <v>-45334.8</v>
      </c>
      <c r="R1655" s="1">
        <v>400089</v>
      </c>
      <c r="S1655">
        <v>94.6267</v>
      </c>
      <c r="T1655">
        <v>98.274000000000001</v>
      </c>
      <c r="U1655">
        <v>2.11273</v>
      </c>
      <c r="V1655">
        <v>0</v>
      </c>
      <c r="W1655">
        <v>1</v>
      </c>
      <c r="X1655">
        <v>2.4340700000000002</v>
      </c>
      <c r="Y1655">
        <v>2.1379199999999998</v>
      </c>
      <c r="Z1655">
        <v>0</v>
      </c>
      <c r="AA1655">
        <v>1.88056</v>
      </c>
      <c r="AB1655">
        <v>2.9635199999999999</v>
      </c>
      <c r="AC1655" s="2">
        <v>839549000</v>
      </c>
      <c r="AD1655" s="1">
        <v>0</v>
      </c>
      <c r="AE1655" s="1">
        <v>0</v>
      </c>
      <c r="AF1655" s="1">
        <v>0</v>
      </c>
      <c r="AG1655" s="1">
        <v>0</v>
      </c>
      <c r="AH1655" s="2">
        <v>6297520</v>
      </c>
      <c r="AI1655" s="1">
        <v>946499</v>
      </c>
      <c r="AJ1655" s="1">
        <v>0</v>
      </c>
      <c r="AK1655" s="8">
        <f t="shared" si="103"/>
        <v>42</v>
      </c>
      <c r="AL1655" s="8">
        <f t="shared" si="102"/>
        <v>32</v>
      </c>
      <c r="AM1655">
        <f t="shared" si="100"/>
        <v>0</v>
      </c>
      <c r="AN1655">
        <f t="shared" si="101"/>
        <v>0</v>
      </c>
    </row>
    <row r="1656" spans="1:40" x14ac:dyDescent="0.35">
      <c r="A1656">
        <v>67.026200000000003</v>
      </c>
      <c r="B1656">
        <v>85.138999999999996</v>
      </c>
      <c r="C1656">
        <v>1.0463199999999999</v>
      </c>
      <c r="D1656">
        <v>0.02</v>
      </c>
      <c r="E1656">
        <v>0.04</v>
      </c>
      <c r="F1656">
        <v>3.1549100000000001</v>
      </c>
      <c r="G1656">
        <v>3.4509799999999999</v>
      </c>
      <c r="H1656">
        <v>0</v>
      </c>
      <c r="I1656">
        <v>0.59119200000000005</v>
      </c>
      <c r="J1656">
        <v>5.3222399999999999</v>
      </c>
      <c r="K1656" s="2">
        <v>192682000</v>
      </c>
      <c r="L1656" s="1">
        <v>0</v>
      </c>
      <c r="M1656" s="1">
        <v>0</v>
      </c>
      <c r="N1656" s="1">
        <v>0</v>
      </c>
      <c r="O1656" s="1">
        <v>0</v>
      </c>
      <c r="P1656" s="2">
        <v>4716510</v>
      </c>
      <c r="Q1656" s="1">
        <v>-45218</v>
      </c>
      <c r="R1656" s="1">
        <v>399985</v>
      </c>
      <c r="S1656">
        <v>94.103899999999996</v>
      </c>
      <c r="T1656">
        <v>98.274000000000001</v>
      </c>
      <c r="U1656">
        <v>1.9716800000000001</v>
      </c>
      <c r="V1656">
        <v>0</v>
      </c>
      <c r="W1656">
        <v>1</v>
      </c>
      <c r="X1656">
        <v>2.4340700000000002</v>
      </c>
      <c r="Y1656">
        <v>2.1379999999999999</v>
      </c>
      <c r="Z1656">
        <v>0</v>
      </c>
      <c r="AA1656">
        <v>1.88056</v>
      </c>
      <c r="AB1656">
        <v>2.9635199999999999</v>
      </c>
      <c r="AC1656" s="2">
        <v>840495000</v>
      </c>
      <c r="AD1656" s="1">
        <v>0</v>
      </c>
      <c r="AE1656" s="1">
        <v>0</v>
      </c>
      <c r="AF1656" s="1">
        <v>0</v>
      </c>
      <c r="AG1656" s="1">
        <v>0</v>
      </c>
      <c r="AH1656" s="2">
        <v>6297520</v>
      </c>
      <c r="AI1656" s="1">
        <v>946306</v>
      </c>
      <c r="AJ1656" s="1">
        <v>0</v>
      </c>
      <c r="AK1656" s="8">
        <f t="shared" si="103"/>
        <v>43</v>
      </c>
      <c r="AL1656" s="8">
        <f t="shared" si="102"/>
        <v>32</v>
      </c>
      <c r="AM1656">
        <f t="shared" si="100"/>
        <v>0</v>
      </c>
      <c r="AN1656">
        <f t="shared" si="101"/>
        <v>0</v>
      </c>
    </row>
    <row r="1657" spans="1:40" x14ac:dyDescent="0.35">
      <c r="A1657">
        <v>64.942499999999995</v>
      </c>
      <c r="B1657">
        <v>85.138999999999996</v>
      </c>
      <c r="C1657">
        <v>1.0451999999999999</v>
      </c>
      <c r="D1657">
        <v>0.02</v>
      </c>
      <c r="E1657">
        <v>0.04</v>
      </c>
      <c r="F1657">
        <v>3.1551100000000001</v>
      </c>
      <c r="G1657">
        <v>3.4510999999999998</v>
      </c>
      <c r="H1657">
        <v>0</v>
      </c>
      <c r="I1657">
        <v>0.59123000000000003</v>
      </c>
      <c r="J1657">
        <v>5.3222399999999999</v>
      </c>
      <c r="K1657" s="2">
        <v>192637000</v>
      </c>
      <c r="L1657" s="1">
        <v>0</v>
      </c>
      <c r="M1657" s="1">
        <v>0</v>
      </c>
      <c r="N1657" s="1">
        <v>0</v>
      </c>
      <c r="O1657" s="1">
        <v>0</v>
      </c>
      <c r="P1657" s="2">
        <v>4716810</v>
      </c>
      <c r="Q1657" s="1">
        <v>-45101.2</v>
      </c>
      <c r="R1657" s="1">
        <v>399881</v>
      </c>
      <c r="S1657">
        <v>93.835999999999999</v>
      </c>
      <c r="T1657">
        <v>98.274000000000001</v>
      </c>
      <c r="U1657">
        <v>3.5602299999999998</v>
      </c>
      <c r="V1657">
        <v>0</v>
      </c>
      <c r="W1657">
        <v>1</v>
      </c>
      <c r="X1657">
        <v>2.4340700000000002</v>
      </c>
      <c r="Y1657">
        <v>2.13808</v>
      </c>
      <c r="Z1657">
        <v>0</v>
      </c>
      <c r="AA1657">
        <v>1.88056</v>
      </c>
      <c r="AB1657">
        <v>2.9635199999999999</v>
      </c>
      <c r="AC1657" s="2">
        <v>841442000</v>
      </c>
      <c r="AD1657" s="1">
        <v>0</v>
      </c>
      <c r="AE1657" s="1">
        <v>0</v>
      </c>
      <c r="AF1657" s="1">
        <v>0</v>
      </c>
      <c r="AG1657" s="1">
        <v>0</v>
      </c>
      <c r="AH1657" s="2">
        <v>6297520</v>
      </c>
      <c r="AI1657" s="1">
        <v>946114</v>
      </c>
      <c r="AJ1657" s="1">
        <v>0</v>
      </c>
      <c r="AK1657" s="8">
        <f t="shared" si="103"/>
        <v>44</v>
      </c>
      <c r="AL1657" s="8">
        <f t="shared" si="102"/>
        <v>32</v>
      </c>
      <c r="AM1657">
        <f t="shared" si="100"/>
        <v>0</v>
      </c>
      <c r="AN1657">
        <f t="shared" si="101"/>
        <v>0</v>
      </c>
    </row>
    <row r="1658" spans="1:40" x14ac:dyDescent="0.35">
      <c r="A1658">
        <v>62.950200000000002</v>
      </c>
      <c r="B1658">
        <v>85.138999999999996</v>
      </c>
      <c r="C1658">
        <v>1.02217</v>
      </c>
      <c r="D1658">
        <v>0.02</v>
      </c>
      <c r="E1658">
        <v>0.04</v>
      </c>
      <c r="F1658">
        <v>3.0500099999999999</v>
      </c>
      <c r="G1658">
        <v>3.34592</v>
      </c>
      <c r="H1658">
        <v>0</v>
      </c>
      <c r="I1658">
        <v>0.59126699999999999</v>
      </c>
      <c r="J1658">
        <v>5.3222399999999999</v>
      </c>
      <c r="K1658" s="2">
        <v>192581000</v>
      </c>
      <c r="L1658" s="1">
        <v>0</v>
      </c>
      <c r="M1658" s="1">
        <v>0</v>
      </c>
      <c r="N1658" s="1">
        <v>0</v>
      </c>
      <c r="O1658" s="1">
        <v>0</v>
      </c>
      <c r="P1658" s="2">
        <v>4559690</v>
      </c>
      <c r="Q1658" s="1">
        <v>-55809.599999999999</v>
      </c>
      <c r="R1658" s="1">
        <v>399777</v>
      </c>
      <c r="S1658">
        <v>93.285499999999999</v>
      </c>
      <c r="T1658">
        <v>98.274000000000001</v>
      </c>
      <c r="U1658">
        <v>2.3482500000000002</v>
      </c>
      <c r="V1658">
        <v>0</v>
      </c>
      <c r="W1658">
        <v>1</v>
      </c>
      <c r="X1658">
        <v>2.3311899999999999</v>
      </c>
      <c r="Y1658">
        <v>2.0352800000000002</v>
      </c>
      <c r="Z1658">
        <v>0</v>
      </c>
      <c r="AA1658">
        <v>1.88056</v>
      </c>
      <c r="AB1658">
        <v>2.9635199999999999</v>
      </c>
      <c r="AC1658" s="2">
        <v>842379000</v>
      </c>
      <c r="AD1658" s="1">
        <v>0</v>
      </c>
      <c r="AE1658" s="1">
        <v>0</v>
      </c>
      <c r="AF1658" s="1">
        <v>0</v>
      </c>
      <c r="AG1658" s="1">
        <v>0</v>
      </c>
      <c r="AH1658" s="2">
        <v>6031350</v>
      </c>
      <c r="AI1658" s="1">
        <v>937245</v>
      </c>
      <c r="AJ1658" s="1">
        <v>0</v>
      </c>
      <c r="AK1658" s="8">
        <f t="shared" si="103"/>
        <v>45</v>
      </c>
      <c r="AL1658" s="8">
        <f t="shared" si="102"/>
        <v>32</v>
      </c>
      <c r="AM1658">
        <f t="shared" si="100"/>
        <v>0</v>
      </c>
      <c r="AN1658">
        <f t="shared" si="101"/>
        <v>0</v>
      </c>
    </row>
    <row r="1659" spans="1:40" x14ac:dyDescent="0.35">
      <c r="A1659">
        <v>60.8217</v>
      </c>
      <c r="B1659">
        <v>85.138999999999996</v>
      </c>
      <c r="C1659">
        <v>0.85287599999999997</v>
      </c>
      <c r="D1659">
        <v>0.02</v>
      </c>
      <c r="E1659">
        <v>0.04</v>
      </c>
      <c r="F1659">
        <v>3.0436399999999999</v>
      </c>
      <c r="G1659">
        <v>3.3460399999999999</v>
      </c>
      <c r="H1659">
        <v>0</v>
      </c>
      <c r="I1659">
        <v>0.57157199999999997</v>
      </c>
      <c r="J1659">
        <v>5.3222399999999999</v>
      </c>
      <c r="K1659" s="2">
        <v>192517000</v>
      </c>
      <c r="L1659" s="1">
        <v>0</v>
      </c>
      <c r="M1659" s="1">
        <v>0</v>
      </c>
      <c r="N1659" s="1">
        <v>0</v>
      </c>
      <c r="O1659" s="1">
        <v>0</v>
      </c>
      <c r="P1659" s="2">
        <v>4550170</v>
      </c>
      <c r="Q1659" s="1">
        <v>-64558.7</v>
      </c>
      <c r="R1659" s="1">
        <v>408539</v>
      </c>
      <c r="S1659">
        <v>92.688500000000005</v>
      </c>
      <c r="T1659">
        <v>98.274000000000001</v>
      </c>
      <c r="U1659">
        <v>2.0949399999999998</v>
      </c>
      <c r="V1659">
        <v>0</v>
      </c>
      <c r="W1659">
        <v>1</v>
      </c>
      <c r="X1659">
        <v>2.3377500000000002</v>
      </c>
      <c r="Y1659">
        <v>2.0353500000000002</v>
      </c>
      <c r="Z1659">
        <v>0</v>
      </c>
      <c r="AA1659">
        <v>1.80108</v>
      </c>
      <c r="AB1659">
        <v>2.9635199999999999</v>
      </c>
      <c r="AC1659" s="2">
        <v>843333000</v>
      </c>
      <c r="AD1659" s="1">
        <v>0</v>
      </c>
      <c r="AE1659" s="1">
        <v>0</v>
      </c>
      <c r="AF1659" s="1">
        <v>0</v>
      </c>
      <c r="AG1659" s="1">
        <v>0</v>
      </c>
      <c r="AH1659" s="2">
        <v>6048320</v>
      </c>
      <c r="AI1659" s="1">
        <v>954030</v>
      </c>
      <c r="AJ1659" s="1">
        <v>0</v>
      </c>
      <c r="AK1659" s="8">
        <f t="shared" si="103"/>
        <v>46</v>
      </c>
      <c r="AL1659" s="8">
        <f t="shared" si="102"/>
        <v>32</v>
      </c>
      <c r="AM1659">
        <f t="shared" si="100"/>
        <v>0</v>
      </c>
      <c r="AN1659">
        <f t="shared" si="101"/>
        <v>0</v>
      </c>
    </row>
    <row r="1660" spans="1:40" x14ac:dyDescent="0.35">
      <c r="A1660">
        <v>59.304099999999998</v>
      </c>
      <c r="B1660">
        <v>85.138999999999996</v>
      </c>
      <c r="C1660">
        <v>1.5780799999999999</v>
      </c>
      <c r="D1660">
        <v>0.02</v>
      </c>
      <c r="E1660">
        <v>0.04</v>
      </c>
      <c r="F1660">
        <v>3.0437599999999998</v>
      </c>
      <c r="G1660">
        <v>3.3461599999999998</v>
      </c>
      <c r="H1660">
        <v>0</v>
      </c>
      <c r="I1660">
        <v>0.57037899999999997</v>
      </c>
      <c r="J1660">
        <v>5.3222399999999999</v>
      </c>
      <c r="K1660" s="2">
        <v>192452000</v>
      </c>
      <c r="L1660" s="1">
        <v>0</v>
      </c>
      <c r="M1660" s="1">
        <v>0</v>
      </c>
      <c r="N1660" s="1">
        <v>0</v>
      </c>
      <c r="O1660" s="1">
        <v>0</v>
      </c>
      <c r="P1660" s="2">
        <v>4550350</v>
      </c>
      <c r="Q1660" s="1">
        <v>-64546.3</v>
      </c>
      <c r="R1660" s="1">
        <v>408539</v>
      </c>
      <c r="S1660">
        <v>92.360900000000001</v>
      </c>
      <c r="T1660">
        <v>98.274000000000001</v>
      </c>
      <c r="U1660">
        <v>2.8499500000000002</v>
      </c>
      <c r="V1660">
        <v>0</v>
      </c>
      <c r="W1660">
        <v>1</v>
      </c>
      <c r="X1660">
        <v>2.3378199999999998</v>
      </c>
      <c r="Y1660">
        <v>2.0354199999999998</v>
      </c>
      <c r="Z1660">
        <v>0</v>
      </c>
      <c r="AA1660">
        <v>1.8061499999999999</v>
      </c>
      <c r="AB1660">
        <v>2.9635199999999999</v>
      </c>
      <c r="AC1660" s="2">
        <v>844287000</v>
      </c>
      <c r="AD1660" s="1">
        <v>0</v>
      </c>
      <c r="AE1660" s="1">
        <v>0</v>
      </c>
      <c r="AF1660" s="1">
        <v>0</v>
      </c>
      <c r="AG1660" s="1">
        <v>0</v>
      </c>
      <c r="AH1660" s="2">
        <v>6048510</v>
      </c>
      <c r="AI1660" s="1">
        <v>954036</v>
      </c>
      <c r="AJ1660" s="1">
        <v>0</v>
      </c>
      <c r="AK1660" s="8">
        <f t="shared" si="103"/>
        <v>47</v>
      </c>
      <c r="AL1660" s="8">
        <f t="shared" si="102"/>
        <v>32</v>
      </c>
      <c r="AM1660">
        <f t="shared" si="100"/>
        <v>0</v>
      </c>
      <c r="AN1660">
        <f t="shared" si="101"/>
        <v>0</v>
      </c>
    </row>
    <row r="1661" spans="1:40" x14ac:dyDescent="0.35">
      <c r="A1661">
        <v>59.115400000000001</v>
      </c>
      <c r="B1661">
        <v>85.138999999999996</v>
      </c>
      <c r="C1661">
        <v>3.0502699999999998</v>
      </c>
      <c r="D1661">
        <v>0.04</v>
      </c>
      <c r="E1661">
        <v>0.04</v>
      </c>
      <c r="F1661">
        <v>3.0438900000000002</v>
      </c>
      <c r="G1661">
        <v>3.3462900000000002</v>
      </c>
      <c r="H1661">
        <v>0</v>
      </c>
      <c r="I1661">
        <v>0.57040199999999996</v>
      </c>
      <c r="J1661">
        <v>5.3222399999999999</v>
      </c>
      <c r="K1661" s="2">
        <v>192388000</v>
      </c>
      <c r="L1661" s="1">
        <v>0</v>
      </c>
      <c r="M1661" s="1">
        <v>0</v>
      </c>
      <c r="N1661" s="1">
        <v>0</v>
      </c>
      <c r="O1661" s="1">
        <v>0</v>
      </c>
      <c r="P1661" s="2">
        <v>4550530</v>
      </c>
      <c r="Q1661" s="1">
        <v>-64533.9</v>
      </c>
      <c r="R1661" s="1">
        <v>408539</v>
      </c>
      <c r="S1661">
        <v>92.325400000000002</v>
      </c>
      <c r="T1661">
        <v>98.274000000000001</v>
      </c>
      <c r="U1661">
        <v>3.88184</v>
      </c>
      <c r="V1661">
        <v>0</v>
      </c>
      <c r="W1661">
        <v>1</v>
      </c>
      <c r="X1661">
        <v>2.3378999999999999</v>
      </c>
      <c r="Y1661">
        <v>2.0354999999999999</v>
      </c>
      <c r="Z1661">
        <v>0</v>
      </c>
      <c r="AA1661">
        <v>1.8062</v>
      </c>
      <c r="AB1661">
        <v>2.9635199999999999</v>
      </c>
      <c r="AC1661" s="2">
        <v>845241000</v>
      </c>
      <c r="AD1661" s="1">
        <v>0</v>
      </c>
      <c r="AE1661" s="1">
        <v>0</v>
      </c>
      <c r="AF1661" s="1">
        <v>0</v>
      </c>
      <c r="AG1661" s="1">
        <v>0</v>
      </c>
      <c r="AH1661" s="2">
        <v>6048700</v>
      </c>
      <c r="AI1661" s="1">
        <v>954042</v>
      </c>
      <c r="AJ1661" s="1">
        <v>0</v>
      </c>
      <c r="AK1661" s="8">
        <f t="shared" si="103"/>
        <v>48</v>
      </c>
      <c r="AL1661" s="8">
        <f t="shared" si="102"/>
        <v>32</v>
      </c>
      <c r="AM1661">
        <f t="shared" si="100"/>
        <v>0</v>
      </c>
      <c r="AN1661">
        <f t="shared" si="101"/>
        <v>0</v>
      </c>
    </row>
    <row r="1662" spans="1:40" x14ac:dyDescent="0.35">
      <c r="A1662">
        <v>57.169600000000003</v>
      </c>
      <c r="B1662">
        <v>85.138999999999996</v>
      </c>
      <c r="C1662">
        <v>1.05491</v>
      </c>
      <c r="D1662">
        <v>0.03</v>
      </c>
      <c r="E1662">
        <v>0.04</v>
      </c>
      <c r="F1662">
        <v>2.95756</v>
      </c>
      <c r="G1662">
        <v>3.25996</v>
      </c>
      <c r="H1662">
        <v>0</v>
      </c>
      <c r="I1662">
        <v>0.57042400000000004</v>
      </c>
      <c r="J1662">
        <v>5.3222399999999999</v>
      </c>
      <c r="K1662" s="2">
        <v>192314000</v>
      </c>
      <c r="L1662" s="1">
        <v>0</v>
      </c>
      <c r="M1662" s="1">
        <v>0</v>
      </c>
      <c r="N1662" s="1">
        <v>0</v>
      </c>
      <c r="O1662" s="1">
        <v>0</v>
      </c>
      <c r="P1662" s="2">
        <v>4421480</v>
      </c>
      <c r="Q1662" s="1">
        <v>-73408.3</v>
      </c>
      <c r="R1662" s="1">
        <v>408539</v>
      </c>
      <c r="S1662">
        <v>91.587000000000003</v>
      </c>
      <c r="T1662">
        <v>98.274000000000001</v>
      </c>
      <c r="U1662">
        <v>2.36639</v>
      </c>
      <c r="V1662">
        <v>0</v>
      </c>
      <c r="W1662">
        <v>1</v>
      </c>
      <c r="X1662">
        <v>2.24431</v>
      </c>
      <c r="Y1662">
        <v>1.94191</v>
      </c>
      <c r="Z1662">
        <v>0</v>
      </c>
      <c r="AA1662">
        <v>1.80626</v>
      </c>
      <c r="AB1662">
        <v>2.9635199999999999</v>
      </c>
      <c r="AC1662" s="2">
        <v>846187000</v>
      </c>
      <c r="AD1662" s="1">
        <v>0</v>
      </c>
      <c r="AE1662" s="1">
        <v>0</v>
      </c>
      <c r="AF1662" s="1">
        <v>0</v>
      </c>
      <c r="AG1662" s="1">
        <v>0</v>
      </c>
      <c r="AH1662" s="2">
        <v>5806580</v>
      </c>
      <c r="AI1662" s="1">
        <v>946150</v>
      </c>
      <c r="AJ1662" s="1">
        <v>0</v>
      </c>
      <c r="AK1662" s="8">
        <f t="shared" si="103"/>
        <v>49</v>
      </c>
      <c r="AL1662" s="8">
        <f t="shared" si="102"/>
        <v>32</v>
      </c>
      <c r="AM1662">
        <f t="shared" si="100"/>
        <v>0</v>
      </c>
      <c r="AN1662">
        <f t="shared" si="101"/>
        <v>0</v>
      </c>
    </row>
    <row r="1663" spans="1:40" x14ac:dyDescent="0.35">
      <c r="A1663">
        <v>55.323099999999997</v>
      </c>
      <c r="B1663">
        <v>85.138999999999996</v>
      </c>
      <c r="C1663">
        <v>1.1327799999999999</v>
      </c>
      <c r="D1663">
        <v>0.03</v>
      </c>
      <c r="E1663">
        <v>0.04</v>
      </c>
      <c r="F1663">
        <v>2.9576799999999999</v>
      </c>
      <c r="G1663">
        <v>3.2600799999999999</v>
      </c>
      <c r="H1663">
        <v>0</v>
      </c>
      <c r="I1663">
        <v>0.55424700000000005</v>
      </c>
      <c r="J1663">
        <v>5.3222399999999999</v>
      </c>
      <c r="K1663" s="2">
        <v>192241000</v>
      </c>
      <c r="L1663" s="1">
        <v>0</v>
      </c>
      <c r="M1663" s="1">
        <v>0</v>
      </c>
      <c r="N1663" s="1">
        <v>0</v>
      </c>
      <c r="O1663" s="1">
        <v>0</v>
      </c>
      <c r="P1663" s="2">
        <v>4421650</v>
      </c>
      <c r="Q1663" s="1">
        <v>-73396.3</v>
      </c>
      <c r="R1663" s="1">
        <v>408539</v>
      </c>
      <c r="S1663">
        <v>91.149199999999993</v>
      </c>
      <c r="T1663">
        <v>98.274000000000001</v>
      </c>
      <c r="U1663">
        <v>1.57694</v>
      </c>
      <c r="V1663">
        <v>0</v>
      </c>
      <c r="W1663">
        <v>1</v>
      </c>
      <c r="X1663">
        <v>2.24438</v>
      </c>
      <c r="Y1663">
        <v>1.94198</v>
      </c>
      <c r="Z1663">
        <v>0</v>
      </c>
      <c r="AA1663">
        <v>1.7339599999999999</v>
      </c>
      <c r="AB1663">
        <v>2.9635199999999999</v>
      </c>
      <c r="AC1663" s="2">
        <v>847133000</v>
      </c>
      <c r="AD1663" s="1">
        <v>0</v>
      </c>
      <c r="AE1663" s="1">
        <v>0</v>
      </c>
      <c r="AF1663" s="1">
        <v>0</v>
      </c>
      <c r="AG1663" s="1">
        <v>0</v>
      </c>
      <c r="AH1663" s="2">
        <v>5806760</v>
      </c>
      <c r="AI1663" s="1">
        <v>946156</v>
      </c>
      <c r="AJ1663" s="1">
        <v>0</v>
      </c>
      <c r="AK1663" s="8">
        <f t="shared" si="103"/>
        <v>50</v>
      </c>
      <c r="AL1663" s="8">
        <f t="shared" si="102"/>
        <v>32</v>
      </c>
      <c r="AM1663">
        <f t="shared" si="100"/>
        <v>0</v>
      </c>
      <c r="AN1663">
        <f t="shared" si="101"/>
        <v>0</v>
      </c>
    </row>
    <row r="1664" spans="1:40" x14ac:dyDescent="0.35">
      <c r="A1664">
        <v>55.012599999999999</v>
      </c>
      <c r="B1664">
        <v>85.138999999999996</v>
      </c>
      <c r="C1664">
        <v>2.7171599999999998</v>
      </c>
      <c r="D1664">
        <v>0.03</v>
      </c>
      <c r="E1664">
        <v>0.04</v>
      </c>
      <c r="F1664">
        <v>2.9577900000000001</v>
      </c>
      <c r="G1664">
        <v>3.2601900000000001</v>
      </c>
      <c r="H1664">
        <v>0</v>
      </c>
      <c r="I1664">
        <v>0.55426900000000001</v>
      </c>
      <c r="J1664">
        <v>5.3222399999999999</v>
      </c>
      <c r="K1664" s="2">
        <v>192168000</v>
      </c>
      <c r="L1664" s="1">
        <v>0</v>
      </c>
      <c r="M1664" s="1">
        <v>0</v>
      </c>
      <c r="N1664" s="1">
        <v>0</v>
      </c>
      <c r="O1664" s="1">
        <v>0</v>
      </c>
      <c r="P1664" s="2">
        <v>4421830</v>
      </c>
      <c r="Q1664" s="1">
        <v>-73384.2</v>
      </c>
      <c r="R1664" s="1">
        <v>408539</v>
      </c>
      <c r="S1664">
        <v>91.241900000000001</v>
      </c>
      <c r="T1664">
        <v>98.274000000000001</v>
      </c>
      <c r="U1664">
        <v>3.9390100000000001</v>
      </c>
      <c r="V1664">
        <v>0</v>
      </c>
      <c r="W1664">
        <v>1</v>
      </c>
      <c r="X1664">
        <v>2.2444500000000001</v>
      </c>
      <c r="Y1664">
        <v>1.9420500000000001</v>
      </c>
      <c r="Z1664">
        <v>0</v>
      </c>
      <c r="AA1664">
        <v>1.7340100000000001</v>
      </c>
      <c r="AB1664">
        <v>2.9635199999999999</v>
      </c>
      <c r="AC1664" s="2">
        <v>848079000</v>
      </c>
      <c r="AD1664" s="1">
        <v>0</v>
      </c>
      <c r="AE1664" s="1">
        <v>0</v>
      </c>
      <c r="AF1664" s="1">
        <v>0</v>
      </c>
      <c r="AG1664" s="1">
        <v>0</v>
      </c>
      <c r="AH1664" s="2">
        <v>5806940</v>
      </c>
      <c r="AI1664" s="1">
        <v>946162</v>
      </c>
      <c r="AJ1664" s="1">
        <v>0</v>
      </c>
      <c r="AK1664" s="8">
        <f t="shared" si="103"/>
        <v>51</v>
      </c>
      <c r="AL1664" s="8">
        <f t="shared" si="102"/>
        <v>32</v>
      </c>
      <c r="AM1664">
        <f t="shared" si="100"/>
        <v>0</v>
      </c>
      <c r="AN1664">
        <f t="shared" si="101"/>
        <v>0</v>
      </c>
    </row>
    <row r="1665" spans="1:40" x14ac:dyDescent="0.35">
      <c r="A1665">
        <v>55.697099999999999</v>
      </c>
      <c r="B1665">
        <v>85.138999999999996</v>
      </c>
      <c r="C1665">
        <v>3.8041399999999999</v>
      </c>
      <c r="D1665">
        <v>0.04</v>
      </c>
      <c r="E1665">
        <v>0.04</v>
      </c>
      <c r="F1665">
        <v>2.95791</v>
      </c>
      <c r="G1665">
        <v>3.26031</v>
      </c>
      <c r="H1665">
        <v>0</v>
      </c>
      <c r="I1665">
        <v>0.55429099999999998</v>
      </c>
      <c r="J1665">
        <v>5.3222399999999999</v>
      </c>
      <c r="K1665" s="2">
        <v>192094000</v>
      </c>
      <c r="L1665" s="1">
        <v>0</v>
      </c>
      <c r="M1665" s="1">
        <v>0</v>
      </c>
      <c r="N1665" s="1">
        <v>0</v>
      </c>
      <c r="O1665" s="1">
        <v>0</v>
      </c>
      <c r="P1665" s="2">
        <v>4422000</v>
      </c>
      <c r="Q1665" s="1">
        <v>-73372.2</v>
      </c>
      <c r="R1665" s="1">
        <v>408539</v>
      </c>
      <c r="S1665">
        <v>91.715100000000007</v>
      </c>
      <c r="T1665">
        <v>98.274000000000001</v>
      </c>
      <c r="U1665">
        <v>6.4489900000000002</v>
      </c>
      <c r="V1665">
        <v>0</v>
      </c>
      <c r="W1665">
        <v>1</v>
      </c>
      <c r="X1665">
        <v>2.2445200000000001</v>
      </c>
      <c r="Y1665">
        <v>1.9421200000000001</v>
      </c>
      <c r="Z1665">
        <v>0</v>
      </c>
      <c r="AA1665">
        <v>1.73407</v>
      </c>
      <c r="AB1665">
        <v>2.9635199999999999</v>
      </c>
      <c r="AC1665" s="2">
        <v>849025000</v>
      </c>
      <c r="AD1665" s="1">
        <v>0</v>
      </c>
      <c r="AE1665" s="1">
        <v>0</v>
      </c>
      <c r="AF1665" s="1">
        <v>0</v>
      </c>
      <c r="AG1665" s="1">
        <v>0</v>
      </c>
      <c r="AH1665" s="2">
        <v>5807120</v>
      </c>
      <c r="AI1665" s="1">
        <v>946168</v>
      </c>
      <c r="AJ1665" s="1">
        <v>0</v>
      </c>
      <c r="AK1665" s="8">
        <f t="shared" si="103"/>
        <v>52</v>
      </c>
      <c r="AL1665" s="8">
        <f t="shared" si="102"/>
        <v>32</v>
      </c>
      <c r="AM1665">
        <f t="shared" si="100"/>
        <v>849025000</v>
      </c>
      <c r="AN1665">
        <f t="shared" si="101"/>
        <v>192094000</v>
      </c>
    </row>
    <row r="1666" spans="1:40" x14ac:dyDescent="0.35">
      <c r="A1666">
        <v>57.9223</v>
      </c>
      <c r="B1666">
        <v>85.138999999999996</v>
      </c>
      <c r="C1666">
        <v>5.1979899999999999</v>
      </c>
      <c r="D1666">
        <v>0.04</v>
      </c>
      <c r="E1666">
        <v>0.04</v>
      </c>
      <c r="F1666">
        <v>2.7124799999999998</v>
      </c>
      <c r="G1666">
        <v>3.0148799999999998</v>
      </c>
      <c r="H1666">
        <v>0</v>
      </c>
      <c r="I1666">
        <v>0.55431299999999994</v>
      </c>
      <c r="J1666">
        <v>5.3222399999999999</v>
      </c>
      <c r="K1666" s="2">
        <v>191996000</v>
      </c>
      <c r="L1666" s="1">
        <v>0</v>
      </c>
      <c r="M1666" s="1">
        <v>0</v>
      </c>
      <c r="N1666" s="1">
        <v>0</v>
      </c>
      <c r="O1666" s="1">
        <v>0</v>
      </c>
      <c r="P1666" s="2">
        <v>4055090</v>
      </c>
      <c r="Q1666" s="1">
        <v>-98602.9</v>
      </c>
      <c r="R1666" s="1">
        <v>408539</v>
      </c>
      <c r="S1666">
        <v>92.670299999999997</v>
      </c>
      <c r="T1666">
        <v>98.274000000000001</v>
      </c>
      <c r="U1666">
        <v>6.78064</v>
      </c>
      <c r="V1666">
        <v>0</v>
      </c>
      <c r="W1666">
        <v>1</v>
      </c>
      <c r="X1666">
        <v>2.0495100000000002</v>
      </c>
      <c r="Y1666">
        <v>1.7471099999999999</v>
      </c>
      <c r="Z1666">
        <v>0</v>
      </c>
      <c r="AA1666">
        <v>1.7341200000000001</v>
      </c>
      <c r="AB1666">
        <v>2.9635199999999999</v>
      </c>
      <c r="AC1666" s="2">
        <v>849955000</v>
      </c>
      <c r="AD1666" s="1">
        <v>0</v>
      </c>
      <c r="AE1666" s="1">
        <v>0</v>
      </c>
      <c r="AF1666" s="1">
        <v>0</v>
      </c>
      <c r="AG1666" s="1">
        <v>0</v>
      </c>
      <c r="AH1666" s="2">
        <v>5302560</v>
      </c>
      <c r="AI1666" s="1">
        <v>929721</v>
      </c>
      <c r="AJ1666" s="1">
        <v>0</v>
      </c>
      <c r="AK1666" s="8">
        <f t="shared" si="103"/>
        <v>1</v>
      </c>
      <c r="AL1666" s="8">
        <f t="shared" si="102"/>
        <v>33</v>
      </c>
      <c r="AM1666">
        <f t="shared" si="100"/>
        <v>0</v>
      </c>
      <c r="AN1666">
        <f t="shared" si="101"/>
        <v>0</v>
      </c>
    </row>
    <row r="1667" spans="1:40" x14ac:dyDescent="0.35">
      <c r="A1667">
        <v>58.259599999999999</v>
      </c>
      <c r="B1667">
        <v>85.138999999999996</v>
      </c>
      <c r="C1667">
        <v>3.2856100000000001</v>
      </c>
      <c r="D1667">
        <v>0.04</v>
      </c>
      <c r="E1667">
        <v>0.04</v>
      </c>
      <c r="F1667">
        <v>2.7125900000000001</v>
      </c>
      <c r="G1667">
        <v>3.0149900000000001</v>
      </c>
      <c r="H1667">
        <v>0</v>
      </c>
      <c r="I1667">
        <v>0.50831899999999997</v>
      </c>
      <c r="J1667">
        <v>5.3222399999999999</v>
      </c>
      <c r="K1667" s="2">
        <v>191897000</v>
      </c>
      <c r="L1667" s="1">
        <v>0</v>
      </c>
      <c r="M1667" s="1">
        <v>0</v>
      </c>
      <c r="N1667" s="1">
        <v>0</v>
      </c>
      <c r="O1667" s="1">
        <v>0</v>
      </c>
      <c r="P1667" s="2">
        <v>4055250</v>
      </c>
      <c r="Q1667" s="1">
        <v>-98591.7</v>
      </c>
      <c r="R1667" s="1">
        <v>408539</v>
      </c>
      <c r="S1667">
        <v>93.105199999999996</v>
      </c>
      <c r="T1667">
        <v>98.274000000000001</v>
      </c>
      <c r="U1667">
        <v>5.4216499999999996</v>
      </c>
      <c r="V1667">
        <v>0</v>
      </c>
      <c r="W1667">
        <v>1</v>
      </c>
      <c r="X1667">
        <v>2.0495700000000001</v>
      </c>
      <c r="Y1667">
        <v>1.7471699999999999</v>
      </c>
      <c r="Z1667">
        <v>0</v>
      </c>
      <c r="AA1667">
        <v>1.58345</v>
      </c>
      <c r="AB1667">
        <v>2.9635199999999999</v>
      </c>
      <c r="AC1667" s="2">
        <v>850885000</v>
      </c>
      <c r="AD1667" s="1">
        <v>0</v>
      </c>
      <c r="AE1667" s="1">
        <v>0</v>
      </c>
      <c r="AF1667" s="1">
        <v>0</v>
      </c>
      <c r="AG1667" s="1">
        <v>0</v>
      </c>
      <c r="AH1667" s="2">
        <v>5302730</v>
      </c>
      <c r="AI1667" s="1">
        <v>929727</v>
      </c>
      <c r="AJ1667" s="1">
        <v>0</v>
      </c>
      <c r="AK1667" s="8">
        <f t="shared" si="103"/>
        <v>2</v>
      </c>
      <c r="AL1667" s="8">
        <f t="shared" si="102"/>
        <v>33</v>
      </c>
      <c r="AM1667">
        <f t="shared" ref="AM1667:AM1730" si="104">IF(AK1667=52,AC1667,0)</f>
        <v>0</v>
      </c>
      <c r="AN1667">
        <f t="shared" ref="AN1667:AN1730" si="105">IF(AK1667=52,K1667,0)</f>
        <v>0</v>
      </c>
    </row>
    <row r="1668" spans="1:40" x14ac:dyDescent="0.35">
      <c r="A1668">
        <v>57.753300000000003</v>
      </c>
      <c r="B1668">
        <v>85.138999999999996</v>
      </c>
      <c r="C1668">
        <v>2.33291</v>
      </c>
      <c r="D1668">
        <v>0.05</v>
      </c>
      <c r="E1668">
        <v>0.04</v>
      </c>
      <c r="F1668">
        <v>2.7126999999999999</v>
      </c>
      <c r="G1668">
        <v>3.0150999999999999</v>
      </c>
      <c r="H1668">
        <v>0</v>
      </c>
      <c r="I1668">
        <v>0.50833899999999999</v>
      </c>
      <c r="J1668">
        <v>5.3222399999999999</v>
      </c>
      <c r="K1668" s="2">
        <v>191799000</v>
      </c>
      <c r="L1668" s="1">
        <v>0</v>
      </c>
      <c r="M1668" s="1">
        <v>0</v>
      </c>
      <c r="N1668" s="1">
        <v>0</v>
      </c>
      <c r="O1668" s="1">
        <v>0</v>
      </c>
      <c r="P1668" s="2">
        <v>4055420</v>
      </c>
      <c r="Q1668" s="1">
        <v>-98580.6</v>
      </c>
      <c r="R1668" s="1">
        <v>408539</v>
      </c>
      <c r="S1668">
        <v>93.011399999999995</v>
      </c>
      <c r="T1668">
        <v>98.274000000000001</v>
      </c>
      <c r="U1668">
        <v>3.4452500000000001</v>
      </c>
      <c r="V1668">
        <v>0</v>
      </c>
      <c r="W1668">
        <v>1</v>
      </c>
      <c r="X1668">
        <v>2.0496300000000001</v>
      </c>
      <c r="Y1668">
        <v>1.7472300000000001</v>
      </c>
      <c r="Z1668">
        <v>0</v>
      </c>
      <c r="AA1668">
        <v>1.5834999999999999</v>
      </c>
      <c r="AB1668">
        <v>2.9635199999999999</v>
      </c>
      <c r="AC1668" s="2">
        <v>851815000</v>
      </c>
      <c r="AD1668" s="1">
        <v>0</v>
      </c>
      <c r="AE1668" s="1">
        <v>0</v>
      </c>
      <c r="AF1668" s="1">
        <v>0</v>
      </c>
      <c r="AG1668" s="1">
        <v>0</v>
      </c>
      <c r="AH1668" s="2">
        <v>5302890</v>
      </c>
      <c r="AI1668" s="1">
        <v>929732</v>
      </c>
      <c r="AJ1668" s="1">
        <v>0</v>
      </c>
      <c r="AK1668" s="8">
        <f t="shared" si="103"/>
        <v>3</v>
      </c>
      <c r="AL1668" s="8">
        <f t="shared" ref="AL1668:AL1731" si="106">IF(AK1667=52,AL1667+1,AL1667)</f>
        <v>33</v>
      </c>
      <c r="AM1668">
        <f t="shared" si="104"/>
        <v>0</v>
      </c>
      <c r="AN1668">
        <f t="shared" si="105"/>
        <v>0</v>
      </c>
    </row>
    <row r="1669" spans="1:40" x14ac:dyDescent="0.35">
      <c r="A1669">
        <v>58.607100000000003</v>
      </c>
      <c r="B1669">
        <v>85.138999999999996</v>
      </c>
      <c r="C1669">
        <v>3.8023699999999998</v>
      </c>
      <c r="D1669">
        <v>0.05</v>
      </c>
      <c r="E1669">
        <v>0.04</v>
      </c>
      <c r="F1669">
        <v>2.7128100000000002</v>
      </c>
      <c r="G1669">
        <v>3.0152100000000002</v>
      </c>
      <c r="H1669">
        <v>0</v>
      </c>
      <c r="I1669">
        <v>0.50836000000000003</v>
      </c>
      <c r="J1669">
        <v>5.3222399999999999</v>
      </c>
      <c r="K1669" s="2">
        <v>191700000</v>
      </c>
      <c r="L1669" s="1">
        <v>0</v>
      </c>
      <c r="M1669" s="1">
        <v>0</v>
      </c>
      <c r="N1669" s="1">
        <v>0</v>
      </c>
      <c r="O1669" s="1">
        <v>0</v>
      </c>
      <c r="P1669" s="2">
        <v>4055580</v>
      </c>
      <c r="Q1669" s="1">
        <v>-98569.4</v>
      </c>
      <c r="R1669" s="1">
        <v>408539</v>
      </c>
      <c r="S1669">
        <v>93.379599999999996</v>
      </c>
      <c r="T1669">
        <v>98.274000000000001</v>
      </c>
      <c r="U1669">
        <v>5.2060700000000004</v>
      </c>
      <c r="V1669">
        <v>0</v>
      </c>
      <c r="W1669">
        <v>1</v>
      </c>
      <c r="X1669">
        <v>2.0497000000000001</v>
      </c>
      <c r="Y1669">
        <v>1.7473000000000001</v>
      </c>
      <c r="Z1669">
        <v>0</v>
      </c>
      <c r="AA1669">
        <v>1.58355</v>
      </c>
      <c r="AB1669">
        <v>2.9635199999999999</v>
      </c>
      <c r="AC1669" s="2">
        <v>852744000</v>
      </c>
      <c r="AD1669" s="1">
        <v>0</v>
      </c>
      <c r="AE1669" s="1">
        <v>0</v>
      </c>
      <c r="AF1669" s="1">
        <v>0</v>
      </c>
      <c r="AG1669" s="1">
        <v>0</v>
      </c>
      <c r="AH1669" s="2">
        <v>5303050</v>
      </c>
      <c r="AI1669" s="1">
        <v>929737</v>
      </c>
      <c r="AJ1669" s="1">
        <v>0</v>
      </c>
      <c r="AK1669" s="8">
        <f t="shared" si="103"/>
        <v>4</v>
      </c>
      <c r="AL1669" s="8">
        <f t="shared" si="106"/>
        <v>33</v>
      </c>
      <c r="AM1669">
        <f t="shared" si="104"/>
        <v>0</v>
      </c>
      <c r="AN1669">
        <f t="shared" si="105"/>
        <v>0</v>
      </c>
    </row>
    <row r="1670" spans="1:40" x14ac:dyDescent="0.35">
      <c r="A1670">
        <v>58.540100000000002</v>
      </c>
      <c r="B1670">
        <v>85.138999999999996</v>
      </c>
      <c r="C1670">
        <v>2.8831500000000001</v>
      </c>
      <c r="D1670">
        <v>0.05</v>
      </c>
      <c r="E1670">
        <v>0.04</v>
      </c>
      <c r="F1670">
        <v>2.71292</v>
      </c>
      <c r="G1670">
        <v>3.01532</v>
      </c>
      <c r="H1670">
        <v>0</v>
      </c>
      <c r="I1670">
        <v>0.50838000000000005</v>
      </c>
      <c r="J1670">
        <v>5.3222399999999999</v>
      </c>
      <c r="K1670" s="2">
        <v>191601000</v>
      </c>
      <c r="L1670" s="1">
        <v>0</v>
      </c>
      <c r="M1670" s="1">
        <v>0</v>
      </c>
      <c r="N1670" s="1">
        <v>0</v>
      </c>
      <c r="O1670" s="1">
        <v>0</v>
      </c>
      <c r="P1670" s="2">
        <v>4055740</v>
      </c>
      <c r="Q1670" s="1">
        <v>-98558.3</v>
      </c>
      <c r="R1670" s="1">
        <v>408539</v>
      </c>
      <c r="S1670">
        <v>93.543300000000002</v>
      </c>
      <c r="T1670">
        <v>98.274000000000001</v>
      </c>
      <c r="U1670">
        <v>4.43743</v>
      </c>
      <c r="V1670">
        <v>0</v>
      </c>
      <c r="W1670">
        <v>1</v>
      </c>
      <c r="X1670">
        <v>2.04976</v>
      </c>
      <c r="Y1670">
        <v>1.74736</v>
      </c>
      <c r="Z1670">
        <v>0</v>
      </c>
      <c r="AA1670">
        <v>1.5835999999999999</v>
      </c>
      <c r="AB1670">
        <v>2.9635199999999999</v>
      </c>
      <c r="AC1670" s="2">
        <v>853674000</v>
      </c>
      <c r="AD1670" s="1">
        <v>0</v>
      </c>
      <c r="AE1670" s="1">
        <v>0</v>
      </c>
      <c r="AF1670" s="1">
        <v>0</v>
      </c>
      <c r="AG1670" s="1">
        <v>0</v>
      </c>
      <c r="AH1670" s="2">
        <v>5303210</v>
      </c>
      <c r="AI1670" s="1">
        <v>929743</v>
      </c>
      <c r="AJ1670" s="1">
        <v>0</v>
      </c>
      <c r="AK1670" s="8">
        <f t="shared" si="103"/>
        <v>5</v>
      </c>
      <c r="AL1670" s="8">
        <f t="shared" si="106"/>
        <v>33</v>
      </c>
      <c r="AM1670">
        <f t="shared" si="104"/>
        <v>0</v>
      </c>
      <c r="AN1670">
        <f t="shared" si="105"/>
        <v>0</v>
      </c>
    </row>
    <row r="1671" spans="1:40" x14ac:dyDescent="0.35">
      <c r="A1671">
        <v>59.677599999999998</v>
      </c>
      <c r="B1671">
        <v>85.138999999999996</v>
      </c>
      <c r="C1671">
        <v>4.2240900000000003</v>
      </c>
      <c r="D1671">
        <v>0.05</v>
      </c>
      <c r="E1671">
        <v>0.04</v>
      </c>
      <c r="F1671">
        <v>2.80748</v>
      </c>
      <c r="G1671">
        <v>3.10988</v>
      </c>
      <c r="H1671">
        <v>0</v>
      </c>
      <c r="I1671">
        <v>0.50839999999999996</v>
      </c>
      <c r="J1671">
        <v>5.3222399999999999</v>
      </c>
      <c r="K1671" s="2">
        <v>191513000</v>
      </c>
      <c r="L1671" s="1">
        <v>0</v>
      </c>
      <c r="M1671" s="1">
        <v>0</v>
      </c>
      <c r="N1671" s="1">
        <v>0</v>
      </c>
      <c r="O1671" s="1">
        <v>0</v>
      </c>
      <c r="P1671" s="2">
        <v>4197120</v>
      </c>
      <c r="Q1671" s="1">
        <v>-88836.5</v>
      </c>
      <c r="R1671" s="1">
        <v>408539</v>
      </c>
      <c r="S1671">
        <v>94.153000000000006</v>
      </c>
      <c r="T1671">
        <v>98.274000000000001</v>
      </c>
      <c r="U1671">
        <v>5.1771599999999998</v>
      </c>
      <c r="V1671">
        <v>0</v>
      </c>
      <c r="W1671">
        <v>1</v>
      </c>
      <c r="X1671">
        <v>2.1063200000000002</v>
      </c>
      <c r="Y1671">
        <v>1.80392</v>
      </c>
      <c r="Z1671">
        <v>0</v>
      </c>
      <c r="AA1671">
        <v>1.5836399999999999</v>
      </c>
      <c r="AB1671">
        <v>2.9635199999999999</v>
      </c>
      <c r="AC1671" s="2">
        <v>854609000</v>
      </c>
      <c r="AD1671" s="1">
        <v>0</v>
      </c>
      <c r="AE1671" s="1">
        <v>0</v>
      </c>
      <c r="AF1671" s="1">
        <v>0</v>
      </c>
      <c r="AG1671" s="1">
        <v>0</v>
      </c>
      <c r="AH1671" s="2">
        <v>5449550</v>
      </c>
      <c r="AI1671" s="1">
        <v>934513</v>
      </c>
      <c r="AJ1671" s="1">
        <v>0</v>
      </c>
      <c r="AK1671" s="8">
        <f t="shared" si="103"/>
        <v>6</v>
      </c>
      <c r="AL1671" s="8">
        <f t="shared" si="106"/>
        <v>33</v>
      </c>
      <c r="AM1671">
        <f t="shared" si="104"/>
        <v>0</v>
      </c>
      <c r="AN1671">
        <f t="shared" si="105"/>
        <v>0</v>
      </c>
    </row>
    <row r="1672" spans="1:40" x14ac:dyDescent="0.35">
      <c r="A1672">
        <v>60.322499999999998</v>
      </c>
      <c r="B1672">
        <v>85.138999999999996</v>
      </c>
      <c r="C1672">
        <v>3.6852499999999999</v>
      </c>
      <c r="D1672">
        <v>0.04</v>
      </c>
      <c r="E1672">
        <v>0.04</v>
      </c>
      <c r="F1672">
        <v>2.8075800000000002</v>
      </c>
      <c r="G1672">
        <v>3.1099800000000002</v>
      </c>
      <c r="H1672">
        <v>0</v>
      </c>
      <c r="I1672">
        <v>0.52612199999999998</v>
      </c>
      <c r="J1672">
        <v>5.3222399999999999</v>
      </c>
      <c r="K1672" s="2">
        <v>191424000</v>
      </c>
      <c r="L1672" s="1">
        <v>0</v>
      </c>
      <c r="M1672" s="1">
        <v>0</v>
      </c>
      <c r="N1672" s="1">
        <v>0</v>
      </c>
      <c r="O1672" s="1">
        <v>0</v>
      </c>
      <c r="P1672" s="2">
        <v>4197260</v>
      </c>
      <c r="Q1672" s="1">
        <v>-88826.8</v>
      </c>
      <c r="R1672" s="1">
        <v>408539</v>
      </c>
      <c r="S1672">
        <v>95.123500000000007</v>
      </c>
      <c r="T1672">
        <v>98.274000000000001</v>
      </c>
      <c r="U1672">
        <v>6.7825199999999999</v>
      </c>
      <c r="V1672">
        <v>0</v>
      </c>
      <c r="W1672">
        <v>1</v>
      </c>
      <c r="X1672">
        <v>2.1063700000000001</v>
      </c>
      <c r="Y1672">
        <v>1.8039700000000001</v>
      </c>
      <c r="Z1672">
        <v>0</v>
      </c>
      <c r="AA1672">
        <v>1.62734</v>
      </c>
      <c r="AB1672">
        <v>2.9635199999999999</v>
      </c>
      <c r="AC1672" s="2">
        <v>855543000</v>
      </c>
      <c r="AD1672" s="1">
        <v>0</v>
      </c>
      <c r="AE1672" s="1">
        <v>0</v>
      </c>
      <c r="AF1672" s="1">
        <v>0</v>
      </c>
      <c r="AG1672" s="1">
        <v>0</v>
      </c>
      <c r="AH1672" s="2">
        <v>5449690</v>
      </c>
      <c r="AI1672" s="1">
        <v>934517</v>
      </c>
      <c r="AJ1672" s="1">
        <v>0</v>
      </c>
      <c r="AK1672" s="8">
        <f t="shared" ref="AK1672:AK1735" si="107">IF(AK1671=52, 1, AK1671+1)</f>
        <v>7</v>
      </c>
      <c r="AL1672" s="8">
        <f t="shared" si="106"/>
        <v>33</v>
      </c>
      <c r="AM1672">
        <f t="shared" si="104"/>
        <v>0</v>
      </c>
      <c r="AN1672">
        <f t="shared" si="105"/>
        <v>0</v>
      </c>
    </row>
    <row r="1673" spans="1:40" x14ac:dyDescent="0.35">
      <c r="A1673">
        <v>62.926699999999997</v>
      </c>
      <c r="B1673">
        <v>85.138999999999996</v>
      </c>
      <c r="C1673">
        <v>5.8171299999999997</v>
      </c>
      <c r="D1673">
        <v>0.04</v>
      </c>
      <c r="E1673">
        <v>0.04</v>
      </c>
      <c r="F1673">
        <v>2.8076699999999999</v>
      </c>
      <c r="G1673">
        <v>3.1100699999999999</v>
      </c>
      <c r="H1673">
        <v>0</v>
      </c>
      <c r="I1673">
        <v>0.52614000000000005</v>
      </c>
      <c r="J1673">
        <v>5.3222399999999999</v>
      </c>
      <c r="K1673" s="2">
        <v>191335000</v>
      </c>
      <c r="L1673" s="1">
        <v>0</v>
      </c>
      <c r="M1673" s="1">
        <v>0</v>
      </c>
      <c r="N1673" s="1">
        <v>0</v>
      </c>
      <c r="O1673" s="1">
        <v>0</v>
      </c>
      <c r="P1673" s="2">
        <v>4197400</v>
      </c>
      <c r="Q1673" s="1">
        <v>-88817.2</v>
      </c>
      <c r="R1673" s="1">
        <v>408539</v>
      </c>
      <c r="S1673">
        <v>97.264700000000005</v>
      </c>
      <c r="T1673">
        <v>98.274000000000001</v>
      </c>
      <c r="U1673">
        <v>10.1485</v>
      </c>
      <c r="V1673">
        <v>0</v>
      </c>
      <c r="W1673">
        <v>1</v>
      </c>
      <c r="X1673">
        <v>2.10643</v>
      </c>
      <c r="Y1673">
        <v>1.80403</v>
      </c>
      <c r="Z1673">
        <v>0</v>
      </c>
      <c r="AA1673">
        <v>1.62738</v>
      </c>
      <c r="AB1673">
        <v>2.9635199999999999</v>
      </c>
      <c r="AC1673" s="2">
        <v>856478000</v>
      </c>
      <c r="AD1673" s="1">
        <v>0</v>
      </c>
      <c r="AE1673" s="1">
        <v>0</v>
      </c>
      <c r="AF1673" s="1">
        <v>0</v>
      </c>
      <c r="AG1673" s="1">
        <v>0</v>
      </c>
      <c r="AH1673" s="2">
        <v>5449830</v>
      </c>
      <c r="AI1673" s="1">
        <v>934522</v>
      </c>
      <c r="AJ1673" s="1">
        <v>0</v>
      </c>
      <c r="AK1673" s="8">
        <f t="shared" si="107"/>
        <v>8</v>
      </c>
      <c r="AL1673" s="8">
        <f t="shared" si="106"/>
        <v>33</v>
      </c>
      <c r="AM1673">
        <f t="shared" si="104"/>
        <v>0</v>
      </c>
      <c r="AN1673">
        <f t="shared" si="105"/>
        <v>0</v>
      </c>
    </row>
    <row r="1674" spans="1:40" x14ac:dyDescent="0.35">
      <c r="A1674">
        <v>66.286500000000004</v>
      </c>
      <c r="B1674">
        <v>85.138999999999996</v>
      </c>
      <c r="C1674">
        <v>6.70038</v>
      </c>
      <c r="D1674">
        <v>0.05</v>
      </c>
      <c r="E1674">
        <v>0.04</v>
      </c>
      <c r="F1674">
        <v>2.80776</v>
      </c>
      <c r="G1674">
        <v>3.11016</v>
      </c>
      <c r="H1674">
        <v>0</v>
      </c>
      <c r="I1674">
        <v>0.52615800000000001</v>
      </c>
      <c r="J1674">
        <v>5.3222399999999999</v>
      </c>
      <c r="K1674" s="2">
        <v>191246000</v>
      </c>
      <c r="L1674" s="1">
        <v>0</v>
      </c>
      <c r="M1674" s="1">
        <v>0</v>
      </c>
      <c r="N1674" s="1">
        <v>0</v>
      </c>
      <c r="O1674" s="1">
        <v>0</v>
      </c>
      <c r="P1674" s="2">
        <v>4197540</v>
      </c>
      <c r="Q1674" s="1">
        <v>-88807.6</v>
      </c>
      <c r="R1674" s="1">
        <v>408539</v>
      </c>
      <c r="S1674">
        <v>99.302199999999999</v>
      </c>
      <c r="T1674">
        <v>98.274000000000001</v>
      </c>
      <c r="U1674">
        <v>10.885199999999999</v>
      </c>
      <c r="V1674">
        <v>0</v>
      </c>
      <c r="W1674">
        <v>1</v>
      </c>
      <c r="X1674">
        <v>2.1064799999999999</v>
      </c>
      <c r="Y1674">
        <v>1.8040799999999999</v>
      </c>
      <c r="Z1674">
        <v>0</v>
      </c>
      <c r="AA1674">
        <v>1.6274299999999999</v>
      </c>
      <c r="AB1674">
        <v>2.9635199999999999</v>
      </c>
      <c r="AC1674" s="2">
        <v>857412000</v>
      </c>
      <c r="AD1674" s="1">
        <v>0</v>
      </c>
      <c r="AE1674" s="1">
        <v>0</v>
      </c>
      <c r="AF1674" s="1">
        <v>0</v>
      </c>
      <c r="AG1674" s="1">
        <v>0</v>
      </c>
      <c r="AH1674" s="2">
        <v>5449970</v>
      </c>
      <c r="AI1674" s="1">
        <v>934526</v>
      </c>
      <c r="AJ1674" s="1">
        <v>0</v>
      </c>
      <c r="AK1674" s="8">
        <f t="shared" si="107"/>
        <v>9</v>
      </c>
      <c r="AL1674" s="8">
        <f t="shared" si="106"/>
        <v>33</v>
      </c>
      <c r="AM1674">
        <f t="shared" si="104"/>
        <v>0</v>
      </c>
      <c r="AN1674">
        <f t="shared" si="105"/>
        <v>0</v>
      </c>
    </row>
    <row r="1675" spans="1:40" x14ac:dyDescent="0.35">
      <c r="A1675">
        <v>67.789699999999996</v>
      </c>
      <c r="B1675">
        <v>85.138999999999996</v>
      </c>
      <c r="C1675">
        <v>4.9678599999999999</v>
      </c>
      <c r="D1675">
        <v>0.04</v>
      </c>
      <c r="E1675">
        <v>0.04</v>
      </c>
      <c r="F1675">
        <v>3.1112299999999999</v>
      </c>
      <c r="G1675">
        <v>3.4136299999999999</v>
      </c>
      <c r="H1675">
        <v>0</v>
      </c>
      <c r="I1675">
        <v>0.52617499999999995</v>
      </c>
      <c r="J1675">
        <v>5.3222399999999999</v>
      </c>
      <c r="K1675" s="2">
        <v>191188000</v>
      </c>
      <c r="L1675" s="1">
        <v>0</v>
      </c>
      <c r="M1675" s="1">
        <v>0</v>
      </c>
      <c r="N1675" s="1">
        <v>0</v>
      </c>
      <c r="O1675" s="1">
        <v>0</v>
      </c>
      <c r="P1675" s="2">
        <v>4651200</v>
      </c>
      <c r="Q1675" s="1">
        <v>-57611.199999999997</v>
      </c>
      <c r="R1675" s="1">
        <v>408539</v>
      </c>
      <c r="S1675">
        <v>99.302199999999999</v>
      </c>
      <c r="T1675">
        <v>98.274000000000001</v>
      </c>
      <c r="U1675">
        <v>5.19984</v>
      </c>
      <c r="V1675">
        <v>0</v>
      </c>
      <c r="W1675">
        <v>1</v>
      </c>
      <c r="X1675">
        <v>2.31867</v>
      </c>
      <c r="Y1675">
        <v>2.01627</v>
      </c>
      <c r="Z1675">
        <v>0</v>
      </c>
      <c r="AA1675">
        <v>1.62747</v>
      </c>
      <c r="AB1675">
        <v>2.9635199999999999</v>
      </c>
      <c r="AC1675" s="2">
        <v>858365000</v>
      </c>
      <c r="AD1675" s="1">
        <v>0</v>
      </c>
      <c r="AE1675" s="1">
        <v>0</v>
      </c>
      <c r="AF1675" s="1">
        <v>0</v>
      </c>
      <c r="AG1675" s="1">
        <v>0</v>
      </c>
      <c r="AH1675" s="2">
        <v>5998940</v>
      </c>
      <c r="AI1675" s="1">
        <v>952420</v>
      </c>
      <c r="AJ1675" s="1">
        <v>0</v>
      </c>
      <c r="AK1675" s="8">
        <f t="shared" si="107"/>
        <v>10</v>
      </c>
      <c r="AL1675" s="8">
        <f t="shared" si="106"/>
        <v>33</v>
      </c>
      <c r="AM1675">
        <f t="shared" si="104"/>
        <v>0</v>
      </c>
      <c r="AN1675">
        <f t="shared" si="105"/>
        <v>0</v>
      </c>
    </row>
    <row r="1676" spans="1:40" x14ac:dyDescent="0.35">
      <c r="A1676">
        <v>68.657899999999998</v>
      </c>
      <c r="B1676">
        <v>85.138999999999996</v>
      </c>
      <c r="C1676">
        <v>4.3269200000000003</v>
      </c>
      <c r="D1676">
        <v>0.04</v>
      </c>
      <c r="E1676">
        <v>0.04</v>
      </c>
      <c r="F1676">
        <v>3.1113300000000002</v>
      </c>
      <c r="G1676">
        <v>3.4137300000000002</v>
      </c>
      <c r="H1676">
        <v>0</v>
      </c>
      <c r="I1676">
        <v>0.58304400000000001</v>
      </c>
      <c r="J1676">
        <v>5.3222399999999999</v>
      </c>
      <c r="K1676" s="2">
        <v>191131000</v>
      </c>
      <c r="L1676" s="1">
        <v>0</v>
      </c>
      <c r="M1676" s="1">
        <v>0</v>
      </c>
      <c r="N1676" s="1">
        <v>0</v>
      </c>
      <c r="O1676" s="1">
        <v>0</v>
      </c>
      <c r="P1676" s="2">
        <v>4651360</v>
      </c>
      <c r="Q1676" s="1">
        <v>-57600.6</v>
      </c>
      <c r="R1676" s="1">
        <v>408539</v>
      </c>
      <c r="S1676">
        <v>99.302199999999999</v>
      </c>
      <c r="T1676">
        <v>98.274000000000001</v>
      </c>
      <c r="U1676">
        <v>5.3600700000000003</v>
      </c>
      <c r="V1676">
        <v>0</v>
      </c>
      <c r="W1676">
        <v>1</v>
      </c>
      <c r="X1676">
        <v>2.31873</v>
      </c>
      <c r="Y1676">
        <v>2.01633</v>
      </c>
      <c r="Z1676">
        <v>0</v>
      </c>
      <c r="AA1676">
        <v>1.7914000000000001</v>
      </c>
      <c r="AB1676">
        <v>2.9635199999999999</v>
      </c>
      <c r="AC1676" s="2">
        <v>859317000</v>
      </c>
      <c r="AD1676" s="1">
        <v>0</v>
      </c>
      <c r="AE1676" s="1">
        <v>0</v>
      </c>
      <c r="AF1676" s="1">
        <v>0</v>
      </c>
      <c r="AG1676" s="1">
        <v>0</v>
      </c>
      <c r="AH1676" s="2">
        <v>5999100</v>
      </c>
      <c r="AI1676" s="1">
        <v>952426</v>
      </c>
      <c r="AJ1676" s="1">
        <v>0</v>
      </c>
      <c r="AK1676" s="8">
        <f t="shared" si="107"/>
        <v>11</v>
      </c>
      <c r="AL1676" s="8">
        <f t="shared" si="106"/>
        <v>33</v>
      </c>
      <c r="AM1676">
        <f t="shared" si="104"/>
        <v>0</v>
      </c>
      <c r="AN1676">
        <f t="shared" si="105"/>
        <v>0</v>
      </c>
    </row>
    <row r="1677" spans="1:40" x14ac:dyDescent="0.35">
      <c r="A1677">
        <v>70.088200000000001</v>
      </c>
      <c r="B1677">
        <v>85.138999999999996</v>
      </c>
      <c r="C1677">
        <v>4.8846100000000003</v>
      </c>
      <c r="D1677">
        <v>0.04</v>
      </c>
      <c r="E1677">
        <v>0.04</v>
      </c>
      <c r="F1677">
        <v>3.1114299999999999</v>
      </c>
      <c r="G1677">
        <v>3.4138299999999999</v>
      </c>
      <c r="H1677">
        <v>0</v>
      </c>
      <c r="I1677">
        <v>0.583063</v>
      </c>
      <c r="J1677">
        <v>5.3222399999999999</v>
      </c>
      <c r="K1677" s="2">
        <v>191073000</v>
      </c>
      <c r="L1677" s="1">
        <v>0</v>
      </c>
      <c r="M1677" s="1">
        <v>0</v>
      </c>
      <c r="N1677" s="1">
        <v>0</v>
      </c>
      <c r="O1677" s="1">
        <v>0</v>
      </c>
      <c r="P1677" s="2">
        <v>4651510</v>
      </c>
      <c r="Q1677" s="1">
        <v>-57590</v>
      </c>
      <c r="R1677" s="1">
        <v>408539</v>
      </c>
      <c r="S1677">
        <v>99.302199999999999</v>
      </c>
      <c r="T1677">
        <v>98.274000000000001</v>
      </c>
      <c r="U1677">
        <v>5.7217099999999999</v>
      </c>
      <c r="V1677">
        <v>0</v>
      </c>
      <c r="W1677">
        <v>1</v>
      </c>
      <c r="X1677">
        <v>2.3187899999999999</v>
      </c>
      <c r="Y1677">
        <v>2.0163899999999999</v>
      </c>
      <c r="Z1677">
        <v>0</v>
      </c>
      <c r="AA1677">
        <v>1.79145</v>
      </c>
      <c r="AB1677">
        <v>2.9635199999999999</v>
      </c>
      <c r="AC1677" s="2">
        <v>860270000</v>
      </c>
      <c r="AD1677" s="1">
        <v>0</v>
      </c>
      <c r="AE1677" s="1">
        <v>0</v>
      </c>
      <c r="AF1677" s="1">
        <v>0</v>
      </c>
      <c r="AG1677" s="1">
        <v>0</v>
      </c>
      <c r="AH1677" s="2">
        <v>5999250</v>
      </c>
      <c r="AI1677" s="1">
        <v>952431</v>
      </c>
      <c r="AJ1677" s="1">
        <v>0</v>
      </c>
      <c r="AK1677" s="8">
        <f t="shared" si="107"/>
        <v>12</v>
      </c>
      <c r="AL1677" s="8">
        <f t="shared" si="106"/>
        <v>33</v>
      </c>
      <c r="AM1677">
        <f t="shared" si="104"/>
        <v>0</v>
      </c>
      <c r="AN1677">
        <f t="shared" si="105"/>
        <v>0</v>
      </c>
    </row>
    <row r="1678" spans="1:40" x14ac:dyDescent="0.35">
      <c r="A1678">
        <v>71.421300000000002</v>
      </c>
      <c r="B1678">
        <v>85.138999999999996</v>
      </c>
      <c r="C1678">
        <v>4.79216</v>
      </c>
      <c r="D1678">
        <v>0.03</v>
      </c>
      <c r="E1678">
        <v>0.04</v>
      </c>
      <c r="F1678">
        <v>3.1115300000000001</v>
      </c>
      <c r="G1678">
        <v>3.4139300000000001</v>
      </c>
      <c r="H1678">
        <v>0</v>
      </c>
      <c r="I1678">
        <v>0.58308199999999999</v>
      </c>
      <c r="J1678">
        <v>5.3222399999999999</v>
      </c>
      <c r="K1678" s="2">
        <v>191016000</v>
      </c>
      <c r="L1678" s="1">
        <v>0</v>
      </c>
      <c r="M1678" s="1">
        <v>0</v>
      </c>
      <c r="N1678" s="1">
        <v>0</v>
      </c>
      <c r="O1678" s="1">
        <v>0</v>
      </c>
      <c r="P1678" s="2">
        <v>4651670</v>
      </c>
      <c r="Q1678" s="1">
        <v>-57579.4</v>
      </c>
      <c r="R1678" s="1">
        <v>408539</v>
      </c>
      <c r="S1678">
        <v>99.302199999999999</v>
      </c>
      <c r="T1678">
        <v>98.274000000000001</v>
      </c>
      <c r="U1678">
        <v>6.3311400000000004</v>
      </c>
      <c r="V1678">
        <v>0</v>
      </c>
      <c r="W1678">
        <v>1</v>
      </c>
      <c r="X1678">
        <v>2.3188499999999999</v>
      </c>
      <c r="Y1678">
        <v>2.0164499999999999</v>
      </c>
      <c r="Z1678">
        <v>0</v>
      </c>
      <c r="AA1678">
        <v>1.79149</v>
      </c>
      <c r="AB1678">
        <v>2.9635199999999999</v>
      </c>
      <c r="AC1678" s="2">
        <v>861222000</v>
      </c>
      <c r="AD1678" s="1">
        <v>0</v>
      </c>
      <c r="AE1678" s="1">
        <v>0</v>
      </c>
      <c r="AF1678" s="1">
        <v>0</v>
      </c>
      <c r="AG1678" s="1">
        <v>0</v>
      </c>
      <c r="AH1678" s="2">
        <v>5999410</v>
      </c>
      <c r="AI1678" s="1">
        <v>952436</v>
      </c>
      <c r="AJ1678" s="1">
        <v>0</v>
      </c>
      <c r="AK1678" s="8">
        <f t="shared" si="107"/>
        <v>13</v>
      </c>
      <c r="AL1678" s="8">
        <f t="shared" si="106"/>
        <v>33</v>
      </c>
      <c r="AM1678">
        <f t="shared" si="104"/>
        <v>0</v>
      </c>
      <c r="AN1678">
        <f t="shared" si="105"/>
        <v>0</v>
      </c>
    </row>
    <row r="1679" spans="1:40" x14ac:dyDescent="0.35">
      <c r="A1679">
        <v>72.988900000000001</v>
      </c>
      <c r="B1679">
        <v>85.138999999999996</v>
      </c>
      <c r="C1679">
        <v>4.7259900000000004</v>
      </c>
      <c r="D1679">
        <v>0.03</v>
      </c>
      <c r="E1679">
        <v>0.04</v>
      </c>
      <c r="F1679">
        <v>2.67889</v>
      </c>
      <c r="G1679">
        <v>2.98129</v>
      </c>
      <c r="H1679">
        <v>0</v>
      </c>
      <c r="I1679">
        <v>0.58310200000000001</v>
      </c>
      <c r="J1679">
        <v>5.3222399999999999</v>
      </c>
      <c r="K1679" s="2">
        <v>190914000</v>
      </c>
      <c r="L1679" s="1">
        <v>0</v>
      </c>
      <c r="M1679" s="1">
        <v>0</v>
      </c>
      <c r="N1679" s="1">
        <v>0</v>
      </c>
      <c r="O1679" s="1">
        <v>0</v>
      </c>
      <c r="P1679" s="2">
        <v>4004870</v>
      </c>
      <c r="Q1679" s="1">
        <v>-102057</v>
      </c>
      <c r="R1679" s="1">
        <v>408539</v>
      </c>
      <c r="S1679">
        <v>99.302199999999999</v>
      </c>
      <c r="T1679">
        <v>98.274000000000001</v>
      </c>
      <c r="U1679">
        <v>8.0382800000000003</v>
      </c>
      <c r="V1679">
        <v>0</v>
      </c>
      <c r="W1679">
        <v>1</v>
      </c>
      <c r="X1679">
        <v>2.0341999999999998</v>
      </c>
      <c r="Y1679">
        <v>1.7318</v>
      </c>
      <c r="Z1679">
        <v>0</v>
      </c>
      <c r="AA1679">
        <v>1.7915399999999999</v>
      </c>
      <c r="AB1679">
        <v>2.9635199999999999</v>
      </c>
      <c r="AC1679" s="2">
        <v>862150000</v>
      </c>
      <c r="AD1679" s="1">
        <v>0</v>
      </c>
      <c r="AE1679" s="1">
        <v>0</v>
      </c>
      <c r="AF1679" s="1">
        <v>0</v>
      </c>
      <c r="AG1679" s="1">
        <v>0</v>
      </c>
      <c r="AH1679" s="2">
        <v>5262950</v>
      </c>
      <c r="AI1679" s="1">
        <v>928430</v>
      </c>
      <c r="AJ1679" s="1">
        <v>0</v>
      </c>
      <c r="AK1679" s="8">
        <f t="shared" si="107"/>
        <v>14</v>
      </c>
      <c r="AL1679" s="8">
        <f t="shared" si="106"/>
        <v>33</v>
      </c>
      <c r="AM1679">
        <f t="shared" si="104"/>
        <v>0</v>
      </c>
      <c r="AN1679">
        <f t="shared" si="105"/>
        <v>0</v>
      </c>
    </row>
    <row r="1680" spans="1:40" x14ac:dyDescent="0.35">
      <c r="A1680">
        <v>76.217500000000001</v>
      </c>
      <c r="B1680">
        <v>85.138999999999996</v>
      </c>
      <c r="C1680">
        <v>6.3932399999999996</v>
      </c>
      <c r="D1680">
        <v>0.03</v>
      </c>
      <c r="E1680">
        <v>0.04</v>
      </c>
      <c r="F1680">
        <v>2.6789800000000001</v>
      </c>
      <c r="G1680">
        <v>2.9813800000000001</v>
      </c>
      <c r="H1680">
        <v>0</v>
      </c>
      <c r="I1680">
        <v>0.502023</v>
      </c>
      <c r="J1680">
        <v>5.3222399999999999</v>
      </c>
      <c r="K1680" s="2">
        <v>190812000</v>
      </c>
      <c r="L1680" s="1">
        <v>0</v>
      </c>
      <c r="M1680" s="1">
        <v>0</v>
      </c>
      <c r="N1680" s="1">
        <v>0</v>
      </c>
      <c r="O1680" s="1">
        <v>0</v>
      </c>
      <c r="P1680" s="2">
        <v>4005000</v>
      </c>
      <c r="Q1680" s="1">
        <v>-102047</v>
      </c>
      <c r="R1680" s="1">
        <v>408539</v>
      </c>
      <c r="S1680">
        <v>99.302199999999999</v>
      </c>
      <c r="T1680">
        <v>98.274000000000001</v>
      </c>
      <c r="U1680">
        <v>8.7309599999999996</v>
      </c>
      <c r="V1680">
        <v>0</v>
      </c>
      <c r="W1680">
        <v>1</v>
      </c>
      <c r="X1680">
        <v>2.0342500000000001</v>
      </c>
      <c r="Y1680">
        <v>1.7318499999999999</v>
      </c>
      <c r="Z1680">
        <v>0</v>
      </c>
      <c r="AA1680">
        <v>1.57162</v>
      </c>
      <c r="AB1680">
        <v>2.9635199999999999</v>
      </c>
      <c r="AC1680" s="2">
        <v>863079000</v>
      </c>
      <c r="AD1680" s="1">
        <v>0</v>
      </c>
      <c r="AE1680" s="1">
        <v>0</v>
      </c>
      <c r="AF1680" s="1">
        <v>0</v>
      </c>
      <c r="AG1680" s="1">
        <v>0</v>
      </c>
      <c r="AH1680" s="2">
        <v>5263080</v>
      </c>
      <c r="AI1680" s="1">
        <v>928434</v>
      </c>
      <c r="AJ1680" s="1">
        <v>0</v>
      </c>
      <c r="AK1680" s="8">
        <f t="shared" si="107"/>
        <v>15</v>
      </c>
      <c r="AL1680" s="8">
        <f t="shared" si="106"/>
        <v>33</v>
      </c>
      <c r="AM1680">
        <f t="shared" si="104"/>
        <v>0</v>
      </c>
      <c r="AN1680">
        <f t="shared" si="105"/>
        <v>0</v>
      </c>
    </row>
    <row r="1681" spans="1:40" x14ac:dyDescent="0.35">
      <c r="A1681">
        <v>78.255099999999999</v>
      </c>
      <c r="B1681">
        <v>85.138999999999996</v>
      </c>
      <c r="C1681">
        <v>5.2313499999999999</v>
      </c>
      <c r="D1681">
        <v>0.02</v>
      </c>
      <c r="E1681">
        <v>0.04</v>
      </c>
      <c r="F1681">
        <v>2.6790699999999998</v>
      </c>
      <c r="G1681">
        <v>2.9814699999999998</v>
      </c>
      <c r="H1681">
        <v>0</v>
      </c>
      <c r="I1681">
        <v>0.50204000000000004</v>
      </c>
      <c r="J1681">
        <v>5.3222399999999999</v>
      </c>
      <c r="K1681" s="2">
        <v>190710000</v>
      </c>
      <c r="L1681" s="1">
        <v>0</v>
      </c>
      <c r="M1681" s="1">
        <v>0</v>
      </c>
      <c r="N1681" s="1">
        <v>0</v>
      </c>
      <c r="O1681" s="1">
        <v>0</v>
      </c>
      <c r="P1681" s="2">
        <v>4005140</v>
      </c>
      <c r="Q1681" s="1">
        <v>-102038</v>
      </c>
      <c r="R1681" s="1">
        <v>408539</v>
      </c>
      <c r="S1681">
        <v>99.302199999999999</v>
      </c>
      <c r="T1681">
        <v>98.274000000000001</v>
      </c>
      <c r="U1681">
        <v>5.7926700000000002</v>
      </c>
      <c r="V1681">
        <v>0</v>
      </c>
      <c r="W1681">
        <v>1</v>
      </c>
      <c r="X1681">
        <v>2.0343</v>
      </c>
      <c r="Y1681">
        <v>1.7319</v>
      </c>
      <c r="Z1681">
        <v>0</v>
      </c>
      <c r="AA1681">
        <v>1.5716600000000001</v>
      </c>
      <c r="AB1681">
        <v>2.9635199999999999</v>
      </c>
      <c r="AC1681" s="2">
        <v>864007000</v>
      </c>
      <c r="AD1681" s="1">
        <v>0</v>
      </c>
      <c r="AE1681" s="1">
        <v>0</v>
      </c>
      <c r="AF1681" s="1">
        <v>0</v>
      </c>
      <c r="AG1681" s="1">
        <v>0</v>
      </c>
      <c r="AH1681" s="2">
        <v>5263220</v>
      </c>
      <c r="AI1681" s="1">
        <v>928439</v>
      </c>
      <c r="AJ1681" s="1">
        <v>0</v>
      </c>
      <c r="AK1681" s="8">
        <f t="shared" si="107"/>
        <v>16</v>
      </c>
      <c r="AL1681" s="8">
        <f t="shared" si="106"/>
        <v>33</v>
      </c>
      <c r="AM1681">
        <f t="shared" si="104"/>
        <v>0</v>
      </c>
      <c r="AN1681">
        <f t="shared" si="105"/>
        <v>0</v>
      </c>
    </row>
    <row r="1682" spans="1:40" x14ac:dyDescent="0.35">
      <c r="A1682">
        <v>78.7714</v>
      </c>
      <c r="B1682">
        <v>85.138999999999996</v>
      </c>
      <c r="C1682">
        <v>3.7059799999999998</v>
      </c>
      <c r="D1682">
        <v>0.02</v>
      </c>
      <c r="E1682">
        <v>0.04</v>
      </c>
      <c r="F1682">
        <v>2.67916</v>
      </c>
      <c r="G1682">
        <v>2.98156</v>
      </c>
      <c r="H1682">
        <v>0</v>
      </c>
      <c r="I1682">
        <v>0.50205699999999998</v>
      </c>
      <c r="J1682">
        <v>5.3222399999999999</v>
      </c>
      <c r="K1682" s="2">
        <v>190608000</v>
      </c>
      <c r="L1682" s="1">
        <v>0</v>
      </c>
      <c r="M1682" s="1">
        <v>0</v>
      </c>
      <c r="N1682" s="1">
        <v>0</v>
      </c>
      <c r="O1682" s="1">
        <v>0</v>
      </c>
      <c r="P1682" s="2">
        <v>4005270</v>
      </c>
      <c r="Q1682" s="1">
        <v>-102029</v>
      </c>
      <c r="R1682" s="1">
        <v>408539</v>
      </c>
      <c r="S1682">
        <v>99.302199999999999</v>
      </c>
      <c r="T1682">
        <v>98.274000000000001</v>
      </c>
      <c r="U1682">
        <v>4.8878500000000003</v>
      </c>
      <c r="V1682">
        <v>0</v>
      </c>
      <c r="W1682">
        <v>1</v>
      </c>
      <c r="X1682">
        <v>2.0343499999999999</v>
      </c>
      <c r="Y1682">
        <v>1.7319500000000001</v>
      </c>
      <c r="Z1682">
        <v>0</v>
      </c>
      <c r="AA1682">
        <v>1.5717000000000001</v>
      </c>
      <c r="AB1682">
        <v>2.9635199999999999</v>
      </c>
      <c r="AC1682" s="2">
        <v>864936000</v>
      </c>
      <c r="AD1682" s="1">
        <v>0</v>
      </c>
      <c r="AE1682" s="1">
        <v>0</v>
      </c>
      <c r="AF1682" s="1">
        <v>0</v>
      </c>
      <c r="AG1682" s="1">
        <v>0</v>
      </c>
      <c r="AH1682" s="2">
        <v>5263350</v>
      </c>
      <c r="AI1682" s="1">
        <v>928443</v>
      </c>
      <c r="AJ1682" s="1">
        <v>0</v>
      </c>
      <c r="AK1682" s="8">
        <f t="shared" si="107"/>
        <v>17</v>
      </c>
      <c r="AL1682" s="8">
        <f t="shared" si="106"/>
        <v>33</v>
      </c>
      <c r="AM1682">
        <f t="shared" si="104"/>
        <v>0</v>
      </c>
      <c r="AN1682">
        <f t="shared" si="105"/>
        <v>0</v>
      </c>
    </row>
    <row r="1683" spans="1:40" x14ac:dyDescent="0.35">
      <c r="A1683">
        <v>78.566800000000001</v>
      </c>
      <c r="B1683">
        <v>85.138999999999996</v>
      </c>
      <c r="C1683">
        <v>3.1161500000000002</v>
      </c>
      <c r="D1683">
        <v>0</v>
      </c>
      <c r="E1683">
        <v>0.04</v>
      </c>
      <c r="F1683">
        <v>2.9816500000000001</v>
      </c>
      <c r="G1683">
        <v>2.9816500000000001</v>
      </c>
      <c r="H1683">
        <v>0</v>
      </c>
      <c r="I1683">
        <v>0.50207400000000002</v>
      </c>
      <c r="J1683">
        <v>5.3222399999999999</v>
      </c>
      <c r="K1683" s="2">
        <v>190914000</v>
      </c>
      <c r="L1683" s="1">
        <v>0</v>
      </c>
      <c r="M1683" s="1">
        <v>0</v>
      </c>
      <c r="N1683" s="1">
        <v>0</v>
      </c>
      <c r="O1683" s="1">
        <v>0</v>
      </c>
      <c r="P1683" s="2">
        <v>4457490</v>
      </c>
      <c r="Q1683" s="1">
        <v>306519</v>
      </c>
      <c r="R1683" s="1">
        <v>0</v>
      </c>
      <c r="S1683">
        <v>99.302199999999999</v>
      </c>
      <c r="T1683">
        <v>98.274000000000001</v>
      </c>
      <c r="U1683">
        <v>3.6035300000000001</v>
      </c>
      <c r="V1683">
        <v>0</v>
      </c>
      <c r="W1683">
        <v>1</v>
      </c>
      <c r="X1683">
        <v>1.732</v>
      </c>
      <c r="Y1683">
        <v>1.732</v>
      </c>
      <c r="Z1683">
        <v>0</v>
      </c>
      <c r="AA1683">
        <v>1.5717399999999999</v>
      </c>
      <c r="AB1683">
        <v>2.9635199999999999</v>
      </c>
      <c r="AC1683" s="2">
        <v>865082000</v>
      </c>
      <c r="AD1683" s="1">
        <v>0</v>
      </c>
      <c r="AE1683" s="1">
        <v>0</v>
      </c>
      <c r="AF1683" s="1">
        <v>0</v>
      </c>
      <c r="AG1683" s="1">
        <v>0</v>
      </c>
      <c r="AH1683" s="2">
        <v>4481110</v>
      </c>
      <c r="AI1683" s="1">
        <v>146067</v>
      </c>
      <c r="AJ1683" s="1">
        <v>0</v>
      </c>
      <c r="AK1683" s="8">
        <f t="shared" si="107"/>
        <v>18</v>
      </c>
      <c r="AL1683" s="8">
        <f t="shared" si="106"/>
        <v>33</v>
      </c>
      <c r="AM1683">
        <f t="shared" si="104"/>
        <v>0</v>
      </c>
      <c r="AN1683">
        <f t="shared" si="105"/>
        <v>0</v>
      </c>
    </row>
    <row r="1684" spans="1:40" x14ac:dyDescent="0.35">
      <c r="A1684">
        <v>79.888800000000003</v>
      </c>
      <c r="B1684">
        <v>85.138999999999996</v>
      </c>
      <c r="C1684">
        <v>4.54861</v>
      </c>
      <c r="D1684">
        <v>0.01</v>
      </c>
      <c r="E1684">
        <v>0.04</v>
      </c>
      <c r="F1684">
        <v>2.7882799999999999</v>
      </c>
      <c r="G1684">
        <v>3.0906799999999999</v>
      </c>
      <c r="H1684">
        <v>0</v>
      </c>
      <c r="I1684">
        <v>0.55876000000000003</v>
      </c>
      <c r="J1684">
        <v>5.3222399999999999</v>
      </c>
      <c r="K1684" s="2">
        <v>190823000</v>
      </c>
      <c r="L1684" s="1">
        <v>0</v>
      </c>
      <c r="M1684" s="1">
        <v>0</v>
      </c>
      <c r="N1684" s="1">
        <v>0</v>
      </c>
      <c r="O1684" s="1">
        <v>0</v>
      </c>
      <c r="P1684" s="2">
        <v>4168410</v>
      </c>
      <c r="Q1684" s="1">
        <v>-90810.5</v>
      </c>
      <c r="R1684" s="1">
        <v>408539</v>
      </c>
      <c r="S1684">
        <v>99.302199999999999</v>
      </c>
      <c r="T1684">
        <v>98.274000000000001</v>
      </c>
      <c r="U1684">
        <v>4.7335700000000003</v>
      </c>
      <c r="V1684">
        <v>0</v>
      </c>
      <c r="W1684">
        <v>1</v>
      </c>
      <c r="X1684">
        <v>2.10412</v>
      </c>
      <c r="Y1684">
        <v>1.80172</v>
      </c>
      <c r="Z1684">
        <v>0</v>
      </c>
      <c r="AA1684">
        <v>1.33815</v>
      </c>
      <c r="AB1684">
        <v>2.9635199999999999</v>
      </c>
      <c r="AC1684" s="2">
        <v>866016000</v>
      </c>
      <c r="AD1684" s="1">
        <v>0</v>
      </c>
      <c r="AE1684" s="1">
        <v>0</v>
      </c>
      <c r="AF1684" s="1">
        <v>0</v>
      </c>
      <c r="AG1684" s="1">
        <v>0</v>
      </c>
      <c r="AH1684" s="2">
        <v>5443850</v>
      </c>
      <c r="AI1684" s="1">
        <v>934327</v>
      </c>
      <c r="AJ1684" s="1">
        <v>0</v>
      </c>
      <c r="AK1684" s="8">
        <f t="shared" si="107"/>
        <v>19</v>
      </c>
      <c r="AL1684" s="8">
        <f t="shared" si="106"/>
        <v>33</v>
      </c>
      <c r="AM1684">
        <f t="shared" si="104"/>
        <v>0</v>
      </c>
      <c r="AN1684">
        <f t="shared" si="105"/>
        <v>0</v>
      </c>
    </row>
    <row r="1685" spans="1:40" x14ac:dyDescent="0.35">
      <c r="A1685">
        <v>80.126400000000004</v>
      </c>
      <c r="B1685">
        <v>85.138999999999996</v>
      </c>
      <c r="C1685">
        <v>3.4565399999999999</v>
      </c>
      <c r="D1685">
        <v>0.01</v>
      </c>
      <c r="E1685">
        <v>0.04</v>
      </c>
      <c r="F1685">
        <v>2.7883800000000001</v>
      </c>
      <c r="G1685">
        <v>3.0907800000000001</v>
      </c>
      <c r="H1685">
        <v>0</v>
      </c>
      <c r="I1685">
        <v>0.52252399999999999</v>
      </c>
      <c r="J1685">
        <v>5.3222399999999999</v>
      </c>
      <c r="K1685" s="2">
        <v>190732000</v>
      </c>
      <c r="L1685" s="1">
        <v>0</v>
      </c>
      <c r="M1685" s="1">
        <v>0</v>
      </c>
      <c r="N1685" s="1">
        <v>0</v>
      </c>
      <c r="O1685" s="1">
        <v>0</v>
      </c>
      <c r="P1685" s="2">
        <v>4168550</v>
      </c>
      <c r="Q1685" s="1">
        <v>-90800.9</v>
      </c>
      <c r="R1685" s="1">
        <v>408539</v>
      </c>
      <c r="S1685">
        <v>99.285799999999995</v>
      </c>
      <c r="T1685">
        <v>98.274000000000001</v>
      </c>
      <c r="U1685">
        <v>3.1047600000000002</v>
      </c>
      <c r="V1685">
        <v>0</v>
      </c>
      <c r="W1685">
        <v>1</v>
      </c>
      <c r="X1685">
        <v>2.1041699999999999</v>
      </c>
      <c r="Y1685">
        <v>1.8017700000000001</v>
      </c>
      <c r="Z1685">
        <v>0</v>
      </c>
      <c r="AA1685">
        <v>1.62564</v>
      </c>
      <c r="AB1685">
        <v>2.9635199999999999</v>
      </c>
      <c r="AC1685" s="2">
        <v>866950000</v>
      </c>
      <c r="AD1685" s="1">
        <v>0</v>
      </c>
      <c r="AE1685" s="1">
        <v>0</v>
      </c>
      <c r="AF1685" s="1">
        <v>0</v>
      </c>
      <c r="AG1685" s="1">
        <v>0</v>
      </c>
      <c r="AH1685" s="2">
        <v>5444000</v>
      </c>
      <c r="AI1685" s="1">
        <v>934331</v>
      </c>
      <c r="AJ1685" s="1">
        <v>0</v>
      </c>
      <c r="AK1685" s="8">
        <f t="shared" si="107"/>
        <v>20</v>
      </c>
      <c r="AL1685" s="8">
        <f t="shared" si="106"/>
        <v>33</v>
      </c>
      <c r="AM1685">
        <f t="shared" si="104"/>
        <v>0</v>
      </c>
      <c r="AN1685">
        <f t="shared" si="105"/>
        <v>0</v>
      </c>
    </row>
    <row r="1686" spans="1:40" x14ac:dyDescent="0.35">
      <c r="A1686">
        <v>80.648899999999998</v>
      </c>
      <c r="B1686">
        <v>85.138999999999996</v>
      </c>
      <c r="C1686">
        <v>4.0705400000000003</v>
      </c>
      <c r="D1686">
        <v>0</v>
      </c>
      <c r="E1686">
        <v>0.04</v>
      </c>
      <c r="F1686">
        <v>3.0908699999999998</v>
      </c>
      <c r="G1686">
        <v>3.0908699999999998</v>
      </c>
      <c r="H1686">
        <v>0</v>
      </c>
      <c r="I1686">
        <v>0.52254100000000003</v>
      </c>
      <c r="J1686">
        <v>5.3222399999999999</v>
      </c>
      <c r="K1686" s="2">
        <v>191050000</v>
      </c>
      <c r="L1686" s="1">
        <v>0</v>
      </c>
      <c r="M1686" s="1">
        <v>0</v>
      </c>
      <c r="N1686" s="1">
        <v>0</v>
      </c>
      <c r="O1686" s="1">
        <v>0</v>
      </c>
      <c r="P1686" s="2">
        <v>4620770</v>
      </c>
      <c r="Q1686" s="1">
        <v>317747</v>
      </c>
      <c r="R1686" s="1">
        <v>0</v>
      </c>
      <c r="S1686">
        <v>99.302199999999999</v>
      </c>
      <c r="T1686">
        <v>98.274000000000001</v>
      </c>
      <c r="U1686">
        <v>6.4310099999999997</v>
      </c>
      <c r="V1686">
        <v>0</v>
      </c>
      <c r="W1686">
        <v>1</v>
      </c>
      <c r="X1686">
        <v>1.80183</v>
      </c>
      <c r="Y1686">
        <v>1.80183</v>
      </c>
      <c r="Z1686">
        <v>0</v>
      </c>
      <c r="AA1686">
        <v>1.62568</v>
      </c>
      <c r="AB1686">
        <v>2.9635199999999999</v>
      </c>
      <c r="AC1686" s="2">
        <v>867102000</v>
      </c>
      <c r="AD1686" s="1">
        <v>0</v>
      </c>
      <c r="AE1686" s="1">
        <v>0</v>
      </c>
      <c r="AF1686" s="1">
        <v>0</v>
      </c>
      <c r="AG1686" s="1">
        <v>0</v>
      </c>
      <c r="AH1686" s="2">
        <v>4661750</v>
      </c>
      <c r="AI1686" s="1">
        <v>151955</v>
      </c>
      <c r="AJ1686" s="1">
        <v>0</v>
      </c>
      <c r="AK1686" s="8">
        <f t="shared" si="107"/>
        <v>21</v>
      </c>
      <c r="AL1686" s="8">
        <f t="shared" si="106"/>
        <v>33</v>
      </c>
      <c r="AM1686">
        <f t="shared" si="104"/>
        <v>0</v>
      </c>
      <c r="AN1686">
        <f t="shared" si="105"/>
        <v>0</v>
      </c>
    </row>
    <row r="1687" spans="1:40" x14ac:dyDescent="0.35">
      <c r="A1687">
        <v>80.548100000000005</v>
      </c>
      <c r="B1687">
        <v>85.138999999999996</v>
      </c>
      <c r="C1687">
        <v>3.36774</v>
      </c>
      <c r="D1687">
        <v>0</v>
      </c>
      <c r="E1687">
        <v>0.04</v>
      </c>
      <c r="F1687">
        <v>3.0909599999999999</v>
      </c>
      <c r="G1687">
        <v>3.0909599999999999</v>
      </c>
      <c r="H1687">
        <v>0</v>
      </c>
      <c r="I1687">
        <v>0.57922899999999999</v>
      </c>
      <c r="J1687">
        <v>5.3222399999999999</v>
      </c>
      <c r="K1687" s="2">
        <v>191368000</v>
      </c>
      <c r="L1687" s="1">
        <v>0</v>
      </c>
      <c r="M1687" s="1">
        <v>0</v>
      </c>
      <c r="N1687" s="1">
        <v>0</v>
      </c>
      <c r="O1687" s="1">
        <v>0</v>
      </c>
      <c r="P1687" s="2">
        <v>4620910</v>
      </c>
      <c r="Q1687" s="1">
        <v>317757</v>
      </c>
      <c r="R1687" s="1">
        <v>0</v>
      </c>
      <c r="S1687">
        <v>99.302199999999999</v>
      </c>
      <c r="T1687">
        <v>98.274000000000001</v>
      </c>
      <c r="U1687">
        <v>4.2876799999999999</v>
      </c>
      <c r="V1687">
        <v>0</v>
      </c>
      <c r="W1687">
        <v>1</v>
      </c>
      <c r="X1687">
        <v>1.8018799999999999</v>
      </c>
      <c r="Y1687">
        <v>1.8018799999999999</v>
      </c>
      <c r="Z1687">
        <v>0</v>
      </c>
      <c r="AA1687">
        <v>1.39209</v>
      </c>
      <c r="AB1687">
        <v>2.9635199999999999</v>
      </c>
      <c r="AC1687" s="2">
        <v>867254000</v>
      </c>
      <c r="AD1687" s="1">
        <v>0</v>
      </c>
      <c r="AE1687" s="1">
        <v>0</v>
      </c>
      <c r="AF1687" s="1">
        <v>0</v>
      </c>
      <c r="AG1687" s="1">
        <v>0</v>
      </c>
      <c r="AH1687" s="2">
        <v>4661900</v>
      </c>
      <c r="AI1687" s="1">
        <v>151960</v>
      </c>
      <c r="AJ1687" s="1">
        <v>0</v>
      </c>
      <c r="AK1687" s="8">
        <f t="shared" si="107"/>
        <v>22</v>
      </c>
      <c r="AL1687" s="8">
        <f t="shared" si="106"/>
        <v>33</v>
      </c>
      <c r="AM1687">
        <f t="shared" si="104"/>
        <v>0</v>
      </c>
      <c r="AN1687">
        <f t="shared" si="105"/>
        <v>0</v>
      </c>
    </row>
    <row r="1688" spans="1:40" x14ac:dyDescent="0.35">
      <c r="A1688">
        <v>79.721699999999998</v>
      </c>
      <c r="B1688">
        <v>85.138999999999996</v>
      </c>
      <c r="C1688">
        <v>2.51376</v>
      </c>
      <c r="D1688">
        <v>0</v>
      </c>
      <c r="E1688">
        <v>0.04</v>
      </c>
      <c r="F1688">
        <v>3.0484499999999999</v>
      </c>
      <c r="G1688">
        <v>3.0484499999999999</v>
      </c>
      <c r="H1688">
        <v>0</v>
      </c>
      <c r="I1688">
        <v>0.57924600000000004</v>
      </c>
      <c r="J1688">
        <v>5.3222399999999999</v>
      </c>
      <c r="K1688" s="2">
        <v>191681000</v>
      </c>
      <c r="L1688" s="1">
        <v>0</v>
      </c>
      <c r="M1688" s="1">
        <v>0</v>
      </c>
      <c r="N1688" s="1">
        <v>0</v>
      </c>
      <c r="O1688" s="1">
        <v>0</v>
      </c>
      <c r="P1688" s="2">
        <v>4557360</v>
      </c>
      <c r="Q1688" s="1">
        <v>313387</v>
      </c>
      <c r="R1688" s="1">
        <v>0</v>
      </c>
      <c r="S1688">
        <v>99.302199999999999</v>
      </c>
      <c r="T1688">
        <v>98.274000000000001</v>
      </c>
      <c r="U1688">
        <v>2.8066900000000001</v>
      </c>
      <c r="V1688">
        <v>0</v>
      </c>
      <c r="W1688">
        <v>1</v>
      </c>
      <c r="X1688">
        <v>1.77488</v>
      </c>
      <c r="Y1688">
        <v>1.77488</v>
      </c>
      <c r="Z1688">
        <v>0</v>
      </c>
      <c r="AA1688">
        <v>1.3921300000000001</v>
      </c>
      <c r="AB1688">
        <v>2.9635199999999999</v>
      </c>
      <c r="AC1688" s="2">
        <v>867404000</v>
      </c>
      <c r="AD1688" s="1">
        <v>0</v>
      </c>
      <c r="AE1688" s="1">
        <v>0</v>
      </c>
      <c r="AF1688" s="1">
        <v>0</v>
      </c>
      <c r="AG1688" s="1">
        <v>0</v>
      </c>
      <c r="AH1688" s="2">
        <v>4592030</v>
      </c>
      <c r="AI1688" s="1">
        <v>149682</v>
      </c>
      <c r="AJ1688" s="1">
        <v>0</v>
      </c>
      <c r="AK1688" s="8">
        <f t="shared" si="107"/>
        <v>23</v>
      </c>
      <c r="AL1688" s="8">
        <f t="shared" si="106"/>
        <v>33</v>
      </c>
      <c r="AM1688">
        <f t="shared" si="104"/>
        <v>0</v>
      </c>
      <c r="AN1688">
        <f t="shared" si="105"/>
        <v>0</v>
      </c>
    </row>
    <row r="1689" spans="1:40" x14ac:dyDescent="0.35">
      <c r="A1689">
        <v>78.466999999999999</v>
      </c>
      <c r="B1689">
        <v>85.138999999999996</v>
      </c>
      <c r="C1689">
        <v>2.0473300000000001</v>
      </c>
      <c r="D1689">
        <v>0</v>
      </c>
      <c r="E1689">
        <v>0.04</v>
      </c>
      <c r="F1689">
        <v>3.04854</v>
      </c>
      <c r="G1689">
        <v>3.04854</v>
      </c>
      <c r="H1689">
        <v>0</v>
      </c>
      <c r="I1689">
        <v>0.57128000000000001</v>
      </c>
      <c r="J1689">
        <v>5.3222399999999999</v>
      </c>
      <c r="K1689" s="2">
        <v>191995000</v>
      </c>
      <c r="L1689" s="1">
        <v>0</v>
      </c>
      <c r="M1689" s="1">
        <v>0</v>
      </c>
      <c r="N1689" s="1">
        <v>0</v>
      </c>
      <c r="O1689" s="1">
        <v>0</v>
      </c>
      <c r="P1689" s="2">
        <v>4557500</v>
      </c>
      <c r="Q1689" s="1">
        <v>313396</v>
      </c>
      <c r="R1689" s="1">
        <v>0</v>
      </c>
      <c r="S1689">
        <v>99.302199999999999</v>
      </c>
      <c r="T1689">
        <v>98.274000000000001</v>
      </c>
      <c r="U1689">
        <v>2.6820400000000002</v>
      </c>
      <c r="V1689">
        <v>0</v>
      </c>
      <c r="W1689">
        <v>1</v>
      </c>
      <c r="X1689">
        <v>1.7749299999999999</v>
      </c>
      <c r="Y1689">
        <v>1.7749299999999999</v>
      </c>
      <c r="Z1689">
        <v>0</v>
      </c>
      <c r="AA1689">
        <v>1.37127</v>
      </c>
      <c r="AB1689">
        <v>2.9635199999999999</v>
      </c>
      <c r="AC1689" s="2">
        <v>867554000</v>
      </c>
      <c r="AD1689" s="1">
        <v>0</v>
      </c>
      <c r="AE1689" s="1">
        <v>0</v>
      </c>
      <c r="AF1689" s="1">
        <v>0</v>
      </c>
      <c r="AG1689" s="1">
        <v>0</v>
      </c>
      <c r="AH1689" s="2">
        <v>4592170</v>
      </c>
      <c r="AI1689" s="1">
        <v>149687</v>
      </c>
      <c r="AJ1689" s="1">
        <v>0</v>
      </c>
      <c r="AK1689" s="8">
        <f t="shared" si="107"/>
        <v>24</v>
      </c>
      <c r="AL1689" s="8">
        <f t="shared" si="106"/>
        <v>33</v>
      </c>
      <c r="AM1689">
        <f t="shared" si="104"/>
        <v>0</v>
      </c>
      <c r="AN1689">
        <f t="shared" si="105"/>
        <v>0</v>
      </c>
    </row>
    <row r="1690" spans="1:40" x14ac:dyDescent="0.35">
      <c r="A1690">
        <v>77.534099999999995</v>
      </c>
      <c r="B1690">
        <v>85.138999999999996</v>
      </c>
      <c r="C1690">
        <v>2.1009899999999999</v>
      </c>
      <c r="D1690">
        <v>0.01</v>
      </c>
      <c r="E1690">
        <v>0.04</v>
      </c>
      <c r="F1690">
        <v>2.7462399999999998</v>
      </c>
      <c r="G1690">
        <v>3.0486399999999998</v>
      </c>
      <c r="H1690">
        <v>0</v>
      </c>
      <c r="I1690">
        <v>0.57129700000000005</v>
      </c>
      <c r="J1690">
        <v>5.3222399999999999</v>
      </c>
      <c r="K1690" s="2">
        <v>191900000</v>
      </c>
      <c r="L1690" s="1">
        <v>0</v>
      </c>
      <c r="M1690" s="1">
        <v>0</v>
      </c>
      <c r="N1690" s="1">
        <v>0</v>
      </c>
      <c r="O1690" s="1">
        <v>0</v>
      </c>
      <c r="P1690" s="2">
        <v>4105550</v>
      </c>
      <c r="Q1690" s="1">
        <v>-95132.9</v>
      </c>
      <c r="R1690" s="1">
        <v>408539</v>
      </c>
      <c r="S1690">
        <v>99.162000000000006</v>
      </c>
      <c r="T1690">
        <v>98.274000000000001</v>
      </c>
      <c r="U1690">
        <v>2.6528</v>
      </c>
      <c r="V1690">
        <v>0</v>
      </c>
      <c r="W1690">
        <v>1</v>
      </c>
      <c r="X1690">
        <v>2.0773799999999998</v>
      </c>
      <c r="Y1690">
        <v>1.77498</v>
      </c>
      <c r="Z1690">
        <v>0</v>
      </c>
      <c r="AA1690">
        <v>1.37131</v>
      </c>
      <c r="AB1690">
        <v>2.9635199999999999</v>
      </c>
      <c r="AC1690" s="2">
        <v>868486000</v>
      </c>
      <c r="AD1690" s="1">
        <v>0</v>
      </c>
      <c r="AE1690" s="1">
        <v>0</v>
      </c>
      <c r="AF1690" s="1">
        <v>0</v>
      </c>
      <c r="AG1690" s="1">
        <v>0</v>
      </c>
      <c r="AH1690" s="2">
        <v>5374680</v>
      </c>
      <c r="AI1690" s="1">
        <v>932072</v>
      </c>
      <c r="AJ1690" s="1">
        <v>0</v>
      </c>
      <c r="AK1690" s="8">
        <f t="shared" si="107"/>
        <v>25</v>
      </c>
      <c r="AL1690" s="8">
        <f t="shared" si="106"/>
        <v>33</v>
      </c>
      <c r="AM1690">
        <f t="shared" si="104"/>
        <v>0</v>
      </c>
      <c r="AN1690">
        <f t="shared" si="105"/>
        <v>0</v>
      </c>
    </row>
    <row r="1691" spans="1:40" x14ac:dyDescent="0.35">
      <c r="A1691">
        <v>77.358900000000006</v>
      </c>
      <c r="B1691">
        <v>85.138999999999996</v>
      </c>
      <c r="C1691">
        <v>2.8777200000000001</v>
      </c>
      <c r="D1691">
        <v>0.01</v>
      </c>
      <c r="E1691">
        <v>0.04</v>
      </c>
      <c r="F1691">
        <v>2.7463299999999999</v>
      </c>
      <c r="G1691">
        <v>3.0487299999999999</v>
      </c>
      <c r="H1691">
        <v>0</v>
      </c>
      <c r="I1691">
        <v>0.51464500000000002</v>
      </c>
      <c r="J1691">
        <v>5.3222399999999999</v>
      </c>
      <c r="K1691" s="2">
        <v>191804000</v>
      </c>
      <c r="L1691" s="1">
        <v>0</v>
      </c>
      <c r="M1691" s="1">
        <v>0</v>
      </c>
      <c r="N1691" s="1">
        <v>0</v>
      </c>
      <c r="O1691" s="1">
        <v>0</v>
      </c>
      <c r="P1691" s="2">
        <v>4105690</v>
      </c>
      <c r="Q1691" s="1">
        <v>-95123.4</v>
      </c>
      <c r="R1691" s="1">
        <v>408539</v>
      </c>
      <c r="S1691">
        <v>99.087800000000001</v>
      </c>
      <c r="T1691">
        <v>98.274000000000001</v>
      </c>
      <c r="U1691">
        <v>2.9204699999999999</v>
      </c>
      <c r="V1691">
        <v>0</v>
      </c>
      <c r="W1691">
        <v>1</v>
      </c>
      <c r="X1691">
        <v>2.0774400000000002</v>
      </c>
      <c r="Y1691">
        <v>1.77504</v>
      </c>
      <c r="Z1691">
        <v>0</v>
      </c>
      <c r="AA1691">
        <v>1.6049899999999999</v>
      </c>
      <c r="AB1691">
        <v>2.9635199999999999</v>
      </c>
      <c r="AC1691" s="2">
        <v>869418000</v>
      </c>
      <c r="AD1691" s="1">
        <v>0</v>
      </c>
      <c r="AE1691" s="1">
        <v>0</v>
      </c>
      <c r="AF1691" s="1">
        <v>0</v>
      </c>
      <c r="AG1691" s="1">
        <v>0</v>
      </c>
      <c r="AH1691" s="2">
        <v>5374820</v>
      </c>
      <c r="AI1691" s="1">
        <v>932077</v>
      </c>
      <c r="AJ1691" s="1">
        <v>0</v>
      </c>
      <c r="AK1691" s="8">
        <f t="shared" si="107"/>
        <v>26</v>
      </c>
      <c r="AL1691" s="8">
        <f t="shared" si="106"/>
        <v>33</v>
      </c>
      <c r="AM1691">
        <f t="shared" si="104"/>
        <v>0</v>
      </c>
      <c r="AN1691">
        <f t="shared" si="105"/>
        <v>0</v>
      </c>
    </row>
    <row r="1692" spans="1:40" x14ac:dyDescent="0.35">
      <c r="A1692">
        <v>76.464299999999994</v>
      </c>
      <c r="B1692">
        <v>85.138999999999996</v>
      </c>
      <c r="C1692">
        <v>2.1940599999999999</v>
      </c>
      <c r="D1692">
        <v>0.01</v>
      </c>
      <c r="E1692">
        <v>0.04</v>
      </c>
      <c r="F1692">
        <v>2.8910499999999999</v>
      </c>
      <c r="G1692">
        <v>3.1934499999999999</v>
      </c>
      <c r="H1692">
        <v>0</v>
      </c>
      <c r="I1692">
        <v>0.51466199999999995</v>
      </c>
      <c r="J1692">
        <v>5.3222399999999999</v>
      </c>
      <c r="K1692" s="2">
        <v>191724000</v>
      </c>
      <c r="L1692" s="1">
        <v>0</v>
      </c>
      <c r="M1692" s="1">
        <v>0</v>
      </c>
      <c r="N1692" s="1">
        <v>0</v>
      </c>
      <c r="O1692" s="1">
        <v>0</v>
      </c>
      <c r="P1692" s="2">
        <v>4322040</v>
      </c>
      <c r="Q1692" s="1">
        <v>-80246.100000000006</v>
      </c>
      <c r="R1692" s="1">
        <v>408539</v>
      </c>
      <c r="S1692">
        <v>98.928100000000001</v>
      </c>
      <c r="T1692">
        <v>98.274000000000001</v>
      </c>
      <c r="U1692">
        <v>2.6244200000000002</v>
      </c>
      <c r="V1692">
        <v>0</v>
      </c>
      <c r="W1692">
        <v>1</v>
      </c>
      <c r="X1692">
        <v>2.1734599999999999</v>
      </c>
      <c r="Y1692">
        <v>1.8710599999999999</v>
      </c>
      <c r="Z1692">
        <v>0</v>
      </c>
      <c r="AA1692">
        <v>1.60503</v>
      </c>
      <c r="AB1692">
        <v>2.9635199999999999</v>
      </c>
      <c r="AC1692" s="2">
        <v>870358000</v>
      </c>
      <c r="AD1692" s="1">
        <v>0</v>
      </c>
      <c r="AE1692" s="1">
        <v>0</v>
      </c>
      <c r="AF1692" s="1">
        <v>0</v>
      </c>
      <c r="AG1692" s="1">
        <v>0</v>
      </c>
      <c r="AH1692" s="2">
        <v>5623260</v>
      </c>
      <c r="AI1692" s="1">
        <v>940175</v>
      </c>
      <c r="AJ1692" s="1">
        <v>0</v>
      </c>
      <c r="AK1692" s="8">
        <f t="shared" si="107"/>
        <v>27</v>
      </c>
      <c r="AL1692" s="8">
        <f t="shared" si="106"/>
        <v>33</v>
      </c>
      <c r="AM1692">
        <f t="shared" si="104"/>
        <v>0</v>
      </c>
      <c r="AN1692">
        <f t="shared" si="105"/>
        <v>0</v>
      </c>
    </row>
    <row r="1693" spans="1:40" x14ac:dyDescent="0.35">
      <c r="A1693">
        <v>75.491799999999998</v>
      </c>
      <c r="B1693">
        <v>85.138999999999996</v>
      </c>
      <c r="C1693">
        <v>2.07843</v>
      </c>
      <c r="D1693">
        <v>0.01</v>
      </c>
      <c r="E1693">
        <v>0.04</v>
      </c>
      <c r="F1693">
        <v>2.89114</v>
      </c>
      <c r="G1693">
        <v>3.19354</v>
      </c>
      <c r="H1693">
        <v>0</v>
      </c>
      <c r="I1693">
        <v>0.54178199999999999</v>
      </c>
      <c r="J1693">
        <v>5.3222399999999999</v>
      </c>
      <c r="K1693" s="2">
        <v>191644000</v>
      </c>
      <c r="L1693" s="1">
        <v>0</v>
      </c>
      <c r="M1693" s="1">
        <v>0</v>
      </c>
      <c r="N1693" s="1">
        <v>0</v>
      </c>
      <c r="O1693" s="1">
        <v>0</v>
      </c>
      <c r="P1693" s="2">
        <v>4322180</v>
      </c>
      <c r="Q1693" s="1">
        <v>-80236.2</v>
      </c>
      <c r="R1693" s="1">
        <v>408539</v>
      </c>
      <c r="S1693">
        <v>98.798100000000005</v>
      </c>
      <c r="T1693">
        <v>98.274000000000001</v>
      </c>
      <c r="U1693">
        <v>2.7228599999999998</v>
      </c>
      <c r="V1693">
        <v>0</v>
      </c>
      <c r="W1693">
        <v>1</v>
      </c>
      <c r="X1693">
        <v>2.1735199999999999</v>
      </c>
      <c r="Y1693">
        <v>1.8711199999999999</v>
      </c>
      <c r="Z1693">
        <v>0</v>
      </c>
      <c r="AA1693">
        <v>1.6792199999999999</v>
      </c>
      <c r="AB1693">
        <v>2.9635199999999999</v>
      </c>
      <c r="AC1693" s="2">
        <v>871298000</v>
      </c>
      <c r="AD1693" s="1">
        <v>0</v>
      </c>
      <c r="AE1693" s="1">
        <v>0</v>
      </c>
      <c r="AF1693" s="1">
        <v>0</v>
      </c>
      <c r="AG1693" s="1">
        <v>0</v>
      </c>
      <c r="AH1693" s="2">
        <v>5623410</v>
      </c>
      <c r="AI1693" s="1">
        <v>940180</v>
      </c>
      <c r="AJ1693" s="1">
        <v>0</v>
      </c>
      <c r="AK1693" s="8">
        <f t="shared" si="107"/>
        <v>28</v>
      </c>
      <c r="AL1693" s="8">
        <f t="shared" si="106"/>
        <v>33</v>
      </c>
      <c r="AM1693">
        <f t="shared" si="104"/>
        <v>0</v>
      </c>
      <c r="AN1693">
        <f t="shared" si="105"/>
        <v>0</v>
      </c>
    </row>
    <row r="1694" spans="1:40" x14ac:dyDescent="0.35">
      <c r="A1694">
        <v>74.466099999999997</v>
      </c>
      <c r="B1694">
        <v>85.138999999999996</v>
      </c>
      <c r="C1694">
        <v>2.0110800000000002</v>
      </c>
      <c r="D1694">
        <v>0.01</v>
      </c>
      <c r="E1694">
        <v>0.04</v>
      </c>
      <c r="F1694">
        <v>2.8912399999999998</v>
      </c>
      <c r="G1694">
        <v>3.1936399999999998</v>
      </c>
      <c r="H1694">
        <v>0</v>
      </c>
      <c r="I1694">
        <v>0.54179999999999995</v>
      </c>
      <c r="J1694">
        <v>5.3222399999999999</v>
      </c>
      <c r="K1694" s="2">
        <v>191564000</v>
      </c>
      <c r="L1694" s="1">
        <v>0</v>
      </c>
      <c r="M1694" s="1">
        <v>0</v>
      </c>
      <c r="N1694" s="1">
        <v>0</v>
      </c>
      <c r="O1694" s="1">
        <v>0</v>
      </c>
      <c r="P1694" s="2">
        <v>4322330</v>
      </c>
      <c r="Q1694" s="1">
        <v>-80226.3</v>
      </c>
      <c r="R1694" s="1">
        <v>408539</v>
      </c>
      <c r="S1694">
        <v>98.703100000000006</v>
      </c>
      <c r="T1694">
        <v>98.274000000000001</v>
      </c>
      <c r="U1694">
        <v>2.70838</v>
      </c>
      <c r="V1694">
        <v>0</v>
      </c>
      <c r="W1694">
        <v>1</v>
      </c>
      <c r="X1694">
        <v>2.1735699999999998</v>
      </c>
      <c r="Y1694">
        <v>1.87117</v>
      </c>
      <c r="Z1694">
        <v>0</v>
      </c>
      <c r="AA1694">
        <v>1.67926</v>
      </c>
      <c r="AB1694">
        <v>2.9635199999999999</v>
      </c>
      <c r="AC1694" s="2">
        <v>872238000</v>
      </c>
      <c r="AD1694" s="1">
        <v>0</v>
      </c>
      <c r="AE1694" s="1">
        <v>0</v>
      </c>
      <c r="AF1694" s="1">
        <v>0</v>
      </c>
      <c r="AG1694" s="1">
        <v>0</v>
      </c>
      <c r="AH1694" s="2">
        <v>5623550</v>
      </c>
      <c r="AI1694" s="1">
        <v>940184</v>
      </c>
      <c r="AJ1694" s="1">
        <v>0</v>
      </c>
      <c r="AK1694" s="8">
        <f t="shared" si="107"/>
        <v>29</v>
      </c>
      <c r="AL1694" s="8">
        <f t="shared" si="106"/>
        <v>33</v>
      </c>
      <c r="AM1694">
        <f t="shared" si="104"/>
        <v>0</v>
      </c>
      <c r="AN1694">
        <f t="shared" si="105"/>
        <v>0</v>
      </c>
    </row>
    <row r="1695" spans="1:40" x14ac:dyDescent="0.35">
      <c r="A1695">
        <v>73.328500000000005</v>
      </c>
      <c r="B1695">
        <v>85.138999999999996</v>
      </c>
      <c r="C1695">
        <v>1.88347</v>
      </c>
      <c r="D1695">
        <v>0.01</v>
      </c>
      <c r="E1695">
        <v>0.04</v>
      </c>
      <c r="F1695">
        <v>2.89133</v>
      </c>
      <c r="G1695">
        <v>3.19373</v>
      </c>
      <c r="H1695">
        <v>0</v>
      </c>
      <c r="I1695">
        <v>0.54181800000000002</v>
      </c>
      <c r="J1695">
        <v>5.3222399999999999</v>
      </c>
      <c r="K1695" s="2">
        <v>191484000</v>
      </c>
      <c r="L1695" s="1">
        <v>0</v>
      </c>
      <c r="M1695" s="1">
        <v>0</v>
      </c>
      <c r="N1695" s="1">
        <v>0</v>
      </c>
      <c r="O1695" s="1">
        <v>0</v>
      </c>
      <c r="P1695" s="2">
        <v>4322470</v>
      </c>
      <c r="Q1695" s="1">
        <v>-80216.399999999994</v>
      </c>
      <c r="R1695" s="1">
        <v>408539</v>
      </c>
      <c r="S1695">
        <v>98.549199999999999</v>
      </c>
      <c r="T1695">
        <v>98.274000000000001</v>
      </c>
      <c r="U1695">
        <v>2.47174</v>
      </c>
      <c r="V1695">
        <v>0</v>
      </c>
      <c r="W1695">
        <v>1</v>
      </c>
      <c r="X1695">
        <v>2.1736300000000002</v>
      </c>
      <c r="Y1695">
        <v>1.8712299999999999</v>
      </c>
      <c r="Z1695">
        <v>0</v>
      </c>
      <c r="AA1695">
        <v>1.6793</v>
      </c>
      <c r="AB1695">
        <v>2.9635199999999999</v>
      </c>
      <c r="AC1695" s="2">
        <v>873179000</v>
      </c>
      <c r="AD1695" s="1">
        <v>0</v>
      </c>
      <c r="AE1695" s="1">
        <v>0</v>
      </c>
      <c r="AF1695" s="1">
        <v>0</v>
      </c>
      <c r="AG1695" s="1">
        <v>0</v>
      </c>
      <c r="AH1695" s="2">
        <v>5623700</v>
      </c>
      <c r="AI1695" s="1">
        <v>940189</v>
      </c>
      <c r="AJ1695" s="1">
        <v>0</v>
      </c>
      <c r="AK1695" s="8">
        <f t="shared" si="107"/>
        <v>30</v>
      </c>
      <c r="AL1695" s="8">
        <f t="shared" si="106"/>
        <v>33</v>
      </c>
      <c r="AM1695">
        <f t="shared" si="104"/>
        <v>0</v>
      </c>
      <c r="AN1695">
        <f t="shared" si="105"/>
        <v>0</v>
      </c>
    </row>
    <row r="1696" spans="1:40" x14ac:dyDescent="0.35">
      <c r="A1696">
        <v>72.169899999999998</v>
      </c>
      <c r="B1696">
        <v>85.138999999999996</v>
      </c>
      <c r="C1696">
        <v>1.8380799999999999</v>
      </c>
      <c r="D1696">
        <v>0.02</v>
      </c>
      <c r="E1696">
        <v>0.04</v>
      </c>
      <c r="F1696">
        <v>2.8914300000000002</v>
      </c>
      <c r="G1696">
        <v>3.1938300000000002</v>
      </c>
      <c r="H1696">
        <v>0</v>
      </c>
      <c r="I1696">
        <v>0.54183599999999998</v>
      </c>
      <c r="J1696">
        <v>5.3222399999999999</v>
      </c>
      <c r="K1696" s="2">
        <v>191403000</v>
      </c>
      <c r="L1696" s="1">
        <v>0</v>
      </c>
      <c r="M1696" s="1">
        <v>0</v>
      </c>
      <c r="N1696" s="1">
        <v>0</v>
      </c>
      <c r="O1696" s="1">
        <v>0</v>
      </c>
      <c r="P1696" s="2">
        <v>4322620</v>
      </c>
      <c r="Q1696" s="1">
        <v>-80206.5</v>
      </c>
      <c r="R1696" s="1">
        <v>408539</v>
      </c>
      <c r="S1696">
        <v>98.536900000000003</v>
      </c>
      <c r="T1696">
        <v>98.274000000000001</v>
      </c>
      <c r="U1696">
        <v>2.86151</v>
      </c>
      <c r="V1696">
        <v>0</v>
      </c>
      <c r="W1696">
        <v>1</v>
      </c>
      <c r="X1696">
        <v>2.1736900000000001</v>
      </c>
      <c r="Y1696">
        <v>1.8712899999999999</v>
      </c>
      <c r="Z1696">
        <v>0</v>
      </c>
      <c r="AA1696">
        <v>1.6793499999999999</v>
      </c>
      <c r="AB1696">
        <v>2.9635199999999999</v>
      </c>
      <c r="AC1696" s="2">
        <v>874119000</v>
      </c>
      <c r="AD1696" s="1">
        <v>0</v>
      </c>
      <c r="AE1696" s="1">
        <v>0</v>
      </c>
      <c r="AF1696" s="1">
        <v>0</v>
      </c>
      <c r="AG1696" s="1">
        <v>0</v>
      </c>
      <c r="AH1696" s="2">
        <v>5623840</v>
      </c>
      <c r="AI1696" s="1">
        <v>940194</v>
      </c>
      <c r="AJ1696" s="1">
        <v>0</v>
      </c>
      <c r="AK1696" s="8">
        <f t="shared" si="107"/>
        <v>31</v>
      </c>
      <c r="AL1696" s="8">
        <f t="shared" si="106"/>
        <v>33</v>
      </c>
      <c r="AM1696">
        <f t="shared" si="104"/>
        <v>0</v>
      </c>
      <c r="AN1696">
        <f t="shared" si="105"/>
        <v>0</v>
      </c>
    </row>
    <row r="1697" spans="1:40" x14ac:dyDescent="0.35">
      <c r="A1697">
        <v>70.998800000000003</v>
      </c>
      <c r="B1697">
        <v>85.138999999999996</v>
      </c>
      <c r="C1697">
        <v>1.77698</v>
      </c>
      <c r="D1697">
        <v>0.02</v>
      </c>
      <c r="E1697">
        <v>0.04</v>
      </c>
      <c r="F1697">
        <v>2.8629199999999999</v>
      </c>
      <c r="G1697">
        <v>3.1653199999999999</v>
      </c>
      <c r="H1697">
        <v>0</v>
      </c>
      <c r="I1697">
        <v>0.54185399999999995</v>
      </c>
      <c r="J1697">
        <v>5.3222399999999999</v>
      </c>
      <c r="K1697" s="2">
        <v>191320000</v>
      </c>
      <c r="L1697" s="1">
        <v>0</v>
      </c>
      <c r="M1697" s="1">
        <v>0</v>
      </c>
      <c r="N1697" s="1">
        <v>0</v>
      </c>
      <c r="O1697" s="1">
        <v>0</v>
      </c>
      <c r="P1697" s="2">
        <v>4279990</v>
      </c>
      <c r="Q1697" s="1">
        <v>-83137.399999999994</v>
      </c>
      <c r="R1697" s="1">
        <v>408539</v>
      </c>
      <c r="S1697">
        <v>98.559100000000001</v>
      </c>
      <c r="T1697">
        <v>98.274000000000001</v>
      </c>
      <c r="U1697">
        <v>2.9950800000000002</v>
      </c>
      <c r="V1697">
        <v>0</v>
      </c>
      <c r="W1697">
        <v>1</v>
      </c>
      <c r="X1697">
        <v>2.2265000000000001</v>
      </c>
      <c r="Y1697">
        <v>1.9240999999999999</v>
      </c>
      <c r="Z1697">
        <v>0</v>
      </c>
      <c r="AA1697">
        <v>1.6793899999999999</v>
      </c>
      <c r="AB1697">
        <v>2.9635199999999999</v>
      </c>
      <c r="AC1697" s="2">
        <v>875063000</v>
      </c>
      <c r="AD1697" s="1">
        <v>0</v>
      </c>
      <c r="AE1697" s="1">
        <v>0</v>
      </c>
      <c r="AF1697" s="1">
        <v>0</v>
      </c>
      <c r="AG1697" s="1">
        <v>0</v>
      </c>
      <c r="AH1697" s="2">
        <v>5760480</v>
      </c>
      <c r="AI1697" s="1">
        <v>944648</v>
      </c>
      <c r="AJ1697" s="1">
        <v>0</v>
      </c>
      <c r="AK1697" s="8">
        <f t="shared" si="107"/>
        <v>32</v>
      </c>
      <c r="AL1697" s="8">
        <f t="shared" si="106"/>
        <v>33</v>
      </c>
      <c r="AM1697">
        <f t="shared" si="104"/>
        <v>0</v>
      </c>
      <c r="AN1697">
        <f t="shared" si="105"/>
        <v>0</v>
      </c>
    </row>
    <row r="1698" spans="1:40" x14ac:dyDescent="0.35">
      <c r="A1698">
        <v>69.760599999999997</v>
      </c>
      <c r="B1698">
        <v>85.138999999999996</v>
      </c>
      <c r="C1698">
        <v>1.68388</v>
      </c>
      <c r="D1698">
        <v>0.02</v>
      </c>
      <c r="E1698">
        <v>0.04</v>
      </c>
      <c r="F1698">
        <v>2.8630200000000001</v>
      </c>
      <c r="G1698">
        <v>3.1654200000000001</v>
      </c>
      <c r="H1698">
        <v>0</v>
      </c>
      <c r="I1698">
        <v>0.53651099999999996</v>
      </c>
      <c r="J1698">
        <v>5.3222399999999999</v>
      </c>
      <c r="K1698" s="2">
        <v>191237000</v>
      </c>
      <c r="L1698" s="1">
        <v>0</v>
      </c>
      <c r="M1698" s="1">
        <v>0</v>
      </c>
      <c r="N1698" s="1">
        <v>0</v>
      </c>
      <c r="O1698" s="1">
        <v>0</v>
      </c>
      <c r="P1698" s="2">
        <v>4280140</v>
      </c>
      <c r="Q1698" s="1">
        <v>-83127.600000000006</v>
      </c>
      <c r="R1698" s="1">
        <v>408539</v>
      </c>
      <c r="S1698">
        <v>98.542599999999993</v>
      </c>
      <c r="T1698">
        <v>98.274000000000001</v>
      </c>
      <c r="U1698">
        <v>2.9054600000000002</v>
      </c>
      <c r="V1698">
        <v>0</v>
      </c>
      <c r="W1698">
        <v>1</v>
      </c>
      <c r="X1698">
        <v>2.2265600000000001</v>
      </c>
      <c r="Y1698">
        <v>1.9241600000000001</v>
      </c>
      <c r="Z1698">
        <v>0</v>
      </c>
      <c r="AA1698">
        <v>1.7201900000000001</v>
      </c>
      <c r="AB1698">
        <v>2.9635199999999999</v>
      </c>
      <c r="AC1698" s="2">
        <v>876008000</v>
      </c>
      <c r="AD1698" s="1">
        <v>0</v>
      </c>
      <c r="AE1698" s="1">
        <v>0</v>
      </c>
      <c r="AF1698" s="1">
        <v>0</v>
      </c>
      <c r="AG1698" s="1">
        <v>0</v>
      </c>
      <c r="AH1698" s="2">
        <v>5760630</v>
      </c>
      <c r="AI1698" s="1">
        <v>944653</v>
      </c>
      <c r="AJ1698" s="1">
        <v>0</v>
      </c>
      <c r="AK1698" s="8">
        <f t="shared" si="107"/>
        <v>33</v>
      </c>
      <c r="AL1698" s="8">
        <f t="shared" si="106"/>
        <v>33</v>
      </c>
      <c r="AM1698">
        <f t="shared" si="104"/>
        <v>0</v>
      </c>
      <c r="AN1698">
        <f t="shared" si="105"/>
        <v>0</v>
      </c>
    </row>
    <row r="1699" spans="1:40" x14ac:dyDescent="0.35">
      <c r="A1699">
        <v>68.429100000000005</v>
      </c>
      <c r="B1699">
        <v>85.138999999999996</v>
      </c>
      <c r="C1699">
        <v>1.5711900000000001</v>
      </c>
      <c r="D1699">
        <v>0.02</v>
      </c>
      <c r="E1699">
        <v>0.04</v>
      </c>
      <c r="F1699">
        <v>2.8631099999999998</v>
      </c>
      <c r="G1699">
        <v>3.1655099999999998</v>
      </c>
      <c r="H1699">
        <v>0</v>
      </c>
      <c r="I1699">
        <v>0.53652900000000003</v>
      </c>
      <c r="J1699">
        <v>5.3222399999999999</v>
      </c>
      <c r="K1699" s="2">
        <v>191154000</v>
      </c>
      <c r="L1699" s="1">
        <v>0</v>
      </c>
      <c r="M1699" s="1">
        <v>0</v>
      </c>
      <c r="N1699" s="1">
        <v>0</v>
      </c>
      <c r="O1699" s="1">
        <v>0</v>
      </c>
      <c r="P1699" s="2">
        <v>4280280</v>
      </c>
      <c r="Q1699" s="1">
        <v>-83117.8</v>
      </c>
      <c r="R1699" s="1">
        <v>408539</v>
      </c>
      <c r="S1699">
        <v>98.409800000000004</v>
      </c>
      <c r="T1699">
        <v>98.274000000000001</v>
      </c>
      <c r="U1699">
        <v>2.7083699999999999</v>
      </c>
      <c r="V1699">
        <v>0</v>
      </c>
      <c r="W1699">
        <v>1</v>
      </c>
      <c r="X1699">
        <v>2.22661</v>
      </c>
      <c r="Y1699">
        <v>1.92421</v>
      </c>
      <c r="Z1699">
        <v>0</v>
      </c>
      <c r="AA1699">
        <v>1.72024</v>
      </c>
      <c r="AB1699">
        <v>2.9635199999999999</v>
      </c>
      <c r="AC1699" s="2">
        <v>876953000</v>
      </c>
      <c r="AD1699" s="1">
        <v>0</v>
      </c>
      <c r="AE1699" s="1">
        <v>0</v>
      </c>
      <c r="AF1699" s="1">
        <v>0</v>
      </c>
      <c r="AG1699" s="1">
        <v>0</v>
      </c>
      <c r="AH1699" s="2">
        <v>5760780</v>
      </c>
      <c r="AI1699" s="1">
        <v>944657</v>
      </c>
      <c r="AJ1699" s="1">
        <v>0</v>
      </c>
      <c r="AK1699" s="8">
        <f t="shared" si="107"/>
        <v>34</v>
      </c>
      <c r="AL1699" s="8">
        <f t="shared" si="106"/>
        <v>33</v>
      </c>
      <c r="AM1699">
        <f t="shared" si="104"/>
        <v>0</v>
      </c>
      <c r="AN1699">
        <f t="shared" si="105"/>
        <v>0</v>
      </c>
    </row>
    <row r="1700" spans="1:40" x14ac:dyDescent="0.35">
      <c r="A1700">
        <v>67.053299999999993</v>
      </c>
      <c r="B1700">
        <v>85.138999999999996</v>
      </c>
      <c r="C1700">
        <v>1.51027</v>
      </c>
      <c r="D1700">
        <v>0.02</v>
      </c>
      <c r="E1700">
        <v>0.04</v>
      </c>
      <c r="F1700">
        <v>2.86321</v>
      </c>
      <c r="G1700">
        <v>3.16561</v>
      </c>
      <c r="H1700">
        <v>0</v>
      </c>
      <c r="I1700">
        <v>0.536547</v>
      </c>
      <c r="J1700">
        <v>5.3222399999999999</v>
      </c>
      <c r="K1700" s="2">
        <v>191071000</v>
      </c>
      <c r="L1700" s="1">
        <v>0</v>
      </c>
      <c r="M1700" s="1">
        <v>0</v>
      </c>
      <c r="N1700" s="1">
        <v>0</v>
      </c>
      <c r="O1700" s="1">
        <v>0</v>
      </c>
      <c r="P1700" s="2">
        <v>4280420</v>
      </c>
      <c r="Q1700" s="1">
        <v>-83108</v>
      </c>
      <c r="R1700" s="1">
        <v>408539</v>
      </c>
      <c r="S1700">
        <v>98.25</v>
      </c>
      <c r="T1700">
        <v>98.274000000000001</v>
      </c>
      <c r="U1700">
        <v>2.6054900000000001</v>
      </c>
      <c r="V1700">
        <v>0</v>
      </c>
      <c r="W1700">
        <v>1</v>
      </c>
      <c r="X1700">
        <v>2.2266699999999999</v>
      </c>
      <c r="Y1700">
        <v>1.9242699999999999</v>
      </c>
      <c r="Z1700">
        <v>0</v>
      </c>
      <c r="AA1700">
        <v>1.72028</v>
      </c>
      <c r="AB1700">
        <v>2.9635199999999999</v>
      </c>
      <c r="AC1700" s="2">
        <v>877897000</v>
      </c>
      <c r="AD1700" s="1">
        <v>0</v>
      </c>
      <c r="AE1700" s="1">
        <v>0</v>
      </c>
      <c r="AF1700" s="1">
        <v>0</v>
      </c>
      <c r="AG1700" s="1">
        <v>0</v>
      </c>
      <c r="AH1700" s="2">
        <v>5760930</v>
      </c>
      <c r="AI1700" s="1">
        <v>944662</v>
      </c>
      <c r="AJ1700" s="1">
        <v>0</v>
      </c>
      <c r="AK1700" s="8">
        <f t="shared" si="107"/>
        <v>35</v>
      </c>
      <c r="AL1700" s="8">
        <f t="shared" si="106"/>
        <v>33</v>
      </c>
      <c r="AM1700">
        <f t="shared" si="104"/>
        <v>0</v>
      </c>
      <c r="AN1700">
        <f t="shared" si="105"/>
        <v>0</v>
      </c>
    </row>
    <row r="1701" spans="1:40" x14ac:dyDescent="0.35">
      <c r="A1701">
        <v>65.734300000000005</v>
      </c>
      <c r="B1701">
        <v>85.138999999999996</v>
      </c>
      <c r="C1701">
        <v>1.59771</v>
      </c>
      <c r="D1701">
        <v>0.02</v>
      </c>
      <c r="E1701">
        <v>0.04</v>
      </c>
      <c r="F1701">
        <v>2.9371800000000001</v>
      </c>
      <c r="G1701">
        <v>3.2395800000000001</v>
      </c>
      <c r="H1701">
        <v>0</v>
      </c>
      <c r="I1701">
        <v>0.53656499999999996</v>
      </c>
      <c r="J1701">
        <v>5.3222399999999999</v>
      </c>
      <c r="K1701" s="2">
        <v>190995000</v>
      </c>
      <c r="L1701" s="1">
        <v>0</v>
      </c>
      <c r="M1701" s="1">
        <v>0</v>
      </c>
      <c r="N1701" s="1">
        <v>0</v>
      </c>
      <c r="O1701" s="1">
        <v>0</v>
      </c>
      <c r="P1701" s="2">
        <v>4391020</v>
      </c>
      <c r="Q1701" s="1">
        <v>-75503</v>
      </c>
      <c r="R1701" s="1">
        <v>408539</v>
      </c>
      <c r="S1701">
        <v>98.230800000000002</v>
      </c>
      <c r="T1701">
        <v>98.274000000000001</v>
      </c>
      <c r="U1701">
        <v>2.9872800000000002</v>
      </c>
      <c r="V1701">
        <v>0</v>
      </c>
      <c r="W1701">
        <v>1</v>
      </c>
      <c r="X1701">
        <v>2.2737500000000002</v>
      </c>
      <c r="Y1701">
        <v>1.9713499999999999</v>
      </c>
      <c r="Z1701">
        <v>0</v>
      </c>
      <c r="AA1701">
        <v>1.7203299999999999</v>
      </c>
      <c r="AB1701">
        <v>2.9635199999999999</v>
      </c>
      <c r="AC1701" s="2">
        <v>878846000</v>
      </c>
      <c r="AD1701" s="1">
        <v>0</v>
      </c>
      <c r="AE1701" s="1">
        <v>0</v>
      </c>
      <c r="AF1701" s="1">
        <v>0</v>
      </c>
      <c r="AG1701" s="1">
        <v>0</v>
      </c>
      <c r="AH1701" s="2">
        <v>5882740</v>
      </c>
      <c r="AI1701" s="1">
        <v>948633</v>
      </c>
      <c r="AJ1701" s="1">
        <v>0</v>
      </c>
      <c r="AK1701" s="8">
        <f t="shared" si="107"/>
        <v>36</v>
      </c>
      <c r="AL1701" s="8">
        <f t="shared" si="106"/>
        <v>33</v>
      </c>
      <c r="AM1701">
        <f t="shared" si="104"/>
        <v>0</v>
      </c>
      <c r="AN1701">
        <f t="shared" si="105"/>
        <v>0</v>
      </c>
    </row>
    <row r="1702" spans="1:40" x14ac:dyDescent="0.35">
      <c r="A1702">
        <v>64.314700000000002</v>
      </c>
      <c r="B1702">
        <v>85.138999999999996</v>
      </c>
      <c r="C1702">
        <v>1.48065</v>
      </c>
      <c r="D1702">
        <v>0.02</v>
      </c>
      <c r="E1702">
        <v>0.04</v>
      </c>
      <c r="F1702">
        <v>2.9372799999999999</v>
      </c>
      <c r="G1702">
        <v>3.2396799999999999</v>
      </c>
      <c r="H1702">
        <v>0</v>
      </c>
      <c r="I1702">
        <v>0.55042800000000003</v>
      </c>
      <c r="J1702">
        <v>5.3222399999999999</v>
      </c>
      <c r="K1702" s="2">
        <v>190920000</v>
      </c>
      <c r="L1702" s="1">
        <v>0</v>
      </c>
      <c r="M1702" s="1">
        <v>0</v>
      </c>
      <c r="N1702" s="1">
        <v>0</v>
      </c>
      <c r="O1702" s="1">
        <v>0</v>
      </c>
      <c r="P1702" s="2">
        <v>4391160</v>
      </c>
      <c r="Q1702" s="1">
        <v>-75493</v>
      </c>
      <c r="R1702" s="1">
        <v>408539</v>
      </c>
      <c r="S1702">
        <v>98.140500000000003</v>
      </c>
      <c r="T1702">
        <v>98.274000000000001</v>
      </c>
      <c r="U1702">
        <v>2.6692100000000001</v>
      </c>
      <c r="V1702">
        <v>0</v>
      </c>
      <c r="W1702">
        <v>1</v>
      </c>
      <c r="X1702">
        <v>2.2738100000000001</v>
      </c>
      <c r="Y1702">
        <v>1.9714100000000001</v>
      </c>
      <c r="Z1702">
        <v>0</v>
      </c>
      <c r="AA1702">
        <v>1.7566999999999999</v>
      </c>
      <c r="AB1702">
        <v>2.9635199999999999</v>
      </c>
      <c r="AC1702" s="2">
        <v>879795000</v>
      </c>
      <c r="AD1702" s="1">
        <v>0</v>
      </c>
      <c r="AE1702" s="1">
        <v>0</v>
      </c>
      <c r="AF1702" s="1">
        <v>0</v>
      </c>
      <c r="AG1702" s="1">
        <v>0</v>
      </c>
      <c r="AH1702" s="2">
        <v>5882890</v>
      </c>
      <c r="AI1702" s="1">
        <v>948638</v>
      </c>
      <c r="AJ1702" s="1">
        <v>0</v>
      </c>
      <c r="AK1702" s="8">
        <f t="shared" si="107"/>
        <v>37</v>
      </c>
      <c r="AL1702" s="8">
        <f t="shared" si="106"/>
        <v>33</v>
      </c>
      <c r="AM1702">
        <f t="shared" si="104"/>
        <v>0</v>
      </c>
      <c r="AN1702">
        <f t="shared" si="105"/>
        <v>0</v>
      </c>
    </row>
    <row r="1703" spans="1:40" x14ac:dyDescent="0.35">
      <c r="A1703">
        <v>62.943600000000004</v>
      </c>
      <c r="B1703">
        <v>85.138999999999996</v>
      </c>
      <c r="C1703">
        <v>1.50665</v>
      </c>
      <c r="D1703">
        <v>0.02</v>
      </c>
      <c r="E1703">
        <v>0.04</v>
      </c>
      <c r="F1703">
        <v>2.9373800000000001</v>
      </c>
      <c r="G1703">
        <v>3.2397800000000001</v>
      </c>
      <c r="H1703">
        <v>0</v>
      </c>
      <c r="I1703">
        <v>0.55044700000000002</v>
      </c>
      <c r="J1703">
        <v>5.3222399999999999</v>
      </c>
      <c r="K1703" s="2">
        <v>190844000</v>
      </c>
      <c r="L1703" s="1">
        <v>0</v>
      </c>
      <c r="M1703" s="1">
        <v>0</v>
      </c>
      <c r="N1703" s="1">
        <v>0</v>
      </c>
      <c r="O1703" s="1">
        <v>0</v>
      </c>
      <c r="P1703" s="2">
        <v>4391310</v>
      </c>
      <c r="Q1703" s="1">
        <v>-75483</v>
      </c>
      <c r="R1703" s="1">
        <v>408539</v>
      </c>
      <c r="S1703">
        <v>98.148300000000006</v>
      </c>
      <c r="T1703">
        <v>98.274000000000001</v>
      </c>
      <c r="U1703">
        <v>3.0332699999999999</v>
      </c>
      <c r="V1703">
        <v>0</v>
      </c>
      <c r="W1703">
        <v>1</v>
      </c>
      <c r="X1703">
        <v>2.2738700000000001</v>
      </c>
      <c r="Y1703">
        <v>1.9714700000000001</v>
      </c>
      <c r="Z1703">
        <v>0</v>
      </c>
      <c r="AA1703">
        <v>1.75675</v>
      </c>
      <c r="AB1703">
        <v>2.9635199999999999</v>
      </c>
      <c r="AC1703" s="2">
        <v>880743000</v>
      </c>
      <c r="AD1703" s="1">
        <v>0</v>
      </c>
      <c r="AE1703" s="1">
        <v>0</v>
      </c>
      <c r="AF1703" s="1">
        <v>0</v>
      </c>
      <c r="AG1703" s="1">
        <v>0</v>
      </c>
      <c r="AH1703" s="2">
        <v>5883040</v>
      </c>
      <c r="AI1703" s="1">
        <v>948643</v>
      </c>
      <c r="AJ1703" s="1">
        <v>0</v>
      </c>
      <c r="AK1703" s="8">
        <f t="shared" si="107"/>
        <v>38</v>
      </c>
      <c r="AL1703" s="8">
        <f t="shared" si="106"/>
        <v>33</v>
      </c>
      <c r="AM1703">
        <f t="shared" si="104"/>
        <v>0</v>
      </c>
      <c r="AN1703">
        <f t="shared" si="105"/>
        <v>0</v>
      </c>
    </row>
    <row r="1704" spans="1:40" x14ac:dyDescent="0.35">
      <c r="A1704">
        <v>61.654200000000003</v>
      </c>
      <c r="B1704">
        <v>85.138999999999996</v>
      </c>
      <c r="C1704">
        <v>1.56609</v>
      </c>
      <c r="D1704">
        <v>0.02</v>
      </c>
      <c r="E1704">
        <v>0.04</v>
      </c>
      <c r="F1704">
        <v>2.9374799999999999</v>
      </c>
      <c r="G1704">
        <v>3.2398799999999999</v>
      </c>
      <c r="H1704">
        <v>0</v>
      </c>
      <c r="I1704">
        <v>0.55046499999999998</v>
      </c>
      <c r="J1704">
        <v>5.3222399999999999</v>
      </c>
      <c r="K1704" s="2">
        <v>190769000</v>
      </c>
      <c r="L1704" s="1">
        <v>0</v>
      </c>
      <c r="M1704" s="1">
        <v>0</v>
      </c>
      <c r="N1704" s="1">
        <v>0</v>
      </c>
      <c r="O1704" s="1">
        <v>0</v>
      </c>
      <c r="P1704" s="2">
        <v>4391450</v>
      </c>
      <c r="Q1704" s="1">
        <v>-75472.899999999994</v>
      </c>
      <c r="R1704" s="1">
        <v>408539</v>
      </c>
      <c r="S1704">
        <v>98.210099999999997</v>
      </c>
      <c r="T1704">
        <v>98.274000000000001</v>
      </c>
      <c r="U1704">
        <v>3.1978200000000001</v>
      </c>
      <c r="V1704">
        <v>0</v>
      </c>
      <c r="W1704">
        <v>1</v>
      </c>
      <c r="X1704">
        <v>2.27393</v>
      </c>
      <c r="Y1704">
        <v>1.97153</v>
      </c>
      <c r="Z1704">
        <v>0</v>
      </c>
      <c r="AA1704">
        <v>1.7567900000000001</v>
      </c>
      <c r="AB1704">
        <v>2.9635199999999999</v>
      </c>
      <c r="AC1704" s="2">
        <v>881692000</v>
      </c>
      <c r="AD1704" s="1">
        <v>0</v>
      </c>
      <c r="AE1704" s="1">
        <v>0</v>
      </c>
      <c r="AF1704" s="1">
        <v>0</v>
      </c>
      <c r="AG1704" s="1">
        <v>0</v>
      </c>
      <c r="AH1704" s="2">
        <v>5883200</v>
      </c>
      <c r="AI1704" s="1">
        <v>948648</v>
      </c>
      <c r="AJ1704" s="1">
        <v>0</v>
      </c>
      <c r="AK1704" s="8">
        <f t="shared" si="107"/>
        <v>39</v>
      </c>
      <c r="AL1704" s="8">
        <f t="shared" si="106"/>
        <v>33</v>
      </c>
      <c r="AM1704">
        <f t="shared" si="104"/>
        <v>0</v>
      </c>
      <c r="AN1704">
        <f t="shared" si="105"/>
        <v>0</v>
      </c>
    </row>
    <row r="1705" spans="1:40" x14ac:dyDescent="0.35">
      <c r="A1705">
        <v>60.019500000000001</v>
      </c>
      <c r="B1705">
        <v>85.138999999999996</v>
      </c>
      <c r="C1705">
        <v>1.3771899999999999</v>
      </c>
      <c r="D1705">
        <v>0.02</v>
      </c>
      <c r="E1705">
        <v>0.04</v>
      </c>
      <c r="F1705">
        <v>3.1539600000000001</v>
      </c>
      <c r="G1705">
        <v>3.4563600000000001</v>
      </c>
      <c r="H1705">
        <v>0</v>
      </c>
      <c r="I1705">
        <v>0.55048299999999994</v>
      </c>
      <c r="J1705">
        <v>5.3222399999999999</v>
      </c>
      <c r="K1705" s="2">
        <v>190716000</v>
      </c>
      <c r="L1705" s="1">
        <v>0</v>
      </c>
      <c r="M1705" s="1">
        <v>0</v>
      </c>
      <c r="N1705" s="1">
        <v>0</v>
      </c>
      <c r="O1705" s="1">
        <v>0</v>
      </c>
      <c r="P1705" s="2">
        <v>4715090</v>
      </c>
      <c r="Q1705" s="1">
        <v>-53218.2</v>
      </c>
      <c r="R1705" s="1">
        <v>408539</v>
      </c>
      <c r="S1705">
        <v>98.196600000000004</v>
      </c>
      <c r="T1705">
        <v>98.274000000000001</v>
      </c>
      <c r="U1705">
        <v>2.7268699999999999</v>
      </c>
      <c r="V1705">
        <v>0</v>
      </c>
      <c r="W1705">
        <v>1</v>
      </c>
      <c r="X1705">
        <v>2.44373</v>
      </c>
      <c r="Y1705">
        <v>2.14133</v>
      </c>
      <c r="Z1705">
        <v>0</v>
      </c>
      <c r="AA1705">
        <v>1.75684</v>
      </c>
      <c r="AB1705">
        <v>2.9635199999999999</v>
      </c>
      <c r="AC1705" s="2">
        <v>882655000</v>
      </c>
      <c r="AD1705" s="1">
        <v>0</v>
      </c>
      <c r="AE1705" s="1">
        <v>0</v>
      </c>
      <c r="AF1705" s="1">
        <v>0</v>
      </c>
      <c r="AG1705" s="1">
        <v>0</v>
      </c>
      <c r="AH1705" s="2">
        <v>6322520</v>
      </c>
      <c r="AI1705" s="1">
        <v>962968</v>
      </c>
      <c r="AJ1705" s="1">
        <v>0</v>
      </c>
      <c r="AK1705" s="8">
        <f t="shared" si="107"/>
        <v>40</v>
      </c>
      <c r="AL1705" s="8">
        <f t="shared" si="106"/>
        <v>33</v>
      </c>
      <c r="AM1705">
        <f t="shared" si="104"/>
        <v>0</v>
      </c>
      <c r="AN1705">
        <f t="shared" si="105"/>
        <v>0</v>
      </c>
    </row>
    <row r="1706" spans="1:40" x14ac:dyDescent="0.35">
      <c r="A1706">
        <v>58.4833</v>
      </c>
      <c r="B1706">
        <v>85.138999999999996</v>
      </c>
      <c r="C1706">
        <v>1.47767</v>
      </c>
      <c r="D1706">
        <v>0.02</v>
      </c>
      <c r="E1706">
        <v>0.04</v>
      </c>
      <c r="F1706">
        <v>3.1638099999999998</v>
      </c>
      <c r="G1706">
        <v>3.4564599999999999</v>
      </c>
      <c r="H1706">
        <v>0</v>
      </c>
      <c r="I1706">
        <v>0.59105200000000002</v>
      </c>
      <c r="J1706">
        <v>5.3222399999999999</v>
      </c>
      <c r="K1706" s="2">
        <v>190676000</v>
      </c>
      <c r="L1706" s="1">
        <v>0</v>
      </c>
      <c r="M1706" s="1">
        <v>0</v>
      </c>
      <c r="N1706" s="1">
        <v>0</v>
      </c>
      <c r="O1706" s="1">
        <v>0</v>
      </c>
      <c r="P1706" s="2">
        <v>4729810</v>
      </c>
      <c r="Q1706" s="1">
        <v>-40045.4</v>
      </c>
      <c r="R1706" s="1">
        <v>395377</v>
      </c>
      <c r="S1706">
        <v>98.382400000000004</v>
      </c>
      <c r="T1706">
        <v>98.274000000000001</v>
      </c>
      <c r="U1706">
        <v>3.1263899999999998</v>
      </c>
      <c r="V1706">
        <v>0</v>
      </c>
      <c r="W1706">
        <v>1</v>
      </c>
      <c r="X1706">
        <v>2.4340600000000001</v>
      </c>
      <c r="Y1706">
        <v>2.1414</v>
      </c>
      <c r="Z1706">
        <v>0</v>
      </c>
      <c r="AA1706">
        <v>1.8880300000000001</v>
      </c>
      <c r="AB1706">
        <v>2.9635199999999999</v>
      </c>
      <c r="AC1706" s="2">
        <v>883593000</v>
      </c>
      <c r="AD1706" s="1">
        <v>0</v>
      </c>
      <c r="AE1706" s="1">
        <v>0</v>
      </c>
      <c r="AF1706" s="1">
        <v>0</v>
      </c>
      <c r="AG1706" s="1">
        <v>0</v>
      </c>
      <c r="AH1706" s="2">
        <v>6297480</v>
      </c>
      <c r="AI1706" s="1">
        <v>937767</v>
      </c>
      <c r="AJ1706" s="1">
        <v>0</v>
      </c>
      <c r="AK1706" s="8">
        <f t="shared" si="107"/>
        <v>41</v>
      </c>
      <c r="AL1706" s="8">
        <f t="shared" si="106"/>
        <v>33</v>
      </c>
      <c r="AM1706">
        <f t="shared" si="104"/>
        <v>0</v>
      </c>
      <c r="AN1706">
        <f t="shared" si="105"/>
        <v>0</v>
      </c>
    </row>
    <row r="1707" spans="1:40" x14ac:dyDescent="0.35">
      <c r="A1707">
        <v>56.677700000000002</v>
      </c>
      <c r="B1707">
        <v>85.138999999999996</v>
      </c>
      <c r="C1707">
        <v>1.19737</v>
      </c>
      <c r="D1707">
        <v>0.04</v>
      </c>
      <c r="E1707">
        <v>0.04</v>
      </c>
      <c r="F1707">
        <v>3.1639699999999999</v>
      </c>
      <c r="G1707">
        <v>3.4565700000000001</v>
      </c>
      <c r="H1707">
        <v>0</v>
      </c>
      <c r="I1707">
        <v>0.59289700000000001</v>
      </c>
      <c r="J1707">
        <v>5.3222399999999999</v>
      </c>
      <c r="K1707" s="2">
        <v>190636000</v>
      </c>
      <c r="L1707" s="1">
        <v>0</v>
      </c>
      <c r="M1707" s="1">
        <v>0</v>
      </c>
      <c r="N1707" s="1">
        <v>0</v>
      </c>
      <c r="O1707" s="1">
        <v>0</v>
      </c>
      <c r="P1707" s="2">
        <v>4730060</v>
      </c>
      <c r="Q1707" s="1">
        <v>-39947.800000000003</v>
      </c>
      <c r="R1707" s="1">
        <v>395290</v>
      </c>
      <c r="S1707">
        <v>98.275800000000004</v>
      </c>
      <c r="T1707">
        <v>98.274000000000001</v>
      </c>
      <c r="U1707">
        <v>2.36144</v>
      </c>
      <c r="V1707">
        <v>0</v>
      </c>
      <c r="W1707">
        <v>1</v>
      </c>
      <c r="X1707">
        <v>2.4340600000000001</v>
      </c>
      <c r="Y1707">
        <v>2.1414599999999999</v>
      </c>
      <c r="Z1707">
        <v>0</v>
      </c>
      <c r="AA1707">
        <v>1.8805499999999999</v>
      </c>
      <c r="AB1707">
        <v>2.9635199999999999</v>
      </c>
      <c r="AC1707" s="2">
        <v>884530000</v>
      </c>
      <c r="AD1707" s="1">
        <v>0</v>
      </c>
      <c r="AE1707" s="1">
        <v>0</v>
      </c>
      <c r="AF1707" s="1">
        <v>0</v>
      </c>
      <c r="AG1707" s="1">
        <v>0</v>
      </c>
      <c r="AH1707" s="2">
        <v>6297480</v>
      </c>
      <c r="AI1707" s="1">
        <v>937606</v>
      </c>
      <c r="AJ1707" s="1">
        <v>0</v>
      </c>
      <c r="AK1707" s="8">
        <f t="shared" si="107"/>
        <v>42</v>
      </c>
      <c r="AL1707" s="8">
        <f t="shared" si="106"/>
        <v>33</v>
      </c>
      <c r="AM1707">
        <f t="shared" si="104"/>
        <v>0</v>
      </c>
      <c r="AN1707">
        <f t="shared" si="105"/>
        <v>0</v>
      </c>
    </row>
    <row r="1708" spans="1:40" x14ac:dyDescent="0.35">
      <c r="A1708">
        <v>55.133600000000001</v>
      </c>
      <c r="B1708">
        <v>85.138999999999996</v>
      </c>
      <c r="C1708">
        <v>1.42353</v>
      </c>
      <c r="D1708">
        <v>0.04</v>
      </c>
      <c r="E1708">
        <v>0.04</v>
      </c>
      <c r="F1708">
        <v>3.1641400000000002</v>
      </c>
      <c r="G1708">
        <v>3.4566699999999999</v>
      </c>
      <c r="H1708">
        <v>0</v>
      </c>
      <c r="I1708">
        <v>0.59292900000000004</v>
      </c>
      <c r="J1708">
        <v>5.3222399999999999</v>
      </c>
      <c r="K1708" s="2">
        <v>190596000</v>
      </c>
      <c r="L1708" s="1">
        <v>0</v>
      </c>
      <c r="M1708" s="1">
        <v>0</v>
      </c>
      <c r="N1708" s="1">
        <v>0</v>
      </c>
      <c r="O1708" s="1">
        <v>0</v>
      </c>
      <c r="P1708" s="2">
        <v>4730310</v>
      </c>
      <c r="Q1708" s="1">
        <v>-39849.800000000003</v>
      </c>
      <c r="R1708" s="1">
        <v>395202</v>
      </c>
      <c r="S1708">
        <v>98.703599999999994</v>
      </c>
      <c r="T1708">
        <v>98.274000000000001</v>
      </c>
      <c r="U1708">
        <v>3.8243</v>
      </c>
      <c r="V1708">
        <v>0</v>
      </c>
      <c r="W1708">
        <v>1</v>
      </c>
      <c r="X1708">
        <v>2.4340600000000001</v>
      </c>
      <c r="Y1708">
        <v>2.1415299999999999</v>
      </c>
      <c r="Z1708">
        <v>0</v>
      </c>
      <c r="AA1708">
        <v>1.8805499999999999</v>
      </c>
      <c r="AB1708">
        <v>2.9635199999999999</v>
      </c>
      <c r="AC1708" s="2">
        <v>885468000</v>
      </c>
      <c r="AD1708" s="1">
        <v>0</v>
      </c>
      <c r="AE1708" s="1">
        <v>0</v>
      </c>
      <c r="AF1708" s="1">
        <v>0</v>
      </c>
      <c r="AG1708" s="1">
        <v>0</v>
      </c>
      <c r="AH1708" s="2">
        <v>6297480</v>
      </c>
      <c r="AI1708" s="1">
        <v>937444</v>
      </c>
      <c r="AJ1708" s="1">
        <v>0</v>
      </c>
      <c r="AK1708" s="8">
        <f t="shared" si="107"/>
        <v>43</v>
      </c>
      <c r="AL1708" s="8">
        <f t="shared" si="106"/>
        <v>33</v>
      </c>
      <c r="AM1708">
        <f t="shared" si="104"/>
        <v>0</v>
      </c>
      <c r="AN1708">
        <f t="shared" si="105"/>
        <v>0</v>
      </c>
    </row>
    <row r="1709" spans="1:40" x14ac:dyDescent="0.35">
      <c r="A1709">
        <v>53.630800000000001</v>
      </c>
      <c r="B1709">
        <v>85.138999999999996</v>
      </c>
      <c r="C1709">
        <v>1.4826600000000001</v>
      </c>
      <c r="D1709">
        <v>0.04</v>
      </c>
      <c r="E1709">
        <v>0.04</v>
      </c>
      <c r="F1709">
        <v>3.16431</v>
      </c>
      <c r="G1709">
        <v>3.4567700000000001</v>
      </c>
      <c r="H1709">
        <v>0</v>
      </c>
      <c r="I1709">
        <v>0.59296000000000004</v>
      </c>
      <c r="J1709">
        <v>5.3222399999999999</v>
      </c>
      <c r="K1709" s="2">
        <v>190556000</v>
      </c>
      <c r="L1709" s="1">
        <v>0</v>
      </c>
      <c r="M1709" s="1">
        <v>0</v>
      </c>
      <c r="N1709" s="1">
        <v>0</v>
      </c>
      <c r="O1709" s="1">
        <v>0</v>
      </c>
      <c r="P1709" s="2">
        <v>4730570</v>
      </c>
      <c r="Q1709" s="1">
        <v>-39751.800000000003</v>
      </c>
      <c r="R1709" s="1">
        <v>395115</v>
      </c>
      <c r="S1709">
        <v>98.902699999999996</v>
      </c>
      <c r="T1709">
        <v>98.274000000000001</v>
      </c>
      <c r="U1709">
        <v>2.93377</v>
      </c>
      <c r="V1709">
        <v>0</v>
      </c>
      <c r="W1709">
        <v>1</v>
      </c>
      <c r="X1709">
        <v>2.4340600000000001</v>
      </c>
      <c r="Y1709">
        <v>2.1415899999999999</v>
      </c>
      <c r="Z1709">
        <v>0</v>
      </c>
      <c r="AA1709">
        <v>1.8805499999999999</v>
      </c>
      <c r="AB1709">
        <v>2.9635199999999999</v>
      </c>
      <c r="AC1709" s="2">
        <v>886405000</v>
      </c>
      <c r="AD1709" s="1">
        <v>0</v>
      </c>
      <c r="AE1709" s="1">
        <v>0</v>
      </c>
      <c r="AF1709" s="1">
        <v>0</v>
      </c>
      <c r="AG1709" s="1">
        <v>0</v>
      </c>
      <c r="AH1709" s="2">
        <v>6297480</v>
      </c>
      <c r="AI1709" s="1">
        <v>937283</v>
      </c>
      <c r="AJ1709" s="1">
        <v>0</v>
      </c>
      <c r="AK1709" s="8">
        <f t="shared" si="107"/>
        <v>44</v>
      </c>
      <c r="AL1709" s="8">
        <f t="shared" si="106"/>
        <v>33</v>
      </c>
      <c r="AM1709">
        <f t="shared" si="104"/>
        <v>0</v>
      </c>
      <c r="AN1709">
        <f t="shared" si="105"/>
        <v>0</v>
      </c>
    </row>
    <row r="1710" spans="1:40" x14ac:dyDescent="0.35">
      <c r="A1710">
        <v>52.882100000000001</v>
      </c>
      <c r="B1710">
        <v>85.138999999999996</v>
      </c>
      <c r="C1710">
        <v>2.1787999999999998</v>
      </c>
      <c r="D1710">
        <v>0.06</v>
      </c>
      <c r="E1710">
        <v>0.04</v>
      </c>
      <c r="F1710">
        <v>3.0590099999999998</v>
      </c>
      <c r="G1710">
        <v>3.35141</v>
      </c>
      <c r="H1710">
        <v>0</v>
      </c>
      <c r="I1710">
        <v>0.59299199999999996</v>
      </c>
      <c r="J1710">
        <v>5.3222399999999999</v>
      </c>
      <c r="K1710" s="2">
        <v>190506000</v>
      </c>
      <c r="L1710" s="1">
        <v>0</v>
      </c>
      <c r="M1710" s="1">
        <v>0</v>
      </c>
      <c r="N1710" s="1">
        <v>0</v>
      </c>
      <c r="O1710" s="1">
        <v>0</v>
      </c>
      <c r="P1710" s="2">
        <v>4573140</v>
      </c>
      <c r="Q1710" s="1">
        <v>-50497</v>
      </c>
      <c r="R1710" s="1">
        <v>395028</v>
      </c>
      <c r="S1710">
        <v>99.302199999999999</v>
      </c>
      <c r="T1710">
        <v>98.274000000000001</v>
      </c>
      <c r="U1710">
        <v>3.1995200000000001</v>
      </c>
      <c r="V1710">
        <v>0</v>
      </c>
      <c r="W1710">
        <v>1</v>
      </c>
      <c r="X1710">
        <v>2.33101</v>
      </c>
      <c r="Y1710">
        <v>2.0386099999999998</v>
      </c>
      <c r="Z1710">
        <v>0</v>
      </c>
      <c r="AA1710">
        <v>1.8805499999999999</v>
      </c>
      <c r="AB1710">
        <v>2.9635199999999999</v>
      </c>
      <c r="AC1710" s="2">
        <v>887333000</v>
      </c>
      <c r="AD1710" s="1">
        <v>0</v>
      </c>
      <c r="AE1710" s="1">
        <v>0</v>
      </c>
      <c r="AF1710" s="1">
        <v>0</v>
      </c>
      <c r="AG1710" s="1">
        <v>0</v>
      </c>
      <c r="AH1710" s="2">
        <v>6030880</v>
      </c>
      <c r="AI1710" s="1">
        <v>928431</v>
      </c>
      <c r="AJ1710" s="1">
        <v>0</v>
      </c>
      <c r="AK1710" s="8">
        <f t="shared" si="107"/>
        <v>45</v>
      </c>
      <c r="AL1710" s="8">
        <f t="shared" si="106"/>
        <v>33</v>
      </c>
      <c r="AM1710">
        <f t="shared" si="104"/>
        <v>0</v>
      </c>
      <c r="AN1710">
        <f t="shared" si="105"/>
        <v>0</v>
      </c>
    </row>
    <row r="1711" spans="1:40" x14ac:dyDescent="0.35">
      <c r="A1711">
        <v>51.804000000000002</v>
      </c>
      <c r="B1711">
        <v>85.138999999999996</v>
      </c>
      <c r="C1711">
        <v>1.8218099999999999</v>
      </c>
      <c r="D1711">
        <v>0.06</v>
      </c>
      <c r="E1711">
        <v>0.04</v>
      </c>
      <c r="F1711">
        <v>3.0491100000000002</v>
      </c>
      <c r="G1711">
        <v>3.3515100000000002</v>
      </c>
      <c r="H1711">
        <v>0</v>
      </c>
      <c r="I1711">
        <v>0.57325800000000005</v>
      </c>
      <c r="J1711">
        <v>5.3222399999999999</v>
      </c>
      <c r="K1711" s="2">
        <v>190442000</v>
      </c>
      <c r="L1711" s="1">
        <v>0</v>
      </c>
      <c r="M1711" s="1">
        <v>0</v>
      </c>
      <c r="N1711" s="1">
        <v>0</v>
      </c>
      <c r="O1711" s="1">
        <v>0</v>
      </c>
      <c r="P1711" s="2">
        <v>4558340</v>
      </c>
      <c r="Q1711" s="1">
        <v>-63997.1</v>
      </c>
      <c r="R1711" s="1">
        <v>408539</v>
      </c>
      <c r="S1711">
        <v>99.302199999999999</v>
      </c>
      <c r="T1711">
        <v>98.274000000000001</v>
      </c>
      <c r="U1711">
        <v>4.9033499999999997</v>
      </c>
      <c r="V1711">
        <v>0</v>
      </c>
      <c r="W1711">
        <v>1</v>
      </c>
      <c r="X1711">
        <v>2.3410700000000002</v>
      </c>
      <c r="Y1711">
        <v>2.0386700000000002</v>
      </c>
      <c r="Z1711">
        <v>0</v>
      </c>
      <c r="AA1711">
        <v>1.80094</v>
      </c>
      <c r="AB1711">
        <v>2.9635199999999999</v>
      </c>
      <c r="AC1711" s="2">
        <v>888288000</v>
      </c>
      <c r="AD1711" s="1">
        <v>0</v>
      </c>
      <c r="AE1711" s="1">
        <v>0</v>
      </c>
      <c r="AF1711" s="1">
        <v>0</v>
      </c>
      <c r="AG1711" s="1">
        <v>0</v>
      </c>
      <c r="AH1711" s="2">
        <v>6056920</v>
      </c>
      <c r="AI1711" s="1">
        <v>954310</v>
      </c>
      <c r="AJ1711" s="1">
        <v>0</v>
      </c>
      <c r="AK1711" s="8">
        <f t="shared" si="107"/>
        <v>46</v>
      </c>
      <c r="AL1711" s="8">
        <f t="shared" si="106"/>
        <v>33</v>
      </c>
      <c r="AM1711">
        <f t="shared" si="104"/>
        <v>0</v>
      </c>
      <c r="AN1711">
        <f t="shared" si="105"/>
        <v>0</v>
      </c>
    </row>
    <row r="1712" spans="1:40" x14ac:dyDescent="0.35">
      <c r="A1712">
        <v>50.4816</v>
      </c>
      <c r="B1712">
        <v>85.138999999999996</v>
      </c>
      <c r="C1712">
        <v>1.56046</v>
      </c>
      <c r="D1712">
        <v>0.06</v>
      </c>
      <c r="E1712">
        <v>0.04</v>
      </c>
      <c r="F1712">
        <v>3.04921</v>
      </c>
      <c r="G1712">
        <v>3.35161</v>
      </c>
      <c r="H1712">
        <v>0</v>
      </c>
      <c r="I1712">
        <v>0.57140299999999999</v>
      </c>
      <c r="J1712">
        <v>5.3222399999999999</v>
      </c>
      <c r="K1712" s="2">
        <v>190378000</v>
      </c>
      <c r="L1712" s="1">
        <v>0</v>
      </c>
      <c r="M1712" s="1">
        <v>0</v>
      </c>
      <c r="N1712" s="1">
        <v>0</v>
      </c>
      <c r="O1712" s="1">
        <v>0</v>
      </c>
      <c r="P1712" s="2">
        <v>4558490</v>
      </c>
      <c r="Q1712" s="1">
        <v>-63986.8</v>
      </c>
      <c r="R1712" s="1">
        <v>408539</v>
      </c>
      <c r="S1712">
        <v>99.302199999999999</v>
      </c>
      <c r="T1712">
        <v>98.274000000000001</v>
      </c>
      <c r="U1712">
        <v>2.70234</v>
      </c>
      <c r="V1712">
        <v>0</v>
      </c>
      <c r="W1712">
        <v>1</v>
      </c>
      <c r="X1712">
        <v>2.3411400000000002</v>
      </c>
      <c r="Y1712">
        <v>2.0387400000000002</v>
      </c>
      <c r="Z1712">
        <v>0</v>
      </c>
      <c r="AA1712">
        <v>1.80871</v>
      </c>
      <c r="AB1712">
        <v>2.9635199999999999</v>
      </c>
      <c r="AC1712" s="2">
        <v>889242000</v>
      </c>
      <c r="AD1712" s="1">
        <v>0</v>
      </c>
      <c r="AE1712" s="1">
        <v>0</v>
      </c>
      <c r="AF1712" s="1">
        <v>0</v>
      </c>
      <c r="AG1712" s="1">
        <v>0</v>
      </c>
      <c r="AH1712" s="2">
        <v>6057070</v>
      </c>
      <c r="AI1712" s="1">
        <v>954315</v>
      </c>
      <c r="AJ1712" s="1">
        <v>0</v>
      </c>
      <c r="AK1712" s="8">
        <f t="shared" si="107"/>
        <v>47</v>
      </c>
      <c r="AL1712" s="8">
        <f t="shared" si="106"/>
        <v>33</v>
      </c>
      <c r="AM1712">
        <f t="shared" si="104"/>
        <v>0</v>
      </c>
      <c r="AN1712">
        <f t="shared" si="105"/>
        <v>0</v>
      </c>
    </row>
    <row r="1713" spans="1:40" x14ac:dyDescent="0.35">
      <c r="A1713">
        <v>49.408499999999997</v>
      </c>
      <c r="B1713">
        <v>85.138999999999996</v>
      </c>
      <c r="C1713">
        <v>1.8168299999999999</v>
      </c>
      <c r="D1713">
        <v>0.06</v>
      </c>
      <c r="E1713">
        <v>0.04</v>
      </c>
      <c r="F1713">
        <v>3.0493100000000002</v>
      </c>
      <c r="G1713">
        <v>3.3517100000000002</v>
      </c>
      <c r="H1713">
        <v>0</v>
      </c>
      <c r="I1713">
        <v>0.57142199999999999</v>
      </c>
      <c r="J1713">
        <v>5.3222399999999999</v>
      </c>
      <c r="K1713" s="2">
        <v>190314000</v>
      </c>
      <c r="L1713" s="1">
        <v>0</v>
      </c>
      <c r="M1713" s="1">
        <v>0</v>
      </c>
      <c r="N1713" s="1">
        <v>0</v>
      </c>
      <c r="O1713" s="1">
        <v>0</v>
      </c>
      <c r="P1713" s="2">
        <v>4558640</v>
      </c>
      <c r="Q1713" s="1">
        <v>-63976.4</v>
      </c>
      <c r="R1713" s="1">
        <v>408539</v>
      </c>
      <c r="S1713">
        <v>99.302199999999999</v>
      </c>
      <c r="T1713">
        <v>98.274000000000001</v>
      </c>
      <c r="U1713">
        <v>2.7653300000000001</v>
      </c>
      <c r="V1713">
        <v>0</v>
      </c>
      <c r="W1713">
        <v>1</v>
      </c>
      <c r="X1713">
        <v>2.3412000000000002</v>
      </c>
      <c r="Y1713">
        <v>2.0388000000000002</v>
      </c>
      <c r="Z1713">
        <v>0</v>
      </c>
      <c r="AA1713">
        <v>1.8087599999999999</v>
      </c>
      <c r="AB1713">
        <v>2.9635199999999999</v>
      </c>
      <c r="AC1713" s="2">
        <v>890196000</v>
      </c>
      <c r="AD1713" s="1">
        <v>0</v>
      </c>
      <c r="AE1713" s="1">
        <v>0</v>
      </c>
      <c r="AF1713" s="1">
        <v>0</v>
      </c>
      <c r="AG1713" s="1">
        <v>0</v>
      </c>
      <c r="AH1713" s="2">
        <v>6057230</v>
      </c>
      <c r="AI1713" s="1">
        <v>954321</v>
      </c>
      <c r="AJ1713" s="1">
        <v>0</v>
      </c>
      <c r="AK1713" s="8">
        <f t="shared" si="107"/>
        <v>48</v>
      </c>
      <c r="AL1713" s="8">
        <f t="shared" si="106"/>
        <v>33</v>
      </c>
      <c r="AM1713">
        <f t="shared" si="104"/>
        <v>0</v>
      </c>
      <c r="AN1713">
        <f t="shared" si="105"/>
        <v>0</v>
      </c>
    </row>
    <row r="1714" spans="1:40" x14ac:dyDescent="0.35">
      <c r="A1714">
        <v>48.875700000000002</v>
      </c>
      <c r="B1714">
        <v>85.138999999999996</v>
      </c>
      <c r="C1714">
        <v>2.3177599999999998</v>
      </c>
      <c r="D1714">
        <v>0.06</v>
      </c>
      <c r="E1714">
        <v>0.04</v>
      </c>
      <c r="F1714">
        <v>2.9628199999999998</v>
      </c>
      <c r="G1714">
        <v>3.2652199999999998</v>
      </c>
      <c r="H1714">
        <v>0</v>
      </c>
      <c r="I1714">
        <v>0.57143999999999995</v>
      </c>
      <c r="J1714">
        <v>5.3222399999999999</v>
      </c>
      <c r="K1714" s="2">
        <v>190241000</v>
      </c>
      <c r="L1714" s="1">
        <v>0</v>
      </c>
      <c r="M1714" s="1">
        <v>0</v>
      </c>
      <c r="N1714" s="1">
        <v>0</v>
      </c>
      <c r="O1714" s="1">
        <v>0</v>
      </c>
      <c r="P1714" s="2">
        <v>4429350</v>
      </c>
      <c r="Q1714" s="1">
        <v>-72867.199999999997</v>
      </c>
      <c r="R1714" s="1">
        <v>408539</v>
      </c>
      <c r="S1714">
        <v>99.278800000000004</v>
      </c>
      <c r="T1714">
        <v>98.274000000000001</v>
      </c>
      <c r="U1714">
        <v>2.9809600000000001</v>
      </c>
      <c r="V1714">
        <v>0</v>
      </c>
      <c r="W1714">
        <v>1</v>
      </c>
      <c r="X1714">
        <v>2.2474500000000002</v>
      </c>
      <c r="Y1714">
        <v>1.9450499999999999</v>
      </c>
      <c r="Z1714">
        <v>0</v>
      </c>
      <c r="AA1714">
        <v>1.80881</v>
      </c>
      <c r="AB1714">
        <v>2.9635199999999999</v>
      </c>
      <c r="AC1714" s="2">
        <v>891143000</v>
      </c>
      <c r="AD1714" s="1">
        <v>0</v>
      </c>
      <c r="AE1714" s="1">
        <v>0</v>
      </c>
      <c r="AF1714" s="1">
        <v>0</v>
      </c>
      <c r="AG1714" s="1">
        <v>0</v>
      </c>
      <c r="AH1714" s="2">
        <v>5814690</v>
      </c>
      <c r="AI1714" s="1">
        <v>946415</v>
      </c>
      <c r="AJ1714" s="1">
        <v>0</v>
      </c>
      <c r="AK1714" s="8">
        <f t="shared" si="107"/>
        <v>49</v>
      </c>
      <c r="AL1714" s="8">
        <f t="shared" si="106"/>
        <v>33</v>
      </c>
      <c r="AM1714">
        <f t="shared" si="104"/>
        <v>0</v>
      </c>
      <c r="AN1714">
        <f t="shared" si="105"/>
        <v>0</v>
      </c>
    </row>
    <row r="1715" spans="1:40" x14ac:dyDescent="0.35">
      <c r="A1715">
        <v>48.5563</v>
      </c>
      <c r="B1715">
        <v>85.138999999999996</v>
      </c>
      <c r="C1715">
        <v>2.5262600000000002</v>
      </c>
      <c r="D1715">
        <v>0.06</v>
      </c>
      <c r="E1715">
        <v>0.04</v>
      </c>
      <c r="F1715">
        <v>2.96292</v>
      </c>
      <c r="G1715">
        <v>3.26532</v>
      </c>
      <c r="H1715">
        <v>0</v>
      </c>
      <c r="I1715">
        <v>0.55523299999999998</v>
      </c>
      <c r="J1715">
        <v>5.3222399999999999</v>
      </c>
      <c r="K1715" s="2">
        <v>190168000</v>
      </c>
      <c r="L1715" s="1">
        <v>0</v>
      </c>
      <c r="M1715" s="1">
        <v>0</v>
      </c>
      <c r="N1715" s="1">
        <v>0</v>
      </c>
      <c r="O1715" s="1">
        <v>0</v>
      </c>
      <c r="P1715" s="2">
        <v>4429490</v>
      </c>
      <c r="Q1715" s="1">
        <v>-72857</v>
      </c>
      <c r="R1715" s="1">
        <v>408539</v>
      </c>
      <c r="S1715">
        <v>99.302199999999999</v>
      </c>
      <c r="T1715">
        <v>98.274000000000001</v>
      </c>
      <c r="U1715">
        <v>4.2167399999999997</v>
      </c>
      <c r="V1715">
        <v>0</v>
      </c>
      <c r="W1715">
        <v>1</v>
      </c>
      <c r="X1715">
        <v>2.2475100000000001</v>
      </c>
      <c r="Y1715">
        <v>1.9451099999999999</v>
      </c>
      <c r="Z1715">
        <v>0</v>
      </c>
      <c r="AA1715">
        <v>1.73638</v>
      </c>
      <c r="AB1715">
        <v>2.9635199999999999</v>
      </c>
      <c r="AC1715" s="2">
        <v>892089000</v>
      </c>
      <c r="AD1715" s="1">
        <v>0</v>
      </c>
      <c r="AE1715" s="1">
        <v>0</v>
      </c>
      <c r="AF1715" s="1">
        <v>0</v>
      </c>
      <c r="AG1715" s="1">
        <v>0</v>
      </c>
      <c r="AH1715" s="2">
        <v>5814840</v>
      </c>
      <c r="AI1715" s="1">
        <v>946420</v>
      </c>
      <c r="AJ1715" s="1">
        <v>0</v>
      </c>
      <c r="AK1715" s="8">
        <f t="shared" si="107"/>
        <v>50</v>
      </c>
      <c r="AL1715" s="8">
        <f t="shared" si="106"/>
        <v>33</v>
      </c>
      <c r="AM1715">
        <f t="shared" si="104"/>
        <v>0</v>
      </c>
      <c r="AN1715">
        <f t="shared" si="105"/>
        <v>0</v>
      </c>
    </row>
    <row r="1716" spans="1:40" x14ac:dyDescent="0.35">
      <c r="A1716">
        <v>47.926000000000002</v>
      </c>
      <c r="B1716">
        <v>85.138999999999996</v>
      </c>
      <c r="C1716">
        <v>2.22573</v>
      </c>
      <c r="D1716">
        <v>0.05</v>
      </c>
      <c r="E1716">
        <v>0.04</v>
      </c>
      <c r="F1716">
        <v>2.9630200000000002</v>
      </c>
      <c r="G1716">
        <v>3.2654200000000002</v>
      </c>
      <c r="H1716">
        <v>0</v>
      </c>
      <c r="I1716">
        <v>0.55525199999999997</v>
      </c>
      <c r="J1716">
        <v>5.3222399999999999</v>
      </c>
      <c r="K1716" s="2">
        <v>190095000</v>
      </c>
      <c r="L1716" s="1">
        <v>0</v>
      </c>
      <c r="M1716" s="1">
        <v>0</v>
      </c>
      <c r="N1716" s="1">
        <v>0</v>
      </c>
      <c r="O1716" s="1">
        <v>0</v>
      </c>
      <c r="P1716" s="2">
        <v>4429640</v>
      </c>
      <c r="Q1716" s="1">
        <v>-72846.899999999994</v>
      </c>
      <c r="R1716" s="1">
        <v>408539</v>
      </c>
      <c r="S1716">
        <v>99.302199999999999</v>
      </c>
      <c r="T1716">
        <v>98.274000000000001</v>
      </c>
      <c r="U1716">
        <v>4.0441500000000001</v>
      </c>
      <c r="V1716">
        <v>0</v>
      </c>
      <c r="W1716">
        <v>1</v>
      </c>
      <c r="X1716">
        <v>2.2475700000000001</v>
      </c>
      <c r="Y1716">
        <v>1.9451700000000001</v>
      </c>
      <c r="Z1716">
        <v>0</v>
      </c>
      <c r="AA1716">
        <v>1.7364299999999999</v>
      </c>
      <c r="AB1716">
        <v>2.9635199999999999</v>
      </c>
      <c r="AC1716" s="2">
        <v>893036000</v>
      </c>
      <c r="AD1716" s="1">
        <v>0</v>
      </c>
      <c r="AE1716" s="1">
        <v>0</v>
      </c>
      <c r="AF1716" s="1">
        <v>0</v>
      </c>
      <c r="AG1716" s="1">
        <v>0</v>
      </c>
      <c r="AH1716" s="2">
        <v>5814990</v>
      </c>
      <c r="AI1716" s="1">
        <v>946425</v>
      </c>
      <c r="AJ1716" s="1">
        <v>0</v>
      </c>
      <c r="AK1716" s="8">
        <f t="shared" si="107"/>
        <v>51</v>
      </c>
      <c r="AL1716" s="8">
        <f t="shared" si="106"/>
        <v>33</v>
      </c>
      <c r="AM1716">
        <f t="shared" si="104"/>
        <v>0</v>
      </c>
      <c r="AN1716">
        <f t="shared" si="105"/>
        <v>0</v>
      </c>
    </row>
    <row r="1717" spans="1:40" x14ac:dyDescent="0.35">
      <c r="A1717">
        <v>49.19</v>
      </c>
      <c r="B1717">
        <v>85.138999999999996</v>
      </c>
      <c r="C1717">
        <v>4.2080399999999996</v>
      </c>
      <c r="D1717">
        <v>0.05</v>
      </c>
      <c r="E1717">
        <v>0.04</v>
      </c>
      <c r="F1717">
        <v>2.96312</v>
      </c>
      <c r="G1717">
        <v>3.26552</v>
      </c>
      <c r="H1717">
        <v>0</v>
      </c>
      <c r="I1717">
        <v>0.55527000000000004</v>
      </c>
      <c r="J1717">
        <v>5.3222399999999999</v>
      </c>
      <c r="K1717" s="2">
        <v>190022000</v>
      </c>
      <c r="L1717" s="1">
        <v>0</v>
      </c>
      <c r="M1717" s="1">
        <v>0</v>
      </c>
      <c r="N1717" s="1">
        <v>0</v>
      </c>
      <c r="O1717" s="1">
        <v>0</v>
      </c>
      <c r="P1717" s="2">
        <v>4429790</v>
      </c>
      <c r="Q1717" s="1">
        <v>-72836.800000000003</v>
      </c>
      <c r="R1717" s="1">
        <v>408539</v>
      </c>
      <c r="S1717">
        <v>99.302199999999999</v>
      </c>
      <c r="T1717">
        <v>98.274000000000001</v>
      </c>
      <c r="U1717">
        <v>5.2390800000000004</v>
      </c>
      <c r="V1717">
        <v>0</v>
      </c>
      <c r="W1717">
        <v>1</v>
      </c>
      <c r="X1717">
        <v>2.24763</v>
      </c>
      <c r="Y1717">
        <v>1.94523</v>
      </c>
      <c r="Z1717">
        <v>0</v>
      </c>
      <c r="AA1717">
        <v>1.73647</v>
      </c>
      <c r="AB1717">
        <v>2.9635199999999999</v>
      </c>
      <c r="AC1717" s="2">
        <v>893982000</v>
      </c>
      <c r="AD1717" s="1">
        <v>0</v>
      </c>
      <c r="AE1717" s="1">
        <v>0</v>
      </c>
      <c r="AF1717" s="1">
        <v>0</v>
      </c>
      <c r="AG1717" s="1">
        <v>0</v>
      </c>
      <c r="AH1717" s="2">
        <v>5815140</v>
      </c>
      <c r="AI1717" s="1">
        <v>946430</v>
      </c>
      <c r="AJ1717" s="1">
        <v>0</v>
      </c>
      <c r="AK1717" s="8">
        <f t="shared" si="107"/>
        <v>52</v>
      </c>
      <c r="AL1717" s="8">
        <f t="shared" si="106"/>
        <v>33</v>
      </c>
      <c r="AM1717">
        <f t="shared" si="104"/>
        <v>893982000</v>
      </c>
      <c r="AN1717">
        <f t="shared" si="105"/>
        <v>190022000</v>
      </c>
    </row>
    <row r="1718" spans="1:40" x14ac:dyDescent="0.35">
      <c r="A1718">
        <v>50.192599999999999</v>
      </c>
      <c r="B1718">
        <v>85.138999999999996</v>
      </c>
      <c r="C1718">
        <v>3.72438</v>
      </c>
      <c r="D1718">
        <v>0.05</v>
      </c>
      <c r="E1718">
        <v>0.04</v>
      </c>
      <c r="F1718">
        <v>2.7172800000000001</v>
      </c>
      <c r="G1718">
        <v>3.0196800000000001</v>
      </c>
      <c r="H1718">
        <v>0</v>
      </c>
      <c r="I1718">
        <v>0.55528900000000003</v>
      </c>
      <c r="J1718">
        <v>5.3222399999999999</v>
      </c>
      <c r="K1718" s="2">
        <v>189924000</v>
      </c>
      <c r="L1718" s="1">
        <v>0</v>
      </c>
      <c r="M1718" s="1">
        <v>0</v>
      </c>
      <c r="N1718" s="1">
        <v>0</v>
      </c>
      <c r="O1718" s="1">
        <v>0</v>
      </c>
      <c r="P1718" s="2">
        <v>4062260</v>
      </c>
      <c r="Q1718" s="1">
        <v>-98109.7</v>
      </c>
      <c r="R1718" s="1">
        <v>408539</v>
      </c>
      <c r="S1718">
        <v>99.302199999999999</v>
      </c>
      <c r="T1718">
        <v>98.274000000000001</v>
      </c>
      <c r="U1718">
        <v>5.0712599999999997</v>
      </c>
      <c r="V1718">
        <v>0</v>
      </c>
      <c r="W1718">
        <v>1</v>
      </c>
      <c r="X1718">
        <v>2.0522900000000002</v>
      </c>
      <c r="Y1718">
        <v>1.7498899999999999</v>
      </c>
      <c r="Z1718">
        <v>0</v>
      </c>
      <c r="AA1718">
        <v>1.7365200000000001</v>
      </c>
      <c r="AB1718">
        <v>2.9635199999999999</v>
      </c>
      <c r="AC1718" s="2">
        <v>894912000</v>
      </c>
      <c r="AD1718" s="1">
        <v>0</v>
      </c>
      <c r="AE1718" s="1">
        <v>0</v>
      </c>
      <c r="AF1718" s="1">
        <v>0</v>
      </c>
      <c r="AG1718" s="1">
        <v>0</v>
      </c>
      <c r="AH1718" s="2">
        <v>5309760</v>
      </c>
      <c r="AI1718" s="1">
        <v>929956</v>
      </c>
      <c r="AJ1718" s="1">
        <v>0</v>
      </c>
      <c r="AK1718" s="8">
        <f t="shared" si="107"/>
        <v>1</v>
      </c>
      <c r="AL1718" s="8">
        <f t="shared" si="106"/>
        <v>34</v>
      </c>
      <c r="AM1718">
        <f t="shared" si="104"/>
        <v>0</v>
      </c>
      <c r="AN1718">
        <f t="shared" si="105"/>
        <v>0</v>
      </c>
    </row>
    <row r="1719" spans="1:40" x14ac:dyDescent="0.35">
      <c r="A1719">
        <v>53.154400000000003</v>
      </c>
      <c r="B1719">
        <v>85.138999999999996</v>
      </c>
      <c r="C1719">
        <v>5.9346199999999998</v>
      </c>
      <c r="D1719">
        <v>0.04</v>
      </c>
      <c r="E1719">
        <v>0.04</v>
      </c>
      <c r="F1719">
        <v>2.7173699999999998</v>
      </c>
      <c r="G1719">
        <v>3.0197699999999998</v>
      </c>
      <c r="H1719">
        <v>0</v>
      </c>
      <c r="I1719">
        <v>0.50921799999999995</v>
      </c>
      <c r="J1719">
        <v>5.3222399999999999</v>
      </c>
      <c r="K1719" s="2">
        <v>189826000</v>
      </c>
      <c r="L1719" s="1">
        <v>0</v>
      </c>
      <c r="M1719" s="1">
        <v>0</v>
      </c>
      <c r="N1719" s="1">
        <v>0</v>
      </c>
      <c r="O1719" s="1">
        <v>0</v>
      </c>
      <c r="P1719" s="2">
        <v>4062400</v>
      </c>
      <c r="Q1719" s="1">
        <v>-98100.3</v>
      </c>
      <c r="R1719" s="1">
        <v>408539</v>
      </c>
      <c r="S1719">
        <v>99.302199999999999</v>
      </c>
      <c r="T1719">
        <v>98.274000000000001</v>
      </c>
      <c r="U1719">
        <v>8.54467</v>
      </c>
      <c r="V1719">
        <v>0</v>
      </c>
      <c r="W1719">
        <v>1</v>
      </c>
      <c r="X1719">
        <v>2.0523400000000001</v>
      </c>
      <c r="Y1719">
        <v>1.7499400000000001</v>
      </c>
      <c r="Z1719">
        <v>0</v>
      </c>
      <c r="AA1719">
        <v>1.5855999999999999</v>
      </c>
      <c r="AB1719">
        <v>2.9635199999999999</v>
      </c>
      <c r="AC1719" s="2">
        <v>895842000</v>
      </c>
      <c r="AD1719" s="1">
        <v>0</v>
      </c>
      <c r="AE1719" s="1">
        <v>0</v>
      </c>
      <c r="AF1719" s="1">
        <v>0</v>
      </c>
      <c r="AG1719" s="1">
        <v>0</v>
      </c>
      <c r="AH1719" s="2">
        <v>5309890</v>
      </c>
      <c r="AI1719" s="1">
        <v>929960</v>
      </c>
      <c r="AJ1719" s="1">
        <v>0</v>
      </c>
      <c r="AK1719" s="8">
        <f t="shared" si="107"/>
        <v>2</v>
      </c>
      <c r="AL1719" s="8">
        <f t="shared" si="106"/>
        <v>34</v>
      </c>
      <c r="AM1719">
        <f t="shared" si="104"/>
        <v>0</v>
      </c>
      <c r="AN1719">
        <f t="shared" si="105"/>
        <v>0</v>
      </c>
    </row>
    <row r="1720" spans="1:40" x14ac:dyDescent="0.35">
      <c r="A1720">
        <v>57.158099999999997</v>
      </c>
      <c r="B1720">
        <v>85.138999999999996</v>
      </c>
      <c r="C1720">
        <v>6.9066900000000002</v>
      </c>
      <c r="D1720">
        <v>0.04</v>
      </c>
      <c r="E1720">
        <v>0.04</v>
      </c>
      <c r="F1720">
        <v>2.71746</v>
      </c>
      <c r="G1720">
        <v>3.01986</v>
      </c>
      <c r="H1720">
        <v>0</v>
      </c>
      <c r="I1720">
        <v>0.50923499999999999</v>
      </c>
      <c r="J1720">
        <v>5.3222399999999999</v>
      </c>
      <c r="K1720" s="2">
        <v>189728000</v>
      </c>
      <c r="L1720" s="1">
        <v>0</v>
      </c>
      <c r="M1720" s="1">
        <v>0</v>
      </c>
      <c r="N1720" s="1">
        <v>0</v>
      </c>
      <c r="O1720" s="1">
        <v>0</v>
      </c>
      <c r="P1720" s="2">
        <v>4062540</v>
      </c>
      <c r="Q1720" s="1">
        <v>-98090.9</v>
      </c>
      <c r="R1720" s="1">
        <v>408539</v>
      </c>
      <c r="S1720">
        <v>99.302199999999999</v>
      </c>
      <c r="T1720">
        <v>98.274000000000001</v>
      </c>
      <c r="U1720">
        <v>10.3439</v>
      </c>
      <c r="V1720">
        <v>0</v>
      </c>
      <c r="W1720">
        <v>1</v>
      </c>
      <c r="X1720">
        <v>2.0523899999999999</v>
      </c>
      <c r="Y1720">
        <v>1.7499899999999999</v>
      </c>
      <c r="Z1720">
        <v>0</v>
      </c>
      <c r="AA1720">
        <v>1.5856399999999999</v>
      </c>
      <c r="AB1720">
        <v>2.9635199999999999</v>
      </c>
      <c r="AC1720" s="2">
        <v>896772000</v>
      </c>
      <c r="AD1720" s="1">
        <v>0</v>
      </c>
      <c r="AE1720" s="1">
        <v>0</v>
      </c>
      <c r="AF1720" s="1">
        <v>0</v>
      </c>
      <c r="AG1720" s="1">
        <v>0</v>
      </c>
      <c r="AH1720" s="2">
        <v>5310030</v>
      </c>
      <c r="AI1720" s="1">
        <v>929965</v>
      </c>
      <c r="AJ1720" s="1">
        <v>0</v>
      </c>
      <c r="AK1720" s="8">
        <f t="shared" si="107"/>
        <v>3</v>
      </c>
      <c r="AL1720" s="8">
        <f t="shared" si="106"/>
        <v>34</v>
      </c>
      <c r="AM1720">
        <f t="shared" si="104"/>
        <v>0</v>
      </c>
      <c r="AN1720">
        <f t="shared" si="105"/>
        <v>0</v>
      </c>
    </row>
    <row r="1721" spans="1:40" x14ac:dyDescent="0.35">
      <c r="A1721">
        <v>58.6648</v>
      </c>
      <c r="B1721">
        <v>85.138999999999996</v>
      </c>
      <c r="C1721">
        <v>4.5145799999999996</v>
      </c>
      <c r="D1721">
        <v>0.04</v>
      </c>
      <c r="E1721">
        <v>0.04</v>
      </c>
      <c r="F1721">
        <v>2.7175500000000001</v>
      </c>
      <c r="G1721">
        <v>3.0199500000000001</v>
      </c>
      <c r="H1721">
        <v>0</v>
      </c>
      <c r="I1721">
        <v>0.50925200000000004</v>
      </c>
      <c r="J1721">
        <v>5.3222399999999999</v>
      </c>
      <c r="K1721" s="2">
        <v>189630000</v>
      </c>
      <c r="L1721" s="1">
        <v>0</v>
      </c>
      <c r="M1721" s="1">
        <v>0</v>
      </c>
      <c r="N1721" s="1">
        <v>0</v>
      </c>
      <c r="O1721" s="1">
        <v>0</v>
      </c>
      <c r="P1721" s="2">
        <v>4062670</v>
      </c>
      <c r="Q1721" s="1">
        <v>-98081.600000000006</v>
      </c>
      <c r="R1721" s="1">
        <v>408539</v>
      </c>
      <c r="S1721">
        <v>99.302199999999999</v>
      </c>
      <c r="T1721">
        <v>98.274000000000001</v>
      </c>
      <c r="U1721">
        <v>4.7905199999999999</v>
      </c>
      <c r="V1721">
        <v>0</v>
      </c>
      <c r="W1721">
        <v>1</v>
      </c>
      <c r="X1721">
        <v>2.0524499999999999</v>
      </c>
      <c r="Y1721">
        <v>1.7500500000000001</v>
      </c>
      <c r="Z1721">
        <v>0</v>
      </c>
      <c r="AA1721">
        <v>1.58568</v>
      </c>
      <c r="AB1721">
        <v>2.9635199999999999</v>
      </c>
      <c r="AC1721" s="2">
        <v>897702000</v>
      </c>
      <c r="AD1721" s="1">
        <v>0</v>
      </c>
      <c r="AE1721" s="1">
        <v>0</v>
      </c>
      <c r="AF1721" s="1">
        <v>0</v>
      </c>
      <c r="AG1721" s="1">
        <v>0</v>
      </c>
      <c r="AH1721" s="2">
        <v>5310170</v>
      </c>
      <c r="AI1721" s="1">
        <v>929969</v>
      </c>
      <c r="AJ1721" s="1">
        <v>0</v>
      </c>
      <c r="AK1721" s="8">
        <f t="shared" si="107"/>
        <v>4</v>
      </c>
      <c r="AL1721" s="8">
        <f t="shared" si="106"/>
        <v>34</v>
      </c>
      <c r="AM1721">
        <f t="shared" si="104"/>
        <v>0</v>
      </c>
      <c r="AN1721">
        <f t="shared" si="105"/>
        <v>0</v>
      </c>
    </row>
    <row r="1722" spans="1:40" x14ac:dyDescent="0.35">
      <c r="A1722">
        <v>60.287500000000001</v>
      </c>
      <c r="B1722">
        <v>85.138999999999996</v>
      </c>
      <c r="C1722">
        <v>4.73651</v>
      </c>
      <c r="D1722">
        <v>0.04</v>
      </c>
      <c r="E1722">
        <v>0.04</v>
      </c>
      <c r="F1722">
        <v>2.7176399999999998</v>
      </c>
      <c r="G1722">
        <v>3.0200399999999998</v>
      </c>
      <c r="H1722">
        <v>0</v>
      </c>
      <c r="I1722">
        <v>0.50926899999999997</v>
      </c>
      <c r="J1722">
        <v>5.3222399999999999</v>
      </c>
      <c r="K1722" s="2">
        <v>189532000</v>
      </c>
      <c r="L1722" s="1">
        <v>0</v>
      </c>
      <c r="M1722" s="1">
        <v>0</v>
      </c>
      <c r="N1722" s="1">
        <v>0</v>
      </c>
      <c r="O1722" s="1">
        <v>0</v>
      </c>
      <c r="P1722" s="2">
        <v>4062810</v>
      </c>
      <c r="Q1722" s="1">
        <v>-98072.2</v>
      </c>
      <c r="R1722" s="1">
        <v>408539</v>
      </c>
      <c r="S1722">
        <v>99.302199999999999</v>
      </c>
      <c r="T1722">
        <v>98.274000000000001</v>
      </c>
      <c r="U1722">
        <v>5.8120700000000003</v>
      </c>
      <c r="V1722">
        <v>0</v>
      </c>
      <c r="W1722">
        <v>1</v>
      </c>
      <c r="X1722">
        <v>2.0525000000000002</v>
      </c>
      <c r="Y1722">
        <v>1.7501</v>
      </c>
      <c r="Z1722">
        <v>0</v>
      </c>
      <c r="AA1722">
        <v>1.58572</v>
      </c>
      <c r="AB1722">
        <v>2.9635199999999999</v>
      </c>
      <c r="AC1722" s="2">
        <v>898632000</v>
      </c>
      <c r="AD1722" s="1">
        <v>0</v>
      </c>
      <c r="AE1722" s="1">
        <v>0</v>
      </c>
      <c r="AF1722" s="1">
        <v>0</v>
      </c>
      <c r="AG1722" s="1">
        <v>0</v>
      </c>
      <c r="AH1722" s="2">
        <v>5310300</v>
      </c>
      <c r="AI1722" s="1">
        <v>929974</v>
      </c>
      <c r="AJ1722" s="1">
        <v>0</v>
      </c>
      <c r="AK1722" s="8">
        <f t="shared" si="107"/>
        <v>5</v>
      </c>
      <c r="AL1722" s="8">
        <f t="shared" si="106"/>
        <v>34</v>
      </c>
      <c r="AM1722">
        <f t="shared" si="104"/>
        <v>0</v>
      </c>
      <c r="AN1722">
        <f t="shared" si="105"/>
        <v>0</v>
      </c>
    </row>
    <row r="1723" spans="1:40" x14ac:dyDescent="0.35">
      <c r="A1723">
        <v>61.396599999999999</v>
      </c>
      <c r="B1723">
        <v>85.138999999999996</v>
      </c>
      <c r="C1723">
        <v>4.2944599999999999</v>
      </c>
      <c r="D1723">
        <v>0.04</v>
      </c>
      <c r="E1723">
        <v>0.04</v>
      </c>
      <c r="F1723">
        <v>2.8123399999999998</v>
      </c>
      <c r="G1723">
        <v>3.1147399999999998</v>
      </c>
      <c r="H1723">
        <v>0</v>
      </c>
      <c r="I1723">
        <v>0.50928600000000002</v>
      </c>
      <c r="J1723">
        <v>5.3222399999999999</v>
      </c>
      <c r="K1723" s="2">
        <v>189443000</v>
      </c>
      <c r="L1723" s="1">
        <v>0</v>
      </c>
      <c r="M1723" s="1">
        <v>0</v>
      </c>
      <c r="N1723" s="1">
        <v>0</v>
      </c>
      <c r="O1723" s="1">
        <v>0</v>
      </c>
      <c r="P1723" s="2">
        <v>4204380</v>
      </c>
      <c r="Q1723" s="1">
        <v>-88337.1</v>
      </c>
      <c r="R1723" s="1">
        <v>408539</v>
      </c>
      <c r="S1723">
        <v>99.302199999999999</v>
      </c>
      <c r="T1723">
        <v>98.274000000000001</v>
      </c>
      <c r="U1723">
        <v>8.8299900000000004</v>
      </c>
      <c r="V1723">
        <v>0</v>
      </c>
      <c r="W1723">
        <v>1</v>
      </c>
      <c r="X1723">
        <v>2.10914</v>
      </c>
      <c r="Y1723">
        <v>1.80674</v>
      </c>
      <c r="Z1723">
        <v>0</v>
      </c>
      <c r="AA1723">
        <v>1.5857600000000001</v>
      </c>
      <c r="AB1723">
        <v>2.9635199999999999</v>
      </c>
      <c r="AC1723" s="2">
        <v>899567000</v>
      </c>
      <c r="AD1723" s="1">
        <v>0</v>
      </c>
      <c r="AE1723" s="1">
        <v>0</v>
      </c>
      <c r="AF1723" s="1">
        <v>0</v>
      </c>
      <c r="AG1723" s="1">
        <v>0</v>
      </c>
      <c r="AH1723" s="2">
        <v>5456840</v>
      </c>
      <c r="AI1723" s="1">
        <v>934750</v>
      </c>
      <c r="AJ1723" s="1">
        <v>0</v>
      </c>
      <c r="AK1723" s="8">
        <f t="shared" si="107"/>
        <v>6</v>
      </c>
      <c r="AL1723" s="8">
        <f t="shared" si="106"/>
        <v>34</v>
      </c>
      <c r="AM1723">
        <f t="shared" si="104"/>
        <v>0</v>
      </c>
      <c r="AN1723">
        <f t="shared" si="105"/>
        <v>0</v>
      </c>
    </row>
    <row r="1724" spans="1:40" x14ac:dyDescent="0.35">
      <c r="A1724">
        <v>61.790999999999997</v>
      </c>
      <c r="B1724">
        <v>85.138999999999996</v>
      </c>
      <c r="C1724">
        <v>3.47343</v>
      </c>
      <c r="D1724">
        <v>0.04</v>
      </c>
      <c r="E1724">
        <v>0.04</v>
      </c>
      <c r="F1724">
        <v>2.8124199999999999</v>
      </c>
      <c r="G1724">
        <v>3.1148199999999999</v>
      </c>
      <c r="H1724">
        <v>0</v>
      </c>
      <c r="I1724">
        <v>0.52703299999999997</v>
      </c>
      <c r="J1724">
        <v>5.3222399999999999</v>
      </c>
      <c r="K1724" s="2">
        <v>189355000</v>
      </c>
      <c r="L1724" s="1">
        <v>0</v>
      </c>
      <c r="M1724" s="1">
        <v>0</v>
      </c>
      <c r="N1724" s="1">
        <v>0</v>
      </c>
      <c r="O1724" s="1">
        <v>0</v>
      </c>
      <c r="P1724" s="2">
        <v>4204490</v>
      </c>
      <c r="Q1724" s="1">
        <v>-88329.3</v>
      </c>
      <c r="R1724" s="1">
        <v>408539</v>
      </c>
      <c r="S1724">
        <v>99.302199999999999</v>
      </c>
      <c r="T1724">
        <v>98.274000000000001</v>
      </c>
      <c r="U1724">
        <v>7.3453200000000001</v>
      </c>
      <c r="V1724">
        <v>0</v>
      </c>
      <c r="W1724">
        <v>1</v>
      </c>
      <c r="X1724">
        <v>2.1091799999999998</v>
      </c>
      <c r="Y1724">
        <v>1.8067800000000001</v>
      </c>
      <c r="Z1724">
        <v>0</v>
      </c>
      <c r="AA1724">
        <v>1.6295200000000001</v>
      </c>
      <c r="AB1724">
        <v>3.3868800000000001</v>
      </c>
      <c r="AC1724" s="2">
        <v>900501000</v>
      </c>
      <c r="AD1724" s="1">
        <v>0</v>
      </c>
      <c r="AE1724" s="1">
        <v>0</v>
      </c>
      <c r="AF1724" s="1">
        <v>0</v>
      </c>
      <c r="AG1724" s="2">
        <v>7883220</v>
      </c>
      <c r="AH1724" s="2">
        <v>5456950</v>
      </c>
      <c r="AI1724" s="1">
        <v>934754</v>
      </c>
      <c r="AJ1724" s="1">
        <v>0</v>
      </c>
      <c r="AK1724" s="8">
        <f t="shared" si="107"/>
        <v>7</v>
      </c>
      <c r="AL1724" s="8">
        <f t="shared" si="106"/>
        <v>34</v>
      </c>
      <c r="AM1724">
        <f t="shared" si="104"/>
        <v>0</v>
      </c>
      <c r="AN1724">
        <f t="shared" si="105"/>
        <v>0</v>
      </c>
    </row>
    <row r="1725" spans="1:40" x14ac:dyDescent="0.35">
      <c r="A1725">
        <v>62.531300000000002</v>
      </c>
      <c r="B1725">
        <v>85.138999999999996</v>
      </c>
      <c r="C1725">
        <v>3.8672</v>
      </c>
      <c r="D1725">
        <v>0.04</v>
      </c>
      <c r="E1725">
        <v>0.04</v>
      </c>
      <c r="F1725">
        <v>2.8124899999999999</v>
      </c>
      <c r="G1725">
        <v>3.1148899999999999</v>
      </c>
      <c r="H1725">
        <v>0</v>
      </c>
      <c r="I1725">
        <v>0.52704700000000004</v>
      </c>
      <c r="J1725">
        <v>5.3222399999999999</v>
      </c>
      <c r="K1725" s="2">
        <v>189267000</v>
      </c>
      <c r="L1725" s="1">
        <v>0</v>
      </c>
      <c r="M1725" s="1">
        <v>0</v>
      </c>
      <c r="N1725" s="1">
        <v>0</v>
      </c>
      <c r="O1725" s="1">
        <v>0</v>
      </c>
      <c r="P1725" s="2">
        <v>4204600</v>
      </c>
      <c r="Q1725" s="1">
        <v>-88321.600000000006</v>
      </c>
      <c r="R1725" s="1">
        <v>408539</v>
      </c>
      <c r="S1725">
        <v>99.302199999999999</v>
      </c>
      <c r="T1725">
        <v>98.274000000000001</v>
      </c>
      <c r="U1725">
        <v>7.7266599999999999</v>
      </c>
      <c r="V1725">
        <v>0</v>
      </c>
      <c r="W1725">
        <v>1</v>
      </c>
      <c r="X1725">
        <v>2.1092200000000001</v>
      </c>
      <c r="Y1725">
        <v>1.8068200000000001</v>
      </c>
      <c r="Z1725">
        <v>0</v>
      </c>
      <c r="AA1725">
        <v>1.6295500000000001</v>
      </c>
      <c r="AB1725">
        <v>3.3868800000000001</v>
      </c>
      <c r="AC1725" s="2">
        <v>901436000</v>
      </c>
      <c r="AD1725" s="1">
        <v>0</v>
      </c>
      <c r="AE1725" s="1">
        <v>0</v>
      </c>
      <c r="AF1725" s="1">
        <v>0</v>
      </c>
      <c r="AG1725" s="1">
        <v>0</v>
      </c>
      <c r="AH1725" s="2">
        <v>5457070</v>
      </c>
      <c r="AI1725" s="1">
        <v>934758</v>
      </c>
      <c r="AJ1725" s="1">
        <v>0</v>
      </c>
      <c r="AK1725" s="8">
        <f t="shared" si="107"/>
        <v>8</v>
      </c>
      <c r="AL1725" s="8">
        <f t="shared" si="106"/>
        <v>34</v>
      </c>
      <c r="AM1725">
        <f t="shared" si="104"/>
        <v>0</v>
      </c>
      <c r="AN1725">
        <f t="shared" si="105"/>
        <v>0</v>
      </c>
    </row>
    <row r="1726" spans="1:40" x14ac:dyDescent="0.35">
      <c r="A1726">
        <v>63.857799999999997</v>
      </c>
      <c r="B1726">
        <v>85.138999999999996</v>
      </c>
      <c r="C1726">
        <v>4.5016999999999996</v>
      </c>
      <c r="D1726">
        <v>0.04</v>
      </c>
      <c r="E1726">
        <v>0.04</v>
      </c>
      <c r="F1726">
        <v>2.81257</v>
      </c>
      <c r="G1726">
        <v>3.11497</v>
      </c>
      <c r="H1726">
        <v>0</v>
      </c>
      <c r="I1726">
        <v>0.527061</v>
      </c>
      <c r="J1726">
        <v>5.3222399999999999</v>
      </c>
      <c r="K1726" s="2">
        <v>189178000</v>
      </c>
      <c r="L1726" s="1">
        <v>0</v>
      </c>
      <c r="M1726" s="1">
        <v>0</v>
      </c>
      <c r="N1726" s="1">
        <v>0</v>
      </c>
      <c r="O1726" s="1">
        <v>0</v>
      </c>
      <c r="P1726" s="2">
        <v>4204720</v>
      </c>
      <c r="Q1726" s="1">
        <v>-88313.8</v>
      </c>
      <c r="R1726" s="1">
        <v>408539</v>
      </c>
      <c r="S1726">
        <v>99.302199999999999</v>
      </c>
      <c r="T1726">
        <v>98.274000000000001</v>
      </c>
      <c r="U1726">
        <v>7.1459299999999999</v>
      </c>
      <c r="V1726">
        <v>0</v>
      </c>
      <c r="W1726">
        <v>1</v>
      </c>
      <c r="X1726">
        <v>2.10927</v>
      </c>
      <c r="Y1726">
        <v>1.80687</v>
      </c>
      <c r="Z1726">
        <v>0</v>
      </c>
      <c r="AA1726">
        <v>1.6295900000000001</v>
      </c>
      <c r="AB1726">
        <v>3.3868800000000001</v>
      </c>
      <c r="AC1726" s="2">
        <v>902371000</v>
      </c>
      <c r="AD1726" s="1">
        <v>0</v>
      </c>
      <c r="AE1726" s="1">
        <v>0</v>
      </c>
      <c r="AF1726" s="1">
        <v>0</v>
      </c>
      <c r="AG1726" s="1">
        <v>0</v>
      </c>
      <c r="AH1726" s="2">
        <v>5457180</v>
      </c>
      <c r="AI1726" s="1">
        <v>934761</v>
      </c>
      <c r="AJ1726" s="1">
        <v>0</v>
      </c>
      <c r="AK1726" s="8">
        <f t="shared" si="107"/>
        <v>9</v>
      </c>
      <c r="AL1726" s="8">
        <f t="shared" si="106"/>
        <v>34</v>
      </c>
      <c r="AM1726">
        <f t="shared" si="104"/>
        <v>0</v>
      </c>
      <c r="AN1726">
        <f t="shared" si="105"/>
        <v>0</v>
      </c>
    </row>
    <row r="1727" spans="1:40" x14ac:dyDescent="0.35">
      <c r="A1727">
        <v>65.686700000000002</v>
      </c>
      <c r="B1727">
        <v>85.138999999999996</v>
      </c>
      <c r="C1727">
        <v>5.3023800000000003</v>
      </c>
      <c r="D1727">
        <v>0.04</v>
      </c>
      <c r="E1727">
        <v>0.04</v>
      </c>
      <c r="F1727">
        <v>3.1164800000000001</v>
      </c>
      <c r="G1727">
        <v>3.4188800000000001</v>
      </c>
      <c r="H1727">
        <v>0</v>
      </c>
      <c r="I1727">
        <v>0.52707499999999996</v>
      </c>
      <c r="J1727">
        <v>5.3222399999999999</v>
      </c>
      <c r="K1727" s="2">
        <v>189121000</v>
      </c>
      <c r="L1727" s="1">
        <v>0</v>
      </c>
      <c r="M1727" s="1">
        <v>0</v>
      </c>
      <c r="N1727" s="1">
        <v>0</v>
      </c>
      <c r="O1727" s="1">
        <v>0</v>
      </c>
      <c r="P1727" s="2">
        <v>4659050</v>
      </c>
      <c r="Q1727" s="1">
        <v>-57071.3</v>
      </c>
      <c r="R1727" s="1">
        <v>408539</v>
      </c>
      <c r="S1727">
        <v>99.302199999999999</v>
      </c>
      <c r="T1727">
        <v>98.274000000000001</v>
      </c>
      <c r="U1727">
        <v>6.8912100000000001</v>
      </c>
      <c r="V1727">
        <v>0</v>
      </c>
      <c r="W1727">
        <v>1</v>
      </c>
      <c r="X1727">
        <v>2.3217699999999999</v>
      </c>
      <c r="Y1727">
        <v>2.0193699999999999</v>
      </c>
      <c r="Z1727">
        <v>0</v>
      </c>
      <c r="AA1727">
        <v>1.6296200000000001</v>
      </c>
      <c r="AB1727">
        <v>3.3868800000000001</v>
      </c>
      <c r="AC1727" s="2">
        <v>903324000</v>
      </c>
      <c r="AD1727" s="1">
        <v>0</v>
      </c>
      <c r="AE1727" s="1">
        <v>0</v>
      </c>
      <c r="AF1727" s="1">
        <v>0</v>
      </c>
      <c r="AG1727" s="1">
        <v>0</v>
      </c>
      <c r="AH1727" s="2">
        <v>6006960</v>
      </c>
      <c r="AI1727" s="1">
        <v>952682</v>
      </c>
      <c r="AJ1727" s="1">
        <v>0</v>
      </c>
      <c r="AK1727" s="8">
        <f t="shared" si="107"/>
        <v>10</v>
      </c>
      <c r="AL1727" s="8">
        <f t="shared" si="106"/>
        <v>34</v>
      </c>
      <c r="AM1727">
        <f t="shared" si="104"/>
        <v>0</v>
      </c>
      <c r="AN1727">
        <f t="shared" si="105"/>
        <v>0</v>
      </c>
    </row>
    <row r="1728" spans="1:40" x14ac:dyDescent="0.35">
      <c r="A1728">
        <v>67.074200000000005</v>
      </c>
      <c r="B1728">
        <v>85.138999999999996</v>
      </c>
      <c r="C1728">
        <v>4.87676</v>
      </c>
      <c r="D1728">
        <v>0.04</v>
      </c>
      <c r="E1728">
        <v>0.04</v>
      </c>
      <c r="F1728">
        <v>3.1165600000000002</v>
      </c>
      <c r="G1728">
        <v>3.4189600000000002</v>
      </c>
      <c r="H1728">
        <v>0</v>
      </c>
      <c r="I1728">
        <v>0.58402799999999999</v>
      </c>
      <c r="J1728">
        <v>5.3222399999999999</v>
      </c>
      <c r="K1728" s="2">
        <v>189064000</v>
      </c>
      <c r="L1728" s="1">
        <v>0</v>
      </c>
      <c r="M1728" s="1">
        <v>0</v>
      </c>
      <c r="N1728" s="1">
        <v>0</v>
      </c>
      <c r="O1728" s="1">
        <v>0</v>
      </c>
      <c r="P1728" s="2">
        <v>4659180</v>
      </c>
      <c r="Q1728" s="1">
        <v>-57062.8</v>
      </c>
      <c r="R1728" s="1">
        <v>408539</v>
      </c>
      <c r="S1728">
        <v>99.302199999999999</v>
      </c>
      <c r="T1728">
        <v>98.274000000000001</v>
      </c>
      <c r="U1728">
        <v>6.9004300000000001</v>
      </c>
      <c r="V1728">
        <v>0</v>
      </c>
      <c r="W1728">
        <v>1</v>
      </c>
      <c r="X1728">
        <v>2.3218200000000002</v>
      </c>
      <c r="Y1728">
        <v>2.0194200000000002</v>
      </c>
      <c r="Z1728">
        <v>0</v>
      </c>
      <c r="AA1728">
        <v>1.7938000000000001</v>
      </c>
      <c r="AB1728">
        <v>3.3868800000000001</v>
      </c>
      <c r="AC1728" s="2">
        <v>904276000</v>
      </c>
      <c r="AD1728" s="1">
        <v>0</v>
      </c>
      <c r="AE1728" s="1">
        <v>0</v>
      </c>
      <c r="AF1728" s="1">
        <v>0</v>
      </c>
      <c r="AG1728" s="1">
        <v>0</v>
      </c>
      <c r="AH1728" s="2">
        <v>6007090</v>
      </c>
      <c r="AI1728" s="1">
        <v>952686</v>
      </c>
      <c r="AJ1728" s="1">
        <v>0</v>
      </c>
      <c r="AK1728" s="8">
        <f t="shared" si="107"/>
        <v>11</v>
      </c>
      <c r="AL1728" s="8">
        <f t="shared" si="106"/>
        <v>34</v>
      </c>
      <c r="AM1728">
        <f t="shared" si="104"/>
        <v>0</v>
      </c>
      <c r="AN1728">
        <f t="shared" si="105"/>
        <v>0</v>
      </c>
    </row>
    <row r="1729" spans="1:40" x14ac:dyDescent="0.35">
      <c r="A1729">
        <v>68.709500000000006</v>
      </c>
      <c r="B1729">
        <v>85.138999999999996</v>
      </c>
      <c r="C1729">
        <v>5.1243800000000004</v>
      </c>
      <c r="D1729">
        <v>0.04</v>
      </c>
      <c r="E1729">
        <v>0.04</v>
      </c>
      <c r="F1729">
        <v>3.1166399999999999</v>
      </c>
      <c r="G1729">
        <v>3.4190399999999999</v>
      </c>
      <c r="H1729">
        <v>0</v>
      </c>
      <c r="I1729">
        <v>0.58404299999999998</v>
      </c>
      <c r="J1729">
        <v>5.3222399999999999</v>
      </c>
      <c r="K1729" s="2">
        <v>189007000</v>
      </c>
      <c r="L1729" s="1">
        <v>0</v>
      </c>
      <c r="M1729" s="1">
        <v>0</v>
      </c>
      <c r="N1729" s="1">
        <v>0</v>
      </c>
      <c r="O1729" s="1">
        <v>0</v>
      </c>
      <c r="P1729" s="2">
        <v>4659300</v>
      </c>
      <c r="Q1729" s="1">
        <v>-57054.3</v>
      </c>
      <c r="R1729" s="1">
        <v>408539</v>
      </c>
      <c r="S1729">
        <v>99.302199999999999</v>
      </c>
      <c r="T1729">
        <v>98.274000000000001</v>
      </c>
      <c r="U1729">
        <v>7.2570300000000003</v>
      </c>
      <c r="V1729">
        <v>0</v>
      </c>
      <c r="W1729">
        <v>1</v>
      </c>
      <c r="X1729">
        <v>2.32186</v>
      </c>
      <c r="Y1729">
        <v>2.01946</v>
      </c>
      <c r="Z1729">
        <v>0</v>
      </c>
      <c r="AA1729">
        <v>1.79383</v>
      </c>
      <c r="AB1729">
        <v>3.3868800000000001</v>
      </c>
      <c r="AC1729" s="2">
        <v>905229000</v>
      </c>
      <c r="AD1729" s="1">
        <v>0</v>
      </c>
      <c r="AE1729" s="1">
        <v>0</v>
      </c>
      <c r="AF1729" s="1">
        <v>0</v>
      </c>
      <c r="AG1729" s="1">
        <v>0</v>
      </c>
      <c r="AH1729" s="2">
        <v>6007220</v>
      </c>
      <c r="AI1729" s="1">
        <v>952690</v>
      </c>
      <c r="AJ1729" s="1">
        <v>0</v>
      </c>
      <c r="AK1729" s="8">
        <f t="shared" si="107"/>
        <v>12</v>
      </c>
      <c r="AL1729" s="8">
        <f t="shared" si="106"/>
        <v>34</v>
      </c>
      <c r="AM1729">
        <f t="shared" si="104"/>
        <v>0</v>
      </c>
      <c r="AN1729">
        <f t="shared" si="105"/>
        <v>0</v>
      </c>
    </row>
    <row r="1730" spans="1:40" x14ac:dyDescent="0.35">
      <c r="A1730">
        <v>70.645300000000006</v>
      </c>
      <c r="B1730">
        <v>85.138999999999996</v>
      </c>
      <c r="C1730">
        <v>5.4375</v>
      </c>
      <c r="D1730">
        <v>0.04</v>
      </c>
      <c r="E1730">
        <v>0.04</v>
      </c>
      <c r="F1730">
        <v>3.11673</v>
      </c>
      <c r="G1730">
        <v>3.41913</v>
      </c>
      <c r="H1730">
        <v>0</v>
      </c>
      <c r="I1730">
        <v>0.58405899999999999</v>
      </c>
      <c r="J1730">
        <v>5.3222399999999999</v>
      </c>
      <c r="K1730" s="2">
        <v>188950000</v>
      </c>
      <c r="L1730" s="1">
        <v>0</v>
      </c>
      <c r="M1730" s="1">
        <v>0</v>
      </c>
      <c r="N1730" s="1">
        <v>0</v>
      </c>
      <c r="O1730" s="1">
        <v>0</v>
      </c>
      <c r="P1730" s="2">
        <v>4659430</v>
      </c>
      <c r="Q1730" s="1">
        <v>-57045.8</v>
      </c>
      <c r="R1730" s="1">
        <v>408539</v>
      </c>
      <c r="S1730">
        <v>99.302199999999999</v>
      </c>
      <c r="T1730">
        <v>98.274000000000001</v>
      </c>
      <c r="U1730">
        <v>8.0230399999999999</v>
      </c>
      <c r="V1730">
        <v>0</v>
      </c>
      <c r="W1730">
        <v>1</v>
      </c>
      <c r="X1730">
        <v>2.3219099999999999</v>
      </c>
      <c r="Y1730">
        <v>2.0195099999999999</v>
      </c>
      <c r="Z1730">
        <v>0</v>
      </c>
      <c r="AA1730">
        <v>1.7938700000000001</v>
      </c>
      <c r="AB1730">
        <v>3.3868800000000001</v>
      </c>
      <c r="AC1730" s="2">
        <v>906182000</v>
      </c>
      <c r="AD1730" s="1">
        <v>0</v>
      </c>
      <c r="AE1730" s="1">
        <v>0</v>
      </c>
      <c r="AF1730" s="1">
        <v>0</v>
      </c>
      <c r="AG1730" s="1">
        <v>0</v>
      </c>
      <c r="AH1730" s="2">
        <v>6007340</v>
      </c>
      <c r="AI1730" s="1">
        <v>952694</v>
      </c>
      <c r="AJ1730" s="1">
        <v>0</v>
      </c>
      <c r="AK1730" s="8">
        <f t="shared" si="107"/>
        <v>13</v>
      </c>
      <c r="AL1730" s="8">
        <f t="shared" si="106"/>
        <v>34</v>
      </c>
      <c r="AM1730">
        <f t="shared" si="104"/>
        <v>0</v>
      </c>
      <c r="AN1730">
        <f t="shared" si="105"/>
        <v>0</v>
      </c>
    </row>
    <row r="1731" spans="1:40" x14ac:dyDescent="0.35">
      <c r="A1731">
        <v>73.827200000000005</v>
      </c>
      <c r="B1731">
        <v>85.138999999999996</v>
      </c>
      <c r="C1731">
        <v>6.4798499999999999</v>
      </c>
      <c r="D1731">
        <v>0.03</v>
      </c>
      <c r="E1731">
        <v>0.04</v>
      </c>
      <c r="F1731">
        <v>2.6833999999999998</v>
      </c>
      <c r="G1731">
        <v>2.9857999999999998</v>
      </c>
      <c r="H1731">
        <v>0</v>
      </c>
      <c r="I1731">
        <v>0.58407399999999998</v>
      </c>
      <c r="J1731">
        <v>5.3222399999999999</v>
      </c>
      <c r="K1731" s="2">
        <v>188849000</v>
      </c>
      <c r="L1731" s="1">
        <v>0</v>
      </c>
      <c r="M1731" s="1">
        <v>0</v>
      </c>
      <c r="N1731" s="1">
        <v>0</v>
      </c>
      <c r="O1731" s="1">
        <v>0</v>
      </c>
      <c r="P1731" s="2">
        <v>4011620</v>
      </c>
      <c r="Q1731" s="1">
        <v>-101592</v>
      </c>
      <c r="R1731" s="1">
        <v>408539</v>
      </c>
      <c r="S1731">
        <v>99.302199999999999</v>
      </c>
      <c r="T1731">
        <v>98.274000000000001</v>
      </c>
      <c r="U1731">
        <v>10.4506</v>
      </c>
      <c r="V1731">
        <v>0</v>
      </c>
      <c r="W1731">
        <v>1</v>
      </c>
      <c r="X1731">
        <v>2.0368200000000001</v>
      </c>
      <c r="Y1731">
        <v>1.7344200000000001</v>
      </c>
      <c r="Z1731">
        <v>0</v>
      </c>
      <c r="AA1731">
        <v>1.7939099999999999</v>
      </c>
      <c r="AB1731">
        <v>3.3868800000000001</v>
      </c>
      <c r="AC1731" s="2">
        <v>907110000</v>
      </c>
      <c r="AD1731" s="1">
        <v>0</v>
      </c>
      <c r="AE1731" s="1">
        <v>0</v>
      </c>
      <c r="AF1731" s="1">
        <v>0</v>
      </c>
      <c r="AG1731" s="1">
        <v>0</v>
      </c>
      <c r="AH1731" s="2">
        <v>5269730</v>
      </c>
      <c r="AI1731" s="1">
        <v>928651</v>
      </c>
      <c r="AJ1731" s="1">
        <v>0</v>
      </c>
      <c r="AK1731" s="8">
        <f t="shared" si="107"/>
        <v>14</v>
      </c>
      <c r="AL1731" s="8">
        <f t="shared" si="106"/>
        <v>34</v>
      </c>
      <c r="AM1731">
        <f t="shared" ref="AM1731:AM1794" si="108">IF(AK1731=52,AC1731,0)</f>
        <v>0</v>
      </c>
      <c r="AN1731">
        <f t="shared" ref="AN1731:AN1794" si="109">IF(AK1731=52,K1731,0)</f>
        <v>0</v>
      </c>
    </row>
    <row r="1732" spans="1:40" x14ac:dyDescent="0.35">
      <c r="A1732">
        <v>77.613799999999998</v>
      </c>
      <c r="B1732">
        <v>85.138999999999996</v>
      </c>
      <c r="C1732">
        <v>7.1547299999999998</v>
      </c>
      <c r="D1732">
        <v>0.02</v>
      </c>
      <c r="E1732">
        <v>0.04</v>
      </c>
      <c r="F1732">
        <v>2.6834699999999998</v>
      </c>
      <c r="G1732">
        <v>2.9858699999999998</v>
      </c>
      <c r="H1732">
        <v>0</v>
      </c>
      <c r="I1732">
        <v>0.50286900000000001</v>
      </c>
      <c r="J1732">
        <v>5.3222399999999999</v>
      </c>
      <c r="K1732" s="2">
        <v>188747000</v>
      </c>
      <c r="L1732" s="1">
        <v>0</v>
      </c>
      <c r="M1732" s="1">
        <v>0</v>
      </c>
      <c r="N1732" s="1">
        <v>0</v>
      </c>
      <c r="O1732" s="1">
        <v>0</v>
      </c>
      <c r="P1732" s="2">
        <v>4011730</v>
      </c>
      <c r="Q1732" s="1">
        <v>-101585</v>
      </c>
      <c r="R1732" s="1">
        <v>408539</v>
      </c>
      <c r="S1732">
        <v>99.302199999999999</v>
      </c>
      <c r="T1732">
        <v>98.274000000000001</v>
      </c>
      <c r="U1732">
        <v>9.7239199999999997</v>
      </c>
      <c r="V1732">
        <v>0</v>
      </c>
      <c r="W1732">
        <v>1</v>
      </c>
      <c r="X1732">
        <v>2.0368599999999999</v>
      </c>
      <c r="Y1732">
        <v>1.7344599999999999</v>
      </c>
      <c r="Z1732">
        <v>0</v>
      </c>
      <c r="AA1732">
        <v>1.57365</v>
      </c>
      <c r="AB1732">
        <v>3.3868800000000001</v>
      </c>
      <c r="AC1732" s="2">
        <v>908039000</v>
      </c>
      <c r="AD1732" s="1">
        <v>0</v>
      </c>
      <c r="AE1732" s="1">
        <v>0</v>
      </c>
      <c r="AF1732" s="1">
        <v>0</v>
      </c>
      <c r="AG1732" s="1">
        <v>0</v>
      </c>
      <c r="AH1732" s="2">
        <v>5269840</v>
      </c>
      <c r="AI1732" s="1">
        <v>928655</v>
      </c>
      <c r="AJ1732" s="1">
        <v>0</v>
      </c>
      <c r="AK1732" s="8">
        <f t="shared" si="107"/>
        <v>15</v>
      </c>
      <c r="AL1732" s="8">
        <f t="shared" ref="AL1732:AL1795" si="110">IF(AK1731=52,AL1731+1,AL1731)</f>
        <v>34</v>
      </c>
      <c r="AM1732">
        <f t="shared" si="108"/>
        <v>0</v>
      </c>
      <c r="AN1732">
        <f t="shared" si="109"/>
        <v>0</v>
      </c>
    </row>
    <row r="1733" spans="1:40" x14ac:dyDescent="0.35">
      <c r="A1733">
        <v>81.920599999999993</v>
      </c>
      <c r="B1733">
        <v>85.138999999999996</v>
      </c>
      <c r="C1733">
        <v>7.6268900000000004</v>
      </c>
      <c r="D1733">
        <v>0.02</v>
      </c>
      <c r="E1733">
        <v>0.04</v>
      </c>
      <c r="F1733">
        <v>2.6835499999999999</v>
      </c>
      <c r="G1733">
        <v>2.9859499999999999</v>
      </c>
      <c r="H1733">
        <v>0</v>
      </c>
      <c r="I1733">
        <v>0.50288299999999997</v>
      </c>
      <c r="J1733">
        <v>5.3222399999999999</v>
      </c>
      <c r="K1733" s="2">
        <v>188645000</v>
      </c>
      <c r="L1733" s="1">
        <v>0</v>
      </c>
      <c r="M1733" s="1">
        <v>0</v>
      </c>
      <c r="N1733" s="1">
        <v>0</v>
      </c>
      <c r="O1733" s="1">
        <v>0</v>
      </c>
      <c r="P1733" s="2">
        <v>4011830</v>
      </c>
      <c r="Q1733" s="1">
        <v>-101577</v>
      </c>
      <c r="R1733" s="1">
        <v>408539</v>
      </c>
      <c r="S1733">
        <v>99.302199999999999</v>
      </c>
      <c r="T1733">
        <v>98.274000000000001</v>
      </c>
      <c r="U1733">
        <v>10.523400000000001</v>
      </c>
      <c r="V1733">
        <v>0</v>
      </c>
      <c r="W1733">
        <v>1</v>
      </c>
      <c r="X1733">
        <v>2.0369000000000002</v>
      </c>
      <c r="Y1733">
        <v>1.7344999999999999</v>
      </c>
      <c r="Z1733">
        <v>0</v>
      </c>
      <c r="AA1733">
        <v>1.57368</v>
      </c>
      <c r="AB1733">
        <v>3.3868800000000001</v>
      </c>
      <c r="AC1733" s="2">
        <v>908968000</v>
      </c>
      <c r="AD1733" s="1">
        <v>0</v>
      </c>
      <c r="AE1733" s="1">
        <v>0</v>
      </c>
      <c r="AF1733" s="1">
        <v>0</v>
      </c>
      <c r="AG1733" s="1">
        <v>0</v>
      </c>
      <c r="AH1733" s="2">
        <v>5269950</v>
      </c>
      <c r="AI1733" s="1">
        <v>928658</v>
      </c>
      <c r="AJ1733" s="1">
        <v>0</v>
      </c>
      <c r="AK1733" s="8">
        <f t="shared" si="107"/>
        <v>16</v>
      </c>
      <c r="AL1733" s="8">
        <f t="shared" si="110"/>
        <v>34</v>
      </c>
      <c r="AM1733">
        <f t="shared" si="108"/>
        <v>0</v>
      </c>
      <c r="AN1733">
        <f t="shared" si="109"/>
        <v>0</v>
      </c>
    </row>
    <row r="1734" spans="1:40" x14ac:dyDescent="0.35">
      <c r="A1734">
        <v>84.935400000000001</v>
      </c>
      <c r="B1734">
        <v>85.138999999999996</v>
      </c>
      <c r="C1734">
        <v>6.5001300000000004</v>
      </c>
      <c r="D1734">
        <v>0</v>
      </c>
      <c r="E1734">
        <v>0.04</v>
      </c>
      <c r="F1734">
        <v>2.9860199999999999</v>
      </c>
      <c r="G1734">
        <v>2.9860199999999999</v>
      </c>
      <c r="H1734">
        <v>0</v>
      </c>
      <c r="I1734">
        <v>0.50289700000000004</v>
      </c>
      <c r="J1734">
        <v>5.3222399999999999</v>
      </c>
      <c r="K1734" s="2">
        <v>188952000</v>
      </c>
      <c r="L1734" s="1">
        <v>0</v>
      </c>
      <c r="M1734" s="1">
        <v>0</v>
      </c>
      <c r="N1734" s="1">
        <v>0</v>
      </c>
      <c r="O1734" s="1">
        <v>0</v>
      </c>
      <c r="P1734" s="2">
        <v>4464020</v>
      </c>
      <c r="Q1734" s="1">
        <v>306969</v>
      </c>
      <c r="R1734" s="1">
        <v>0</v>
      </c>
      <c r="S1734">
        <v>99.302199999999999</v>
      </c>
      <c r="T1734">
        <v>98.274000000000001</v>
      </c>
      <c r="U1734">
        <v>8.0152800000000006</v>
      </c>
      <c r="V1734">
        <v>0</v>
      </c>
      <c r="W1734">
        <v>1</v>
      </c>
      <c r="X1734">
        <v>1.73454</v>
      </c>
      <c r="Y1734">
        <v>1.73454</v>
      </c>
      <c r="Z1734">
        <v>0</v>
      </c>
      <c r="AA1734">
        <v>1.5737099999999999</v>
      </c>
      <c r="AB1734">
        <v>3.3868800000000001</v>
      </c>
      <c r="AC1734" s="2">
        <v>909114000</v>
      </c>
      <c r="AD1734" s="1">
        <v>0</v>
      </c>
      <c r="AE1734" s="1">
        <v>0</v>
      </c>
      <c r="AF1734" s="1">
        <v>0</v>
      </c>
      <c r="AG1734" s="1">
        <v>0</v>
      </c>
      <c r="AH1734" s="2">
        <v>4487680</v>
      </c>
      <c r="AI1734" s="1">
        <v>146281</v>
      </c>
      <c r="AJ1734" s="1">
        <v>0</v>
      </c>
      <c r="AK1734" s="8">
        <f t="shared" si="107"/>
        <v>17</v>
      </c>
      <c r="AL1734" s="8">
        <f t="shared" si="110"/>
        <v>34</v>
      </c>
      <c r="AM1734">
        <f t="shared" si="108"/>
        <v>0</v>
      </c>
      <c r="AN1734">
        <f t="shared" si="109"/>
        <v>0</v>
      </c>
    </row>
    <row r="1735" spans="1:40" x14ac:dyDescent="0.35">
      <c r="A1735">
        <v>85.138999999999996</v>
      </c>
      <c r="B1735">
        <v>85.138999999999996</v>
      </c>
      <c r="C1735">
        <v>4.92584</v>
      </c>
      <c r="D1735">
        <v>0</v>
      </c>
      <c r="E1735">
        <v>0.04</v>
      </c>
      <c r="F1735">
        <v>2.9860899999999999</v>
      </c>
      <c r="G1735">
        <v>2.9860899999999999</v>
      </c>
      <c r="H1735">
        <v>0</v>
      </c>
      <c r="I1735">
        <v>0.55957999999999997</v>
      </c>
      <c r="J1735">
        <v>5.3222399999999999</v>
      </c>
      <c r="K1735" s="2">
        <v>189259000</v>
      </c>
      <c r="L1735" s="1">
        <v>0</v>
      </c>
      <c r="M1735" s="1">
        <v>0</v>
      </c>
      <c r="N1735" s="1">
        <v>0</v>
      </c>
      <c r="O1735" s="1">
        <v>0</v>
      </c>
      <c r="P1735" s="2">
        <v>4464130</v>
      </c>
      <c r="Q1735" s="1">
        <v>306976</v>
      </c>
      <c r="R1735" s="1">
        <v>0</v>
      </c>
      <c r="S1735">
        <v>99.302199999999999</v>
      </c>
      <c r="T1735">
        <v>98.274000000000001</v>
      </c>
      <c r="U1735">
        <v>6.9698200000000003</v>
      </c>
      <c r="V1735">
        <v>0</v>
      </c>
      <c r="W1735">
        <v>1</v>
      </c>
      <c r="X1735">
        <v>1.7345900000000001</v>
      </c>
      <c r="Y1735">
        <v>1.7345900000000001</v>
      </c>
      <c r="Z1735">
        <v>0</v>
      </c>
      <c r="AA1735">
        <v>1.3401099999999999</v>
      </c>
      <c r="AB1735">
        <v>3.3868800000000001</v>
      </c>
      <c r="AC1735" s="2">
        <v>909260000</v>
      </c>
      <c r="AD1735" s="1">
        <v>0</v>
      </c>
      <c r="AE1735" s="1">
        <v>0</v>
      </c>
      <c r="AF1735" s="1">
        <v>0</v>
      </c>
      <c r="AG1735" s="1">
        <v>0</v>
      </c>
      <c r="AH1735" s="2">
        <v>4487790</v>
      </c>
      <c r="AI1735" s="1">
        <v>146285</v>
      </c>
      <c r="AJ1735" s="1">
        <v>0</v>
      </c>
      <c r="AK1735" s="8">
        <f t="shared" si="107"/>
        <v>18</v>
      </c>
      <c r="AL1735" s="8">
        <f t="shared" si="110"/>
        <v>34</v>
      </c>
      <c r="AM1735">
        <f t="shared" si="108"/>
        <v>0</v>
      </c>
      <c r="AN1735">
        <f t="shared" si="109"/>
        <v>0</v>
      </c>
    </row>
    <row r="1736" spans="1:40" x14ac:dyDescent="0.35">
      <c r="A1736">
        <v>85.138999999999996</v>
      </c>
      <c r="B1736">
        <v>85.138999999999996</v>
      </c>
      <c r="C1736">
        <v>5.2816700000000001</v>
      </c>
      <c r="D1736">
        <v>0</v>
      </c>
      <c r="E1736">
        <v>0.04</v>
      </c>
      <c r="F1736">
        <v>3.0952700000000002</v>
      </c>
      <c r="G1736">
        <v>3.0952700000000002</v>
      </c>
      <c r="H1736">
        <v>0</v>
      </c>
      <c r="I1736">
        <v>0.55959300000000001</v>
      </c>
      <c r="J1736">
        <v>5.3222399999999999</v>
      </c>
      <c r="K1736" s="2">
        <v>189578000</v>
      </c>
      <c r="L1736" s="1">
        <v>0</v>
      </c>
      <c r="M1736" s="1">
        <v>0</v>
      </c>
      <c r="N1736" s="1">
        <v>0</v>
      </c>
      <c r="O1736" s="1">
        <v>0</v>
      </c>
      <c r="P1736" s="2">
        <v>4627350</v>
      </c>
      <c r="Q1736" s="1">
        <v>318200</v>
      </c>
      <c r="R1736" s="1">
        <v>0</v>
      </c>
      <c r="S1736">
        <v>99.302199999999999</v>
      </c>
      <c r="T1736">
        <v>98.274000000000001</v>
      </c>
      <c r="U1736">
        <v>5.7820099999999996</v>
      </c>
      <c r="V1736">
        <v>0</v>
      </c>
      <c r="W1736">
        <v>1</v>
      </c>
      <c r="X1736">
        <v>1.8043899999999999</v>
      </c>
      <c r="Y1736">
        <v>1.8043899999999999</v>
      </c>
      <c r="Z1736">
        <v>0</v>
      </c>
      <c r="AA1736">
        <v>1.3401400000000001</v>
      </c>
      <c r="AB1736">
        <v>3.3868800000000001</v>
      </c>
      <c r="AC1736" s="2">
        <v>909412000</v>
      </c>
      <c r="AD1736" s="1">
        <v>0</v>
      </c>
      <c r="AE1736" s="1">
        <v>0</v>
      </c>
      <c r="AF1736" s="1">
        <v>0</v>
      </c>
      <c r="AG1736" s="1">
        <v>0</v>
      </c>
      <c r="AH1736" s="2">
        <v>4668400</v>
      </c>
      <c r="AI1736" s="1">
        <v>152172</v>
      </c>
      <c r="AJ1736" s="1">
        <v>0</v>
      </c>
      <c r="AK1736" s="8">
        <f t="shared" ref="AK1736:AK1799" si="111">IF(AK1735=52, 1, AK1735+1)</f>
        <v>19</v>
      </c>
      <c r="AL1736" s="8">
        <f t="shared" si="110"/>
        <v>34</v>
      </c>
      <c r="AM1736">
        <f t="shared" si="108"/>
        <v>0</v>
      </c>
      <c r="AN1736">
        <f t="shared" si="109"/>
        <v>0</v>
      </c>
    </row>
    <row r="1737" spans="1:40" x14ac:dyDescent="0.35">
      <c r="A1737">
        <v>85.138999999999996</v>
      </c>
      <c r="B1737">
        <v>85.138999999999996</v>
      </c>
      <c r="C1737">
        <v>4.3441299999999998</v>
      </c>
      <c r="D1737">
        <v>0</v>
      </c>
      <c r="E1737">
        <v>0.04</v>
      </c>
      <c r="F1737">
        <v>3.0953499999999998</v>
      </c>
      <c r="G1737">
        <v>3.0953499999999998</v>
      </c>
      <c r="H1737">
        <v>0</v>
      </c>
      <c r="I1737">
        <v>0.58005399999999996</v>
      </c>
      <c r="J1737">
        <v>5.3222399999999999</v>
      </c>
      <c r="K1737" s="2">
        <v>189896000</v>
      </c>
      <c r="L1737" s="1">
        <v>0</v>
      </c>
      <c r="M1737" s="1">
        <v>0</v>
      </c>
      <c r="N1737" s="1">
        <v>0</v>
      </c>
      <c r="O1737" s="1">
        <v>0</v>
      </c>
      <c r="P1737" s="2">
        <v>4627460</v>
      </c>
      <c r="Q1737" s="1">
        <v>318208</v>
      </c>
      <c r="R1737" s="1">
        <v>0</v>
      </c>
      <c r="S1737">
        <v>99.302199999999999</v>
      </c>
      <c r="T1737">
        <v>98.274000000000001</v>
      </c>
      <c r="U1737">
        <v>4.7065900000000003</v>
      </c>
      <c r="V1737">
        <v>0</v>
      </c>
      <c r="W1737">
        <v>1</v>
      </c>
      <c r="X1737">
        <v>1.80444</v>
      </c>
      <c r="Y1737">
        <v>1.80444</v>
      </c>
      <c r="Z1737">
        <v>0</v>
      </c>
      <c r="AA1737">
        <v>1.3940699999999999</v>
      </c>
      <c r="AB1737">
        <v>3.3868800000000001</v>
      </c>
      <c r="AC1737" s="2">
        <v>909565000</v>
      </c>
      <c r="AD1737" s="1">
        <v>0</v>
      </c>
      <c r="AE1737" s="1">
        <v>0</v>
      </c>
      <c r="AF1737" s="1">
        <v>0</v>
      </c>
      <c r="AG1737" s="1">
        <v>0</v>
      </c>
      <c r="AH1737" s="2">
        <v>4668510</v>
      </c>
      <c r="AI1737" s="1">
        <v>152175</v>
      </c>
      <c r="AJ1737" s="1">
        <v>0</v>
      </c>
      <c r="AK1737" s="8">
        <f t="shared" si="111"/>
        <v>20</v>
      </c>
      <c r="AL1737" s="8">
        <f t="shared" si="110"/>
        <v>34</v>
      </c>
      <c r="AM1737">
        <f t="shared" si="108"/>
        <v>0</v>
      </c>
      <c r="AN1737">
        <f t="shared" si="109"/>
        <v>0</v>
      </c>
    </row>
    <row r="1738" spans="1:40" x14ac:dyDescent="0.35">
      <c r="A1738">
        <v>85.067899999999995</v>
      </c>
      <c r="B1738">
        <v>85.138999999999996</v>
      </c>
      <c r="C1738">
        <v>3.4273099999999999</v>
      </c>
      <c r="D1738">
        <v>0</v>
      </c>
      <c r="E1738">
        <v>0.04</v>
      </c>
      <c r="F1738">
        <v>3.0954199999999998</v>
      </c>
      <c r="G1738">
        <v>3.0954199999999998</v>
      </c>
      <c r="H1738">
        <v>0</v>
      </c>
      <c r="I1738">
        <v>0.58006800000000003</v>
      </c>
      <c r="J1738">
        <v>5.3222399999999999</v>
      </c>
      <c r="K1738" s="2">
        <v>190214000</v>
      </c>
      <c r="L1738" s="1">
        <v>0</v>
      </c>
      <c r="M1738" s="1">
        <v>0</v>
      </c>
      <c r="N1738" s="1">
        <v>0</v>
      </c>
      <c r="O1738" s="1">
        <v>0</v>
      </c>
      <c r="P1738" s="2">
        <v>4627580</v>
      </c>
      <c r="Q1738" s="1">
        <v>318215</v>
      </c>
      <c r="R1738" s="1">
        <v>0</v>
      </c>
      <c r="S1738">
        <v>99.302199999999999</v>
      </c>
      <c r="T1738">
        <v>98.274000000000001</v>
      </c>
      <c r="U1738">
        <v>3.8782299999999998</v>
      </c>
      <c r="V1738">
        <v>0</v>
      </c>
      <c r="W1738">
        <v>1</v>
      </c>
      <c r="X1738">
        <v>1.8044800000000001</v>
      </c>
      <c r="Y1738">
        <v>1.8044800000000001</v>
      </c>
      <c r="Z1738">
        <v>0</v>
      </c>
      <c r="AA1738">
        <v>1.39411</v>
      </c>
      <c r="AB1738">
        <v>3.3868800000000001</v>
      </c>
      <c r="AC1738" s="2">
        <v>909717000</v>
      </c>
      <c r="AD1738" s="1">
        <v>0</v>
      </c>
      <c r="AE1738" s="1">
        <v>0</v>
      </c>
      <c r="AF1738" s="1">
        <v>0</v>
      </c>
      <c r="AG1738" s="1">
        <v>0</v>
      </c>
      <c r="AH1738" s="2">
        <v>4668620</v>
      </c>
      <c r="AI1738" s="1">
        <v>152179</v>
      </c>
      <c r="AJ1738" s="1">
        <v>0</v>
      </c>
      <c r="AK1738" s="8">
        <f t="shared" si="111"/>
        <v>21</v>
      </c>
      <c r="AL1738" s="8">
        <f t="shared" si="110"/>
        <v>34</v>
      </c>
      <c r="AM1738">
        <f t="shared" si="108"/>
        <v>0</v>
      </c>
      <c r="AN1738">
        <f t="shared" si="109"/>
        <v>0</v>
      </c>
    </row>
    <row r="1739" spans="1:40" x14ac:dyDescent="0.35">
      <c r="A1739">
        <v>84.705299999999994</v>
      </c>
      <c r="B1739">
        <v>85.138999999999996</v>
      </c>
      <c r="C1739">
        <v>3.0382400000000001</v>
      </c>
      <c r="D1739">
        <v>0</v>
      </c>
      <c r="E1739">
        <v>0.04</v>
      </c>
      <c r="F1739">
        <v>3.0954999999999999</v>
      </c>
      <c r="G1739">
        <v>3.0954999999999999</v>
      </c>
      <c r="H1739">
        <v>0</v>
      </c>
      <c r="I1739">
        <v>0.58008199999999999</v>
      </c>
      <c r="J1739">
        <v>5.3222399999999999</v>
      </c>
      <c r="K1739" s="2">
        <v>190532000</v>
      </c>
      <c r="L1739" s="1">
        <v>0</v>
      </c>
      <c r="M1739" s="1">
        <v>0</v>
      </c>
      <c r="N1739" s="1">
        <v>0</v>
      </c>
      <c r="O1739" s="1">
        <v>0</v>
      </c>
      <c r="P1739" s="2">
        <v>4627690</v>
      </c>
      <c r="Q1739" s="1">
        <v>318223</v>
      </c>
      <c r="R1739" s="1">
        <v>0</v>
      </c>
      <c r="S1739">
        <v>99.302199999999999</v>
      </c>
      <c r="T1739">
        <v>98.274000000000001</v>
      </c>
      <c r="U1739">
        <v>3.2776800000000001</v>
      </c>
      <c r="V1739">
        <v>0</v>
      </c>
      <c r="W1739">
        <v>1</v>
      </c>
      <c r="X1739">
        <v>1.8045199999999999</v>
      </c>
      <c r="Y1739">
        <v>1.8045199999999999</v>
      </c>
      <c r="Z1739">
        <v>0</v>
      </c>
      <c r="AA1739">
        <v>1.3941399999999999</v>
      </c>
      <c r="AB1739">
        <v>3.3868800000000001</v>
      </c>
      <c r="AC1739" s="2">
        <v>909869000</v>
      </c>
      <c r="AD1739" s="1">
        <v>0</v>
      </c>
      <c r="AE1739" s="1">
        <v>0</v>
      </c>
      <c r="AF1739" s="1">
        <v>0</v>
      </c>
      <c r="AG1739" s="1">
        <v>0</v>
      </c>
      <c r="AH1739" s="2">
        <v>4668730</v>
      </c>
      <c r="AI1739" s="1">
        <v>152183</v>
      </c>
      <c r="AJ1739" s="1">
        <v>0</v>
      </c>
      <c r="AK1739" s="8">
        <f t="shared" si="111"/>
        <v>22</v>
      </c>
      <c r="AL1739" s="8">
        <f t="shared" si="110"/>
        <v>34</v>
      </c>
      <c r="AM1739">
        <f t="shared" si="108"/>
        <v>0</v>
      </c>
      <c r="AN1739">
        <f t="shared" si="109"/>
        <v>0</v>
      </c>
    </row>
    <row r="1740" spans="1:40" x14ac:dyDescent="0.35">
      <c r="A1740">
        <v>84.840299999999999</v>
      </c>
      <c r="B1740">
        <v>85.138999999999996</v>
      </c>
      <c r="C1740">
        <v>3.4672900000000002</v>
      </c>
      <c r="D1740">
        <v>0</v>
      </c>
      <c r="E1740">
        <v>0.04</v>
      </c>
      <c r="F1740">
        <v>3.0529099999999998</v>
      </c>
      <c r="G1740">
        <v>3.0529099999999998</v>
      </c>
      <c r="H1740">
        <v>0</v>
      </c>
      <c r="I1740">
        <v>0.58009599999999995</v>
      </c>
      <c r="J1740">
        <v>5.3222399999999999</v>
      </c>
      <c r="K1740" s="2">
        <v>190846000</v>
      </c>
      <c r="L1740" s="1">
        <v>0</v>
      </c>
      <c r="M1740" s="1">
        <v>0</v>
      </c>
      <c r="N1740" s="1">
        <v>0</v>
      </c>
      <c r="O1740" s="1">
        <v>0</v>
      </c>
      <c r="P1740" s="2">
        <v>4564020</v>
      </c>
      <c r="Q1740" s="1">
        <v>313845</v>
      </c>
      <c r="R1740" s="1">
        <v>0</v>
      </c>
      <c r="S1740">
        <v>99.302199999999999</v>
      </c>
      <c r="T1740">
        <v>98.274000000000001</v>
      </c>
      <c r="U1740">
        <v>3.1339700000000001</v>
      </c>
      <c r="V1740">
        <v>0</v>
      </c>
      <c r="W1740">
        <v>1</v>
      </c>
      <c r="X1740">
        <v>1.7774700000000001</v>
      </c>
      <c r="Y1740">
        <v>1.7774700000000001</v>
      </c>
      <c r="Z1740">
        <v>0</v>
      </c>
      <c r="AA1740">
        <v>1.39418</v>
      </c>
      <c r="AB1740">
        <v>3.3868800000000001</v>
      </c>
      <c r="AC1740" s="2">
        <v>910019000</v>
      </c>
      <c r="AD1740" s="1">
        <v>0</v>
      </c>
      <c r="AE1740" s="1">
        <v>0</v>
      </c>
      <c r="AF1740" s="1">
        <v>0</v>
      </c>
      <c r="AG1740" s="1">
        <v>0</v>
      </c>
      <c r="AH1740" s="2">
        <v>4598740</v>
      </c>
      <c r="AI1740" s="1">
        <v>149901</v>
      </c>
      <c r="AJ1740" s="1">
        <v>0</v>
      </c>
      <c r="AK1740" s="8">
        <f t="shared" si="111"/>
        <v>23</v>
      </c>
      <c r="AL1740" s="8">
        <f t="shared" si="110"/>
        <v>34</v>
      </c>
      <c r="AM1740">
        <f t="shared" si="108"/>
        <v>0</v>
      </c>
      <c r="AN1740">
        <f t="shared" si="109"/>
        <v>0</v>
      </c>
    </row>
    <row r="1741" spans="1:40" x14ac:dyDescent="0.35">
      <c r="A1741">
        <v>84.906099999999995</v>
      </c>
      <c r="B1741">
        <v>85.138999999999996</v>
      </c>
      <c r="C1741">
        <v>3.36592</v>
      </c>
      <c r="D1741">
        <v>0</v>
      </c>
      <c r="E1741">
        <v>0.04</v>
      </c>
      <c r="F1741">
        <v>3.0529799999999998</v>
      </c>
      <c r="G1741">
        <v>3.0529799999999998</v>
      </c>
      <c r="H1741">
        <v>0</v>
      </c>
      <c r="I1741">
        <v>0.57211500000000004</v>
      </c>
      <c r="J1741">
        <v>5.3222399999999999</v>
      </c>
      <c r="K1741" s="2">
        <v>191160000</v>
      </c>
      <c r="L1741" s="1">
        <v>0</v>
      </c>
      <c r="M1741" s="1">
        <v>0</v>
      </c>
      <c r="N1741" s="1">
        <v>0</v>
      </c>
      <c r="O1741" s="1">
        <v>0</v>
      </c>
      <c r="P1741" s="2">
        <v>4564130</v>
      </c>
      <c r="Q1741" s="1">
        <v>313852</v>
      </c>
      <c r="R1741" s="1">
        <v>0</v>
      </c>
      <c r="S1741">
        <v>99.302199999999999</v>
      </c>
      <c r="T1741">
        <v>98.274000000000001</v>
      </c>
      <c r="U1741">
        <v>3.3834399999999998</v>
      </c>
      <c r="V1741">
        <v>0</v>
      </c>
      <c r="W1741">
        <v>1</v>
      </c>
      <c r="X1741">
        <v>1.7775099999999999</v>
      </c>
      <c r="Y1741">
        <v>1.7775099999999999</v>
      </c>
      <c r="Z1741">
        <v>0</v>
      </c>
      <c r="AA1741">
        <v>1.37327</v>
      </c>
      <c r="AB1741">
        <v>3.3868800000000001</v>
      </c>
      <c r="AC1741" s="2">
        <v>910169000</v>
      </c>
      <c r="AD1741" s="1">
        <v>0</v>
      </c>
      <c r="AE1741" s="1">
        <v>0</v>
      </c>
      <c r="AF1741" s="1">
        <v>0</v>
      </c>
      <c r="AG1741" s="1">
        <v>0</v>
      </c>
      <c r="AH1741" s="2">
        <v>4598850</v>
      </c>
      <c r="AI1741" s="1">
        <v>149905</v>
      </c>
      <c r="AJ1741" s="1">
        <v>0</v>
      </c>
      <c r="AK1741" s="8">
        <f t="shared" si="111"/>
        <v>24</v>
      </c>
      <c r="AL1741" s="8">
        <f t="shared" si="110"/>
        <v>34</v>
      </c>
      <c r="AM1741">
        <f t="shared" si="108"/>
        <v>0</v>
      </c>
      <c r="AN1741">
        <f t="shared" si="109"/>
        <v>0</v>
      </c>
    </row>
    <row r="1742" spans="1:40" x14ac:dyDescent="0.35">
      <c r="A1742">
        <v>84.745599999999996</v>
      </c>
      <c r="B1742">
        <v>85.138999999999996</v>
      </c>
      <c r="C1742">
        <v>3.1281699999999999</v>
      </c>
      <c r="D1742">
        <v>0</v>
      </c>
      <c r="E1742">
        <v>0.04</v>
      </c>
      <c r="F1742">
        <v>3.0530499999999998</v>
      </c>
      <c r="G1742">
        <v>3.0530499999999998</v>
      </c>
      <c r="H1742">
        <v>0</v>
      </c>
      <c r="I1742">
        <v>0.57212799999999997</v>
      </c>
      <c r="J1742">
        <v>5.3222399999999999</v>
      </c>
      <c r="K1742" s="2">
        <v>191474000</v>
      </c>
      <c r="L1742" s="1">
        <v>0</v>
      </c>
      <c r="M1742" s="1">
        <v>0</v>
      </c>
      <c r="N1742" s="1">
        <v>0</v>
      </c>
      <c r="O1742" s="1">
        <v>0</v>
      </c>
      <c r="P1742" s="2">
        <v>4564240</v>
      </c>
      <c r="Q1742" s="1">
        <v>313860</v>
      </c>
      <c r="R1742" s="1">
        <v>0</v>
      </c>
      <c r="S1742">
        <v>99.302199999999999</v>
      </c>
      <c r="T1742">
        <v>98.274000000000001</v>
      </c>
      <c r="U1742">
        <v>3.0916700000000001</v>
      </c>
      <c r="V1742">
        <v>0</v>
      </c>
      <c r="W1742">
        <v>1</v>
      </c>
      <c r="X1742">
        <v>1.77756</v>
      </c>
      <c r="Y1742">
        <v>1.77756</v>
      </c>
      <c r="Z1742">
        <v>0</v>
      </c>
      <c r="AA1742">
        <v>1.37331</v>
      </c>
      <c r="AB1742">
        <v>3.3868800000000001</v>
      </c>
      <c r="AC1742" s="2">
        <v>910319000</v>
      </c>
      <c r="AD1742" s="1">
        <v>0</v>
      </c>
      <c r="AE1742" s="1">
        <v>0</v>
      </c>
      <c r="AF1742" s="1">
        <v>0</v>
      </c>
      <c r="AG1742" s="1">
        <v>0</v>
      </c>
      <c r="AH1742" s="2">
        <v>4598960</v>
      </c>
      <c r="AI1742" s="1">
        <v>149908</v>
      </c>
      <c r="AJ1742" s="1">
        <v>0</v>
      </c>
      <c r="AK1742" s="8">
        <f t="shared" si="111"/>
        <v>25</v>
      </c>
      <c r="AL1742" s="8">
        <f t="shared" si="110"/>
        <v>34</v>
      </c>
      <c r="AM1742">
        <f t="shared" si="108"/>
        <v>0</v>
      </c>
      <c r="AN1742">
        <f t="shared" si="109"/>
        <v>0</v>
      </c>
    </row>
    <row r="1743" spans="1:40" x14ac:dyDescent="0.35">
      <c r="A1743">
        <v>84.649799999999999</v>
      </c>
      <c r="B1743">
        <v>85.138999999999996</v>
      </c>
      <c r="C1743">
        <v>3.1934499999999999</v>
      </c>
      <c r="D1743">
        <v>0</v>
      </c>
      <c r="E1743">
        <v>0.04</v>
      </c>
      <c r="F1743">
        <v>3.0531299999999999</v>
      </c>
      <c r="G1743">
        <v>3.0531299999999999</v>
      </c>
      <c r="H1743">
        <v>0</v>
      </c>
      <c r="I1743">
        <v>0.57214200000000004</v>
      </c>
      <c r="J1743">
        <v>5.3222399999999999</v>
      </c>
      <c r="K1743" s="2">
        <v>191788000</v>
      </c>
      <c r="L1743" s="1">
        <v>0</v>
      </c>
      <c r="M1743" s="1">
        <v>0</v>
      </c>
      <c r="N1743" s="1">
        <v>0</v>
      </c>
      <c r="O1743" s="1">
        <v>0</v>
      </c>
      <c r="P1743" s="2">
        <v>4564350</v>
      </c>
      <c r="Q1743" s="1">
        <v>313867</v>
      </c>
      <c r="R1743" s="1">
        <v>0</v>
      </c>
      <c r="S1743">
        <v>99.302199999999999</v>
      </c>
      <c r="T1743">
        <v>98.274000000000001</v>
      </c>
      <c r="U1743">
        <v>2.9963799999999998</v>
      </c>
      <c r="V1743">
        <v>0</v>
      </c>
      <c r="W1743">
        <v>1</v>
      </c>
      <c r="X1743">
        <v>1.7776000000000001</v>
      </c>
      <c r="Y1743">
        <v>1.7776000000000001</v>
      </c>
      <c r="Z1743">
        <v>0</v>
      </c>
      <c r="AA1743">
        <v>1.37334</v>
      </c>
      <c r="AB1743">
        <v>3.3868800000000001</v>
      </c>
      <c r="AC1743" s="2">
        <v>910469000</v>
      </c>
      <c r="AD1743" s="1">
        <v>0</v>
      </c>
      <c r="AE1743" s="1">
        <v>0</v>
      </c>
      <c r="AF1743" s="1">
        <v>0</v>
      </c>
      <c r="AG1743" s="1">
        <v>0</v>
      </c>
      <c r="AH1743" s="2">
        <v>4599070</v>
      </c>
      <c r="AI1743" s="1">
        <v>149912</v>
      </c>
      <c r="AJ1743" s="1">
        <v>0</v>
      </c>
      <c r="AK1743" s="8">
        <f t="shared" si="111"/>
        <v>26</v>
      </c>
      <c r="AL1743" s="8">
        <f t="shared" si="110"/>
        <v>34</v>
      </c>
      <c r="AM1743">
        <f t="shared" si="108"/>
        <v>0</v>
      </c>
      <c r="AN1743">
        <f t="shared" si="109"/>
        <v>0</v>
      </c>
    </row>
    <row r="1744" spans="1:40" x14ac:dyDescent="0.35">
      <c r="A1744">
        <v>84.054199999999994</v>
      </c>
      <c r="B1744">
        <v>85.138999999999996</v>
      </c>
      <c r="C1744">
        <v>2.76776</v>
      </c>
      <c r="D1744">
        <v>0</v>
      </c>
      <c r="E1744">
        <v>0.04</v>
      </c>
      <c r="F1744">
        <v>3.1980400000000002</v>
      </c>
      <c r="G1744">
        <v>3.1980400000000002</v>
      </c>
      <c r="H1744">
        <v>0</v>
      </c>
      <c r="I1744">
        <v>0.572156</v>
      </c>
      <c r="J1744">
        <v>5.3222399999999999</v>
      </c>
      <c r="K1744" s="2">
        <v>192116000</v>
      </c>
      <c r="L1744" s="1">
        <v>0</v>
      </c>
      <c r="M1744" s="1">
        <v>0</v>
      </c>
      <c r="N1744" s="1">
        <v>0</v>
      </c>
      <c r="O1744" s="1">
        <v>0</v>
      </c>
      <c r="P1744" s="2">
        <v>4780980</v>
      </c>
      <c r="Q1744" s="1">
        <v>328764</v>
      </c>
      <c r="R1744" s="1">
        <v>0</v>
      </c>
      <c r="S1744">
        <v>99.221100000000007</v>
      </c>
      <c r="T1744">
        <v>98.274000000000001</v>
      </c>
      <c r="U1744">
        <v>2.5349400000000002</v>
      </c>
      <c r="V1744">
        <v>0</v>
      </c>
      <c r="W1744">
        <v>1</v>
      </c>
      <c r="X1744">
        <v>1.87375</v>
      </c>
      <c r="Y1744">
        <v>1.87375</v>
      </c>
      <c r="Z1744">
        <v>0</v>
      </c>
      <c r="AA1744">
        <v>1.37337</v>
      </c>
      <c r="AB1744">
        <v>3.3868800000000001</v>
      </c>
      <c r="AC1744" s="2">
        <v>910627000</v>
      </c>
      <c r="AD1744" s="1">
        <v>0</v>
      </c>
      <c r="AE1744" s="1">
        <v>0</v>
      </c>
      <c r="AF1744" s="1">
        <v>0</v>
      </c>
      <c r="AG1744" s="1">
        <v>0</v>
      </c>
      <c r="AH1744" s="2">
        <v>4847840</v>
      </c>
      <c r="AI1744" s="1">
        <v>158021</v>
      </c>
      <c r="AJ1744" s="1">
        <v>0</v>
      </c>
      <c r="AK1744" s="8">
        <f t="shared" si="111"/>
        <v>27</v>
      </c>
      <c r="AL1744" s="8">
        <f t="shared" si="110"/>
        <v>34</v>
      </c>
      <c r="AM1744">
        <f t="shared" si="108"/>
        <v>0</v>
      </c>
      <c r="AN1744">
        <f t="shared" si="109"/>
        <v>0</v>
      </c>
    </row>
    <row r="1745" spans="1:40" x14ac:dyDescent="0.35">
      <c r="A1745">
        <v>83.189599999999999</v>
      </c>
      <c r="B1745">
        <v>85.138999999999996</v>
      </c>
      <c r="C1745">
        <v>2.4460099999999998</v>
      </c>
      <c r="D1745">
        <v>0</v>
      </c>
      <c r="E1745">
        <v>0.04</v>
      </c>
      <c r="F1745">
        <v>3.1981099999999998</v>
      </c>
      <c r="G1745">
        <v>3.1981099999999998</v>
      </c>
      <c r="H1745">
        <v>0</v>
      </c>
      <c r="I1745">
        <v>0.59931199999999996</v>
      </c>
      <c r="J1745">
        <v>5.3222399999999999</v>
      </c>
      <c r="K1745" s="2">
        <v>192445000</v>
      </c>
      <c r="L1745" s="1">
        <v>0</v>
      </c>
      <c r="M1745" s="1">
        <v>0</v>
      </c>
      <c r="N1745" s="1">
        <v>0</v>
      </c>
      <c r="O1745" s="1">
        <v>0</v>
      </c>
      <c r="P1745" s="2">
        <v>4781100</v>
      </c>
      <c r="Q1745" s="1">
        <v>328772</v>
      </c>
      <c r="R1745" s="1">
        <v>0</v>
      </c>
      <c r="S1745">
        <v>99.0946</v>
      </c>
      <c r="T1745">
        <v>98.274000000000001</v>
      </c>
      <c r="U1745">
        <v>2.38422</v>
      </c>
      <c r="V1745">
        <v>0</v>
      </c>
      <c r="W1745">
        <v>1</v>
      </c>
      <c r="X1745">
        <v>1.8737999999999999</v>
      </c>
      <c r="Y1745">
        <v>1.8737999999999999</v>
      </c>
      <c r="Z1745">
        <v>0</v>
      </c>
      <c r="AA1745">
        <v>1.4476599999999999</v>
      </c>
      <c r="AB1745">
        <v>3.3868800000000001</v>
      </c>
      <c r="AC1745" s="2">
        <v>910785000</v>
      </c>
      <c r="AD1745" s="1">
        <v>0</v>
      </c>
      <c r="AE1745" s="1">
        <v>0</v>
      </c>
      <c r="AF1745" s="1">
        <v>0</v>
      </c>
      <c r="AG1745" s="1">
        <v>0</v>
      </c>
      <c r="AH1745" s="2">
        <v>4847960</v>
      </c>
      <c r="AI1745" s="1">
        <v>158025</v>
      </c>
      <c r="AJ1745" s="1">
        <v>0</v>
      </c>
      <c r="AK1745" s="8">
        <f t="shared" si="111"/>
        <v>28</v>
      </c>
      <c r="AL1745" s="8">
        <f t="shared" si="110"/>
        <v>34</v>
      </c>
      <c r="AM1745">
        <f t="shared" si="108"/>
        <v>0</v>
      </c>
      <c r="AN1745">
        <f t="shared" si="109"/>
        <v>0</v>
      </c>
    </row>
    <row r="1746" spans="1:40" x14ac:dyDescent="0.35">
      <c r="A1746">
        <v>82.302499999999995</v>
      </c>
      <c r="B1746">
        <v>85.138999999999996</v>
      </c>
      <c r="C1746">
        <v>2.41459</v>
      </c>
      <c r="D1746">
        <v>0</v>
      </c>
      <c r="E1746">
        <v>0.04</v>
      </c>
      <c r="F1746">
        <v>3.1981899999999999</v>
      </c>
      <c r="G1746">
        <v>3.1981899999999999</v>
      </c>
      <c r="H1746">
        <v>0</v>
      </c>
      <c r="I1746">
        <v>0.59932600000000003</v>
      </c>
      <c r="J1746">
        <v>5.3222399999999999</v>
      </c>
      <c r="K1746" s="2">
        <v>192774000</v>
      </c>
      <c r="L1746" s="1">
        <v>0</v>
      </c>
      <c r="M1746" s="1">
        <v>0</v>
      </c>
      <c r="N1746" s="1">
        <v>0</v>
      </c>
      <c r="O1746" s="1">
        <v>0</v>
      </c>
      <c r="P1746" s="2">
        <v>4781210</v>
      </c>
      <c r="Q1746" s="1">
        <v>328780</v>
      </c>
      <c r="R1746" s="1">
        <v>0</v>
      </c>
      <c r="S1746">
        <v>99.088200000000001</v>
      </c>
      <c r="T1746">
        <v>98.274000000000001</v>
      </c>
      <c r="U1746">
        <v>2.4379</v>
      </c>
      <c r="V1746">
        <v>0</v>
      </c>
      <c r="W1746">
        <v>1</v>
      </c>
      <c r="X1746">
        <v>1.87384</v>
      </c>
      <c r="Y1746">
        <v>1.87384</v>
      </c>
      <c r="Z1746">
        <v>0</v>
      </c>
      <c r="AA1746">
        <v>1.4476899999999999</v>
      </c>
      <c r="AB1746">
        <v>3.3868800000000001</v>
      </c>
      <c r="AC1746" s="2">
        <v>910943000</v>
      </c>
      <c r="AD1746" s="1">
        <v>0</v>
      </c>
      <c r="AE1746" s="1">
        <v>0</v>
      </c>
      <c r="AF1746" s="1">
        <v>0</v>
      </c>
      <c r="AG1746" s="1">
        <v>0</v>
      </c>
      <c r="AH1746" s="2">
        <v>4848070</v>
      </c>
      <c r="AI1746" s="1">
        <v>158028</v>
      </c>
      <c r="AJ1746" s="1">
        <v>0</v>
      </c>
      <c r="AK1746" s="8">
        <f t="shared" si="111"/>
        <v>29</v>
      </c>
      <c r="AL1746" s="8">
        <f t="shared" si="110"/>
        <v>34</v>
      </c>
      <c r="AM1746">
        <f t="shared" si="108"/>
        <v>0</v>
      </c>
      <c r="AN1746">
        <f t="shared" si="109"/>
        <v>0</v>
      </c>
    </row>
    <row r="1747" spans="1:40" x14ac:dyDescent="0.35">
      <c r="A1747">
        <v>81.275400000000005</v>
      </c>
      <c r="B1747">
        <v>85.138999999999996</v>
      </c>
      <c r="C1747">
        <v>2.2618999999999998</v>
      </c>
      <c r="D1747">
        <v>0</v>
      </c>
      <c r="E1747">
        <v>0.04</v>
      </c>
      <c r="F1747">
        <v>3.1982699999999999</v>
      </c>
      <c r="G1747">
        <v>3.1982699999999999</v>
      </c>
      <c r="H1747">
        <v>0</v>
      </c>
      <c r="I1747">
        <v>0.59934100000000001</v>
      </c>
      <c r="J1747">
        <v>5.3222399999999999</v>
      </c>
      <c r="K1747" s="2">
        <v>193103000</v>
      </c>
      <c r="L1747" s="1">
        <v>0</v>
      </c>
      <c r="M1747" s="1">
        <v>0</v>
      </c>
      <c r="N1747" s="1">
        <v>0</v>
      </c>
      <c r="O1747" s="1">
        <v>0</v>
      </c>
      <c r="P1747" s="2">
        <v>4781330</v>
      </c>
      <c r="Q1747" s="1">
        <v>328788</v>
      </c>
      <c r="R1747" s="1">
        <v>0</v>
      </c>
      <c r="S1747">
        <v>98.956299999999999</v>
      </c>
      <c r="T1747">
        <v>98.274000000000001</v>
      </c>
      <c r="U1747">
        <v>2.3126099999999998</v>
      </c>
      <c r="V1747">
        <v>0</v>
      </c>
      <c r="W1747">
        <v>1</v>
      </c>
      <c r="X1747">
        <v>1.8738900000000001</v>
      </c>
      <c r="Y1747">
        <v>1.8738900000000001</v>
      </c>
      <c r="Z1747">
        <v>0</v>
      </c>
      <c r="AA1747">
        <v>1.44773</v>
      </c>
      <c r="AB1747">
        <v>3.3868800000000001</v>
      </c>
      <c r="AC1747" s="2">
        <v>911101000</v>
      </c>
      <c r="AD1747" s="1">
        <v>0</v>
      </c>
      <c r="AE1747" s="1">
        <v>0</v>
      </c>
      <c r="AF1747" s="1">
        <v>0</v>
      </c>
      <c r="AG1747" s="1">
        <v>0</v>
      </c>
      <c r="AH1747" s="2">
        <v>4848190</v>
      </c>
      <c r="AI1747" s="1">
        <v>158032</v>
      </c>
      <c r="AJ1747" s="1">
        <v>0</v>
      </c>
      <c r="AK1747" s="8">
        <f t="shared" si="111"/>
        <v>30</v>
      </c>
      <c r="AL1747" s="8">
        <f t="shared" si="110"/>
        <v>34</v>
      </c>
      <c r="AM1747">
        <f t="shared" si="108"/>
        <v>0</v>
      </c>
      <c r="AN1747">
        <f t="shared" si="109"/>
        <v>0</v>
      </c>
    </row>
    <row r="1748" spans="1:40" x14ac:dyDescent="0.35">
      <c r="A1748">
        <v>79.723399999999998</v>
      </c>
      <c r="B1748">
        <v>85.138999999999996</v>
      </c>
      <c r="C1748">
        <v>1.70916</v>
      </c>
      <c r="D1748">
        <v>0</v>
      </c>
      <c r="E1748">
        <v>0.04</v>
      </c>
      <c r="F1748">
        <v>3.19835</v>
      </c>
      <c r="G1748">
        <v>3.19835</v>
      </c>
      <c r="H1748">
        <v>0</v>
      </c>
      <c r="I1748">
        <v>0.59935499999999997</v>
      </c>
      <c r="J1748">
        <v>5.3222399999999999</v>
      </c>
      <c r="K1748" s="2">
        <v>193432000</v>
      </c>
      <c r="L1748" s="1">
        <v>0</v>
      </c>
      <c r="M1748" s="1">
        <v>0</v>
      </c>
      <c r="N1748" s="1">
        <v>0</v>
      </c>
      <c r="O1748" s="1">
        <v>0</v>
      </c>
      <c r="P1748" s="2">
        <v>4781450</v>
      </c>
      <c r="Q1748" s="1">
        <v>328796</v>
      </c>
      <c r="R1748" s="1">
        <v>0</v>
      </c>
      <c r="S1748">
        <v>98.794700000000006</v>
      </c>
      <c r="T1748">
        <v>98.274000000000001</v>
      </c>
      <c r="U1748">
        <v>2.1444200000000002</v>
      </c>
      <c r="V1748">
        <v>0</v>
      </c>
      <c r="W1748">
        <v>1</v>
      </c>
      <c r="X1748">
        <v>1.8739300000000001</v>
      </c>
      <c r="Y1748">
        <v>1.8739300000000001</v>
      </c>
      <c r="Z1748">
        <v>0</v>
      </c>
      <c r="AA1748">
        <v>1.4477599999999999</v>
      </c>
      <c r="AB1748">
        <v>3.3868800000000001</v>
      </c>
      <c r="AC1748" s="2">
        <v>911259000</v>
      </c>
      <c r="AD1748" s="1">
        <v>0</v>
      </c>
      <c r="AE1748" s="1">
        <v>0</v>
      </c>
      <c r="AF1748" s="1">
        <v>0</v>
      </c>
      <c r="AG1748" s="1">
        <v>0</v>
      </c>
      <c r="AH1748" s="2">
        <v>4848310</v>
      </c>
      <c r="AI1748" s="1">
        <v>158036</v>
      </c>
      <c r="AJ1748" s="1">
        <v>0</v>
      </c>
      <c r="AK1748" s="8">
        <f t="shared" si="111"/>
        <v>31</v>
      </c>
      <c r="AL1748" s="8">
        <f t="shared" si="110"/>
        <v>34</v>
      </c>
      <c r="AM1748">
        <f t="shared" si="108"/>
        <v>0</v>
      </c>
      <c r="AN1748">
        <f t="shared" si="109"/>
        <v>0</v>
      </c>
    </row>
    <row r="1749" spans="1:40" x14ac:dyDescent="0.35">
      <c r="A1749">
        <v>77.582300000000004</v>
      </c>
      <c r="B1749">
        <v>85.138999999999996</v>
      </c>
      <c r="C1749">
        <v>1.0643800000000001</v>
      </c>
      <c r="D1749">
        <v>0</v>
      </c>
      <c r="E1749">
        <v>0.04</v>
      </c>
      <c r="F1749">
        <v>3.1697799999999998</v>
      </c>
      <c r="G1749">
        <v>3.1697799999999998</v>
      </c>
      <c r="H1749">
        <v>0</v>
      </c>
      <c r="I1749">
        <v>0.59936999999999996</v>
      </c>
      <c r="J1749">
        <v>5.3222399999999999</v>
      </c>
      <c r="K1749" s="2">
        <v>193757000</v>
      </c>
      <c r="L1749" s="1">
        <v>0</v>
      </c>
      <c r="M1749" s="1">
        <v>0</v>
      </c>
      <c r="N1749" s="1">
        <v>0</v>
      </c>
      <c r="O1749" s="1">
        <v>0</v>
      </c>
      <c r="P1749" s="2">
        <v>4738740</v>
      </c>
      <c r="Q1749" s="1">
        <v>325859</v>
      </c>
      <c r="R1749" s="1">
        <v>0</v>
      </c>
      <c r="S1749">
        <v>98.534599999999998</v>
      </c>
      <c r="T1749">
        <v>98.274000000000001</v>
      </c>
      <c r="U1749">
        <v>2.0478700000000001</v>
      </c>
      <c r="V1749">
        <v>0</v>
      </c>
      <c r="W1749">
        <v>1</v>
      </c>
      <c r="X1749">
        <v>1.9268099999999999</v>
      </c>
      <c r="Y1749">
        <v>1.9268099999999999</v>
      </c>
      <c r="Z1749">
        <v>0</v>
      </c>
      <c r="AA1749">
        <v>1.4478</v>
      </c>
      <c r="AB1749">
        <v>3.3868800000000001</v>
      </c>
      <c r="AC1749" s="2">
        <v>911421000</v>
      </c>
      <c r="AD1749" s="1">
        <v>0</v>
      </c>
      <c r="AE1749" s="1">
        <v>0</v>
      </c>
      <c r="AF1749" s="1">
        <v>0</v>
      </c>
      <c r="AG1749" s="1">
        <v>0</v>
      </c>
      <c r="AH1749" s="2">
        <v>4985110</v>
      </c>
      <c r="AI1749" s="1">
        <v>162495</v>
      </c>
      <c r="AJ1749" s="1">
        <v>0</v>
      </c>
      <c r="AK1749" s="8">
        <f t="shared" si="111"/>
        <v>32</v>
      </c>
      <c r="AL1749" s="8">
        <f t="shared" si="110"/>
        <v>34</v>
      </c>
      <c r="AM1749">
        <f t="shared" si="108"/>
        <v>0</v>
      </c>
      <c r="AN1749">
        <f t="shared" si="109"/>
        <v>0</v>
      </c>
    </row>
    <row r="1750" spans="1:40" x14ac:dyDescent="0.35">
      <c r="A1750">
        <v>75.62</v>
      </c>
      <c r="B1750">
        <v>85.138999999999996</v>
      </c>
      <c r="C1750">
        <v>0.97333099999999995</v>
      </c>
      <c r="D1750">
        <v>0.01</v>
      </c>
      <c r="E1750">
        <v>0.04</v>
      </c>
      <c r="F1750">
        <v>2.8674499999999998</v>
      </c>
      <c r="G1750">
        <v>3.1698499999999998</v>
      </c>
      <c r="H1750">
        <v>0</v>
      </c>
      <c r="I1750">
        <v>0.59401599999999999</v>
      </c>
      <c r="J1750">
        <v>5.3222399999999999</v>
      </c>
      <c r="K1750" s="2">
        <v>193675000</v>
      </c>
      <c r="L1750" s="1">
        <v>0</v>
      </c>
      <c r="M1750" s="1">
        <v>0</v>
      </c>
      <c r="N1750" s="1">
        <v>0</v>
      </c>
      <c r="O1750" s="1">
        <v>0</v>
      </c>
      <c r="P1750" s="2">
        <v>4286770</v>
      </c>
      <c r="Q1750" s="1">
        <v>-82671.399999999994</v>
      </c>
      <c r="R1750" s="1">
        <v>408539</v>
      </c>
      <c r="S1750">
        <v>98.016400000000004</v>
      </c>
      <c r="T1750">
        <v>98.274000000000001</v>
      </c>
      <c r="U1750">
        <v>2.0511499999999998</v>
      </c>
      <c r="V1750">
        <v>0</v>
      </c>
      <c r="W1750">
        <v>1</v>
      </c>
      <c r="X1750">
        <v>2.22925</v>
      </c>
      <c r="Y1750">
        <v>1.92685</v>
      </c>
      <c r="Z1750">
        <v>0</v>
      </c>
      <c r="AA1750">
        <v>1.48865</v>
      </c>
      <c r="AB1750">
        <v>3.3868800000000001</v>
      </c>
      <c r="AC1750" s="2">
        <v>912366000</v>
      </c>
      <c r="AD1750" s="1">
        <v>0</v>
      </c>
      <c r="AE1750" s="1">
        <v>0</v>
      </c>
      <c r="AF1750" s="1">
        <v>0</v>
      </c>
      <c r="AG1750" s="1">
        <v>0</v>
      </c>
      <c r="AH1750" s="2">
        <v>5767610</v>
      </c>
      <c r="AI1750" s="1">
        <v>944880</v>
      </c>
      <c r="AJ1750" s="1">
        <v>0</v>
      </c>
      <c r="AK1750" s="8">
        <f t="shared" si="111"/>
        <v>33</v>
      </c>
      <c r="AL1750" s="8">
        <f t="shared" si="110"/>
        <v>34</v>
      </c>
      <c r="AM1750">
        <f t="shared" si="108"/>
        <v>0</v>
      </c>
      <c r="AN1750">
        <f t="shared" si="109"/>
        <v>0</v>
      </c>
    </row>
    <row r="1751" spans="1:40" x14ac:dyDescent="0.35">
      <c r="A1751">
        <v>73.581500000000005</v>
      </c>
      <c r="B1751">
        <v>85.138999999999996</v>
      </c>
      <c r="C1751">
        <v>0.87870899999999996</v>
      </c>
      <c r="D1751">
        <v>0.01</v>
      </c>
      <c r="E1751">
        <v>0.04</v>
      </c>
      <c r="F1751">
        <v>2.8675299999999999</v>
      </c>
      <c r="G1751">
        <v>3.1699299999999999</v>
      </c>
      <c r="H1751">
        <v>0</v>
      </c>
      <c r="I1751">
        <v>0.53736099999999998</v>
      </c>
      <c r="J1751">
        <v>5.3222399999999999</v>
      </c>
      <c r="K1751" s="2">
        <v>193592000</v>
      </c>
      <c r="L1751" s="1">
        <v>0</v>
      </c>
      <c r="M1751" s="1">
        <v>0</v>
      </c>
      <c r="N1751" s="1">
        <v>0</v>
      </c>
      <c r="O1751" s="1">
        <v>0</v>
      </c>
      <c r="P1751" s="2">
        <v>4286890</v>
      </c>
      <c r="Q1751" s="1">
        <v>-82663.5</v>
      </c>
      <c r="R1751" s="1">
        <v>408539</v>
      </c>
      <c r="S1751">
        <v>97.447699999999998</v>
      </c>
      <c r="T1751">
        <v>98.274000000000001</v>
      </c>
      <c r="U1751">
        <v>1.8384499999999999</v>
      </c>
      <c r="V1751">
        <v>0</v>
      </c>
      <c r="W1751">
        <v>1</v>
      </c>
      <c r="X1751">
        <v>2.2292999999999998</v>
      </c>
      <c r="Y1751">
        <v>1.9269000000000001</v>
      </c>
      <c r="Z1751">
        <v>0</v>
      </c>
      <c r="AA1751">
        <v>1.7223200000000001</v>
      </c>
      <c r="AB1751">
        <v>3.3868800000000001</v>
      </c>
      <c r="AC1751" s="2">
        <v>913311000</v>
      </c>
      <c r="AD1751" s="1">
        <v>0</v>
      </c>
      <c r="AE1751" s="1">
        <v>0</v>
      </c>
      <c r="AF1751" s="1">
        <v>0</v>
      </c>
      <c r="AG1751" s="1">
        <v>0</v>
      </c>
      <c r="AH1751" s="2">
        <v>5767730</v>
      </c>
      <c r="AI1751" s="1">
        <v>944884</v>
      </c>
      <c r="AJ1751" s="1">
        <v>0</v>
      </c>
      <c r="AK1751" s="8">
        <f t="shared" si="111"/>
        <v>34</v>
      </c>
      <c r="AL1751" s="8">
        <f t="shared" si="110"/>
        <v>34</v>
      </c>
      <c r="AM1751">
        <f t="shared" si="108"/>
        <v>0</v>
      </c>
      <c r="AN1751">
        <f t="shared" si="109"/>
        <v>0</v>
      </c>
    </row>
    <row r="1752" spans="1:40" x14ac:dyDescent="0.35">
      <c r="A1752">
        <v>71.5441</v>
      </c>
      <c r="B1752">
        <v>85.138999999999996</v>
      </c>
      <c r="C1752">
        <v>0.83731500000000003</v>
      </c>
      <c r="D1752">
        <v>0.02</v>
      </c>
      <c r="E1752">
        <v>0.04</v>
      </c>
      <c r="F1752">
        <v>2.86761</v>
      </c>
      <c r="G1752">
        <v>3.17001</v>
      </c>
      <c r="H1752">
        <v>0</v>
      </c>
      <c r="I1752">
        <v>0.53737500000000005</v>
      </c>
      <c r="J1752">
        <v>5.3222399999999999</v>
      </c>
      <c r="K1752" s="2">
        <v>193509000</v>
      </c>
      <c r="L1752" s="1">
        <v>0</v>
      </c>
      <c r="M1752" s="1">
        <v>0</v>
      </c>
      <c r="N1752" s="1">
        <v>0</v>
      </c>
      <c r="O1752" s="1">
        <v>0</v>
      </c>
      <c r="P1752" s="2">
        <v>4287000</v>
      </c>
      <c r="Q1752" s="1">
        <v>-82655.600000000006</v>
      </c>
      <c r="R1752" s="1">
        <v>408539</v>
      </c>
      <c r="S1752">
        <v>96.7577</v>
      </c>
      <c r="T1752">
        <v>98.274000000000001</v>
      </c>
      <c r="U1752">
        <v>1.78664</v>
      </c>
      <c r="V1752">
        <v>0</v>
      </c>
      <c r="W1752">
        <v>1</v>
      </c>
      <c r="X1752">
        <v>2.2293500000000002</v>
      </c>
      <c r="Y1752">
        <v>1.9269499999999999</v>
      </c>
      <c r="Z1752">
        <v>0</v>
      </c>
      <c r="AA1752">
        <v>1.7223599999999999</v>
      </c>
      <c r="AB1752">
        <v>3.3868800000000001</v>
      </c>
      <c r="AC1752" s="2">
        <v>914256000</v>
      </c>
      <c r="AD1752" s="1">
        <v>0</v>
      </c>
      <c r="AE1752" s="1">
        <v>0</v>
      </c>
      <c r="AF1752" s="1">
        <v>0</v>
      </c>
      <c r="AG1752" s="1">
        <v>0</v>
      </c>
      <c r="AH1752" s="2">
        <v>5767850</v>
      </c>
      <c r="AI1752" s="1">
        <v>944888</v>
      </c>
      <c r="AJ1752" s="1">
        <v>0</v>
      </c>
      <c r="AK1752" s="8">
        <f t="shared" si="111"/>
        <v>35</v>
      </c>
      <c r="AL1752" s="8">
        <f t="shared" si="110"/>
        <v>34</v>
      </c>
      <c r="AM1752">
        <f t="shared" si="108"/>
        <v>0</v>
      </c>
      <c r="AN1752">
        <f t="shared" si="109"/>
        <v>0</v>
      </c>
    </row>
    <row r="1753" spans="1:40" x14ac:dyDescent="0.35">
      <c r="A1753">
        <v>69.482200000000006</v>
      </c>
      <c r="B1753">
        <v>85.138999999999996</v>
      </c>
      <c r="C1753">
        <v>0.85058400000000001</v>
      </c>
      <c r="D1753">
        <v>0.02</v>
      </c>
      <c r="E1753">
        <v>0.04</v>
      </c>
      <c r="F1753">
        <v>2.9416699999999998</v>
      </c>
      <c r="G1753">
        <v>3.2440699999999998</v>
      </c>
      <c r="H1753">
        <v>0</v>
      </c>
      <c r="I1753">
        <v>0.53739000000000003</v>
      </c>
      <c r="J1753">
        <v>5.3222399999999999</v>
      </c>
      <c r="K1753" s="2">
        <v>193434000</v>
      </c>
      <c r="L1753" s="1">
        <v>0</v>
      </c>
      <c r="M1753" s="1">
        <v>0</v>
      </c>
      <c r="N1753" s="1">
        <v>0</v>
      </c>
      <c r="O1753" s="1">
        <v>0</v>
      </c>
      <c r="P1753" s="2">
        <v>4397720</v>
      </c>
      <c r="Q1753" s="1">
        <v>-75042.100000000006</v>
      </c>
      <c r="R1753" s="1">
        <v>408539</v>
      </c>
      <c r="S1753">
        <v>96.331599999999995</v>
      </c>
      <c r="T1753">
        <v>98.274000000000001</v>
      </c>
      <c r="U1753">
        <v>1.95004</v>
      </c>
      <c r="V1753">
        <v>0</v>
      </c>
      <c r="W1753">
        <v>1</v>
      </c>
      <c r="X1753">
        <v>2.2764799999999998</v>
      </c>
      <c r="Y1753">
        <v>1.9740800000000001</v>
      </c>
      <c r="Z1753">
        <v>0</v>
      </c>
      <c r="AA1753">
        <v>1.7223900000000001</v>
      </c>
      <c r="AB1753">
        <v>3.3868800000000001</v>
      </c>
      <c r="AC1753" s="2">
        <v>915205000</v>
      </c>
      <c r="AD1753" s="1">
        <v>0</v>
      </c>
      <c r="AE1753" s="1">
        <v>0</v>
      </c>
      <c r="AF1753" s="1">
        <v>0</v>
      </c>
      <c r="AG1753" s="1">
        <v>0</v>
      </c>
      <c r="AH1753" s="2">
        <v>5889800</v>
      </c>
      <c r="AI1753" s="1">
        <v>948863</v>
      </c>
      <c r="AJ1753" s="1">
        <v>0</v>
      </c>
      <c r="AK1753" s="8">
        <f t="shared" si="111"/>
        <v>36</v>
      </c>
      <c r="AL1753" s="8">
        <f t="shared" si="110"/>
        <v>34</v>
      </c>
      <c r="AM1753">
        <f t="shared" si="108"/>
        <v>0</v>
      </c>
      <c r="AN1753">
        <f t="shared" si="109"/>
        <v>0</v>
      </c>
    </row>
    <row r="1754" spans="1:40" x14ac:dyDescent="0.35">
      <c r="A1754">
        <v>67.417900000000003</v>
      </c>
      <c r="B1754">
        <v>85.138999999999996</v>
      </c>
      <c r="C1754">
        <v>0.83092999999999995</v>
      </c>
      <c r="D1754">
        <v>0.01</v>
      </c>
      <c r="E1754">
        <v>0.04</v>
      </c>
      <c r="F1754">
        <v>2.9417499999999999</v>
      </c>
      <c r="G1754">
        <v>3.2441499999999999</v>
      </c>
      <c r="H1754">
        <v>0</v>
      </c>
      <c r="I1754">
        <v>0.55126799999999998</v>
      </c>
      <c r="J1754">
        <v>5.3222399999999999</v>
      </c>
      <c r="K1754" s="2">
        <v>193359000</v>
      </c>
      <c r="L1754" s="1">
        <v>0</v>
      </c>
      <c r="M1754" s="1">
        <v>0</v>
      </c>
      <c r="N1754" s="1">
        <v>0</v>
      </c>
      <c r="O1754" s="1">
        <v>0</v>
      </c>
      <c r="P1754" s="2">
        <v>4397840</v>
      </c>
      <c r="Q1754" s="1">
        <v>-75034.100000000006</v>
      </c>
      <c r="R1754" s="1">
        <v>408539</v>
      </c>
      <c r="S1754">
        <v>95.802000000000007</v>
      </c>
      <c r="T1754">
        <v>98.274000000000001</v>
      </c>
      <c r="U1754">
        <v>2.0053700000000001</v>
      </c>
      <c r="V1754">
        <v>0</v>
      </c>
      <c r="W1754">
        <v>1</v>
      </c>
      <c r="X1754">
        <v>2.2765300000000002</v>
      </c>
      <c r="Y1754">
        <v>1.9741299999999999</v>
      </c>
      <c r="Z1754">
        <v>0</v>
      </c>
      <c r="AA1754">
        <v>1.75881</v>
      </c>
      <c r="AB1754">
        <v>3.3868800000000001</v>
      </c>
      <c r="AC1754" s="2">
        <v>916154000</v>
      </c>
      <c r="AD1754" s="1">
        <v>0</v>
      </c>
      <c r="AE1754" s="1">
        <v>0</v>
      </c>
      <c r="AF1754" s="1">
        <v>0</v>
      </c>
      <c r="AG1754" s="1">
        <v>0</v>
      </c>
      <c r="AH1754" s="2">
        <v>5889920</v>
      </c>
      <c r="AI1754" s="1">
        <v>948867</v>
      </c>
      <c r="AJ1754" s="1">
        <v>0</v>
      </c>
      <c r="AK1754" s="8">
        <f t="shared" si="111"/>
        <v>37</v>
      </c>
      <c r="AL1754" s="8">
        <f t="shared" si="110"/>
        <v>34</v>
      </c>
      <c r="AM1754">
        <f t="shared" si="108"/>
        <v>0</v>
      </c>
      <c r="AN1754">
        <f t="shared" si="109"/>
        <v>0</v>
      </c>
    </row>
    <row r="1755" spans="1:40" x14ac:dyDescent="0.35">
      <c r="A1755">
        <v>65.322000000000003</v>
      </c>
      <c r="B1755">
        <v>85.138999999999996</v>
      </c>
      <c r="C1755">
        <v>0.775814</v>
      </c>
      <c r="D1755">
        <v>0.01</v>
      </c>
      <c r="E1755">
        <v>0.04</v>
      </c>
      <c r="F1755">
        <v>2.9418199999999999</v>
      </c>
      <c r="G1755">
        <v>3.2442199999999999</v>
      </c>
      <c r="H1755">
        <v>0</v>
      </c>
      <c r="I1755">
        <v>0.55128299999999997</v>
      </c>
      <c r="J1755">
        <v>5.3222399999999999</v>
      </c>
      <c r="K1755" s="2">
        <v>193284000</v>
      </c>
      <c r="L1755" s="1">
        <v>0</v>
      </c>
      <c r="M1755" s="1">
        <v>0</v>
      </c>
      <c r="N1755" s="1">
        <v>0</v>
      </c>
      <c r="O1755" s="1">
        <v>0</v>
      </c>
      <c r="P1755" s="2">
        <v>4397950</v>
      </c>
      <c r="Q1755" s="1">
        <v>-75026</v>
      </c>
      <c r="R1755" s="1">
        <v>408539</v>
      </c>
      <c r="S1755">
        <v>95.1678</v>
      </c>
      <c r="T1755">
        <v>98.274000000000001</v>
      </c>
      <c r="U1755">
        <v>1.88676</v>
      </c>
      <c r="V1755">
        <v>0</v>
      </c>
      <c r="W1755">
        <v>1</v>
      </c>
      <c r="X1755">
        <v>2.27658</v>
      </c>
      <c r="Y1755">
        <v>1.97418</v>
      </c>
      <c r="Z1755">
        <v>0</v>
      </c>
      <c r="AA1755">
        <v>1.75885</v>
      </c>
      <c r="AB1755">
        <v>3.3868800000000001</v>
      </c>
      <c r="AC1755" s="2">
        <v>917102000</v>
      </c>
      <c r="AD1755" s="1">
        <v>0</v>
      </c>
      <c r="AE1755" s="1">
        <v>0</v>
      </c>
      <c r="AF1755" s="1">
        <v>0</v>
      </c>
      <c r="AG1755" s="1">
        <v>0</v>
      </c>
      <c r="AH1755" s="2">
        <v>5890040</v>
      </c>
      <c r="AI1755" s="1">
        <v>948871</v>
      </c>
      <c r="AJ1755" s="1">
        <v>0</v>
      </c>
      <c r="AK1755" s="8">
        <f t="shared" si="111"/>
        <v>38</v>
      </c>
      <c r="AL1755" s="8">
        <f t="shared" si="110"/>
        <v>34</v>
      </c>
      <c r="AM1755">
        <f t="shared" si="108"/>
        <v>0</v>
      </c>
      <c r="AN1755">
        <f t="shared" si="109"/>
        <v>0</v>
      </c>
    </row>
    <row r="1756" spans="1:40" x14ac:dyDescent="0.35">
      <c r="A1756">
        <v>63.186</v>
      </c>
      <c r="B1756">
        <v>85.138999999999996</v>
      </c>
      <c r="C1756">
        <v>0.71204100000000004</v>
      </c>
      <c r="D1756">
        <v>0.01</v>
      </c>
      <c r="E1756">
        <v>0.04</v>
      </c>
      <c r="F1756">
        <v>2.9419</v>
      </c>
      <c r="G1756">
        <v>3.2443</v>
      </c>
      <c r="H1756">
        <v>0</v>
      </c>
      <c r="I1756">
        <v>0.55129799999999995</v>
      </c>
      <c r="J1756">
        <v>5.3222399999999999</v>
      </c>
      <c r="K1756" s="2">
        <v>193209000</v>
      </c>
      <c r="L1756" s="1">
        <v>0</v>
      </c>
      <c r="M1756" s="1">
        <v>0</v>
      </c>
      <c r="N1756" s="1">
        <v>0</v>
      </c>
      <c r="O1756" s="1">
        <v>0</v>
      </c>
      <c r="P1756" s="2">
        <v>4398070</v>
      </c>
      <c r="Q1756" s="1">
        <v>-75017.899999999994</v>
      </c>
      <c r="R1756" s="1">
        <v>408539</v>
      </c>
      <c r="S1756">
        <v>94.701999999999998</v>
      </c>
      <c r="T1756">
        <v>98.274000000000001</v>
      </c>
      <c r="U1756">
        <v>1.7840199999999999</v>
      </c>
      <c r="V1756">
        <v>0</v>
      </c>
      <c r="W1756">
        <v>1</v>
      </c>
      <c r="X1756">
        <v>2.2766199999999999</v>
      </c>
      <c r="Y1756">
        <v>1.9742200000000001</v>
      </c>
      <c r="Z1756">
        <v>0</v>
      </c>
      <c r="AA1756">
        <v>1.75888</v>
      </c>
      <c r="AB1756">
        <v>3.3868800000000001</v>
      </c>
      <c r="AC1756" s="2">
        <v>918051000</v>
      </c>
      <c r="AD1756" s="1">
        <v>0</v>
      </c>
      <c r="AE1756" s="1">
        <v>0</v>
      </c>
      <c r="AF1756" s="1">
        <v>0</v>
      </c>
      <c r="AG1756" s="1">
        <v>0</v>
      </c>
      <c r="AH1756" s="2">
        <v>5890170</v>
      </c>
      <c r="AI1756" s="1">
        <v>948875</v>
      </c>
      <c r="AJ1756" s="1">
        <v>0</v>
      </c>
      <c r="AK1756" s="8">
        <f t="shared" si="111"/>
        <v>39</v>
      </c>
      <c r="AL1756" s="8">
        <f t="shared" si="110"/>
        <v>34</v>
      </c>
      <c r="AM1756">
        <f t="shared" si="108"/>
        <v>0</v>
      </c>
      <c r="AN1756">
        <f t="shared" si="109"/>
        <v>0</v>
      </c>
    </row>
    <row r="1757" spans="1:40" x14ac:dyDescent="0.35">
      <c r="A1757">
        <v>60.880200000000002</v>
      </c>
      <c r="B1757">
        <v>85.138999999999996</v>
      </c>
      <c r="C1757">
        <v>0.68801999999999996</v>
      </c>
      <c r="D1757">
        <v>0.01</v>
      </c>
      <c r="E1757">
        <v>0.04</v>
      </c>
      <c r="F1757">
        <v>3.1586599999999998</v>
      </c>
      <c r="G1757">
        <v>3.4610599999999998</v>
      </c>
      <c r="H1757">
        <v>0</v>
      </c>
      <c r="I1757">
        <v>0.55131300000000005</v>
      </c>
      <c r="J1757">
        <v>5.3222399999999999</v>
      </c>
      <c r="K1757" s="2">
        <v>193157000</v>
      </c>
      <c r="L1757" s="1">
        <v>0</v>
      </c>
      <c r="M1757" s="1">
        <v>0</v>
      </c>
      <c r="N1757" s="1">
        <v>0</v>
      </c>
      <c r="O1757" s="1">
        <v>0</v>
      </c>
      <c r="P1757" s="2">
        <v>4722120</v>
      </c>
      <c r="Q1757" s="1">
        <v>-52734.9</v>
      </c>
      <c r="R1757" s="1">
        <v>408539</v>
      </c>
      <c r="S1757">
        <v>94.271000000000001</v>
      </c>
      <c r="T1757">
        <v>98.274000000000001</v>
      </c>
      <c r="U1757">
        <v>2.07247</v>
      </c>
      <c r="V1757">
        <v>0</v>
      </c>
      <c r="W1757">
        <v>1</v>
      </c>
      <c r="X1757">
        <v>2.44665</v>
      </c>
      <c r="Y1757">
        <v>2.14425</v>
      </c>
      <c r="Z1757">
        <v>0</v>
      </c>
      <c r="AA1757">
        <v>1.75892</v>
      </c>
      <c r="AB1757">
        <v>3.3868800000000001</v>
      </c>
      <c r="AC1757" s="2">
        <v>919015000</v>
      </c>
      <c r="AD1757" s="1">
        <v>0</v>
      </c>
      <c r="AE1757" s="1">
        <v>0</v>
      </c>
      <c r="AF1757" s="1">
        <v>0</v>
      </c>
      <c r="AG1757" s="1">
        <v>0</v>
      </c>
      <c r="AH1757" s="2">
        <v>6330060</v>
      </c>
      <c r="AI1757" s="1">
        <v>963214</v>
      </c>
      <c r="AJ1757" s="1">
        <v>0</v>
      </c>
      <c r="AK1757" s="8">
        <f t="shared" si="111"/>
        <v>40</v>
      </c>
      <c r="AL1757" s="8">
        <f t="shared" si="110"/>
        <v>34</v>
      </c>
      <c r="AM1757">
        <f t="shared" si="108"/>
        <v>0</v>
      </c>
      <c r="AN1757">
        <f t="shared" si="109"/>
        <v>0</v>
      </c>
    </row>
    <row r="1758" spans="1:40" x14ac:dyDescent="0.35">
      <c r="A1758">
        <v>58.517200000000003</v>
      </c>
      <c r="B1758">
        <v>85.138999999999996</v>
      </c>
      <c r="C1758">
        <v>0.61762099999999998</v>
      </c>
      <c r="D1758">
        <v>0.01</v>
      </c>
      <c r="E1758">
        <v>0.04</v>
      </c>
      <c r="F1758">
        <v>3.1587399999999999</v>
      </c>
      <c r="G1758">
        <v>3.4611399999999999</v>
      </c>
      <c r="H1758">
        <v>0</v>
      </c>
      <c r="I1758">
        <v>0.59193300000000004</v>
      </c>
      <c r="J1758">
        <v>5.3222399999999999</v>
      </c>
      <c r="K1758" s="2">
        <v>193104000</v>
      </c>
      <c r="L1758" s="1">
        <v>0</v>
      </c>
      <c r="M1758" s="1">
        <v>0</v>
      </c>
      <c r="N1758" s="1">
        <v>0</v>
      </c>
      <c r="O1758" s="1">
        <v>0</v>
      </c>
      <c r="P1758" s="2">
        <v>4722240</v>
      </c>
      <c r="Q1758" s="1">
        <v>-52726.2</v>
      </c>
      <c r="R1758" s="1">
        <v>408539</v>
      </c>
      <c r="S1758">
        <v>93.580399999999997</v>
      </c>
      <c r="T1758">
        <v>98.274000000000001</v>
      </c>
      <c r="U1758">
        <v>2.0733899999999998</v>
      </c>
      <c r="V1758">
        <v>0</v>
      </c>
      <c r="W1758">
        <v>1</v>
      </c>
      <c r="X1758">
        <v>2.4466999999999999</v>
      </c>
      <c r="Y1758">
        <v>2.1442999999999999</v>
      </c>
      <c r="Z1758">
        <v>0</v>
      </c>
      <c r="AA1758">
        <v>1.89028</v>
      </c>
      <c r="AB1758">
        <v>3.3868800000000001</v>
      </c>
      <c r="AC1758" s="2">
        <v>919978000</v>
      </c>
      <c r="AD1758" s="1">
        <v>0</v>
      </c>
      <c r="AE1758" s="1">
        <v>0</v>
      </c>
      <c r="AF1758" s="1">
        <v>0</v>
      </c>
      <c r="AG1758" s="1">
        <v>0</v>
      </c>
      <c r="AH1758" s="2">
        <v>6330190</v>
      </c>
      <c r="AI1758" s="1">
        <v>963218</v>
      </c>
      <c r="AJ1758" s="1">
        <v>0</v>
      </c>
      <c r="AK1758" s="8">
        <f t="shared" si="111"/>
        <v>41</v>
      </c>
      <c r="AL1758" s="8">
        <f t="shared" si="110"/>
        <v>34</v>
      </c>
      <c r="AM1758">
        <f t="shared" si="108"/>
        <v>0</v>
      </c>
      <c r="AN1758">
        <f t="shared" si="109"/>
        <v>0</v>
      </c>
    </row>
    <row r="1759" spans="1:40" x14ac:dyDescent="0.35">
      <c r="A1759">
        <v>56.063200000000002</v>
      </c>
      <c r="B1759">
        <v>85.138999999999996</v>
      </c>
      <c r="C1759">
        <v>0.50108699999999995</v>
      </c>
      <c r="D1759">
        <v>0.03</v>
      </c>
      <c r="E1759">
        <v>0.04</v>
      </c>
      <c r="F1759">
        <v>3.15883</v>
      </c>
      <c r="G1759">
        <v>3.46123</v>
      </c>
      <c r="H1759">
        <v>0</v>
      </c>
      <c r="I1759">
        <v>0.59194899999999995</v>
      </c>
      <c r="J1759">
        <v>5.3222399999999999</v>
      </c>
      <c r="K1759" s="2">
        <v>193051000</v>
      </c>
      <c r="L1759" s="1">
        <v>0</v>
      </c>
      <c r="M1759" s="1">
        <v>0</v>
      </c>
      <c r="N1759" s="1">
        <v>0</v>
      </c>
      <c r="O1759" s="1">
        <v>0</v>
      </c>
      <c r="P1759" s="2">
        <v>4722370</v>
      </c>
      <c r="Q1759" s="1">
        <v>-52717.599999999999</v>
      </c>
      <c r="R1759" s="1">
        <v>408539</v>
      </c>
      <c r="S1759">
        <v>93.084000000000003</v>
      </c>
      <c r="T1759">
        <v>98.274000000000001</v>
      </c>
      <c r="U1759">
        <v>1.5681</v>
      </c>
      <c r="V1759">
        <v>0</v>
      </c>
      <c r="W1759">
        <v>1</v>
      </c>
      <c r="X1759">
        <v>2.4467500000000002</v>
      </c>
      <c r="Y1759">
        <v>2.1443500000000002</v>
      </c>
      <c r="Z1759">
        <v>0</v>
      </c>
      <c r="AA1759">
        <v>1.89032</v>
      </c>
      <c r="AB1759">
        <v>3.3868800000000001</v>
      </c>
      <c r="AC1759" s="2">
        <v>920941000</v>
      </c>
      <c r="AD1759" s="1">
        <v>0</v>
      </c>
      <c r="AE1759" s="1">
        <v>0</v>
      </c>
      <c r="AF1759" s="1">
        <v>0</v>
      </c>
      <c r="AG1759" s="1">
        <v>0</v>
      </c>
      <c r="AH1759" s="2">
        <v>6330330</v>
      </c>
      <c r="AI1759" s="1">
        <v>963222</v>
      </c>
      <c r="AJ1759" s="1">
        <v>0</v>
      </c>
      <c r="AK1759" s="8">
        <f t="shared" si="111"/>
        <v>42</v>
      </c>
      <c r="AL1759" s="8">
        <f t="shared" si="110"/>
        <v>34</v>
      </c>
      <c r="AM1759">
        <f t="shared" si="108"/>
        <v>0</v>
      </c>
      <c r="AN1759">
        <f t="shared" si="109"/>
        <v>0</v>
      </c>
    </row>
    <row r="1760" spans="1:40" x14ac:dyDescent="0.35">
      <c r="A1760">
        <v>53.507899999999999</v>
      </c>
      <c r="B1760">
        <v>85.138999999999996</v>
      </c>
      <c r="C1760">
        <v>0.59496700000000002</v>
      </c>
      <c r="D1760">
        <v>0</v>
      </c>
      <c r="E1760">
        <v>0.04</v>
      </c>
      <c r="F1760">
        <v>3.4613100000000001</v>
      </c>
      <c r="G1760">
        <v>3.4613100000000001</v>
      </c>
      <c r="H1760">
        <v>0</v>
      </c>
      <c r="I1760">
        <v>0.59196400000000005</v>
      </c>
      <c r="J1760">
        <v>5.3222399999999999</v>
      </c>
      <c r="K1760" s="2">
        <v>193407000</v>
      </c>
      <c r="L1760" s="1">
        <v>0</v>
      </c>
      <c r="M1760" s="1">
        <v>0</v>
      </c>
      <c r="N1760" s="1">
        <v>0</v>
      </c>
      <c r="O1760" s="1">
        <v>0</v>
      </c>
      <c r="P1760" s="2">
        <v>5174570</v>
      </c>
      <c r="Q1760" s="1">
        <v>355830</v>
      </c>
      <c r="R1760" s="1">
        <v>0</v>
      </c>
      <c r="S1760">
        <v>92.688999999999993</v>
      </c>
      <c r="T1760">
        <v>98.274000000000001</v>
      </c>
      <c r="U1760">
        <v>2.53721</v>
      </c>
      <c r="V1760">
        <v>0</v>
      </c>
      <c r="W1760">
        <v>1</v>
      </c>
      <c r="X1760">
        <v>2.1444000000000001</v>
      </c>
      <c r="Y1760">
        <v>2.1444000000000001</v>
      </c>
      <c r="Z1760">
        <v>0</v>
      </c>
      <c r="AA1760">
        <v>1.89036</v>
      </c>
      <c r="AB1760">
        <v>3.3868800000000001</v>
      </c>
      <c r="AC1760" s="2">
        <v>921122000</v>
      </c>
      <c r="AD1760" s="1">
        <v>0</v>
      </c>
      <c r="AE1760" s="1">
        <v>0</v>
      </c>
      <c r="AF1760" s="1">
        <v>0</v>
      </c>
      <c r="AG1760" s="1">
        <v>0</v>
      </c>
      <c r="AH1760" s="2">
        <v>5548080</v>
      </c>
      <c r="AI1760" s="1">
        <v>180846</v>
      </c>
      <c r="AJ1760" s="1">
        <v>0</v>
      </c>
      <c r="AK1760" s="8">
        <f t="shared" si="111"/>
        <v>43</v>
      </c>
      <c r="AL1760" s="8">
        <f t="shared" si="110"/>
        <v>34</v>
      </c>
      <c r="AM1760">
        <f t="shared" si="108"/>
        <v>0</v>
      </c>
      <c r="AN1760">
        <f t="shared" si="109"/>
        <v>0</v>
      </c>
    </row>
    <row r="1761" spans="1:40" x14ac:dyDescent="0.35">
      <c r="A1761">
        <v>50.682299999999998</v>
      </c>
      <c r="B1761">
        <v>85.138999999999996</v>
      </c>
      <c r="C1761">
        <v>0.53627899999999995</v>
      </c>
      <c r="D1761">
        <v>0</v>
      </c>
      <c r="E1761">
        <v>0.04</v>
      </c>
      <c r="F1761">
        <v>3.4613999999999998</v>
      </c>
      <c r="G1761">
        <v>3.4613999999999998</v>
      </c>
      <c r="H1761">
        <v>0</v>
      </c>
      <c r="I1761">
        <v>0.64864999999999995</v>
      </c>
      <c r="J1761">
        <v>5.3222399999999999</v>
      </c>
      <c r="K1761" s="2">
        <v>193763000</v>
      </c>
      <c r="L1761" s="1">
        <v>0</v>
      </c>
      <c r="M1761" s="1">
        <v>0</v>
      </c>
      <c r="N1761" s="1">
        <v>0</v>
      </c>
      <c r="O1761" s="1">
        <v>0</v>
      </c>
      <c r="P1761" s="2">
        <v>5174700</v>
      </c>
      <c r="Q1761" s="1">
        <v>355838</v>
      </c>
      <c r="R1761" s="1">
        <v>0</v>
      </c>
      <c r="S1761">
        <v>92.400800000000004</v>
      </c>
      <c r="T1761">
        <v>98.274000000000001</v>
      </c>
      <c r="U1761">
        <v>1.8471900000000001</v>
      </c>
      <c r="V1761">
        <v>0</v>
      </c>
      <c r="W1761">
        <v>1</v>
      </c>
      <c r="X1761">
        <v>2.14445</v>
      </c>
      <c r="Y1761">
        <v>2.14445</v>
      </c>
      <c r="Z1761">
        <v>0</v>
      </c>
      <c r="AA1761">
        <v>1.6567700000000001</v>
      </c>
      <c r="AB1761">
        <v>3.3868800000000001</v>
      </c>
      <c r="AC1761" s="2">
        <v>921303000</v>
      </c>
      <c r="AD1761" s="1">
        <v>0</v>
      </c>
      <c r="AE1761" s="1">
        <v>0</v>
      </c>
      <c r="AF1761" s="1">
        <v>0</v>
      </c>
      <c r="AG1761" s="1">
        <v>0</v>
      </c>
      <c r="AH1761" s="2">
        <v>5548220</v>
      </c>
      <c r="AI1761" s="1">
        <v>180850</v>
      </c>
      <c r="AJ1761" s="1">
        <v>0</v>
      </c>
      <c r="AK1761" s="8">
        <f t="shared" si="111"/>
        <v>44</v>
      </c>
      <c r="AL1761" s="8">
        <f t="shared" si="110"/>
        <v>34</v>
      </c>
      <c r="AM1761">
        <f t="shared" si="108"/>
        <v>0</v>
      </c>
      <c r="AN1761">
        <f t="shared" si="109"/>
        <v>0</v>
      </c>
    </row>
    <row r="1762" spans="1:40" x14ac:dyDescent="0.35">
      <c r="A1762">
        <v>47.831499999999998</v>
      </c>
      <c r="B1762">
        <v>85.138999999999996</v>
      </c>
      <c r="C1762">
        <v>0.64535900000000002</v>
      </c>
      <c r="D1762">
        <v>0</v>
      </c>
      <c r="E1762">
        <v>0.04</v>
      </c>
      <c r="F1762">
        <v>3.3558699999999999</v>
      </c>
      <c r="G1762">
        <v>3.3558699999999999</v>
      </c>
      <c r="H1762">
        <v>0</v>
      </c>
      <c r="I1762">
        <v>0.64866500000000005</v>
      </c>
      <c r="J1762">
        <v>5.3222399999999999</v>
      </c>
      <c r="K1762" s="2">
        <v>194108000</v>
      </c>
      <c r="L1762" s="1">
        <v>0</v>
      </c>
      <c r="M1762" s="1">
        <v>0</v>
      </c>
      <c r="N1762" s="1">
        <v>0</v>
      </c>
      <c r="O1762" s="1">
        <v>0</v>
      </c>
      <c r="P1762" s="2">
        <v>5016930</v>
      </c>
      <c r="Q1762" s="1">
        <v>344989</v>
      </c>
      <c r="R1762" s="1">
        <v>0</v>
      </c>
      <c r="S1762">
        <v>92.132300000000001</v>
      </c>
      <c r="T1762">
        <v>98.274000000000001</v>
      </c>
      <c r="U1762">
        <v>2.8213400000000002</v>
      </c>
      <c r="V1762">
        <v>0</v>
      </c>
      <c r="W1762">
        <v>1</v>
      </c>
      <c r="X1762">
        <v>2.0413299999999999</v>
      </c>
      <c r="Y1762">
        <v>2.0413299999999999</v>
      </c>
      <c r="Z1762">
        <v>0</v>
      </c>
      <c r="AA1762">
        <v>1.6568099999999999</v>
      </c>
      <c r="AB1762">
        <v>3.3868800000000001</v>
      </c>
      <c r="AC1762" s="2">
        <v>921475000</v>
      </c>
      <c r="AD1762" s="1">
        <v>0</v>
      </c>
      <c r="AE1762" s="1">
        <v>0</v>
      </c>
      <c r="AF1762" s="1">
        <v>0</v>
      </c>
      <c r="AG1762" s="1">
        <v>0</v>
      </c>
      <c r="AH1762" s="2">
        <v>5281390</v>
      </c>
      <c r="AI1762" s="1">
        <v>172153</v>
      </c>
      <c r="AJ1762" s="1">
        <v>0</v>
      </c>
      <c r="AK1762" s="8">
        <f t="shared" si="111"/>
        <v>45</v>
      </c>
      <c r="AL1762" s="8">
        <f t="shared" si="110"/>
        <v>34</v>
      </c>
      <c r="AM1762">
        <f t="shared" si="108"/>
        <v>0</v>
      </c>
      <c r="AN1762">
        <f t="shared" si="109"/>
        <v>0</v>
      </c>
    </row>
    <row r="1763" spans="1:40" x14ac:dyDescent="0.35">
      <c r="A1763">
        <v>44.878399999999999</v>
      </c>
      <c r="B1763">
        <v>85.138999999999996</v>
      </c>
      <c r="C1763">
        <v>0.55135800000000001</v>
      </c>
      <c r="D1763">
        <v>0</v>
      </c>
      <c r="E1763">
        <v>0.04</v>
      </c>
      <c r="F1763">
        <v>3.35595</v>
      </c>
      <c r="G1763">
        <v>3.35595</v>
      </c>
      <c r="H1763">
        <v>0</v>
      </c>
      <c r="I1763">
        <v>0.62888900000000003</v>
      </c>
      <c r="J1763">
        <v>5.3222399999999999</v>
      </c>
      <c r="K1763" s="2">
        <v>194453000</v>
      </c>
      <c r="L1763" s="1">
        <v>0</v>
      </c>
      <c r="M1763" s="1">
        <v>0</v>
      </c>
      <c r="N1763" s="1">
        <v>0</v>
      </c>
      <c r="O1763" s="1">
        <v>0</v>
      </c>
      <c r="P1763" s="2">
        <v>5017050</v>
      </c>
      <c r="Q1763" s="1">
        <v>344998</v>
      </c>
      <c r="R1763" s="1">
        <v>0</v>
      </c>
      <c r="S1763">
        <v>91.5869</v>
      </c>
      <c r="T1763">
        <v>98.274000000000001</v>
      </c>
      <c r="U1763">
        <v>1.55165</v>
      </c>
      <c r="V1763">
        <v>0</v>
      </c>
      <c r="W1763">
        <v>1</v>
      </c>
      <c r="X1763">
        <v>2.0413700000000001</v>
      </c>
      <c r="Y1763">
        <v>2.0413700000000001</v>
      </c>
      <c r="Z1763">
        <v>0</v>
      </c>
      <c r="AA1763">
        <v>1.5771299999999999</v>
      </c>
      <c r="AB1763">
        <v>3.3868800000000001</v>
      </c>
      <c r="AC1763" s="2">
        <v>921647000</v>
      </c>
      <c r="AD1763" s="1">
        <v>0</v>
      </c>
      <c r="AE1763" s="1">
        <v>0</v>
      </c>
      <c r="AF1763" s="1">
        <v>0</v>
      </c>
      <c r="AG1763" s="1">
        <v>0</v>
      </c>
      <c r="AH1763" s="2">
        <v>5281520</v>
      </c>
      <c r="AI1763" s="1">
        <v>172157</v>
      </c>
      <c r="AJ1763" s="1">
        <v>0</v>
      </c>
      <c r="AK1763" s="8">
        <f t="shared" si="111"/>
        <v>46</v>
      </c>
      <c r="AL1763" s="8">
        <f t="shared" si="110"/>
        <v>34</v>
      </c>
      <c r="AM1763">
        <f t="shared" si="108"/>
        <v>0</v>
      </c>
      <c r="AN1763">
        <f t="shared" si="109"/>
        <v>0</v>
      </c>
    </row>
    <row r="1764" spans="1:40" x14ac:dyDescent="0.35">
      <c r="A1764">
        <v>42.466900000000003</v>
      </c>
      <c r="B1764">
        <v>85.138999999999996</v>
      </c>
      <c r="C1764">
        <v>0.64351100000000006</v>
      </c>
      <c r="D1764">
        <v>0</v>
      </c>
      <c r="E1764">
        <v>0.04</v>
      </c>
      <c r="F1764">
        <v>3.3560300000000001</v>
      </c>
      <c r="G1764">
        <v>3.3560300000000001</v>
      </c>
      <c r="H1764">
        <v>0</v>
      </c>
      <c r="I1764">
        <v>0.62890400000000002</v>
      </c>
      <c r="J1764">
        <v>5.3222399999999999</v>
      </c>
      <c r="K1764" s="2">
        <v>194798000</v>
      </c>
      <c r="L1764" s="1">
        <v>0</v>
      </c>
      <c r="M1764" s="1">
        <v>0</v>
      </c>
      <c r="N1764" s="1">
        <v>0</v>
      </c>
      <c r="O1764" s="1">
        <v>0</v>
      </c>
      <c r="P1764" s="2">
        <v>5017180</v>
      </c>
      <c r="Q1764" s="1">
        <v>345006</v>
      </c>
      <c r="R1764" s="1">
        <v>0</v>
      </c>
      <c r="S1764">
        <v>91.425399999999996</v>
      </c>
      <c r="T1764">
        <v>98.274000000000001</v>
      </c>
      <c r="U1764">
        <v>1.5892500000000001</v>
      </c>
      <c r="V1764">
        <v>0</v>
      </c>
      <c r="W1764">
        <v>1</v>
      </c>
      <c r="X1764">
        <v>2.04142</v>
      </c>
      <c r="Y1764">
        <v>2.04142</v>
      </c>
      <c r="Z1764">
        <v>0</v>
      </c>
      <c r="AA1764">
        <v>1.57717</v>
      </c>
      <c r="AB1764">
        <v>3.3868800000000001</v>
      </c>
      <c r="AC1764" s="2">
        <v>921819000</v>
      </c>
      <c r="AD1764" s="1">
        <v>0</v>
      </c>
      <c r="AE1764" s="1">
        <v>0</v>
      </c>
      <c r="AF1764" s="1">
        <v>0</v>
      </c>
      <c r="AG1764" s="1">
        <v>0</v>
      </c>
      <c r="AH1764" s="2">
        <v>5281650</v>
      </c>
      <c r="AI1764" s="1">
        <v>172161</v>
      </c>
      <c r="AJ1764" s="1">
        <v>0</v>
      </c>
      <c r="AK1764" s="8">
        <f t="shared" si="111"/>
        <v>47</v>
      </c>
      <c r="AL1764" s="8">
        <f t="shared" si="110"/>
        <v>34</v>
      </c>
      <c r="AM1764">
        <f t="shared" si="108"/>
        <v>0</v>
      </c>
      <c r="AN1764">
        <f t="shared" si="109"/>
        <v>0</v>
      </c>
    </row>
    <row r="1765" spans="1:40" x14ac:dyDescent="0.35">
      <c r="A1765">
        <v>42.5015</v>
      </c>
      <c r="B1765">
        <v>85.138999999999996</v>
      </c>
      <c r="C1765">
        <v>1.8234699999999999</v>
      </c>
      <c r="D1765">
        <v>0</v>
      </c>
      <c r="E1765">
        <v>0.04</v>
      </c>
      <c r="F1765">
        <v>3.3561100000000001</v>
      </c>
      <c r="G1765">
        <v>3.3561100000000001</v>
      </c>
      <c r="H1765">
        <v>0</v>
      </c>
      <c r="I1765">
        <v>0.62892000000000003</v>
      </c>
      <c r="J1765">
        <v>5.3222399999999999</v>
      </c>
      <c r="K1765" s="2">
        <v>195143000</v>
      </c>
      <c r="L1765" s="1">
        <v>0</v>
      </c>
      <c r="M1765" s="1">
        <v>0</v>
      </c>
      <c r="N1765" s="1">
        <v>0</v>
      </c>
      <c r="O1765" s="1">
        <v>0</v>
      </c>
      <c r="P1765" s="2">
        <v>5017300</v>
      </c>
      <c r="Q1765" s="1">
        <v>345015</v>
      </c>
      <c r="R1765" s="1">
        <v>0</v>
      </c>
      <c r="S1765">
        <v>91.868899999999996</v>
      </c>
      <c r="T1765">
        <v>98.274000000000001</v>
      </c>
      <c r="U1765">
        <v>3.19177</v>
      </c>
      <c r="V1765">
        <v>0</v>
      </c>
      <c r="W1765">
        <v>1</v>
      </c>
      <c r="X1765">
        <v>2.0414699999999999</v>
      </c>
      <c r="Y1765">
        <v>2.0414699999999999</v>
      </c>
      <c r="Z1765">
        <v>0</v>
      </c>
      <c r="AA1765">
        <v>1.5771999999999999</v>
      </c>
      <c r="AB1765">
        <v>3.3868800000000001</v>
      </c>
      <c r="AC1765" s="2">
        <v>921991000</v>
      </c>
      <c r="AD1765" s="1">
        <v>0</v>
      </c>
      <c r="AE1765" s="1">
        <v>0</v>
      </c>
      <c r="AF1765" s="1">
        <v>0</v>
      </c>
      <c r="AG1765" s="1">
        <v>0</v>
      </c>
      <c r="AH1765" s="2">
        <v>5281780</v>
      </c>
      <c r="AI1765" s="1">
        <v>172166</v>
      </c>
      <c r="AJ1765" s="1">
        <v>0</v>
      </c>
      <c r="AK1765" s="8">
        <f t="shared" si="111"/>
        <v>48</v>
      </c>
      <c r="AL1765" s="8">
        <f t="shared" si="110"/>
        <v>34</v>
      </c>
      <c r="AM1765">
        <f t="shared" si="108"/>
        <v>0</v>
      </c>
      <c r="AN1765">
        <f t="shared" si="109"/>
        <v>0</v>
      </c>
    </row>
    <row r="1766" spans="1:40" x14ac:dyDescent="0.35">
      <c r="A1766">
        <v>41.308399999999999</v>
      </c>
      <c r="B1766">
        <v>85.138999999999996</v>
      </c>
      <c r="C1766">
        <v>1.71485</v>
      </c>
      <c r="D1766">
        <v>0</v>
      </c>
      <c r="E1766">
        <v>0.04</v>
      </c>
      <c r="F1766">
        <v>3.2694899999999998</v>
      </c>
      <c r="G1766">
        <v>3.2694899999999998</v>
      </c>
      <c r="H1766">
        <v>0</v>
      </c>
      <c r="I1766">
        <v>0.62893500000000002</v>
      </c>
      <c r="J1766">
        <v>5.3222399999999999</v>
      </c>
      <c r="K1766" s="2">
        <v>195479000</v>
      </c>
      <c r="L1766" s="1">
        <v>0</v>
      </c>
      <c r="M1766" s="1">
        <v>0</v>
      </c>
      <c r="N1766" s="1">
        <v>0</v>
      </c>
      <c r="O1766" s="1">
        <v>0</v>
      </c>
      <c r="P1766" s="2">
        <v>4887810</v>
      </c>
      <c r="Q1766" s="1">
        <v>336110</v>
      </c>
      <c r="R1766" s="1">
        <v>0</v>
      </c>
      <c r="S1766">
        <v>91.854500000000002</v>
      </c>
      <c r="T1766">
        <v>98.274000000000001</v>
      </c>
      <c r="U1766">
        <v>2.1394600000000001</v>
      </c>
      <c r="V1766">
        <v>0</v>
      </c>
      <c r="W1766">
        <v>1</v>
      </c>
      <c r="X1766">
        <v>1.9475899999999999</v>
      </c>
      <c r="Y1766">
        <v>1.9475899999999999</v>
      </c>
      <c r="Z1766">
        <v>0</v>
      </c>
      <c r="AA1766">
        <v>1.57724</v>
      </c>
      <c r="AB1766">
        <v>3.3868800000000001</v>
      </c>
      <c r="AC1766" s="2">
        <v>922156000</v>
      </c>
      <c r="AD1766" s="1">
        <v>0</v>
      </c>
      <c r="AE1766" s="1">
        <v>0</v>
      </c>
      <c r="AF1766" s="1">
        <v>0</v>
      </c>
      <c r="AG1766" s="1">
        <v>0</v>
      </c>
      <c r="AH1766" s="2">
        <v>5038890</v>
      </c>
      <c r="AI1766" s="1">
        <v>164248</v>
      </c>
      <c r="AJ1766" s="1">
        <v>0</v>
      </c>
      <c r="AK1766" s="8">
        <f t="shared" si="111"/>
        <v>49</v>
      </c>
      <c r="AL1766" s="8">
        <f t="shared" si="110"/>
        <v>34</v>
      </c>
      <c r="AM1766">
        <f t="shared" si="108"/>
        <v>0</v>
      </c>
      <c r="AN1766">
        <f t="shared" si="109"/>
        <v>0</v>
      </c>
    </row>
    <row r="1767" spans="1:40" x14ac:dyDescent="0.35">
      <c r="A1767">
        <v>41.701000000000001</v>
      </c>
      <c r="B1767">
        <v>85.138999999999996</v>
      </c>
      <c r="C1767">
        <v>3.3075100000000002</v>
      </c>
      <c r="D1767">
        <v>0</v>
      </c>
      <c r="E1767">
        <v>0.04</v>
      </c>
      <c r="F1767">
        <v>3.2695699999999999</v>
      </c>
      <c r="G1767">
        <v>3.2695699999999999</v>
      </c>
      <c r="H1767">
        <v>0</v>
      </c>
      <c r="I1767">
        <v>0.612703</v>
      </c>
      <c r="J1767">
        <v>5.3222399999999999</v>
      </c>
      <c r="K1767" s="2">
        <v>195815000</v>
      </c>
      <c r="L1767" s="1">
        <v>0</v>
      </c>
      <c r="M1767" s="1">
        <v>0</v>
      </c>
      <c r="N1767" s="1">
        <v>0</v>
      </c>
      <c r="O1767" s="1">
        <v>0</v>
      </c>
      <c r="P1767" s="2">
        <v>4887930</v>
      </c>
      <c r="Q1767" s="1">
        <v>336118</v>
      </c>
      <c r="R1767" s="1">
        <v>0</v>
      </c>
      <c r="S1767">
        <v>92.386899999999997</v>
      </c>
      <c r="T1767">
        <v>98.274000000000001</v>
      </c>
      <c r="U1767">
        <v>4.0178700000000003</v>
      </c>
      <c r="V1767">
        <v>0</v>
      </c>
      <c r="W1767">
        <v>1</v>
      </c>
      <c r="X1767">
        <v>1.94764</v>
      </c>
      <c r="Y1767">
        <v>1.94764</v>
      </c>
      <c r="Z1767">
        <v>0</v>
      </c>
      <c r="AA1767">
        <v>1.50471</v>
      </c>
      <c r="AB1767">
        <v>3.3868800000000001</v>
      </c>
      <c r="AC1767" s="2">
        <v>922320000</v>
      </c>
      <c r="AD1767" s="1">
        <v>0</v>
      </c>
      <c r="AE1767" s="1">
        <v>0</v>
      </c>
      <c r="AF1767" s="1">
        <v>0</v>
      </c>
      <c r="AG1767" s="1">
        <v>0</v>
      </c>
      <c r="AH1767" s="2">
        <v>5039010</v>
      </c>
      <c r="AI1767" s="1">
        <v>164252</v>
      </c>
      <c r="AJ1767" s="1">
        <v>0</v>
      </c>
      <c r="AK1767" s="8">
        <f t="shared" si="111"/>
        <v>50</v>
      </c>
      <c r="AL1767" s="8">
        <f t="shared" si="110"/>
        <v>34</v>
      </c>
      <c r="AM1767">
        <f t="shared" si="108"/>
        <v>0</v>
      </c>
      <c r="AN1767">
        <f t="shared" si="109"/>
        <v>0</v>
      </c>
    </row>
    <row r="1768" spans="1:40" x14ac:dyDescent="0.35">
      <c r="A1768">
        <v>41.0105</v>
      </c>
      <c r="B1768">
        <v>85.138999999999996</v>
      </c>
      <c r="C1768">
        <v>2.19109</v>
      </c>
      <c r="D1768">
        <v>0</v>
      </c>
      <c r="E1768">
        <v>0.04</v>
      </c>
      <c r="F1768">
        <v>3.2696499999999999</v>
      </c>
      <c r="G1768">
        <v>3.2696499999999999</v>
      </c>
      <c r="H1768">
        <v>0</v>
      </c>
      <c r="I1768">
        <v>0.61271799999999998</v>
      </c>
      <c r="J1768">
        <v>5.3222399999999999</v>
      </c>
      <c r="K1768" s="2">
        <v>196151000</v>
      </c>
      <c r="L1768" s="1">
        <v>0</v>
      </c>
      <c r="M1768" s="1">
        <v>0</v>
      </c>
      <c r="N1768" s="1">
        <v>0</v>
      </c>
      <c r="O1768" s="1">
        <v>0</v>
      </c>
      <c r="P1768" s="2">
        <v>4888040</v>
      </c>
      <c r="Q1768" s="1">
        <v>336126</v>
      </c>
      <c r="R1768" s="1">
        <v>0</v>
      </c>
      <c r="S1768">
        <v>92.873699999999999</v>
      </c>
      <c r="T1768">
        <v>98.274000000000001</v>
      </c>
      <c r="U1768">
        <v>3.89486</v>
      </c>
      <c r="V1768">
        <v>0</v>
      </c>
      <c r="W1768">
        <v>1</v>
      </c>
      <c r="X1768">
        <v>1.9476899999999999</v>
      </c>
      <c r="Y1768">
        <v>1.9476899999999999</v>
      </c>
      <c r="Z1768">
        <v>0</v>
      </c>
      <c r="AA1768">
        <v>1.50475</v>
      </c>
      <c r="AB1768">
        <v>3.3868800000000001</v>
      </c>
      <c r="AC1768" s="2">
        <v>922484000</v>
      </c>
      <c r="AD1768" s="1">
        <v>0</v>
      </c>
      <c r="AE1768" s="1">
        <v>0</v>
      </c>
      <c r="AF1768" s="1">
        <v>0</v>
      </c>
      <c r="AG1768" s="1">
        <v>0</v>
      </c>
      <c r="AH1768" s="2">
        <v>5039130</v>
      </c>
      <c r="AI1768" s="1">
        <v>164256</v>
      </c>
      <c r="AJ1768" s="1">
        <v>0</v>
      </c>
      <c r="AK1768" s="8">
        <f t="shared" si="111"/>
        <v>51</v>
      </c>
      <c r="AL1768" s="8">
        <f t="shared" si="110"/>
        <v>34</v>
      </c>
      <c r="AM1768">
        <f t="shared" si="108"/>
        <v>0</v>
      </c>
      <c r="AN1768">
        <f t="shared" si="109"/>
        <v>0</v>
      </c>
    </row>
    <row r="1769" spans="1:40" x14ac:dyDescent="0.35">
      <c r="A1769">
        <v>41.2896</v>
      </c>
      <c r="B1769">
        <v>85.138999999999996</v>
      </c>
      <c r="C1769">
        <v>3.24268</v>
      </c>
      <c r="D1769">
        <v>0</v>
      </c>
      <c r="E1769">
        <v>0.04</v>
      </c>
      <c r="F1769">
        <v>3.26973</v>
      </c>
      <c r="G1769">
        <v>3.26973</v>
      </c>
      <c r="H1769">
        <v>0</v>
      </c>
      <c r="I1769">
        <v>0.61273200000000005</v>
      </c>
      <c r="J1769">
        <v>5.3222399999999999</v>
      </c>
      <c r="K1769" s="2">
        <v>196487000</v>
      </c>
      <c r="L1769" s="1">
        <v>0</v>
      </c>
      <c r="M1769" s="1">
        <v>0</v>
      </c>
      <c r="N1769" s="1">
        <v>0</v>
      </c>
      <c r="O1769" s="1">
        <v>0</v>
      </c>
      <c r="P1769" s="2">
        <v>4888160</v>
      </c>
      <c r="Q1769" s="1">
        <v>336134</v>
      </c>
      <c r="R1769" s="1">
        <v>0</v>
      </c>
      <c r="S1769">
        <v>93.088899999999995</v>
      </c>
      <c r="T1769">
        <v>98.274000000000001</v>
      </c>
      <c r="U1769">
        <v>3.4771200000000002</v>
      </c>
      <c r="V1769">
        <v>0</v>
      </c>
      <c r="W1769">
        <v>1</v>
      </c>
      <c r="X1769">
        <v>1.94773</v>
      </c>
      <c r="Y1769">
        <v>1.94773</v>
      </c>
      <c r="Z1769">
        <v>0</v>
      </c>
      <c r="AA1769">
        <v>1.50478</v>
      </c>
      <c r="AB1769">
        <v>3.3868800000000001</v>
      </c>
      <c r="AC1769" s="2">
        <v>922648000</v>
      </c>
      <c r="AD1769" s="1">
        <v>0</v>
      </c>
      <c r="AE1769" s="1">
        <v>0</v>
      </c>
      <c r="AF1769" s="1">
        <v>0</v>
      </c>
      <c r="AG1769" s="1">
        <v>0</v>
      </c>
      <c r="AH1769" s="2">
        <v>5039250</v>
      </c>
      <c r="AI1769" s="1">
        <v>164260</v>
      </c>
      <c r="AJ1769" s="1">
        <v>0</v>
      </c>
      <c r="AK1769" s="8">
        <f t="shared" si="111"/>
        <v>52</v>
      </c>
      <c r="AL1769" s="8">
        <f t="shared" si="110"/>
        <v>34</v>
      </c>
      <c r="AM1769">
        <f t="shared" si="108"/>
        <v>922648000</v>
      </c>
      <c r="AN1769">
        <f t="shared" si="109"/>
        <v>196487000</v>
      </c>
    </row>
    <row r="1770" spans="1:40" x14ac:dyDescent="0.35">
      <c r="A1770">
        <v>44.141199999999998</v>
      </c>
      <c r="B1770">
        <v>85.138999999999996</v>
      </c>
      <c r="C1770">
        <v>5.7449899999999996</v>
      </c>
      <c r="D1770">
        <v>0</v>
      </c>
      <c r="E1770">
        <v>0.04</v>
      </c>
      <c r="F1770">
        <v>3.0235500000000002</v>
      </c>
      <c r="G1770">
        <v>3.0235500000000002</v>
      </c>
      <c r="H1770">
        <v>0</v>
      </c>
      <c r="I1770">
        <v>0.61274700000000004</v>
      </c>
      <c r="J1770">
        <v>5.3222399999999999</v>
      </c>
      <c r="K1770" s="2">
        <v>196798000</v>
      </c>
      <c r="L1770" s="1">
        <v>0</v>
      </c>
      <c r="M1770" s="1">
        <v>0</v>
      </c>
      <c r="N1770" s="1">
        <v>0</v>
      </c>
      <c r="O1770" s="1">
        <v>0</v>
      </c>
      <c r="P1770" s="2">
        <v>4520140</v>
      </c>
      <c r="Q1770" s="1">
        <v>310827</v>
      </c>
      <c r="R1770" s="1">
        <v>0</v>
      </c>
      <c r="S1770">
        <v>93.905600000000007</v>
      </c>
      <c r="T1770">
        <v>98.274000000000001</v>
      </c>
      <c r="U1770">
        <v>4.72112</v>
      </c>
      <c r="V1770">
        <v>0</v>
      </c>
      <c r="W1770">
        <v>1</v>
      </c>
      <c r="X1770">
        <v>1.75213</v>
      </c>
      <c r="Y1770">
        <v>1.75213</v>
      </c>
      <c r="Z1770">
        <v>0</v>
      </c>
      <c r="AA1770">
        <v>1.50482</v>
      </c>
      <c r="AB1770">
        <v>3.3868800000000001</v>
      </c>
      <c r="AC1770" s="2">
        <v>922796000</v>
      </c>
      <c r="AD1770" s="1">
        <v>0</v>
      </c>
      <c r="AE1770" s="1">
        <v>0</v>
      </c>
      <c r="AF1770" s="1">
        <v>0</v>
      </c>
      <c r="AG1770" s="1">
        <v>0</v>
      </c>
      <c r="AH1770" s="2">
        <v>4533190</v>
      </c>
      <c r="AI1770" s="1">
        <v>147764</v>
      </c>
      <c r="AJ1770" s="1">
        <v>0</v>
      </c>
      <c r="AK1770" s="8">
        <f t="shared" si="111"/>
        <v>1</v>
      </c>
      <c r="AL1770" s="8">
        <f t="shared" si="110"/>
        <v>35</v>
      </c>
      <c r="AM1770">
        <f t="shared" si="108"/>
        <v>0</v>
      </c>
      <c r="AN1770">
        <f t="shared" si="109"/>
        <v>0</v>
      </c>
    </row>
    <row r="1771" spans="1:40" x14ac:dyDescent="0.35">
      <c r="A1771">
        <v>45.742800000000003</v>
      </c>
      <c r="B1771">
        <v>85.138999999999996</v>
      </c>
      <c r="C1771">
        <v>4.5107299999999997</v>
      </c>
      <c r="D1771">
        <v>0</v>
      </c>
      <c r="E1771">
        <v>0.04</v>
      </c>
      <c r="F1771">
        <v>3.0236299999999998</v>
      </c>
      <c r="G1771">
        <v>3.0236299999999998</v>
      </c>
      <c r="H1771">
        <v>0</v>
      </c>
      <c r="I1771">
        <v>0.56661399999999995</v>
      </c>
      <c r="J1771">
        <v>5.3222399999999999</v>
      </c>
      <c r="K1771" s="2">
        <v>197109000</v>
      </c>
      <c r="L1771" s="1">
        <v>0</v>
      </c>
      <c r="M1771" s="1">
        <v>0</v>
      </c>
      <c r="N1771" s="1">
        <v>0</v>
      </c>
      <c r="O1771" s="1">
        <v>0</v>
      </c>
      <c r="P1771" s="2">
        <v>4520250</v>
      </c>
      <c r="Q1771" s="1">
        <v>310835</v>
      </c>
      <c r="R1771" s="1">
        <v>0</v>
      </c>
      <c r="S1771">
        <v>94.677999999999997</v>
      </c>
      <c r="T1771">
        <v>98.274000000000001</v>
      </c>
      <c r="U1771">
        <v>4.4203900000000003</v>
      </c>
      <c r="V1771">
        <v>0</v>
      </c>
      <c r="W1771">
        <v>1</v>
      </c>
      <c r="X1771">
        <v>1.7521800000000001</v>
      </c>
      <c r="Y1771">
        <v>1.7521800000000001</v>
      </c>
      <c r="Z1771">
        <v>0</v>
      </c>
      <c r="AA1771">
        <v>1.3536999999999999</v>
      </c>
      <c r="AB1771">
        <v>3.3868800000000001</v>
      </c>
      <c r="AC1771" s="2">
        <v>922944000</v>
      </c>
      <c r="AD1771" s="1">
        <v>0</v>
      </c>
      <c r="AE1771" s="1">
        <v>0</v>
      </c>
      <c r="AF1771" s="1">
        <v>0</v>
      </c>
      <c r="AG1771" s="1">
        <v>0</v>
      </c>
      <c r="AH1771" s="2">
        <v>4533300</v>
      </c>
      <c r="AI1771" s="1">
        <v>147768</v>
      </c>
      <c r="AJ1771" s="1">
        <v>0</v>
      </c>
      <c r="AK1771" s="8">
        <f t="shared" si="111"/>
        <v>2</v>
      </c>
      <c r="AL1771" s="8">
        <f t="shared" si="110"/>
        <v>35</v>
      </c>
      <c r="AM1771">
        <f t="shared" si="108"/>
        <v>0</v>
      </c>
      <c r="AN1771">
        <f t="shared" si="109"/>
        <v>0</v>
      </c>
    </row>
    <row r="1772" spans="1:40" x14ac:dyDescent="0.35">
      <c r="A1772">
        <v>47.565899999999999</v>
      </c>
      <c r="B1772">
        <v>85.138999999999996</v>
      </c>
      <c r="C1772">
        <v>4.8594799999999996</v>
      </c>
      <c r="D1772">
        <v>0</v>
      </c>
      <c r="E1772">
        <v>0.04</v>
      </c>
      <c r="F1772">
        <v>3.0236999999999998</v>
      </c>
      <c r="G1772">
        <v>3.0236999999999998</v>
      </c>
      <c r="H1772">
        <v>0</v>
      </c>
      <c r="I1772">
        <v>0.56662800000000002</v>
      </c>
      <c r="J1772">
        <v>5.3222399999999999</v>
      </c>
      <c r="K1772" s="2">
        <v>197420000</v>
      </c>
      <c r="L1772" s="1">
        <v>0</v>
      </c>
      <c r="M1772" s="1">
        <v>0</v>
      </c>
      <c r="N1772" s="1">
        <v>0</v>
      </c>
      <c r="O1772" s="1">
        <v>0</v>
      </c>
      <c r="P1772" s="2">
        <v>4520360</v>
      </c>
      <c r="Q1772" s="1">
        <v>310842</v>
      </c>
      <c r="R1772" s="1">
        <v>0</v>
      </c>
      <c r="S1772">
        <v>95.781800000000004</v>
      </c>
      <c r="T1772">
        <v>98.274000000000001</v>
      </c>
      <c r="U1772">
        <v>4.9450900000000004</v>
      </c>
      <c r="V1772">
        <v>0</v>
      </c>
      <c r="W1772">
        <v>1</v>
      </c>
      <c r="X1772">
        <v>1.7522200000000001</v>
      </c>
      <c r="Y1772">
        <v>1.7522200000000001</v>
      </c>
      <c r="Z1772">
        <v>0</v>
      </c>
      <c r="AA1772">
        <v>1.3537300000000001</v>
      </c>
      <c r="AB1772">
        <v>3.3868800000000001</v>
      </c>
      <c r="AC1772" s="2">
        <v>923092000</v>
      </c>
      <c r="AD1772" s="1">
        <v>0</v>
      </c>
      <c r="AE1772" s="1">
        <v>0</v>
      </c>
      <c r="AF1772" s="1">
        <v>0</v>
      </c>
      <c r="AG1772" s="1">
        <v>0</v>
      </c>
      <c r="AH1772" s="2">
        <v>4533400</v>
      </c>
      <c r="AI1772" s="1">
        <v>147771</v>
      </c>
      <c r="AJ1772" s="1">
        <v>0</v>
      </c>
      <c r="AK1772" s="8">
        <f t="shared" si="111"/>
        <v>3</v>
      </c>
      <c r="AL1772" s="8">
        <f t="shared" si="110"/>
        <v>35</v>
      </c>
      <c r="AM1772">
        <f t="shared" si="108"/>
        <v>0</v>
      </c>
      <c r="AN1772">
        <f t="shared" si="109"/>
        <v>0</v>
      </c>
    </row>
    <row r="1773" spans="1:40" x14ac:dyDescent="0.35">
      <c r="A1773">
        <v>51.080599999999997</v>
      </c>
      <c r="B1773">
        <v>85.138999999999996</v>
      </c>
      <c r="C1773">
        <v>6.68215</v>
      </c>
      <c r="D1773">
        <v>0</v>
      </c>
      <c r="E1773">
        <v>0.04</v>
      </c>
      <c r="F1773">
        <v>3.0237699999999998</v>
      </c>
      <c r="G1773">
        <v>3.0237699999999998</v>
      </c>
      <c r="H1773">
        <v>0</v>
      </c>
      <c r="I1773">
        <v>0.56664099999999995</v>
      </c>
      <c r="J1773">
        <v>5.3222399999999999</v>
      </c>
      <c r="K1773" s="2">
        <v>197731000</v>
      </c>
      <c r="L1773" s="1">
        <v>0</v>
      </c>
      <c r="M1773" s="1">
        <v>0</v>
      </c>
      <c r="N1773" s="1">
        <v>0</v>
      </c>
      <c r="O1773" s="1">
        <v>0</v>
      </c>
      <c r="P1773" s="2">
        <v>4520470</v>
      </c>
      <c r="Q1773" s="1">
        <v>310850</v>
      </c>
      <c r="R1773" s="1">
        <v>0</v>
      </c>
      <c r="S1773">
        <v>97.642700000000005</v>
      </c>
      <c r="T1773">
        <v>98.274000000000001</v>
      </c>
      <c r="U1773">
        <v>6.8462899999999998</v>
      </c>
      <c r="V1773">
        <v>0</v>
      </c>
      <c r="W1773">
        <v>1</v>
      </c>
      <c r="X1773">
        <v>1.7522599999999999</v>
      </c>
      <c r="Y1773">
        <v>1.7522599999999999</v>
      </c>
      <c r="Z1773">
        <v>0</v>
      </c>
      <c r="AA1773">
        <v>1.3537600000000001</v>
      </c>
      <c r="AB1773">
        <v>3.3868800000000001</v>
      </c>
      <c r="AC1773" s="2">
        <v>923239000</v>
      </c>
      <c r="AD1773" s="1">
        <v>0</v>
      </c>
      <c r="AE1773" s="1">
        <v>0</v>
      </c>
      <c r="AF1773" s="1">
        <v>0</v>
      </c>
      <c r="AG1773" s="1">
        <v>0</v>
      </c>
      <c r="AH1773" s="2">
        <v>4533510</v>
      </c>
      <c r="AI1773" s="1">
        <v>147775</v>
      </c>
      <c r="AJ1773" s="1">
        <v>0</v>
      </c>
      <c r="AK1773" s="8">
        <f t="shared" si="111"/>
        <v>4</v>
      </c>
      <c r="AL1773" s="8">
        <f t="shared" si="110"/>
        <v>35</v>
      </c>
      <c r="AM1773">
        <f t="shared" si="108"/>
        <v>0</v>
      </c>
      <c r="AN1773">
        <f t="shared" si="109"/>
        <v>0</v>
      </c>
    </row>
    <row r="1774" spans="1:40" x14ac:dyDescent="0.35">
      <c r="A1774">
        <v>54.368299999999998</v>
      </c>
      <c r="B1774">
        <v>85.138999999999996</v>
      </c>
      <c r="C1774">
        <v>6.5682999999999998</v>
      </c>
      <c r="D1774">
        <v>0</v>
      </c>
      <c r="E1774">
        <v>0.04</v>
      </c>
      <c r="F1774">
        <v>3.0238499999999999</v>
      </c>
      <c r="G1774">
        <v>3.0238499999999999</v>
      </c>
      <c r="H1774">
        <v>0</v>
      </c>
      <c r="I1774">
        <v>0.56665500000000002</v>
      </c>
      <c r="J1774">
        <v>5.3222399999999999</v>
      </c>
      <c r="K1774" s="2">
        <v>198042000</v>
      </c>
      <c r="L1774" s="1">
        <v>0</v>
      </c>
      <c r="M1774" s="1">
        <v>0</v>
      </c>
      <c r="N1774" s="1">
        <v>0</v>
      </c>
      <c r="O1774" s="1">
        <v>0</v>
      </c>
      <c r="P1774" s="2">
        <v>4520570</v>
      </c>
      <c r="Q1774" s="1">
        <v>310857</v>
      </c>
      <c r="R1774" s="1">
        <v>0</v>
      </c>
      <c r="S1774">
        <v>99.302199999999999</v>
      </c>
      <c r="T1774">
        <v>98.274000000000001</v>
      </c>
      <c r="U1774">
        <v>8.1931999999999992</v>
      </c>
      <c r="V1774">
        <v>0</v>
      </c>
      <c r="W1774">
        <v>1</v>
      </c>
      <c r="X1774">
        <v>1.7523</v>
      </c>
      <c r="Y1774">
        <v>1.7523</v>
      </c>
      <c r="Z1774">
        <v>0</v>
      </c>
      <c r="AA1774">
        <v>1.3537999999999999</v>
      </c>
      <c r="AB1774">
        <v>3.3868800000000001</v>
      </c>
      <c r="AC1774" s="2">
        <v>923387000</v>
      </c>
      <c r="AD1774" s="1">
        <v>0</v>
      </c>
      <c r="AE1774" s="1">
        <v>0</v>
      </c>
      <c r="AF1774" s="1">
        <v>0</v>
      </c>
      <c r="AG1774" s="1">
        <v>0</v>
      </c>
      <c r="AH1774" s="2">
        <v>4533620</v>
      </c>
      <c r="AI1774" s="1">
        <v>147779</v>
      </c>
      <c r="AJ1774" s="1">
        <v>0</v>
      </c>
      <c r="AK1774" s="8">
        <f t="shared" si="111"/>
        <v>5</v>
      </c>
      <c r="AL1774" s="8">
        <f t="shared" si="110"/>
        <v>35</v>
      </c>
      <c r="AM1774">
        <f t="shared" si="108"/>
        <v>0</v>
      </c>
      <c r="AN1774">
        <f t="shared" si="109"/>
        <v>0</v>
      </c>
    </row>
    <row r="1775" spans="1:40" x14ac:dyDescent="0.35">
      <c r="A1775">
        <v>56.806399999999996</v>
      </c>
      <c r="B1775">
        <v>85.138999999999996</v>
      </c>
      <c r="C1775">
        <v>5.6172700000000004</v>
      </c>
      <c r="D1775">
        <v>0</v>
      </c>
      <c r="E1775">
        <v>0.04</v>
      </c>
      <c r="F1775">
        <v>3.1186500000000001</v>
      </c>
      <c r="G1775">
        <v>3.1186500000000001</v>
      </c>
      <c r="H1775">
        <v>0</v>
      </c>
      <c r="I1775">
        <v>0.56666899999999998</v>
      </c>
      <c r="J1775">
        <v>5.3222399999999999</v>
      </c>
      <c r="K1775" s="2">
        <v>198362000</v>
      </c>
      <c r="L1775" s="1">
        <v>0</v>
      </c>
      <c r="M1775" s="1">
        <v>0</v>
      </c>
      <c r="N1775" s="1">
        <v>0</v>
      </c>
      <c r="O1775" s="1">
        <v>0</v>
      </c>
      <c r="P1775" s="2">
        <v>4662300</v>
      </c>
      <c r="Q1775" s="1">
        <v>320603</v>
      </c>
      <c r="R1775" s="1">
        <v>0</v>
      </c>
      <c r="S1775">
        <v>99.302199999999999</v>
      </c>
      <c r="T1775">
        <v>98.274000000000001</v>
      </c>
      <c r="U1775">
        <v>5.6920400000000004</v>
      </c>
      <c r="V1775">
        <v>0</v>
      </c>
      <c r="W1775">
        <v>1</v>
      </c>
      <c r="X1775">
        <v>1.8089999999999999</v>
      </c>
      <c r="Y1775">
        <v>1.8089999999999999</v>
      </c>
      <c r="Z1775">
        <v>0</v>
      </c>
      <c r="AA1775">
        <v>1.3538300000000001</v>
      </c>
      <c r="AB1775">
        <v>3.3868800000000001</v>
      </c>
      <c r="AC1775" s="2">
        <v>923540000</v>
      </c>
      <c r="AD1775" s="1">
        <v>0</v>
      </c>
      <c r="AE1775" s="1">
        <v>0</v>
      </c>
      <c r="AF1775" s="1">
        <v>0</v>
      </c>
      <c r="AG1775" s="1">
        <v>0</v>
      </c>
      <c r="AH1775" s="2">
        <v>4680320</v>
      </c>
      <c r="AI1775" s="1">
        <v>152560</v>
      </c>
      <c r="AJ1775" s="1">
        <v>0</v>
      </c>
      <c r="AK1775" s="8">
        <f t="shared" si="111"/>
        <v>6</v>
      </c>
      <c r="AL1775" s="8">
        <f t="shared" si="110"/>
        <v>35</v>
      </c>
      <c r="AM1775">
        <f t="shared" si="108"/>
        <v>0</v>
      </c>
      <c r="AN1775">
        <f t="shared" si="109"/>
        <v>0</v>
      </c>
    </row>
    <row r="1776" spans="1:40" x14ac:dyDescent="0.35">
      <c r="A1776">
        <v>63.070799999999998</v>
      </c>
      <c r="B1776">
        <v>85.138999999999996</v>
      </c>
      <c r="C1776">
        <v>9.7300599999999999</v>
      </c>
      <c r="D1776">
        <v>0</v>
      </c>
      <c r="E1776">
        <v>0.04</v>
      </c>
      <c r="F1776">
        <v>3.1187</v>
      </c>
      <c r="G1776">
        <v>3.1187</v>
      </c>
      <c r="H1776">
        <v>0</v>
      </c>
      <c r="I1776">
        <v>0.58443400000000001</v>
      </c>
      <c r="J1776">
        <v>5.3222399999999999</v>
      </c>
      <c r="K1776" s="2">
        <v>198683000</v>
      </c>
      <c r="L1776" s="1">
        <v>0</v>
      </c>
      <c r="M1776" s="1">
        <v>0</v>
      </c>
      <c r="N1776" s="1">
        <v>0</v>
      </c>
      <c r="O1776" s="1">
        <v>0</v>
      </c>
      <c r="P1776" s="2">
        <v>4662380</v>
      </c>
      <c r="Q1776" s="1">
        <v>320609</v>
      </c>
      <c r="R1776" s="1">
        <v>0</v>
      </c>
      <c r="S1776">
        <v>99.302199999999999</v>
      </c>
      <c r="T1776">
        <v>98.274000000000001</v>
      </c>
      <c r="U1776">
        <v>12.504</v>
      </c>
      <c r="V1776">
        <v>0</v>
      </c>
      <c r="W1776">
        <v>0</v>
      </c>
      <c r="X1776">
        <v>1.80904</v>
      </c>
      <c r="Y1776">
        <v>1.80904</v>
      </c>
      <c r="Z1776">
        <v>0</v>
      </c>
      <c r="AA1776">
        <v>1.3976299999999999</v>
      </c>
      <c r="AB1776">
        <v>3.3868800000000001</v>
      </c>
      <c r="AC1776" s="2">
        <v>923692000</v>
      </c>
      <c r="AD1776" s="1">
        <v>0</v>
      </c>
      <c r="AE1776" s="1">
        <v>0</v>
      </c>
      <c r="AF1776" s="1">
        <v>0</v>
      </c>
      <c r="AG1776" s="2">
        <v>7883220</v>
      </c>
      <c r="AH1776" s="2">
        <v>4680400</v>
      </c>
      <c r="AI1776" s="1">
        <v>152563</v>
      </c>
      <c r="AJ1776" s="1">
        <v>0</v>
      </c>
      <c r="AK1776" s="8">
        <f t="shared" si="111"/>
        <v>7</v>
      </c>
      <c r="AL1776" s="8">
        <f t="shared" si="110"/>
        <v>35</v>
      </c>
      <c r="AM1776">
        <f t="shared" si="108"/>
        <v>0</v>
      </c>
      <c r="AN1776">
        <f t="shared" si="109"/>
        <v>0</v>
      </c>
    </row>
    <row r="1777" spans="1:40" x14ac:dyDescent="0.35">
      <c r="A1777">
        <v>70.619100000000003</v>
      </c>
      <c r="B1777">
        <v>85.138999999999996</v>
      </c>
      <c r="C1777">
        <v>11.2174</v>
      </c>
      <c r="D1777">
        <v>0</v>
      </c>
      <c r="E1777">
        <v>0.04</v>
      </c>
      <c r="F1777">
        <v>3.11876</v>
      </c>
      <c r="G1777">
        <v>3.11876</v>
      </c>
      <c r="H1777">
        <v>0</v>
      </c>
      <c r="I1777">
        <v>0.58444499999999999</v>
      </c>
      <c r="J1777">
        <v>5.3222399999999999</v>
      </c>
      <c r="K1777" s="2">
        <v>199003000</v>
      </c>
      <c r="L1777" s="1">
        <v>0</v>
      </c>
      <c r="M1777" s="1">
        <v>0</v>
      </c>
      <c r="N1777" s="1">
        <v>0</v>
      </c>
      <c r="O1777" s="1">
        <v>0</v>
      </c>
      <c r="P1777" s="2">
        <v>4662470</v>
      </c>
      <c r="Q1777" s="1">
        <v>320615</v>
      </c>
      <c r="R1777" s="1">
        <v>0</v>
      </c>
      <c r="S1777">
        <v>99.302199999999999</v>
      </c>
      <c r="T1777">
        <v>98.274000000000001</v>
      </c>
      <c r="U1777">
        <v>13.6843</v>
      </c>
      <c r="V1777">
        <v>0</v>
      </c>
      <c r="W1777">
        <v>0</v>
      </c>
      <c r="X1777">
        <v>1.80907</v>
      </c>
      <c r="Y1777">
        <v>1.80907</v>
      </c>
      <c r="Z1777">
        <v>0</v>
      </c>
      <c r="AA1777">
        <v>1.3976599999999999</v>
      </c>
      <c r="AB1777">
        <v>3.3868800000000001</v>
      </c>
      <c r="AC1777" s="2">
        <v>923845000</v>
      </c>
      <c r="AD1777" s="1">
        <v>0</v>
      </c>
      <c r="AE1777" s="1">
        <v>0</v>
      </c>
      <c r="AF1777" s="1">
        <v>0</v>
      </c>
      <c r="AG1777" s="1">
        <v>0</v>
      </c>
      <c r="AH1777" s="2">
        <v>4680490</v>
      </c>
      <c r="AI1777" s="1">
        <v>152566</v>
      </c>
      <c r="AJ1777" s="1">
        <v>0</v>
      </c>
      <c r="AK1777" s="8">
        <f t="shared" si="111"/>
        <v>8</v>
      </c>
      <c r="AL1777" s="8">
        <f t="shared" si="110"/>
        <v>35</v>
      </c>
      <c r="AM1777">
        <f t="shared" si="108"/>
        <v>0</v>
      </c>
      <c r="AN1777">
        <f t="shared" si="109"/>
        <v>0</v>
      </c>
    </row>
    <row r="1778" spans="1:40" x14ac:dyDescent="0.35">
      <c r="A1778">
        <v>78.324399999999997</v>
      </c>
      <c r="B1778">
        <v>85.138999999999996</v>
      </c>
      <c r="C1778">
        <v>11.7951</v>
      </c>
      <c r="D1778">
        <v>0</v>
      </c>
      <c r="E1778">
        <v>0.04</v>
      </c>
      <c r="F1778">
        <v>3.1188199999999999</v>
      </c>
      <c r="G1778">
        <v>3.1188199999999999</v>
      </c>
      <c r="H1778">
        <v>0</v>
      </c>
      <c r="I1778">
        <v>0.58445599999999998</v>
      </c>
      <c r="J1778">
        <v>5.3222399999999999</v>
      </c>
      <c r="K1778" s="2">
        <v>199324000</v>
      </c>
      <c r="L1778" s="1">
        <v>0</v>
      </c>
      <c r="M1778" s="1">
        <v>0</v>
      </c>
      <c r="N1778" s="1">
        <v>0</v>
      </c>
      <c r="O1778" s="1">
        <v>0</v>
      </c>
      <c r="P1778" s="2">
        <v>4662550</v>
      </c>
      <c r="Q1778" s="1">
        <v>320620</v>
      </c>
      <c r="R1778" s="1">
        <v>0</v>
      </c>
      <c r="S1778">
        <v>99.302199999999999</v>
      </c>
      <c r="T1778">
        <v>98.274000000000001</v>
      </c>
      <c r="U1778">
        <v>15.3028</v>
      </c>
      <c r="V1778">
        <v>0</v>
      </c>
      <c r="W1778">
        <v>0</v>
      </c>
      <c r="X1778">
        <v>1.8090999999999999</v>
      </c>
      <c r="Y1778">
        <v>1.8090999999999999</v>
      </c>
      <c r="Z1778">
        <v>0</v>
      </c>
      <c r="AA1778">
        <v>1.3976900000000001</v>
      </c>
      <c r="AB1778">
        <v>3.3868800000000001</v>
      </c>
      <c r="AC1778" s="2">
        <v>923997000</v>
      </c>
      <c r="AD1778" s="1">
        <v>0</v>
      </c>
      <c r="AE1778" s="1">
        <v>0</v>
      </c>
      <c r="AF1778" s="1">
        <v>0</v>
      </c>
      <c r="AG1778" s="1">
        <v>0</v>
      </c>
      <c r="AH1778" s="2">
        <v>4680580</v>
      </c>
      <c r="AI1778" s="1">
        <v>152569</v>
      </c>
      <c r="AJ1778" s="1">
        <v>0</v>
      </c>
      <c r="AK1778" s="8">
        <f t="shared" si="111"/>
        <v>9</v>
      </c>
      <c r="AL1778" s="8">
        <f t="shared" si="110"/>
        <v>35</v>
      </c>
      <c r="AM1778">
        <f t="shared" si="108"/>
        <v>0</v>
      </c>
      <c r="AN1778">
        <f t="shared" si="109"/>
        <v>0</v>
      </c>
    </row>
    <row r="1779" spans="1:40" x14ac:dyDescent="0.35">
      <c r="A1779">
        <v>85.138999999999996</v>
      </c>
      <c r="B1779">
        <v>85.138999999999996</v>
      </c>
      <c r="C1779">
        <v>15.6578</v>
      </c>
      <c r="D1779">
        <v>0</v>
      </c>
      <c r="E1779">
        <v>0.04</v>
      </c>
      <c r="F1779">
        <v>3.4230800000000001</v>
      </c>
      <c r="G1779">
        <v>3.4230800000000001</v>
      </c>
      <c r="H1779">
        <v>0</v>
      </c>
      <c r="I1779">
        <v>0.58446600000000004</v>
      </c>
      <c r="J1779">
        <v>5.3222399999999999</v>
      </c>
      <c r="K1779" s="2">
        <v>199676000</v>
      </c>
      <c r="L1779" s="1">
        <v>0</v>
      </c>
      <c r="M1779" s="1">
        <v>0</v>
      </c>
      <c r="N1779" s="1">
        <v>0</v>
      </c>
      <c r="O1779" s="1">
        <v>0</v>
      </c>
      <c r="P1779" s="2">
        <v>5117420</v>
      </c>
      <c r="Q1779" s="1">
        <v>351899</v>
      </c>
      <c r="R1779" s="1">
        <v>0</v>
      </c>
      <c r="S1779">
        <v>99.302199999999999</v>
      </c>
      <c r="T1779">
        <v>98.274000000000001</v>
      </c>
      <c r="U1779">
        <v>17.4895</v>
      </c>
      <c r="V1779">
        <v>0</v>
      </c>
      <c r="W1779">
        <v>0</v>
      </c>
      <c r="X1779">
        <v>2.0218500000000001</v>
      </c>
      <c r="Y1779">
        <v>2.0218500000000001</v>
      </c>
      <c r="Z1779">
        <v>0</v>
      </c>
      <c r="AA1779">
        <v>1.39771</v>
      </c>
      <c r="AB1779">
        <v>3.3868800000000001</v>
      </c>
      <c r="AC1779" s="2">
        <v>924168000</v>
      </c>
      <c r="AD1779" s="1">
        <v>0</v>
      </c>
      <c r="AE1779" s="1">
        <v>0</v>
      </c>
      <c r="AF1779" s="1">
        <v>0</v>
      </c>
      <c r="AG1779" s="1">
        <v>0</v>
      </c>
      <c r="AH1779" s="2">
        <v>5231010</v>
      </c>
      <c r="AI1779" s="1">
        <v>170511</v>
      </c>
      <c r="AJ1779" s="1">
        <v>0</v>
      </c>
      <c r="AK1779" s="8">
        <f t="shared" si="111"/>
        <v>10</v>
      </c>
      <c r="AL1779" s="8">
        <f t="shared" si="110"/>
        <v>35</v>
      </c>
      <c r="AM1779">
        <f t="shared" si="108"/>
        <v>0</v>
      </c>
      <c r="AN1779">
        <f t="shared" si="109"/>
        <v>0</v>
      </c>
    </row>
    <row r="1780" spans="1:40" x14ac:dyDescent="0.35">
      <c r="A1780">
        <v>85.138999999999996</v>
      </c>
      <c r="B1780">
        <v>85.138999999999996</v>
      </c>
      <c r="C1780">
        <v>12.832599999999999</v>
      </c>
      <c r="D1780">
        <v>0</v>
      </c>
      <c r="E1780">
        <v>0.04</v>
      </c>
      <c r="F1780">
        <v>3.4231400000000001</v>
      </c>
      <c r="G1780">
        <v>3.4231400000000001</v>
      </c>
      <c r="H1780">
        <v>0</v>
      </c>
      <c r="I1780">
        <v>0.64148499999999997</v>
      </c>
      <c r="J1780">
        <v>5.3222399999999999</v>
      </c>
      <c r="K1780" s="2">
        <v>200028000</v>
      </c>
      <c r="L1780" s="1">
        <v>0</v>
      </c>
      <c r="M1780" s="1">
        <v>0</v>
      </c>
      <c r="N1780" s="1">
        <v>0</v>
      </c>
      <c r="O1780" s="1">
        <v>0</v>
      </c>
      <c r="P1780" s="2">
        <v>5117510</v>
      </c>
      <c r="Q1780" s="1">
        <v>351906</v>
      </c>
      <c r="R1780" s="1">
        <v>0</v>
      </c>
      <c r="S1780">
        <v>99.302199999999999</v>
      </c>
      <c r="T1780">
        <v>98.274000000000001</v>
      </c>
      <c r="U1780">
        <v>20.198399999999999</v>
      </c>
      <c r="V1780">
        <v>0</v>
      </c>
      <c r="W1780">
        <v>0</v>
      </c>
      <c r="X1780">
        <v>2.02189</v>
      </c>
      <c r="Y1780">
        <v>2.02189</v>
      </c>
      <c r="Z1780">
        <v>0</v>
      </c>
      <c r="AA1780">
        <v>1.5620799999999999</v>
      </c>
      <c r="AB1780">
        <v>3.3868800000000001</v>
      </c>
      <c r="AC1780" s="2">
        <v>924338000</v>
      </c>
      <c r="AD1780" s="1">
        <v>0</v>
      </c>
      <c r="AE1780" s="1">
        <v>0</v>
      </c>
      <c r="AF1780" s="1">
        <v>0</v>
      </c>
      <c r="AG1780" s="1">
        <v>0</v>
      </c>
      <c r="AH1780" s="2">
        <v>5231100</v>
      </c>
      <c r="AI1780" s="1">
        <v>170514</v>
      </c>
      <c r="AJ1780" s="1">
        <v>0</v>
      </c>
      <c r="AK1780" s="8">
        <f t="shared" si="111"/>
        <v>11</v>
      </c>
      <c r="AL1780" s="8">
        <f t="shared" si="110"/>
        <v>35</v>
      </c>
      <c r="AM1780">
        <f t="shared" si="108"/>
        <v>0</v>
      </c>
      <c r="AN1780">
        <f t="shared" si="109"/>
        <v>0</v>
      </c>
    </row>
    <row r="1781" spans="1:40" x14ac:dyDescent="0.35">
      <c r="A1781">
        <v>85.138999999999996</v>
      </c>
      <c r="B1781">
        <v>85.138999999999996</v>
      </c>
      <c r="C1781">
        <v>15.4512</v>
      </c>
      <c r="D1781">
        <v>0</v>
      </c>
      <c r="E1781">
        <v>0.04</v>
      </c>
      <c r="F1781">
        <v>3.4232100000000001</v>
      </c>
      <c r="G1781">
        <v>3.4232100000000001</v>
      </c>
      <c r="H1781">
        <v>0</v>
      </c>
      <c r="I1781">
        <v>0.64149699999999998</v>
      </c>
      <c r="J1781">
        <v>5.3222399999999999</v>
      </c>
      <c r="K1781" s="2">
        <v>200380000</v>
      </c>
      <c r="L1781" s="1">
        <v>0</v>
      </c>
      <c r="M1781" s="1">
        <v>0</v>
      </c>
      <c r="N1781" s="1">
        <v>0</v>
      </c>
      <c r="O1781" s="1">
        <v>0</v>
      </c>
      <c r="P1781" s="2">
        <v>5117610</v>
      </c>
      <c r="Q1781" s="1">
        <v>351912</v>
      </c>
      <c r="R1781" s="1">
        <v>0</v>
      </c>
      <c r="S1781">
        <v>99.302199999999999</v>
      </c>
      <c r="T1781">
        <v>98.274000000000001</v>
      </c>
      <c r="U1781">
        <v>21.857600000000001</v>
      </c>
      <c r="V1781">
        <v>0</v>
      </c>
      <c r="W1781">
        <v>0</v>
      </c>
      <c r="X1781">
        <v>2.0219200000000002</v>
      </c>
      <c r="Y1781">
        <v>2.0219200000000002</v>
      </c>
      <c r="Z1781">
        <v>0</v>
      </c>
      <c r="AA1781">
        <v>1.5621100000000001</v>
      </c>
      <c r="AB1781">
        <v>3.3868800000000001</v>
      </c>
      <c r="AC1781" s="2">
        <v>924509000</v>
      </c>
      <c r="AD1781" s="1">
        <v>0</v>
      </c>
      <c r="AE1781" s="1">
        <v>0</v>
      </c>
      <c r="AF1781" s="1">
        <v>0</v>
      </c>
      <c r="AG1781" s="1">
        <v>0</v>
      </c>
      <c r="AH1781" s="2">
        <v>5231200</v>
      </c>
      <c r="AI1781" s="1">
        <v>170517</v>
      </c>
      <c r="AJ1781" s="1">
        <v>0</v>
      </c>
      <c r="AK1781" s="8">
        <f t="shared" si="111"/>
        <v>12</v>
      </c>
      <c r="AL1781" s="8">
        <f t="shared" si="110"/>
        <v>35</v>
      </c>
      <c r="AM1781">
        <f t="shared" si="108"/>
        <v>0</v>
      </c>
      <c r="AN1781">
        <f t="shared" si="109"/>
        <v>0</v>
      </c>
    </row>
    <row r="1782" spans="1:40" x14ac:dyDescent="0.35">
      <c r="A1782">
        <v>85.138999999999996</v>
      </c>
      <c r="B1782">
        <v>85.138999999999996</v>
      </c>
      <c r="C1782">
        <v>12.7843</v>
      </c>
      <c r="D1782">
        <v>0</v>
      </c>
      <c r="E1782">
        <v>0.04</v>
      </c>
      <c r="F1782">
        <v>3.42327</v>
      </c>
      <c r="G1782">
        <v>3.42327</v>
      </c>
      <c r="H1782">
        <v>0</v>
      </c>
      <c r="I1782">
        <v>0.641509</v>
      </c>
      <c r="J1782">
        <v>5.3222399999999999</v>
      </c>
      <c r="K1782" s="2">
        <v>200732000</v>
      </c>
      <c r="L1782" s="1">
        <v>0</v>
      </c>
      <c r="M1782" s="1">
        <v>0</v>
      </c>
      <c r="N1782" s="1">
        <v>0</v>
      </c>
      <c r="O1782" s="1">
        <v>0</v>
      </c>
      <c r="P1782" s="2">
        <v>5117700</v>
      </c>
      <c r="Q1782" s="1">
        <v>351919</v>
      </c>
      <c r="R1782" s="1">
        <v>0</v>
      </c>
      <c r="S1782">
        <v>99.302199999999999</v>
      </c>
      <c r="T1782">
        <v>98.274000000000001</v>
      </c>
      <c r="U1782">
        <v>20.840699999999998</v>
      </c>
      <c r="V1782">
        <v>0</v>
      </c>
      <c r="W1782">
        <v>0</v>
      </c>
      <c r="X1782">
        <v>2.02196</v>
      </c>
      <c r="Y1782">
        <v>2.02196</v>
      </c>
      <c r="Z1782">
        <v>0</v>
      </c>
      <c r="AA1782">
        <v>1.5621400000000001</v>
      </c>
      <c r="AB1782">
        <v>3.3868800000000001</v>
      </c>
      <c r="AC1782" s="2">
        <v>924680000</v>
      </c>
      <c r="AD1782" s="1">
        <v>0</v>
      </c>
      <c r="AE1782" s="1">
        <v>0</v>
      </c>
      <c r="AF1782" s="1">
        <v>0</v>
      </c>
      <c r="AG1782" s="1">
        <v>0</v>
      </c>
      <c r="AH1782" s="2">
        <v>5231290</v>
      </c>
      <c r="AI1782" s="1">
        <v>170520</v>
      </c>
      <c r="AJ1782" s="1">
        <v>0</v>
      </c>
      <c r="AK1782" s="8">
        <f t="shared" si="111"/>
        <v>13</v>
      </c>
      <c r="AL1782" s="8">
        <f t="shared" si="110"/>
        <v>35</v>
      </c>
      <c r="AM1782">
        <f t="shared" si="108"/>
        <v>0</v>
      </c>
      <c r="AN1782">
        <f t="shared" si="109"/>
        <v>0</v>
      </c>
    </row>
    <row r="1783" spans="1:40" x14ac:dyDescent="0.35">
      <c r="A1783">
        <v>85.138999999999996</v>
      </c>
      <c r="B1783">
        <v>85.138999999999996</v>
      </c>
      <c r="C1783">
        <v>10.497</v>
      </c>
      <c r="D1783">
        <v>0</v>
      </c>
      <c r="E1783">
        <v>0.04</v>
      </c>
      <c r="F1783">
        <v>2.9893999999999998</v>
      </c>
      <c r="G1783">
        <v>2.9893999999999998</v>
      </c>
      <c r="H1783">
        <v>0</v>
      </c>
      <c r="I1783">
        <v>0.64152100000000001</v>
      </c>
      <c r="J1783">
        <v>5.3222399999999999</v>
      </c>
      <c r="K1783" s="2">
        <v>201039000</v>
      </c>
      <c r="L1783" s="1">
        <v>0</v>
      </c>
      <c r="M1783" s="1">
        <v>0</v>
      </c>
      <c r="N1783" s="1">
        <v>0</v>
      </c>
      <c r="O1783" s="1">
        <v>0</v>
      </c>
      <c r="P1783" s="2">
        <v>4469080</v>
      </c>
      <c r="Q1783" s="1">
        <v>307316</v>
      </c>
      <c r="R1783" s="1">
        <v>0</v>
      </c>
      <c r="S1783">
        <v>99.302199999999999</v>
      </c>
      <c r="T1783">
        <v>98.274000000000001</v>
      </c>
      <c r="U1783">
        <v>15.302899999999999</v>
      </c>
      <c r="V1783">
        <v>0</v>
      </c>
      <c r="W1783">
        <v>0</v>
      </c>
      <c r="X1783">
        <v>1.73651</v>
      </c>
      <c r="Y1783">
        <v>1.73651</v>
      </c>
      <c r="Z1783">
        <v>0</v>
      </c>
      <c r="AA1783">
        <v>1.5621700000000001</v>
      </c>
      <c r="AB1783">
        <v>3.3868800000000001</v>
      </c>
      <c r="AC1783" s="2">
        <v>924826000</v>
      </c>
      <c r="AD1783" s="1">
        <v>0</v>
      </c>
      <c r="AE1783" s="1">
        <v>0</v>
      </c>
      <c r="AF1783" s="1">
        <v>0</v>
      </c>
      <c r="AG1783" s="1">
        <v>0</v>
      </c>
      <c r="AH1783" s="2">
        <v>4492770</v>
      </c>
      <c r="AI1783" s="1">
        <v>146447</v>
      </c>
      <c r="AJ1783" s="1">
        <v>0</v>
      </c>
      <c r="AK1783" s="8">
        <f t="shared" si="111"/>
        <v>14</v>
      </c>
      <c r="AL1783" s="8">
        <f t="shared" si="110"/>
        <v>35</v>
      </c>
      <c r="AM1783">
        <f t="shared" si="108"/>
        <v>0</v>
      </c>
      <c r="AN1783">
        <f t="shared" si="109"/>
        <v>0</v>
      </c>
    </row>
    <row r="1784" spans="1:40" x14ac:dyDescent="0.35">
      <c r="A1784">
        <v>85.138999999999996</v>
      </c>
      <c r="B1784">
        <v>85.138999999999996</v>
      </c>
      <c r="C1784">
        <v>10.7112</v>
      </c>
      <c r="D1784">
        <v>0</v>
      </c>
      <c r="E1784">
        <v>0.04</v>
      </c>
      <c r="F1784">
        <v>2.9894599999999998</v>
      </c>
      <c r="G1784">
        <v>2.9894599999999998</v>
      </c>
      <c r="H1784">
        <v>0</v>
      </c>
      <c r="I1784">
        <v>0.56021399999999999</v>
      </c>
      <c r="J1784">
        <v>5.3222399999999999</v>
      </c>
      <c r="K1784" s="2">
        <v>201346000</v>
      </c>
      <c r="L1784" s="1">
        <v>0</v>
      </c>
      <c r="M1784" s="1">
        <v>0</v>
      </c>
      <c r="N1784" s="1">
        <v>0</v>
      </c>
      <c r="O1784" s="1">
        <v>0</v>
      </c>
      <c r="P1784" s="2">
        <v>4469160</v>
      </c>
      <c r="Q1784" s="1">
        <v>307322</v>
      </c>
      <c r="R1784" s="1">
        <v>0</v>
      </c>
      <c r="S1784">
        <v>99.302199999999999</v>
      </c>
      <c r="T1784">
        <v>98.274000000000001</v>
      </c>
      <c r="U1784">
        <v>11.838200000000001</v>
      </c>
      <c r="V1784">
        <v>0</v>
      </c>
      <c r="W1784">
        <v>0</v>
      </c>
      <c r="X1784">
        <v>1.73654</v>
      </c>
      <c r="Y1784">
        <v>1.73654</v>
      </c>
      <c r="Z1784">
        <v>0</v>
      </c>
      <c r="AA1784">
        <v>1.3416300000000001</v>
      </c>
      <c r="AB1784">
        <v>3.3868800000000001</v>
      </c>
      <c r="AC1784" s="2">
        <v>924972000</v>
      </c>
      <c r="AD1784" s="1">
        <v>0</v>
      </c>
      <c r="AE1784" s="1">
        <v>0</v>
      </c>
      <c r="AF1784" s="1">
        <v>0</v>
      </c>
      <c r="AG1784" s="1">
        <v>0</v>
      </c>
      <c r="AH1784" s="2">
        <v>4492850</v>
      </c>
      <c r="AI1784" s="1">
        <v>146449</v>
      </c>
      <c r="AJ1784" s="1">
        <v>0</v>
      </c>
      <c r="AK1784" s="8">
        <f t="shared" si="111"/>
        <v>15</v>
      </c>
      <c r="AL1784" s="8">
        <f t="shared" si="110"/>
        <v>35</v>
      </c>
      <c r="AM1784">
        <f t="shared" si="108"/>
        <v>0</v>
      </c>
      <c r="AN1784">
        <f t="shared" si="109"/>
        <v>0</v>
      </c>
    </row>
    <row r="1785" spans="1:40" x14ac:dyDescent="0.35">
      <c r="A1785">
        <v>85.138999999999996</v>
      </c>
      <c r="B1785">
        <v>85.138999999999996</v>
      </c>
      <c r="C1785">
        <v>15.6983</v>
      </c>
      <c r="D1785">
        <v>0</v>
      </c>
      <c r="E1785">
        <v>0.04</v>
      </c>
      <c r="F1785">
        <v>2.9895100000000001</v>
      </c>
      <c r="G1785">
        <v>2.9895100000000001</v>
      </c>
      <c r="H1785">
        <v>0</v>
      </c>
      <c r="I1785">
        <v>0.56022400000000006</v>
      </c>
      <c r="J1785">
        <v>5.3222399999999999</v>
      </c>
      <c r="K1785" s="2">
        <v>201654000</v>
      </c>
      <c r="L1785" s="1">
        <v>0</v>
      </c>
      <c r="M1785" s="1">
        <v>0</v>
      </c>
      <c r="N1785" s="1">
        <v>0</v>
      </c>
      <c r="O1785" s="1">
        <v>0</v>
      </c>
      <c r="P1785" s="2">
        <v>4469240</v>
      </c>
      <c r="Q1785" s="1">
        <v>307328</v>
      </c>
      <c r="R1785" s="1">
        <v>0</v>
      </c>
      <c r="S1785">
        <v>99.302199999999999</v>
      </c>
      <c r="T1785">
        <v>98.274000000000001</v>
      </c>
      <c r="U1785">
        <v>24.535</v>
      </c>
      <c r="V1785">
        <v>0</v>
      </c>
      <c r="W1785">
        <v>0</v>
      </c>
      <c r="X1785">
        <v>1.7365699999999999</v>
      </c>
      <c r="Y1785">
        <v>1.7365699999999999</v>
      </c>
      <c r="Z1785">
        <v>0</v>
      </c>
      <c r="AA1785">
        <v>1.34165</v>
      </c>
      <c r="AB1785">
        <v>3.3868800000000001</v>
      </c>
      <c r="AC1785" s="2">
        <v>925119000</v>
      </c>
      <c r="AD1785" s="1">
        <v>0</v>
      </c>
      <c r="AE1785" s="1">
        <v>0</v>
      </c>
      <c r="AF1785" s="1">
        <v>0</v>
      </c>
      <c r="AG1785" s="1">
        <v>0</v>
      </c>
      <c r="AH1785" s="2">
        <v>4492930</v>
      </c>
      <c r="AI1785" s="1">
        <v>146452</v>
      </c>
      <c r="AJ1785" s="1">
        <v>0</v>
      </c>
      <c r="AK1785" s="8">
        <f t="shared" si="111"/>
        <v>16</v>
      </c>
      <c r="AL1785" s="8">
        <f t="shared" si="110"/>
        <v>35</v>
      </c>
      <c r="AM1785">
        <f t="shared" si="108"/>
        <v>0</v>
      </c>
      <c r="AN1785">
        <f t="shared" si="109"/>
        <v>0</v>
      </c>
    </row>
    <row r="1786" spans="1:40" x14ac:dyDescent="0.35">
      <c r="A1786">
        <v>85.138999999999996</v>
      </c>
      <c r="B1786">
        <v>85.138999999999996</v>
      </c>
      <c r="C1786">
        <v>18.153400000000001</v>
      </c>
      <c r="D1786">
        <v>0</v>
      </c>
      <c r="E1786">
        <v>0.04</v>
      </c>
      <c r="F1786">
        <v>2.9895700000000001</v>
      </c>
      <c r="G1786">
        <v>2.9895700000000001</v>
      </c>
      <c r="H1786">
        <v>0</v>
      </c>
      <c r="I1786">
        <v>0.56023500000000004</v>
      </c>
      <c r="J1786">
        <v>5.3222399999999999</v>
      </c>
      <c r="K1786" s="2">
        <v>201961000</v>
      </c>
      <c r="L1786" s="1">
        <v>0</v>
      </c>
      <c r="M1786" s="1">
        <v>0</v>
      </c>
      <c r="N1786" s="1">
        <v>0</v>
      </c>
      <c r="O1786" s="1">
        <v>0</v>
      </c>
      <c r="P1786" s="2">
        <v>4469330</v>
      </c>
      <c r="Q1786" s="1">
        <v>307333</v>
      </c>
      <c r="R1786" s="1">
        <v>0</v>
      </c>
      <c r="S1786">
        <v>99.302199999999999</v>
      </c>
      <c r="T1786">
        <v>98.274000000000001</v>
      </c>
      <c r="U1786">
        <v>20.092099999999999</v>
      </c>
      <c r="V1786">
        <v>0</v>
      </c>
      <c r="W1786">
        <v>0</v>
      </c>
      <c r="X1786">
        <v>1.73661</v>
      </c>
      <c r="Y1786">
        <v>1.73661</v>
      </c>
      <c r="Z1786">
        <v>0</v>
      </c>
      <c r="AA1786">
        <v>1.34168</v>
      </c>
      <c r="AB1786">
        <v>3.3868800000000001</v>
      </c>
      <c r="AC1786" s="2">
        <v>925265000</v>
      </c>
      <c r="AD1786" s="1">
        <v>0</v>
      </c>
      <c r="AE1786" s="1">
        <v>0</v>
      </c>
      <c r="AF1786" s="1">
        <v>0</v>
      </c>
      <c r="AG1786" s="1">
        <v>0</v>
      </c>
      <c r="AH1786" s="2">
        <v>4493010</v>
      </c>
      <c r="AI1786" s="1">
        <v>146455</v>
      </c>
      <c r="AJ1786" s="1">
        <v>0</v>
      </c>
      <c r="AK1786" s="8">
        <f t="shared" si="111"/>
        <v>17</v>
      </c>
      <c r="AL1786" s="8">
        <f t="shared" si="110"/>
        <v>35</v>
      </c>
      <c r="AM1786">
        <f t="shared" si="108"/>
        <v>0</v>
      </c>
      <c r="AN1786">
        <f t="shared" si="109"/>
        <v>0</v>
      </c>
    </row>
    <row r="1787" spans="1:40" x14ac:dyDescent="0.35">
      <c r="A1787">
        <v>85.138999999999996</v>
      </c>
      <c r="B1787">
        <v>85.138999999999996</v>
      </c>
      <c r="C1787">
        <v>11.514699999999999</v>
      </c>
      <c r="D1787">
        <v>0</v>
      </c>
      <c r="E1787">
        <v>0.04</v>
      </c>
      <c r="F1787">
        <v>2.9896199999999999</v>
      </c>
      <c r="G1787">
        <v>2.9896199999999999</v>
      </c>
      <c r="H1787">
        <v>0</v>
      </c>
      <c r="I1787">
        <v>0.56024499999999999</v>
      </c>
      <c r="J1787">
        <v>5.3222399999999999</v>
      </c>
      <c r="K1787" s="2">
        <v>202268000</v>
      </c>
      <c r="L1787" s="1">
        <v>0</v>
      </c>
      <c r="M1787" s="1">
        <v>0</v>
      </c>
      <c r="N1787" s="1">
        <v>0</v>
      </c>
      <c r="O1787" s="1">
        <v>0</v>
      </c>
      <c r="P1787" s="2">
        <v>4469410</v>
      </c>
      <c r="Q1787" s="1">
        <v>307339</v>
      </c>
      <c r="R1787" s="1">
        <v>0</v>
      </c>
      <c r="S1787">
        <v>99.302199999999999</v>
      </c>
      <c r="T1787">
        <v>98.274000000000001</v>
      </c>
      <c r="U1787">
        <v>13.729799999999999</v>
      </c>
      <c r="V1787">
        <v>0</v>
      </c>
      <c r="W1787">
        <v>0</v>
      </c>
      <c r="X1787">
        <v>1.73664</v>
      </c>
      <c r="Y1787">
        <v>1.73664</v>
      </c>
      <c r="Z1787">
        <v>0</v>
      </c>
      <c r="AA1787">
        <v>1.3416999999999999</v>
      </c>
      <c r="AB1787">
        <v>3.3868800000000001</v>
      </c>
      <c r="AC1787" s="2">
        <v>925412000</v>
      </c>
      <c r="AD1787" s="1">
        <v>0</v>
      </c>
      <c r="AE1787" s="1">
        <v>0</v>
      </c>
      <c r="AF1787" s="1">
        <v>0</v>
      </c>
      <c r="AG1787" s="1">
        <v>0</v>
      </c>
      <c r="AH1787" s="2">
        <v>4493090</v>
      </c>
      <c r="AI1787" s="1">
        <v>146458</v>
      </c>
      <c r="AJ1787" s="1">
        <v>0</v>
      </c>
      <c r="AK1787" s="8">
        <f t="shared" si="111"/>
        <v>18</v>
      </c>
      <c r="AL1787" s="8">
        <f t="shared" si="110"/>
        <v>35</v>
      </c>
      <c r="AM1787">
        <f t="shared" si="108"/>
        <v>0</v>
      </c>
      <c r="AN1787">
        <f t="shared" si="109"/>
        <v>0</v>
      </c>
    </row>
    <row r="1788" spans="1:40" x14ac:dyDescent="0.35">
      <c r="A1788">
        <v>85.138999999999996</v>
      </c>
      <c r="B1788">
        <v>85.138999999999996</v>
      </c>
      <c r="C1788">
        <v>9.5198599999999995</v>
      </c>
      <c r="D1788">
        <v>0</v>
      </c>
      <c r="E1788">
        <v>0.04</v>
      </c>
      <c r="F1788">
        <v>3.0989100000000001</v>
      </c>
      <c r="G1788">
        <v>3.0989100000000001</v>
      </c>
      <c r="H1788">
        <v>0</v>
      </c>
      <c r="I1788">
        <v>0.56025499999999995</v>
      </c>
      <c r="J1788">
        <v>5.3222399999999999</v>
      </c>
      <c r="K1788" s="2">
        <v>202587000</v>
      </c>
      <c r="L1788" s="1">
        <v>0</v>
      </c>
      <c r="M1788" s="1">
        <v>0</v>
      </c>
      <c r="N1788" s="1">
        <v>0</v>
      </c>
      <c r="O1788" s="1">
        <v>0</v>
      </c>
      <c r="P1788" s="2">
        <v>4632800</v>
      </c>
      <c r="Q1788" s="1">
        <v>318574</v>
      </c>
      <c r="R1788" s="1">
        <v>0</v>
      </c>
      <c r="S1788">
        <v>99.302199999999999</v>
      </c>
      <c r="T1788">
        <v>98.274000000000001</v>
      </c>
      <c r="U1788">
        <v>12.219200000000001</v>
      </c>
      <c r="V1788">
        <v>0</v>
      </c>
      <c r="W1788">
        <v>0</v>
      </c>
      <c r="X1788">
        <v>1.8065199999999999</v>
      </c>
      <c r="Y1788">
        <v>1.8065199999999999</v>
      </c>
      <c r="Z1788">
        <v>0</v>
      </c>
      <c r="AA1788">
        <v>1.3417300000000001</v>
      </c>
      <c r="AB1788">
        <v>3.3868800000000001</v>
      </c>
      <c r="AC1788" s="2">
        <v>925564000</v>
      </c>
      <c r="AD1788" s="1">
        <v>0</v>
      </c>
      <c r="AE1788" s="1">
        <v>0</v>
      </c>
      <c r="AF1788" s="1">
        <v>0</v>
      </c>
      <c r="AG1788" s="1">
        <v>0</v>
      </c>
      <c r="AH1788" s="2">
        <v>4673890</v>
      </c>
      <c r="AI1788" s="1">
        <v>152351</v>
      </c>
      <c r="AJ1788" s="1">
        <v>0</v>
      </c>
      <c r="AK1788" s="8">
        <f t="shared" si="111"/>
        <v>19</v>
      </c>
      <c r="AL1788" s="8">
        <f t="shared" si="110"/>
        <v>35</v>
      </c>
      <c r="AM1788">
        <f t="shared" si="108"/>
        <v>0</v>
      </c>
      <c r="AN1788">
        <f t="shared" si="109"/>
        <v>0</v>
      </c>
    </row>
    <row r="1789" spans="1:40" x14ac:dyDescent="0.35">
      <c r="A1789">
        <v>85.138999999999996</v>
      </c>
      <c r="B1789">
        <v>85.138999999999996</v>
      </c>
      <c r="C1789">
        <v>8.9162099999999995</v>
      </c>
      <c r="D1789">
        <v>0</v>
      </c>
      <c r="E1789">
        <v>0.04</v>
      </c>
      <c r="F1789">
        <v>3.09897</v>
      </c>
      <c r="G1789">
        <v>3.09897</v>
      </c>
      <c r="H1789">
        <v>0</v>
      </c>
      <c r="I1789">
        <v>0.58073600000000003</v>
      </c>
      <c r="J1789">
        <v>5.3222399999999999</v>
      </c>
      <c r="K1789" s="2">
        <v>202905000</v>
      </c>
      <c r="L1789" s="1">
        <v>0</v>
      </c>
      <c r="M1789" s="1">
        <v>0</v>
      </c>
      <c r="N1789" s="1">
        <v>0</v>
      </c>
      <c r="O1789" s="1">
        <v>0</v>
      </c>
      <c r="P1789" s="2">
        <v>4632880</v>
      </c>
      <c r="Q1789" s="1">
        <v>318580</v>
      </c>
      <c r="R1789" s="1">
        <v>0</v>
      </c>
      <c r="S1789">
        <v>99.302199999999999</v>
      </c>
      <c r="T1789">
        <v>98.274000000000001</v>
      </c>
      <c r="U1789">
        <v>12.928599999999999</v>
      </c>
      <c r="V1789">
        <v>0</v>
      </c>
      <c r="W1789">
        <v>0</v>
      </c>
      <c r="X1789">
        <v>1.8065500000000001</v>
      </c>
      <c r="Y1789">
        <v>1.8065500000000001</v>
      </c>
      <c r="Z1789">
        <v>0</v>
      </c>
      <c r="AA1789">
        <v>1.39571</v>
      </c>
      <c r="AB1789">
        <v>3.3868800000000001</v>
      </c>
      <c r="AC1789" s="2">
        <v>925716000</v>
      </c>
      <c r="AD1789" s="1">
        <v>0</v>
      </c>
      <c r="AE1789" s="1">
        <v>0</v>
      </c>
      <c r="AF1789" s="1">
        <v>0</v>
      </c>
      <c r="AG1789" s="1">
        <v>0</v>
      </c>
      <c r="AH1789" s="2">
        <v>4673970</v>
      </c>
      <c r="AI1789" s="1">
        <v>152353</v>
      </c>
      <c r="AJ1789" s="1">
        <v>0</v>
      </c>
      <c r="AK1789" s="8">
        <f t="shared" si="111"/>
        <v>20</v>
      </c>
      <c r="AL1789" s="8">
        <f t="shared" si="110"/>
        <v>35</v>
      </c>
      <c r="AM1789">
        <f t="shared" si="108"/>
        <v>0</v>
      </c>
      <c r="AN1789">
        <f t="shared" si="109"/>
        <v>0</v>
      </c>
    </row>
    <row r="1790" spans="1:40" x14ac:dyDescent="0.35">
      <c r="A1790">
        <v>85.138999999999996</v>
      </c>
      <c r="B1790">
        <v>85.138999999999996</v>
      </c>
      <c r="C1790">
        <v>8.30002</v>
      </c>
      <c r="D1790">
        <v>0</v>
      </c>
      <c r="E1790">
        <v>0.04</v>
      </c>
      <c r="F1790">
        <v>3.09903</v>
      </c>
      <c r="G1790">
        <v>3.09903</v>
      </c>
      <c r="H1790">
        <v>0</v>
      </c>
      <c r="I1790">
        <v>0.58074700000000001</v>
      </c>
      <c r="J1790">
        <v>5.3222399999999999</v>
      </c>
      <c r="K1790" s="2">
        <v>203224000</v>
      </c>
      <c r="L1790" s="1">
        <v>0</v>
      </c>
      <c r="M1790" s="1">
        <v>0</v>
      </c>
      <c r="N1790" s="1">
        <v>0</v>
      </c>
      <c r="O1790" s="1">
        <v>0</v>
      </c>
      <c r="P1790" s="2">
        <v>4632960</v>
      </c>
      <c r="Q1790" s="1">
        <v>318586</v>
      </c>
      <c r="R1790" s="1">
        <v>0</v>
      </c>
      <c r="S1790">
        <v>99.302199999999999</v>
      </c>
      <c r="T1790">
        <v>98.274000000000001</v>
      </c>
      <c r="U1790">
        <v>13.348100000000001</v>
      </c>
      <c r="V1790">
        <v>0</v>
      </c>
      <c r="W1790">
        <v>0</v>
      </c>
      <c r="X1790">
        <v>1.8065800000000001</v>
      </c>
      <c r="Y1790">
        <v>1.8065800000000001</v>
      </c>
      <c r="Z1790">
        <v>0</v>
      </c>
      <c r="AA1790">
        <v>1.39574</v>
      </c>
      <c r="AB1790">
        <v>3.3868800000000001</v>
      </c>
      <c r="AC1790" s="2">
        <v>925869000</v>
      </c>
      <c r="AD1790" s="1">
        <v>0</v>
      </c>
      <c r="AE1790" s="1">
        <v>0</v>
      </c>
      <c r="AF1790" s="1">
        <v>0</v>
      </c>
      <c r="AG1790" s="1">
        <v>0</v>
      </c>
      <c r="AH1790" s="2">
        <v>4674060</v>
      </c>
      <c r="AI1790" s="1">
        <v>152356</v>
      </c>
      <c r="AJ1790" s="1">
        <v>0</v>
      </c>
      <c r="AK1790" s="8">
        <f t="shared" si="111"/>
        <v>21</v>
      </c>
      <c r="AL1790" s="8">
        <f t="shared" si="110"/>
        <v>35</v>
      </c>
      <c r="AM1790">
        <f t="shared" si="108"/>
        <v>0</v>
      </c>
      <c r="AN1790">
        <f t="shared" si="109"/>
        <v>0</v>
      </c>
    </row>
    <row r="1791" spans="1:40" x14ac:dyDescent="0.35">
      <c r="A1791">
        <v>85.138999999999996</v>
      </c>
      <c r="B1791">
        <v>85.138999999999996</v>
      </c>
      <c r="C1791">
        <v>6.78782</v>
      </c>
      <c r="D1791">
        <v>0</v>
      </c>
      <c r="E1791">
        <v>0.04</v>
      </c>
      <c r="F1791">
        <v>3.0990799999999998</v>
      </c>
      <c r="G1791">
        <v>3.0990799999999998</v>
      </c>
      <c r="H1791">
        <v>0</v>
      </c>
      <c r="I1791">
        <v>0.58075699999999997</v>
      </c>
      <c r="J1791">
        <v>5.3222399999999999</v>
      </c>
      <c r="K1791" s="2">
        <v>203543000</v>
      </c>
      <c r="L1791" s="1">
        <v>0</v>
      </c>
      <c r="M1791" s="1">
        <v>0</v>
      </c>
      <c r="N1791" s="1">
        <v>0</v>
      </c>
      <c r="O1791" s="1">
        <v>0</v>
      </c>
      <c r="P1791" s="2">
        <v>4633050</v>
      </c>
      <c r="Q1791" s="1">
        <v>318592</v>
      </c>
      <c r="R1791" s="1">
        <v>0</v>
      </c>
      <c r="S1791">
        <v>99.302199999999999</v>
      </c>
      <c r="T1791">
        <v>98.274000000000001</v>
      </c>
      <c r="U1791">
        <v>9.7401400000000002</v>
      </c>
      <c r="V1791">
        <v>0</v>
      </c>
      <c r="W1791">
        <v>0</v>
      </c>
      <c r="X1791">
        <v>1.8066199999999999</v>
      </c>
      <c r="Y1791">
        <v>1.8066199999999999</v>
      </c>
      <c r="Z1791">
        <v>0</v>
      </c>
      <c r="AA1791">
        <v>1.39577</v>
      </c>
      <c r="AB1791">
        <v>3.3868800000000001</v>
      </c>
      <c r="AC1791" s="2">
        <v>926021000</v>
      </c>
      <c r="AD1791" s="1">
        <v>0</v>
      </c>
      <c r="AE1791" s="1">
        <v>0</v>
      </c>
      <c r="AF1791" s="1">
        <v>0</v>
      </c>
      <c r="AG1791" s="1">
        <v>0</v>
      </c>
      <c r="AH1791" s="2">
        <v>4674140</v>
      </c>
      <c r="AI1791" s="1">
        <v>152359</v>
      </c>
      <c r="AJ1791" s="1">
        <v>0</v>
      </c>
      <c r="AK1791" s="8">
        <f t="shared" si="111"/>
        <v>22</v>
      </c>
      <c r="AL1791" s="8">
        <f t="shared" si="110"/>
        <v>35</v>
      </c>
      <c r="AM1791">
        <f t="shared" si="108"/>
        <v>0</v>
      </c>
      <c r="AN1791">
        <f t="shared" si="109"/>
        <v>0</v>
      </c>
    </row>
    <row r="1792" spans="1:40" x14ac:dyDescent="0.35">
      <c r="A1792">
        <v>85.138999999999996</v>
      </c>
      <c r="B1792">
        <v>85.138999999999996</v>
      </c>
      <c r="C1792">
        <v>5.7372500000000004</v>
      </c>
      <c r="D1792">
        <v>0</v>
      </c>
      <c r="E1792">
        <v>0.04</v>
      </c>
      <c r="F1792">
        <v>3.0564200000000001</v>
      </c>
      <c r="G1792">
        <v>3.0564200000000001</v>
      </c>
      <c r="H1792">
        <v>0</v>
      </c>
      <c r="I1792">
        <v>0.58076799999999995</v>
      </c>
      <c r="J1792">
        <v>5.3222399999999999</v>
      </c>
      <c r="K1792" s="2">
        <v>203857000</v>
      </c>
      <c r="L1792" s="1">
        <v>0</v>
      </c>
      <c r="M1792" s="1">
        <v>0</v>
      </c>
      <c r="N1792" s="1">
        <v>0</v>
      </c>
      <c r="O1792" s="1">
        <v>0</v>
      </c>
      <c r="P1792" s="2">
        <v>4569280</v>
      </c>
      <c r="Q1792" s="1">
        <v>314206</v>
      </c>
      <c r="R1792" s="1">
        <v>0</v>
      </c>
      <c r="S1792">
        <v>99.302199999999999</v>
      </c>
      <c r="T1792">
        <v>98.274000000000001</v>
      </c>
      <c r="U1792">
        <v>7.1905900000000003</v>
      </c>
      <c r="V1792">
        <v>0</v>
      </c>
      <c r="W1792">
        <v>0</v>
      </c>
      <c r="X1792">
        <v>1.77952</v>
      </c>
      <c r="Y1792">
        <v>1.77952</v>
      </c>
      <c r="Z1792">
        <v>0</v>
      </c>
      <c r="AA1792">
        <v>1.3957900000000001</v>
      </c>
      <c r="AB1792">
        <v>3.3868800000000001</v>
      </c>
      <c r="AC1792" s="2">
        <v>926171000</v>
      </c>
      <c r="AD1792" s="1">
        <v>0</v>
      </c>
      <c r="AE1792" s="1">
        <v>0</v>
      </c>
      <c r="AF1792" s="1">
        <v>0</v>
      </c>
      <c r="AG1792" s="1">
        <v>0</v>
      </c>
      <c r="AH1792" s="2">
        <v>4604040</v>
      </c>
      <c r="AI1792" s="1">
        <v>150074</v>
      </c>
      <c r="AJ1792" s="1">
        <v>0</v>
      </c>
      <c r="AK1792" s="8">
        <f t="shared" si="111"/>
        <v>23</v>
      </c>
      <c r="AL1792" s="8">
        <f t="shared" si="110"/>
        <v>35</v>
      </c>
      <c r="AM1792">
        <f t="shared" si="108"/>
        <v>0</v>
      </c>
      <c r="AN1792">
        <f t="shared" si="109"/>
        <v>0</v>
      </c>
    </row>
    <row r="1793" spans="1:40" x14ac:dyDescent="0.35">
      <c r="A1793">
        <v>85.138999999999996</v>
      </c>
      <c r="B1793">
        <v>85.138999999999996</v>
      </c>
      <c r="C1793">
        <v>5.3752000000000004</v>
      </c>
      <c r="D1793">
        <v>0</v>
      </c>
      <c r="E1793">
        <v>0.04</v>
      </c>
      <c r="F1793">
        <v>3.0564800000000001</v>
      </c>
      <c r="G1793">
        <v>3.0564800000000001</v>
      </c>
      <c r="H1793">
        <v>0</v>
      </c>
      <c r="I1793">
        <v>0.57277400000000001</v>
      </c>
      <c r="J1793">
        <v>5.3222399999999999</v>
      </c>
      <c r="K1793" s="2">
        <v>204171000</v>
      </c>
      <c r="L1793" s="1">
        <v>0</v>
      </c>
      <c r="M1793" s="1">
        <v>0</v>
      </c>
      <c r="N1793" s="1">
        <v>0</v>
      </c>
      <c r="O1793" s="1">
        <v>0</v>
      </c>
      <c r="P1793" s="2">
        <v>4569360</v>
      </c>
      <c r="Q1793" s="1">
        <v>314212</v>
      </c>
      <c r="R1793" s="1">
        <v>0</v>
      </c>
      <c r="S1793">
        <v>99.302199999999999</v>
      </c>
      <c r="T1793">
        <v>98.274000000000001</v>
      </c>
      <c r="U1793">
        <v>6.8169399999999998</v>
      </c>
      <c r="V1793">
        <v>0</v>
      </c>
      <c r="W1793">
        <v>0</v>
      </c>
      <c r="X1793">
        <v>1.77955</v>
      </c>
      <c r="Y1793">
        <v>1.77955</v>
      </c>
      <c r="Z1793">
        <v>0</v>
      </c>
      <c r="AA1793">
        <v>1.37486</v>
      </c>
      <c r="AB1793">
        <v>3.3868800000000001</v>
      </c>
      <c r="AC1793" s="2">
        <v>926321000</v>
      </c>
      <c r="AD1793" s="1">
        <v>0</v>
      </c>
      <c r="AE1793" s="1">
        <v>0</v>
      </c>
      <c r="AF1793" s="1">
        <v>0</v>
      </c>
      <c r="AG1793" s="1">
        <v>0</v>
      </c>
      <c r="AH1793" s="2">
        <v>4604120</v>
      </c>
      <c r="AI1793" s="1">
        <v>150077</v>
      </c>
      <c r="AJ1793" s="1">
        <v>0</v>
      </c>
      <c r="AK1793" s="8">
        <f t="shared" si="111"/>
        <v>24</v>
      </c>
      <c r="AL1793" s="8">
        <f t="shared" si="110"/>
        <v>35</v>
      </c>
      <c r="AM1793">
        <f t="shared" si="108"/>
        <v>0</v>
      </c>
      <c r="AN1793">
        <f t="shared" si="109"/>
        <v>0</v>
      </c>
    </row>
    <row r="1794" spans="1:40" x14ac:dyDescent="0.35">
      <c r="A1794">
        <v>85.138999999999996</v>
      </c>
      <c r="B1794">
        <v>85.138999999999996</v>
      </c>
      <c r="C1794">
        <v>4.9412000000000003</v>
      </c>
      <c r="D1794">
        <v>0</v>
      </c>
      <c r="E1794">
        <v>0.04</v>
      </c>
      <c r="F1794">
        <v>3.05654</v>
      </c>
      <c r="G1794">
        <v>3.05654</v>
      </c>
      <c r="H1794">
        <v>0</v>
      </c>
      <c r="I1794">
        <v>0.57278499999999999</v>
      </c>
      <c r="J1794">
        <v>5.3222399999999999</v>
      </c>
      <c r="K1794" s="2">
        <v>204485000</v>
      </c>
      <c r="L1794" s="1">
        <v>0</v>
      </c>
      <c r="M1794" s="1">
        <v>0</v>
      </c>
      <c r="N1794" s="1">
        <v>0</v>
      </c>
      <c r="O1794" s="1">
        <v>0</v>
      </c>
      <c r="P1794" s="2">
        <v>4569440</v>
      </c>
      <c r="Q1794" s="1">
        <v>314218</v>
      </c>
      <c r="R1794" s="1">
        <v>0</v>
      </c>
      <c r="S1794">
        <v>99.302199999999999</v>
      </c>
      <c r="T1794">
        <v>98.274000000000001</v>
      </c>
      <c r="U1794">
        <v>6.8364099999999999</v>
      </c>
      <c r="V1794">
        <v>0</v>
      </c>
      <c r="W1794">
        <v>0</v>
      </c>
      <c r="X1794">
        <v>1.7795799999999999</v>
      </c>
      <c r="Y1794">
        <v>1.7795799999999999</v>
      </c>
      <c r="Z1794">
        <v>0</v>
      </c>
      <c r="AA1794">
        <v>1.3748800000000001</v>
      </c>
      <c r="AB1794">
        <v>3.3868800000000001</v>
      </c>
      <c r="AC1794" s="2">
        <v>926471000</v>
      </c>
      <c r="AD1794" s="1">
        <v>0</v>
      </c>
      <c r="AE1794" s="1">
        <v>0</v>
      </c>
      <c r="AF1794" s="1">
        <v>0</v>
      </c>
      <c r="AG1794" s="1">
        <v>0</v>
      </c>
      <c r="AH1794" s="2">
        <v>4604210</v>
      </c>
      <c r="AI1794" s="1">
        <v>150079</v>
      </c>
      <c r="AJ1794" s="1">
        <v>0</v>
      </c>
      <c r="AK1794" s="8">
        <f t="shared" si="111"/>
        <v>25</v>
      </c>
      <c r="AL1794" s="8">
        <f t="shared" si="110"/>
        <v>35</v>
      </c>
      <c r="AM1794">
        <f t="shared" si="108"/>
        <v>0</v>
      </c>
      <c r="AN1794">
        <f t="shared" si="109"/>
        <v>0</v>
      </c>
    </row>
    <row r="1795" spans="1:40" x14ac:dyDescent="0.35">
      <c r="A1795">
        <v>85.138999999999996</v>
      </c>
      <c r="B1795">
        <v>85.138999999999996</v>
      </c>
      <c r="C1795">
        <v>4.7729400000000002</v>
      </c>
      <c r="D1795">
        <v>0</v>
      </c>
      <c r="E1795">
        <v>0.04</v>
      </c>
      <c r="F1795">
        <v>3.0565899999999999</v>
      </c>
      <c r="G1795">
        <v>3.0565899999999999</v>
      </c>
      <c r="H1795">
        <v>0</v>
      </c>
      <c r="I1795">
        <v>0.57279500000000005</v>
      </c>
      <c r="J1795">
        <v>5.3222399999999999</v>
      </c>
      <c r="K1795" s="2">
        <v>204799000</v>
      </c>
      <c r="L1795" s="1">
        <v>0</v>
      </c>
      <c r="M1795" s="1">
        <v>0</v>
      </c>
      <c r="N1795" s="1">
        <v>0</v>
      </c>
      <c r="O1795" s="1">
        <v>0</v>
      </c>
      <c r="P1795" s="2">
        <v>4569530</v>
      </c>
      <c r="Q1795" s="1">
        <v>314224</v>
      </c>
      <c r="R1795" s="1">
        <v>0</v>
      </c>
      <c r="S1795">
        <v>99.302199999999999</v>
      </c>
      <c r="T1795">
        <v>98.274000000000001</v>
      </c>
      <c r="U1795">
        <v>8.3946799999999993</v>
      </c>
      <c r="V1795">
        <v>0</v>
      </c>
      <c r="W1795">
        <v>0</v>
      </c>
      <c r="X1795">
        <v>1.77962</v>
      </c>
      <c r="Y1795">
        <v>1.77962</v>
      </c>
      <c r="Z1795">
        <v>0</v>
      </c>
      <c r="AA1795">
        <v>1.3749100000000001</v>
      </c>
      <c r="AB1795">
        <v>3.3868800000000001</v>
      </c>
      <c r="AC1795" s="2">
        <v>926621000</v>
      </c>
      <c r="AD1795" s="1">
        <v>0</v>
      </c>
      <c r="AE1795" s="1">
        <v>0</v>
      </c>
      <c r="AF1795" s="1">
        <v>0</v>
      </c>
      <c r="AG1795" s="1">
        <v>0</v>
      </c>
      <c r="AH1795" s="2">
        <v>4604290</v>
      </c>
      <c r="AI1795" s="1">
        <v>150082</v>
      </c>
      <c r="AJ1795" s="1">
        <v>0</v>
      </c>
      <c r="AK1795" s="8">
        <f t="shared" si="111"/>
        <v>26</v>
      </c>
      <c r="AL1795" s="8">
        <f t="shared" si="110"/>
        <v>35</v>
      </c>
      <c r="AM1795">
        <f t="shared" ref="AM1795:AM1858" si="112">IF(AK1795=52,AC1795,0)</f>
        <v>0</v>
      </c>
      <c r="AN1795">
        <f t="shared" ref="AN1795:AN1858" si="113">IF(AK1795=52,K1795,0)</f>
        <v>0</v>
      </c>
    </row>
    <row r="1796" spans="1:40" x14ac:dyDescent="0.35">
      <c r="A1796">
        <v>85.138999999999996</v>
      </c>
      <c r="B1796">
        <v>85.138999999999996</v>
      </c>
      <c r="C1796">
        <v>4.6022999999999996</v>
      </c>
      <c r="D1796">
        <v>0</v>
      </c>
      <c r="E1796">
        <v>0.04</v>
      </c>
      <c r="F1796">
        <v>3.2016499999999999</v>
      </c>
      <c r="G1796">
        <v>3.2016499999999999</v>
      </c>
      <c r="H1796">
        <v>0</v>
      </c>
      <c r="I1796">
        <v>0.57280500000000001</v>
      </c>
      <c r="J1796">
        <v>5.3222399999999999</v>
      </c>
      <c r="K1796" s="2">
        <v>205129000</v>
      </c>
      <c r="L1796" s="1">
        <v>0</v>
      </c>
      <c r="M1796" s="1">
        <v>0</v>
      </c>
      <c r="N1796" s="1">
        <v>0</v>
      </c>
      <c r="O1796" s="1">
        <v>0</v>
      </c>
      <c r="P1796" s="2">
        <v>4786380</v>
      </c>
      <c r="Q1796" s="1">
        <v>329135</v>
      </c>
      <c r="R1796" s="1">
        <v>0</v>
      </c>
      <c r="S1796">
        <v>99.302199999999999</v>
      </c>
      <c r="T1796">
        <v>98.274000000000001</v>
      </c>
      <c r="U1796">
        <v>6.4514100000000001</v>
      </c>
      <c r="V1796">
        <v>0</v>
      </c>
      <c r="W1796">
        <v>0</v>
      </c>
      <c r="X1796">
        <v>1.8758699999999999</v>
      </c>
      <c r="Y1796">
        <v>1.8758699999999999</v>
      </c>
      <c r="Z1796">
        <v>0</v>
      </c>
      <c r="AA1796">
        <v>1.37493</v>
      </c>
      <c r="AB1796">
        <v>3.3868800000000001</v>
      </c>
      <c r="AC1796" s="2">
        <v>926780000</v>
      </c>
      <c r="AD1796" s="1">
        <v>0</v>
      </c>
      <c r="AE1796" s="1">
        <v>0</v>
      </c>
      <c r="AF1796" s="1">
        <v>0</v>
      </c>
      <c r="AG1796" s="1">
        <v>0</v>
      </c>
      <c r="AH1796" s="2">
        <v>4853310</v>
      </c>
      <c r="AI1796" s="1">
        <v>158199</v>
      </c>
      <c r="AJ1796" s="1">
        <v>0</v>
      </c>
      <c r="AK1796" s="8">
        <f t="shared" si="111"/>
        <v>27</v>
      </c>
      <c r="AL1796" s="8">
        <f t="shared" ref="AL1796:AL1859" si="114">IF(AK1795=52,AL1795+1,AL1795)</f>
        <v>35</v>
      </c>
      <c r="AM1796">
        <f t="shared" si="112"/>
        <v>0</v>
      </c>
      <c r="AN1796">
        <f t="shared" si="113"/>
        <v>0</v>
      </c>
    </row>
    <row r="1797" spans="1:40" x14ac:dyDescent="0.35">
      <c r="A1797">
        <v>85.138999999999996</v>
      </c>
      <c r="B1797">
        <v>85.138999999999996</v>
      </c>
      <c r="C1797">
        <v>4.2118399999999996</v>
      </c>
      <c r="D1797">
        <v>0</v>
      </c>
      <c r="E1797">
        <v>0.04</v>
      </c>
      <c r="F1797">
        <v>3.2017099999999998</v>
      </c>
      <c r="G1797">
        <v>3.2017099999999998</v>
      </c>
      <c r="H1797">
        <v>0</v>
      </c>
      <c r="I1797">
        <v>0.59998899999999999</v>
      </c>
      <c r="J1797">
        <v>5.3222399999999999</v>
      </c>
      <c r="K1797" s="2">
        <v>205458000</v>
      </c>
      <c r="L1797" s="1">
        <v>0</v>
      </c>
      <c r="M1797" s="1">
        <v>0</v>
      </c>
      <c r="N1797" s="1">
        <v>0</v>
      </c>
      <c r="O1797" s="1">
        <v>0</v>
      </c>
      <c r="P1797" s="2">
        <v>4786470</v>
      </c>
      <c r="Q1797" s="1">
        <v>329142</v>
      </c>
      <c r="R1797" s="1">
        <v>0</v>
      </c>
      <c r="S1797">
        <v>99.302199999999999</v>
      </c>
      <c r="T1797">
        <v>98.274000000000001</v>
      </c>
      <c r="U1797">
        <v>5.7992100000000004</v>
      </c>
      <c r="V1797">
        <v>0</v>
      </c>
      <c r="W1797">
        <v>0</v>
      </c>
      <c r="X1797">
        <v>1.8758999999999999</v>
      </c>
      <c r="Y1797">
        <v>1.8758999999999999</v>
      </c>
      <c r="Z1797">
        <v>0</v>
      </c>
      <c r="AA1797">
        <v>1.44929</v>
      </c>
      <c r="AB1797">
        <v>3.3868800000000001</v>
      </c>
      <c r="AC1797" s="2">
        <v>926938000</v>
      </c>
      <c r="AD1797" s="1">
        <v>0</v>
      </c>
      <c r="AE1797" s="1">
        <v>0</v>
      </c>
      <c r="AF1797" s="1">
        <v>0</v>
      </c>
      <c r="AG1797" s="1">
        <v>0</v>
      </c>
      <c r="AH1797" s="2">
        <v>4853400</v>
      </c>
      <c r="AI1797" s="1">
        <v>158202</v>
      </c>
      <c r="AJ1797" s="1">
        <v>0</v>
      </c>
      <c r="AK1797" s="8">
        <f t="shared" si="111"/>
        <v>28</v>
      </c>
      <c r="AL1797" s="8">
        <f t="shared" si="114"/>
        <v>35</v>
      </c>
      <c r="AM1797">
        <f t="shared" si="112"/>
        <v>0</v>
      </c>
      <c r="AN1797">
        <f t="shared" si="113"/>
        <v>0</v>
      </c>
    </row>
    <row r="1798" spans="1:40" x14ac:dyDescent="0.35">
      <c r="A1798">
        <v>85.138999999999996</v>
      </c>
      <c r="B1798">
        <v>85.138999999999996</v>
      </c>
      <c r="C1798">
        <v>3.8926099999999999</v>
      </c>
      <c r="D1798">
        <v>0</v>
      </c>
      <c r="E1798">
        <v>0.04</v>
      </c>
      <c r="F1798">
        <v>3.2017600000000002</v>
      </c>
      <c r="G1798">
        <v>3.2017600000000002</v>
      </c>
      <c r="H1798">
        <v>0</v>
      </c>
      <c r="I1798">
        <v>0.6</v>
      </c>
      <c r="J1798">
        <v>5.3222399999999999</v>
      </c>
      <c r="K1798" s="2">
        <v>205787000</v>
      </c>
      <c r="L1798" s="1">
        <v>0</v>
      </c>
      <c r="M1798" s="1">
        <v>0</v>
      </c>
      <c r="N1798" s="1">
        <v>0</v>
      </c>
      <c r="O1798" s="1">
        <v>0</v>
      </c>
      <c r="P1798" s="2">
        <v>4786560</v>
      </c>
      <c r="Q1798" s="1">
        <v>329148</v>
      </c>
      <c r="R1798" s="1">
        <v>0</v>
      </c>
      <c r="S1798">
        <v>99.302199999999999</v>
      </c>
      <c r="T1798">
        <v>98.274000000000001</v>
      </c>
      <c r="U1798">
        <v>5.8169700000000004</v>
      </c>
      <c r="V1798">
        <v>0</v>
      </c>
      <c r="W1798">
        <v>0</v>
      </c>
      <c r="X1798">
        <v>1.8759300000000001</v>
      </c>
      <c r="Y1798">
        <v>1.8759300000000001</v>
      </c>
      <c r="Z1798">
        <v>0</v>
      </c>
      <c r="AA1798">
        <v>1.4493199999999999</v>
      </c>
      <c r="AB1798">
        <v>3.3868800000000001</v>
      </c>
      <c r="AC1798" s="2">
        <v>927096000</v>
      </c>
      <c r="AD1798" s="1">
        <v>0</v>
      </c>
      <c r="AE1798" s="1">
        <v>0</v>
      </c>
      <c r="AF1798" s="1">
        <v>0</v>
      </c>
      <c r="AG1798" s="1">
        <v>0</v>
      </c>
      <c r="AH1798" s="2">
        <v>4853490</v>
      </c>
      <c r="AI1798" s="1">
        <v>158205</v>
      </c>
      <c r="AJ1798" s="1">
        <v>0</v>
      </c>
      <c r="AK1798" s="8">
        <f t="shared" si="111"/>
        <v>29</v>
      </c>
      <c r="AL1798" s="8">
        <f t="shared" si="114"/>
        <v>35</v>
      </c>
      <c r="AM1798">
        <f t="shared" si="112"/>
        <v>0</v>
      </c>
      <c r="AN1798">
        <f t="shared" si="113"/>
        <v>0</v>
      </c>
    </row>
    <row r="1799" spans="1:40" x14ac:dyDescent="0.35">
      <c r="A1799">
        <v>85.138999999999996</v>
      </c>
      <c r="B1799">
        <v>85.138999999999996</v>
      </c>
      <c r="C1799">
        <v>3.76755</v>
      </c>
      <c r="D1799">
        <v>0</v>
      </c>
      <c r="E1799">
        <v>0.04</v>
      </c>
      <c r="F1799">
        <v>3.2018200000000001</v>
      </c>
      <c r="G1799">
        <v>3.2018200000000001</v>
      </c>
      <c r="H1799">
        <v>0</v>
      </c>
      <c r="I1799">
        <v>0.60001000000000004</v>
      </c>
      <c r="J1799">
        <v>5.3222399999999999</v>
      </c>
      <c r="K1799" s="2">
        <v>206116000</v>
      </c>
      <c r="L1799" s="1">
        <v>0</v>
      </c>
      <c r="M1799" s="1">
        <v>0</v>
      </c>
      <c r="N1799" s="1">
        <v>0</v>
      </c>
      <c r="O1799" s="1">
        <v>0</v>
      </c>
      <c r="P1799" s="2">
        <v>4786640</v>
      </c>
      <c r="Q1799" s="1">
        <v>329154</v>
      </c>
      <c r="R1799" s="1">
        <v>0</v>
      </c>
      <c r="S1799">
        <v>99.302199999999999</v>
      </c>
      <c r="T1799">
        <v>98.274000000000001</v>
      </c>
      <c r="U1799">
        <v>5.7554400000000001</v>
      </c>
      <c r="V1799">
        <v>0</v>
      </c>
      <c r="W1799">
        <v>0</v>
      </c>
      <c r="X1799">
        <v>1.8759699999999999</v>
      </c>
      <c r="Y1799">
        <v>1.8759699999999999</v>
      </c>
      <c r="Z1799">
        <v>0</v>
      </c>
      <c r="AA1799">
        <v>1.4493499999999999</v>
      </c>
      <c r="AB1799">
        <v>3.3868800000000001</v>
      </c>
      <c r="AC1799" s="2">
        <v>927254000</v>
      </c>
      <c r="AD1799" s="1">
        <v>0</v>
      </c>
      <c r="AE1799" s="1">
        <v>0</v>
      </c>
      <c r="AF1799" s="1">
        <v>0</v>
      </c>
      <c r="AG1799" s="1">
        <v>0</v>
      </c>
      <c r="AH1799" s="2">
        <v>4853580</v>
      </c>
      <c r="AI1799" s="1">
        <v>158208</v>
      </c>
      <c r="AJ1799" s="1">
        <v>0</v>
      </c>
      <c r="AK1799" s="8">
        <f t="shared" si="111"/>
        <v>30</v>
      </c>
      <c r="AL1799" s="8">
        <f t="shared" si="114"/>
        <v>35</v>
      </c>
      <c r="AM1799">
        <f t="shared" si="112"/>
        <v>0</v>
      </c>
      <c r="AN1799">
        <f t="shared" si="113"/>
        <v>0</v>
      </c>
    </row>
    <row r="1800" spans="1:40" x14ac:dyDescent="0.35">
      <c r="A1800">
        <v>85.138999999999996</v>
      </c>
      <c r="B1800">
        <v>85.138999999999996</v>
      </c>
      <c r="C1800">
        <v>3.5348299999999999</v>
      </c>
      <c r="D1800">
        <v>0</v>
      </c>
      <c r="E1800">
        <v>0.04</v>
      </c>
      <c r="F1800">
        <v>3.2018800000000001</v>
      </c>
      <c r="G1800">
        <v>3.2018800000000001</v>
      </c>
      <c r="H1800">
        <v>0</v>
      </c>
      <c r="I1800">
        <v>0.60002100000000003</v>
      </c>
      <c r="J1800">
        <v>5.3222399999999999</v>
      </c>
      <c r="K1800" s="2">
        <v>206445000</v>
      </c>
      <c r="L1800" s="1">
        <v>0</v>
      </c>
      <c r="M1800" s="1">
        <v>0</v>
      </c>
      <c r="N1800" s="1">
        <v>0</v>
      </c>
      <c r="O1800" s="1">
        <v>0</v>
      </c>
      <c r="P1800" s="2">
        <v>4786730</v>
      </c>
      <c r="Q1800" s="1">
        <v>329160</v>
      </c>
      <c r="R1800" s="1">
        <v>0</v>
      </c>
      <c r="S1800">
        <v>99.302199999999999</v>
      </c>
      <c r="T1800">
        <v>98.274000000000001</v>
      </c>
      <c r="U1800">
        <v>5.18825</v>
      </c>
      <c r="V1800">
        <v>0</v>
      </c>
      <c r="W1800">
        <v>0</v>
      </c>
      <c r="X1800">
        <v>1.8759999999999999</v>
      </c>
      <c r="Y1800">
        <v>1.8759999999999999</v>
      </c>
      <c r="Z1800">
        <v>0</v>
      </c>
      <c r="AA1800">
        <v>1.44937</v>
      </c>
      <c r="AB1800">
        <v>3.3868800000000001</v>
      </c>
      <c r="AC1800" s="2">
        <v>927413000</v>
      </c>
      <c r="AD1800" s="1">
        <v>0</v>
      </c>
      <c r="AE1800" s="1">
        <v>0</v>
      </c>
      <c r="AF1800" s="1">
        <v>0</v>
      </c>
      <c r="AG1800" s="1">
        <v>0</v>
      </c>
      <c r="AH1800" s="2">
        <v>4853670</v>
      </c>
      <c r="AI1800" s="1">
        <v>158211</v>
      </c>
      <c r="AJ1800" s="1">
        <v>0</v>
      </c>
      <c r="AK1800" s="8">
        <f t="shared" ref="AK1800:AK1863" si="115">IF(AK1799=52, 1, AK1799+1)</f>
        <v>31</v>
      </c>
      <c r="AL1800" s="8">
        <f t="shared" si="114"/>
        <v>35</v>
      </c>
      <c r="AM1800">
        <f t="shared" si="112"/>
        <v>0</v>
      </c>
      <c r="AN1800">
        <f t="shared" si="113"/>
        <v>0</v>
      </c>
    </row>
    <row r="1801" spans="1:40" x14ac:dyDescent="0.35">
      <c r="A1801">
        <v>85.138999999999996</v>
      </c>
      <c r="B1801">
        <v>85.138999999999996</v>
      </c>
      <c r="C1801">
        <v>3.3514599999999999</v>
      </c>
      <c r="D1801">
        <v>0</v>
      </c>
      <c r="E1801">
        <v>0.04</v>
      </c>
      <c r="F1801">
        <v>3.17326</v>
      </c>
      <c r="G1801">
        <v>3.17326</v>
      </c>
      <c r="H1801">
        <v>0</v>
      </c>
      <c r="I1801">
        <v>0.60003200000000001</v>
      </c>
      <c r="J1801">
        <v>5.3222399999999999</v>
      </c>
      <c r="K1801" s="2">
        <v>206771000</v>
      </c>
      <c r="L1801" s="1">
        <v>0</v>
      </c>
      <c r="M1801" s="1">
        <v>0</v>
      </c>
      <c r="N1801" s="1">
        <v>0</v>
      </c>
      <c r="O1801" s="1">
        <v>0</v>
      </c>
      <c r="P1801" s="2">
        <v>4743950</v>
      </c>
      <c r="Q1801" s="1">
        <v>326217</v>
      </c>
      <c r="R1801" s="1">
        <v>0</v>
      </c>
      <c r="S1801">
        <v>99.302199999999999</v>
      </c>
      <c r="T1801">
        <v>98.274000000000001</v>
      </c>
      <c r="U1801">
        <v>4.69977</v>
      </c>
      <c r="V1801">
        <v>0</v>
      </c>
      <c r="W1801">
        <v>0</v>
      </c>
      <c r="X1801">
        <v>1.92892</v>
      </c>
      <c r="Y1801">
        <v>1.92892</v>
      </c>
      <c r="Z1801">
        <v>0</v>
      </c>
      <c r="AA1801">
        <v>1.4494</v>
      </c>
      <c r="AB1801">
        <v>3.3868800000000001</v>
      </c>
      <c r="AC1801" s="2">
        <v>927575000</v>
      </c>
      <c r="AD1801" s="1">
        <v>0</v>
      </c>
      <c r="AE1801" s="1">
        <v>0</v>
      </c>
      <c r="AF1801" s="1">
        <v>0</v>
      </c>
      <c r="AG1801" s="1">
        <v>0</v>
      </c>
      <c r="AH1801" s="2">
        <v>4990590</v>
      </c>
      <c r="AI1801" s="1">
        <v>162674</v>
      </c>
      <c r="AJ1801" s="1">
        <v>0</v>
      </c>
      <c r="AK1801" s="8">
        <f t="shared" si="115"/>
        <v>32</v>
      </c>
      <c r="AL1801" s="8">
        <f t="shared" si="114"/>
        <v>35</v>
      </c>
      <c r="AM1801">
        <f t="shared" si="112"/>
        <v>0</v>
      </c>
      <c r="AN1801">
        <f t="shared" si="113"/>
        <v>0</v>
      </c>
    </row>
    <row r="1802" spans="1:40" x14ac:dyDescent="0.35">
      <c r="A1802">
        <v>84.8613</v>
      </c>
      <c r="B1802">
        <v>85.138999999999996</v>
      </c>
      <c r="C1802">
        <v>3.0602499999999999</v>
      </c>
      <c r="D1802">
        <v>0</v>
      </c>
      <c r="E1802">
        <v>0.04</v>
      </c>
      <c r="F1802">
        <v>3.1733199999999999</v>
      </c>
      <c r="G1802">
        <v>3.1733199999999999</v>
      </c>
      <c r="H1802">
        <v>0</v>
      </c>
      <c r="I1802">
        <v>0.594669</v>
      </c>
      <c r="J1802">
        <v>5.3222399999999999</v>
      </c>
      <c r="K1802" s="2">
        <v>207098000</v>
      </c>
      <c r="L1802" s="1">
        <v>0</v>
      </c>
      <c r="M1802" s="1">
        <v>0</v>
      </c>
      <c r="N1802" s="1">
        <v>0</v>
      </c>
      <c r="O1802" s="1">
        <v>0</v>
      </c>
      <c r="P1802" s="2">
        <v>4744030</v>
      </c>
      <c r="Q1802" s="1">
        <v>326223</v>
      </c>
      <c r="R1802" s="1">
        <v>0</v>
      </c>
      <c r="S1802">
        <v>99.302199999999999</v>
      </c>
      <c r="T1802">
        <v>98.274000000000001</v>
      </c>
      <c r="U1802">
        <v>4.60839</v>
      </c>
      <c r="V1802">
        <v>0</v>
      </c>
      <c r="W1802">
        <v>0</v>
      </c>
      <c r="X1802">
        <v>1.92896</v>
      </c>
      <c r="Y1802">
        <v>1.92896</v>
      </c>
      <c r="Z1802">
        <v>0</v>
      </c>
      <c r="AA1802">
        <v>1.4902899999999999</v>
      </c>
      <c r="AB1802">
        <v>3.3868800000000001</v>
      </c>
      <c r="AC1802" s="2">
        <v>927738000</v>
      </c>
      <c r="AD1802" s="1">
        <v>0</v>
      </c>
      <c r="AE1802" s="1">
        <v>0</v>
      </c>
      <c r="AF1802" s="1">
        <v>0</v>
      </c>
      <c r="AG1802" s="1">
        <v>0</v>
      </c>
      <c r="AH1802" s="2">
        <v>4990680</v>
      </c>
      <c r="AI1802" s="1">
        <v>162677</v>
      </c>
      <c r="AJ1802" s="1">
        <v>0</v>
      </c>
      <c r="AK1802" s="8">
        <f t="shared" si="115"/>
        <v>33</v>
      </c>
      <c r="AL1802" s="8">
        <f t="shared" si="114"/>
        <v>35</v>
      </c>
      <c r="AM1802">
        <f t="shared" si="112"/>
        <v>0</v>
      </c>
      <c r="AN1802">
        <f t="shared" si="113"/>
        <v>0</v>
      </c>
    </row>
    <row r="1803" spans="1:40" x14ac:dyDescent="0.35">
      <c r="A1803">
        <v>84.318399999999997</v>
      </c>
      <c r="B1803">
        <v>85.138999999999996</v>
      </c>
      <c r="C1803">
        <v>2.7748200000000001</v>
      </c>
      <c r="D1803">
        <v>0</v>
      </c>
      <c r="E1803">
        <v>0.04</v>
      </c>
      <c r="F1803">
        <v>3.1733799999999999</v>
      </c>
      <c r="G1803">
        <v>3.1733799999999999</v>
      </c>
      <c r="H1803">
        <v>0</v>
      </c>
      <c r="I1803">
        <v>0.59467999999999999</v>
      </c>
      <c r="J1803">
        <v>5.3222399999999999</v>
      </c>
      <c r="K1803" s="2">
        <v>207424000</v>
      </c>
      <c r="L1803" s="1">
        <v>0</v>
      </c>
      <c r="M1803" s="1">
        <v>0</v>
      </c>
      <c r="N1803" s="1">
        <v>0</v>
      </c>
      <c r="O1803" s="1">
        <v>0</v>
      </c>
      <c r="P1803" s="2">
        <v>4744120</v>
      </c>
      <c r="Q1803" s="1">
        <v>326229</v>
      </c>
      <c r="R1803" s="1">
        <v>0</v>
      </c>
      <c r="S1803">
        <v>99.302199999999999</v>
      </c>
      <c r="T1803">
        <v>98.274000000000001</v>
      </c>
      <c r="U1803">
        <v>4.1897099999999998</v>
      </c>
      <c r="V1803">
        <v>0</v>
      </c>
      <c r="W1803">
        <v>0</v>
      </c>
      <c r="X1803">
        <v>1.92899</v>
      </c>
      <c r="Y1803">
        <v>1.92899</v>
      </c>
      <c r="Z1803">
        <v>0</v>
      </c>
      <c r="AA1803">
        <v>1.49031</v>
      </c>
      <c r="AB1803">
        <v>3.3868800000000001</v>
      </c>
      <c r="AC1803" s="2">
        <v>927901000</v>
      </c>
      <c r="AD1803" s="1">
        <v>0</v>
      </c>
      <c r="AE1803" s="1">
        <v>0</v>
      </c>
      <c r="AF1803" s="1">
        <v>0</v>
      </c>
      <c r="AG1803" s="1">
        <v>0</v>
      </c>
      <c r="AH1803" s="2">
        <v>4990770</v>
      </c>
      <c r="AI1803" s="1">
        <v>162680</v>
      </c>
      <c r="AJ1803" s="1">
        <v>0</v>
      </c>
      <c r="AK1803" s="8">
        <f t="shared" si="115"/>
        <v>34</v>
      </c>
      <c r="AL1803" s="8">
        <f t="shared" si="114"/>
        <v>35</v>
      </c>
      <c r="AM1803">
        <f t="shared" si="112"/>
        <v>0</v>
      </c>
      <c r="AN1803">
        <f t="shared" si="113"/>
        <v>0</v>
      </c>
    </row>
    <row r="1804" spans="1:40" x14ac:dyDescent="0.35">
      <c r="A1804">
        <v>83.677599999999998</v>
      </c>
      <c r="B1804">
        <v>85.138999999999996</v>
      </c>
      <c r="C1804">
        <v>2.62514</v>
      </c>
      <c r="D1804">
        <v>0</v>
      </c>
      <c r="E1804">
        <v>0.04</v>
      </c>
      <c r="F1804">
        <v>3.1734399999999998</v>
      </c>
      <c r="G1804">
        <v>3.1734399999999998</v>
      </c>
      <c r="H1804">
        <v>0</v>
      </c>
      <c r="I1804">
        <v>0.59469099999999997</v>
      </c>
      <c r="J1804">
        <v>5.3222399999999999</v>
      </c>
      <c r="K1804" s="2">
        <v>207750000</v>
      </c>
      <c r="L1804" s="1">
        <v>0</v>
      </c>
      <c r="M1804" s="1">
        <v>0</v>
      </c>
      <c r="N1804" s="1">
        <v>0</v>
      </c>
      <c r="O1804" s="1">
        <v>0</v>
      </c>
      <c r="P1804" s="2">
        <v>4744210</v>
      </c>
      <c r="Q1804" s="1">
        <v>326235</v>
      </c>
      <c r="R1804" s="1">
        <v>0</v>
      </c>
      <c r="S1804">
        <v>99.302199999999999</v>
      </c>
      <c r="T1804">
        <v>98.274000000000001</v>
      </c>
      <c r="U1804">
        <v>4.1080699999999997</v>
      </c>
      <c r="V1804">
        <v>0</v>
      </c>
      <c r="W1804">
        <v>0</v>
      </c>
      <c r="X1804">
        <v>1.92903</v>
      </c>
      <c r="Y1804">
        <v>1.92903</v>
      </c>
      <c r="Z1804">
        <v>0</v>
      </c>
      <c r="AA1804">
        <v>1.49034</v>
      </c>
      <c r="AB1804">
        <v>3.3868800000000001</v>
      </c>
      <c r="AC1804" s="2">
        <v>928063000</v>
      </c>
      <c r="AD1804" s="1">
        <v>0</v>
      </c>
      <c r="AE1804" s="1">
        <v>0</v>
      </c>
      <c r="AF1804" s="1">
        <v>0</v>
      </c>
      <c r="AG1804" s="1">
        <v>0</v>
      </c>
      <c r="AH1804" s="2">
        <v>4990860</v>
      </c>
      <c r="AI1804" s="1">
        <v>162683</v>
      </c>
      <c r="AJ1804" s="1">
        <v>0</v>
      </c>
      <c r="AK1804" s="8">
        <f t="shared" si="115"/>
        <v>35</v>
      </c>
      <c r="AL1804" s="8">
        <f t="shared" si="114"/>
        <v>35</v>
      </c>
      <c r="AM1804">
        <f t="shared" si="112"/>
        <v>0</v>
      </c>
      <c r="AN1804">
        <f t="shared" si="113"/>
        <v>0</v>
      </c>
    </row>
    <row r="1805" spans="1:40" x14ac:dyDescent="0.35">
      <c r="A1805">
        <v>82.943600000000004</v>
      </c>
      <c r="B1805">
        <v>85.138999999999996</v>
      </c>
      <c r="C1805">
        <v>2.5836999999999999</v>
      </c>
      <c r="D1805">
        <v>0</v>
      </c>
      <c r="E1805">
        <v>0.04</v>
      </c>
      <c r="F1805">
        <v>3.24756</v>
      </c>
      <c r="G1805">
        <v>3.24756</v>
      </c>
      <c r="H1805">
        <v>0</v>
      </c>
      <c r="I1805">
        <v>0.59470199999999995</v>
      </c>
      <c r="J1805">
        <v>5.3222399999999999</v>
      </c>
      <c r="K1805" s="2">
        <v>208084000</v>
      </c>
      <c r="L1805" s="1">
        <v>0</v>
      </c>
      <c r="M1805" s="1">
        <v>0</v>
      </c>
      <c r="N1805" s="1">
        <v>0</v>
      </c>
      <c r="O1805" s="1">
        <v>0</v>
      </c>
      <c r="P1805" s="2">
        <v>4855010</v>
      </c>
      <c r="Q1805" s="1">
        <v>333855</v>
      </c>
      <c r="R1805" s="1">
        <v>0</v>
      </c>
      <c r="S1805">
        <v>99.2667</v>
      </c>
      <c r="T1805">
        <v>98.274000000000001</v>
      </c>
      <c r="U1805">
        <v>3.90062</v>
      </c>
      <c r="V1805">
        <v>0</v>
      </c>
      <c r="W1805">
        <v>0</v>
      </c>
      <c r="X1805">
        <v>1.9762</v>
      </c>
      <c r="Y1805">
        <v>1.9762</v>
      </c>
      <c r="Z1805">
        <v>0</v>
      </c>
      <c r="AA1805">
        <v>1.49037</v>
      </c>
      <c r="AB1805">
        <v>3.3868800000000001</v>
      </c>
      <c r="AC1805" s="2">
        <v>928230000</v>
      </c>
      <c r="AD1805" s="1">
        <v>0</v>
      </c>
      <c r="AE1805" s="1">
        <v>0</v>
      </c>
      <c r="AF1805" s="1">
        <v>0</v>
      </c>
      <c r="AG1805" s="1">
        <v>0</v>
      </c>
      <c r="AH1805" s="2">
        <v>5112910</v>
      </c>
      <c r="AI1805" s="1">
        <v>166661</v>
      </c>
      <c r="AJ1805" s="1">
        <v>0</v>
      </c>
      <c r="AK1805" s="8">
        <f t="shared" si="115"/>
        <v>36</v>
      </c>
      <c r="AL1805" s="8">
        <f t="shared" si="114"/>
        <v>35</v>
      </c>
      <c r="AM1805">
        <f t="shared" si="112"/>
        <v>0</v>
      </c>
      <c r="AN1805">
        <f t="shared" si="113"/>
        <v>0</v>
      </c>
    </row>
    <row r="1806" spans="1:40" x14ac:dyDescent="0.35">
      <c r="A1806">
        <v>82.358000000000004</v>
      </c>
      <c r="B1806">
        <v>85.138999999999996</v>
      </c>
      <c r="C1806">
        <v>2.4639600000000002</v>
      </c>
      <c r="D1806">
        <v>0.01</v>
      </c>
      <c r="E1806">
        <v>0.04</v>
      </c>
      <c r="F1806">
        <v>2.9452199999999999</v>
      </c>
      <c r="G1806">
        <v>3.24762</v>
      </c>
      <c r="H1806">
        <v>0</v>
      </c>
      <c r="I1806">
        <v>0.60859200000000002</v>
      </c>
      <c r="J1806">
        <v>5.3222399999999999</v>
      </c>
      <c r="K1806" s="2">
        <v>208009000</v>
      </c>
      <c r="L1806" s="1">
        <v>0</v>
      </c>
      <c r="M1806" s="1">
        <v>0</v>
      </c>
      <c r="N1806" s="1">
        <v>0</v>
      </c>
      <c r="O1806" s="1">
        <v>0</v>
      </c>
      <c r="P1806" s="2">
        <v>4403020</v>
      </c>
      <c r="Q1806" s="1">
        <v>-74677.3</v>
      </c>
      <c r="R1806" s="1">
        <v>408539</v>
      </c>
      <c r="S1806">
        <v>99.119100000000003</v>
      </c>
      <c r="T1806">
        <v>98.274000000000001</v>
      </c>
      <c r="U1806">
        <v>3.9077700000000002</v>
      </c>
      <c r="V1806">
        <v>0</v>
      </c>
      <c r="W1806">
        <v>0</v>
      </c>
      <c r="X1806">
        <v>2.2786400000000002</v>
      </c>
      <c r="Y1806">
        <v>1.97624</v>
      </c>
      <c r="Z1806">
        <v>0</v>
      </c>
      <c r="AA1806">
        <v>1.52681</v>
      </c>
      <c r="AB1806">
        <v>3.3868800000000001</v>
      </c>
      <c r="AC1806" s="2">
        <v>929179000</v>
      </c>
      <c r="AD1806" s="1">
        <v>0</v>
      </c>
      <c r="AE1806" s="1">
        <v>0</v>
      </c>
      <c r="AF1806" s="1">
        <v>0</v>
      </c>
      <c r="AG1806" s="1">
        <v>0</v>
      </c>
      <c r="AH1806" s="2">
        <v>5895380</v>
      </c>
      <c r="AI1806" s="1">
        <v>949045</v>
      </c>
      <c r="AJ1806" s="1">
        <v>0</v>
      </c>
      <c r="AK1806" s="8">
        <f t="shared" si="115"/>
        <v>37</v>
      </c>
      <c r="AL1806" s="8">
        <f t="shared" si="114"/>
        <v>35</v>
      </c>
      <c r="AM1806">
        <f t="shared" si="112"/>
        <v>0</v>
      </c>
      <c r="AN1806">
        <f t="shared" si="113"/>
        <v>0</v>
      </c>
    </row>
    <row r="1807" spans="1:40" x14ac:dyDescent="0.35">
      <c r="A1807">
        <v>81.505099999999999</v>
      </c>
      <c r="B1807">
        <v>85.138999999999996</v>
      </c>
      <c r="C1807">
        <v>2.1861799999999998</v>
      </c>
      <c r="D1807">
        <v>0.01</v>
      </c>
      <c r="E1807">
        <v>0.04</v>
      </c>
      <c r="F1807">
        <v>2.9452799999999999</v>
      </c>
      <c r="G1807">
        <v>3.2476799999999999</v>
      </c>
      <c r="H1807">
        <v>0</v>
      </c>
      <c r="I1807">
        <v>0.55193300000000001</v>
      </c>
      <c r="J1807">
        <v>5.3222399999999999</v>
      </c>
      <c r="K1807" s="2">
        <v>207935000</v>
      </c>
      <c r="L1807" s="1">
        <v>0</v>
      </c>
      <c r="M1807" s="1">
        <v>0</v>
      </c>
      <c r="N1807" s="1">
        <v>0</v>
      </c>
      <c r="O1807" s="1">
        <v>0</v>
      </c>
      <c r="P1807" s="2">
        <v>4403110</v>
      </c>
      <c r="Q1807" s="1">
        <v>-74671.199999999997</v>
      </c>
      <c r="R1807" s="1">
        <v>408539</v>
      </c>
      <c r="S1807">
        <v>98.922700000000006</v>
      </c>
      <c r="T1807">
        <v>98.274000000000001</v>
      </c>
      <c r="U1807">
        <v>3.5618500000000002</v>
      </c>
      <c r="V1807">
        <v>0</v>
      </c>
      <c r="W1807">
        <v>0</v>
      </c>
      <c r="X1807">
        <v>2.27868</v>
      </c>
      <c r="Y1807">
        <v>1.97628</v>
      </c>
      <c r="Z1807">
        <v>0</v>
      </c>
      <c r="AA1807">
        <v>1.76048</v>
      </c>
      <c r="AB1807">
        <v>3.3868800000000001</v>
      </c>
      <c r="AC1807" s="2">
        <v>930128000</v>
      </c>
      <c r="AD1807" s="1">
        <v>0</v>
      </c>
      <c r="AE1807" s="1">
        <v>0</v>
      </c>
      <c r="AF1807" s="1">
        <v>0</v>
      </c>
      <c r="AG1807" s="1">
        <v>0</v>
      </c>
      <c r="AH1807" s="2">
        <v>5895480</v>
      </c>
      <c r="AI1807" s="1">
        <v>949048</v>
      </c>
      <c r="AJ1807" s="1">
        <v>0</v>
      </c>
      <c r="AK1807" s="8">
        <f t="shared" si="115"/>
        <v>38</v>
      </c>
      <c r="AL1807" s="8">
        <f t="shared" si="114"/>
        <v>35</v>
      </c>
      <c r="AM1807">
        <f t="shared" si="112"/>
        <v>0</v>
      </c>
      <c r="AN1807">
        <f t="shared" si="113"/>
        <v>0</v>
      </c>
    </row>
    <row r="1808" spans="1:40" x14ac:dyDescent="0.35">
      <c r="A1808">
        <v>80.467699999999994</v>
      </c>
      <c r="B1808">
        <v>85.138999999999996</v>
      </c>
      <c r="C1808">
        <v>1.98081</v>
      </c>
      <c r="D1808">
        <v>0.01</v>
      </c>
      <c r="E1808">
        <v>0.04</v>
      </c>
      <c r="F1808">
        <v>2.9453299999999998</v>
      </c>
      <c r="G1808">
        <v>3.2477299999999998</v>
      </c>
      <c r="H1808">
        <v>0</v>
      </c>
      <c r="I1808">
        <v>0.55194500000000002</v>
      </c>
      <c r="J1808">
        <v>5.3222399999999999</v>
      </c>
      <c r="K1808" s="2">
        <v>207860000</v>
      </c>
      <c r="L1808" s="1">
        <v>0</v>
      </c>
      <c r="M1808" s="1">
        <v>0</v>
      </c>
      <c r="N1808" s="1">
        <v>0</v>
      </c>
      <c r="O1808" s="1">
        <v>0</v>
      </c>
      <c r="P1808" s="2">
        <v>4403200</v>
      </c>
      <c r="Q1808" s="1">
        <v>-74665.100000000006</v>
      </c>
      <c r="R1808" s="1">
        <v>408539</v>
      </c>
      <c r="S1808">
        <v>98.713800000000006</v>
      </c>
      <c r="T1808">
        <v>98.274000000000001</v>
      </c>
      <c r="U1808">
        <v>3.48447</v>
      </c>
      <c r="V1808">
        <v>0</v>
      </c>
      <c r="W1808">
        <v>0</v>
      </c>
      <c r="X1808">
        <v>2.2787099999999998</v>
      </c>
      <c r="Y1808">
        <v>1.97631</v>
      </c>
      <c r="Z1808">
        <v>0</v>
      </c>
      <c r="AA1808">
        <v>1.7605</v>
      </c>
      <c r="AB1808">
        <v>3.3868800000000001</v>
      </c>
      <c r="AC1808" s="2">
        <v>931077000</v>
      </c>
      <c r="AD1808" s="1">
        <v>0</v>
      </c>
      <c r="AE1808" s="1">
        <v>0</v>
      </c>
      <c r="AF1808" s="1">
        <v>0</v>
      </c>
      <c r="AG1808" s="1">
        <v>0</v>
      </c>
      <c r="AH1808" s="2">
        <v>5895570</v>
      </c>
      <c r="AI1808" s="1">
        <v>949051</v>
      </c>
      <c r="AJ1808" s="1">
        <v>0</v>
      </c>
      <c r="AK1808" s="8">
        <f t="shared" si="115"/>
        <v>39</v>
      </c>
      <c r="AL1808" s="8">
        <f t="shared" si="114"/>
        <v>35</v>
      </c>
      <c r="AM1808">
        <f t="shared" si="112"/>
        <v>0</v>
      </c>
      <c r="AN1808">
        <f t="shared" si="113"/>
        <v>0</v>
      </c>
    </row>
    <row r="1809" spans="1:40" x14ac:dyDescent="0.35">
      <c r="A1809">
        <v>78.796199999999999</v>
      </c>
      <c r="B1809">
        <v>85.138999999999996</v>
      </c>
      <c r="C1809">
        <v>1.5182199999999999</v>
      </c>
      <c r="D1809">
        <v>0.01</v>
      </c>
      <c r="E1809">
        <v>0.04</v>
      </c>
      <c r="F1809">
        <v>3.1623000000000001</v>
      </c>
      <c r="G1809">
        <v>3.4647000000000001</v>
      </c>
      <c r="H1809">
        <v>0</v>
      </c>
      <c r="I1809">
        <v>0.551956</v>
      </c>
      <c r="J1809">
        <v>5.3222399999999999</v>
      </c>
      <c r="K1809" s="2">
        <v>207808000</v>
      </c>
      <c r="L1809" s="1">
        <v>0</v>
      </c>
      <c r="M1809" s="1">
        <v>0</v>
      </c>
      <c r="N1809" s="1">
        <v>0</v>
      </c>
      <c r="O1809" s="1">
        <v>0</v>
      </c>
      <c r="P1809" s="2">
        <v>4727560</v>
      </c>
      <c r="Q1809" s="1">
        <v>-52360.6</v>
      </c>
      <c r="R1809" s="1">
        <v>408539</v>
      </c>
      <c r="S1809">
        <v>98.459100000000007</v>
      </c>
      <c r="T1809">
        <v>98.274000000000001</v>
      </c>
      <c r="U1809">
        <v>3.3953500000000001</v>
      </c>
      <c r="V1809">
        <v>0</v>
      </c>
      <c r="W1809">
        <v>0</v>
      </c>
      <c r="X1809">
        <v>2.4489000000000001</v>
      </c>
      <c r="Y1809">
        <v>2.1465000000000001</v>
      </c>
      <c r="Z1809">
        <v>0</v>
      </c>
      <c r="AA1809">
        <v>1.7605299999999999</v>
      </c>
      <c r="AB1809">
        <v>3.3868800000000001</v>
      </c>
      <c r="AC1809" s="2">
        <v>932040000</v>
      </c>
      <c r="AD1809" s="1">
        <v>0</v>
      </c>
      <c r="AE1809" s="1">
        <v>0</v>
      </c>
      <c r="AF1809" s="1">
        <v>0</v>
      </c>
      <c r="AG1809" s="1">
        <v>0</v>
      </c>
      <c r="AH1809" s="2">
        <v>6335890</v>
      </c>
      <c r="AI1809" s="1">
        <v>963404</v>
      </c>
      <c r="AJ1809" s="1">
        <v>0</v>
      </c>
      <c r="AK1809" s="8">
        <f t="shared" si="115"/>
        <v>40</v>
      </c>
      <c r="AL1809" s="8">
        <f t="shared" si="114"/>
        <v>35</v>
      </c>
      <c r="AM1809">
        <f t="shared" si="112"/>
        <v>0</v>
      </c>
      <c r="AN1809">
        <f t="shared" si="113"/>
        <v>0</v>
      </c>
    </row>
    <row r="1810" spans="1:40" x14ac:dyDescent="0.35">
      <c r="A1810">
        <v>76.881399999999999</v>
      </c>
      <c r="B1810">
        <v>85.138999999999996</v>
      </c>
      <c r="C1810">
        <v>1.2632699999999999</v>
      </c>
      <c r="D1810">
        <v>0.01</v>
      </c>
      <c r="E1810">
        <v>0.04</v>
      </c>
      <c r="F1810">
        <v>3.1623600000000001</v>
      </c>
      <c r="G1810">
        <v>3.4647600000000001</v>
      </c>
      <c r="H1810">
        <v>0</v>
      </c>
      <c r="I1810">
        <v>0.592615</v>
      </c>
      <c r="J1810">
        <v>5.3222399999999999</v>
      </c>
      <c r="K1810" s="2">
        <v>207755000</v>
      </c>
      <c r="L1810" s="1">
        <v>0</v>
      </c>
      <c r="M1810" s="1">
        <v>0</v>
      </c>
      <c r="N1810" s="1">
        <v>0</v>
      </c>
      <c r="O1810" s="1">
        <v>0</v>
      </c>
      <c r="P1810" s="2">
        <v>4727650</v>
      </c>
      <c r="Q1810" s="1">
        <v>-52354.1</v>
      </c>
      <c r="R1810" s="1">
        <v>408539</v>
      </c>
      <c r="S1810">
        <v>98.104900000000001</v>
      </c>
      <c r="T1810">
        <v>98.274000000000001</v>
      </c>
      <c r="U1810">
        <v>3.2553399999999999</v>
      </c>
      <c r="V1810">
        <v>0</v>
      </c>
      <c r="W1810">
        <v>0</v>
      </c>
      <c r="X1810">
        <v>2.4489399999999999</v>
      </c>
      <c r="Y1810">
        <v>2.1465399999999999</v>
      </c>
      <c r="Z1810">
        <v>0</v>
      </c>
      <c r="AA1810">
        <v>1.89202</v>
      </c>
      <c r="AB1810">
        <v>3.3868800000000001</v>
      </c>
      <c r="AC1810" s="2">
        <v>933004000</v>
      </c>
      <c r="AD1810" s="1">
        <v>0</v>
      </c>
      <c r="AE1810" s="1">
        <v>0</v>
      </c>
      <c r="AF1810" s="1">
        <v>0</v>
      </c>
      <c r="AG1810" s="1">
        <v>0</v>
      </c>
      <c r="AH1810" s="2">
        <v>6336000</v>
      </c>
      <c r="AI1810" s="1">
        <v>963407</v>
      </c>
      <c r="AJ1810" s="1">
        <v>0</v>
      </c>
      <c r="AK1810" s="8">
        <f t="shared" si="115"/>
        <v>41</v>
      </c>
      <c r="AL1810" s="8">
        <f t="shared" si="114"/>
        <v>35</v>
      </c>
      <c r="AM1810">
        <f t="shared" si="112"/>
        <v>0</v>
      </c>
      <c r="AN1810">
        <f t="shared" si="113"/>
        <v>0</v>
      </c>
    </row>
    <row r="1811" spans="1:40" x14ac:dyDescent="0.35">
      <c r="A1811">
        <v>74.955799999999996</v>
      </c>
      <c r="B1811">
        <v>85.138999999999996</v>
      </c>
      <c r="C1811">
        <v>1.2299599999999999</v>
      </c>
      <c r="D1811">
        <v>0.02</v>
      </c>
      <c r="E1811">
        <v>0.04</v>
      </c>
      <c r="F1811">
        <v>3.1624300000000001</v>
      </c>
      <c r="G1811">
        <v>3.4648300000000001</v>
      </c>
      <c r="H1811">
        <v>0</v>
      </c>
      <c r="I1811">
        <v>0.59262700000000001</v>
      </c>
      <c r="J1811">
        <v>5.3222399999999999</v>
      </c>
      <c r="K1811" s="2">
        <v>207703000</v>
      </c>
      <c r="L1811" s="1">
        <v>0</v>
      </c>
      <c r="M1811" s="1">
        <v>0</v>
      </c>
      <c r="N1811" s="1">
        <v>0</v>
      </c>
      <c r="O1811" s="1">
        <v>0</v>
      </c>
      <c r="P1811" s="2">
        <v>4727750</v>
      </c>
      <c r="Q1811" s="1">
        <v>-52347.6</v>
      </c>
      <c r="R1811" s="1">
        <v>408539</v>
      </c>
      <c r="S1811">
        <v>97.708500000000001</v>
      </c>
      <c r="T1811">
        <v>98.274000000000001</v>
      </c>
      <c r="U1811">
        <v>3.0874799999999998</v>
      </c>
      <c r="V1811">
        <v>0</v>
      </c>
      <c r="W1811">
        <v>0</v>
      </c>
      <c r="X1811">
        <v>2.4489800000000002</v>
      </c>
      <c r="Y1811">
        <v>2.1465800000000002</v>
      </c>
      <c r="Z1811">
        <v>0</v>
      </c>
      <c r="AA1811">
        <v>1.89205</v>
      </c>
      <c r="AB1811">
        <v>3.3868800000000001</v>
      </c>
      <c r="AC1811" s="2">
        <v>933967000</v>
      </c>
      <c r="AD1811" s="1">
        <v>0</v>
      </c>
      <c r="AE1811" s="1">
        <v>0</v>
      </c>
      <c r="AF1811" s="1">
        <v>0</v>
      </c>
      <c r="AG1811" s="1">
        <v>0</v>
      </c>
      <c r="AH1811" s="2">
        <v>6336100</v>
      </c>
      <c r="AI1811" s="1">
        <v>963411</v>
      </c>
      <c r="AJ1811" s="1">
        <v>0</v>
      </c>
      <c r="AK1811" s="8">
        <f t="shared" si="115"/>
        <v>42</v>
      </c>
      <c r="AL1811" s="8">
        <f t="shared" si="114"/>
        <v>35</v>
      </c>
      <c r="AM1811">
        <f t="shared" si="112"/>
        <v>0</v>
      </c>
      <c r="AN1811">
        <f t="shared" si="113"/>
        <v>0</v>
      </c>
    </row>
    <row r="1812" spans="1:40" x14ac:dyDescent="0.35">
      <c r="A1812">
        <v>73.561000000000007</v>
      </c>
      <c r="B1812">
        <v>85.138999999999996</v>
      </c>
      <c r="C1812">
        <v>1.75867</v>
      </c>
      <c r="D1812">
        <v>0.02</v>
      </c>
      <c r="E1812">
        <v>0.04</v>
      </c>
      <c r="F1812">
        <v>3.16249</v>
      </c>
      <c r="G1812">
        <v>3.46489</v>
      </c>
      <c r="H1812">
        <v>0</v>
      </c>
      <c r="I1812">
        <v>0.59263900000000003</v>
      </c>
      <c r="J1812">
        <v>5.3222399999999999</v>
      </c>
      <c r="K1812" s="2">
        <v>207651000</v>
      </c>
      <c r="L1812" s="1">
        <v>0</v>
      </c>
      <c r="M1812" s="1">
        <v>0</v>
      </c>
      <c r="N1812" s="1">
        <v>0</v>
      </c>
      <c r="O1812" s="1">
        <v>0</v>
      </c>
      <c r="P1812" s="2">
        <v>4727840</v>
      </c>
      <c r="Q1812" s="1">
        <v>-52341.1</v>
      </c>
      <c r="R1812" s="1">
        <v>408539</v>
      </c>
      <c r="S1812">
        <v>97.405100000000004</v>
      </c>
      <c r="T1812">
        <v>98.274000000000001</v>
      </c>
      <c r="U1812">
        <v>3.5943399999999999</v>
      </c>
      <c r="V1812">
        <v>0</v>
      </c>
      <c r="W1812">
        <v>0</v>
      </c>
      <c r="X1812">
        <v>2.44902</v>
      </c>
      <c r="Y1812">
        <v>2.14662</v>
      </c>
      <c r="Z1812">
        <v>0</v>
      </c>
      <c r="AA1812">
        <v>1.89208</v>
      </c>
      <c r="AB1812">
        <v>3.3868800000000001</v>
      </c>
      <c r="AC1812" s="2">
        <v>934931000</v>
      </c>
      <c r="AD1812" s="1">
        <v>0</v>
      </c>
      <c r="AE1812" s="1">
        <v>0</v>
      </c>
      <c r="AF1812" s="1">
        <v>0</v>
      </c>
      <c r="AG1812" s="1">
        <v>0</v>
      </c>
      <c r="AH1812" s="2">
        <v>6336200</v>
      </c>
      <c r="AI1812" s="1">
        <v>963414</v>
      </c>
      <c r="AJ1812" s="1">
        <v>0</v>
      </c>
      <c r="AK1812" s="8">
        <f t="shared" si="115"/>
        <v>43</v>
      </c>
      <c r="AL1812" s="8">
        <f t="shared" si="114"/>
        <v>35</v>
      </c>
      <c r="AM1812">
        <f t="shared" si="112"/>
        <v>0</v>
      </c>
      <c r="AN1812">
        <f t="shared" si="113"/>
        <v>0</v>
      </c>
    </row>
    <row r="1813" spans="1:40" x14ac:dyDescent="0.35">
      <c r="A1813">
        <v>72.571100000000001</v>
      </c>
      <c r="B1813">
        <v>85.138999999999996</v>
      </c>
      <c r="C1813">
        <v>2.2342499999999998</v>
      </c>
      <c r="D1813">
        <v>0.02</v>
      </c>
      <c r="E1813">
        <v>0.04</v>
      </c>
      <c r="F1813">
        <v>3.16255</v>
      </c>
      <c r="G1813">
        <v>3.46495</v>
      </c>
      <c r="H1813">
        <v>0</v>
      </c>
      <c r="I1813">
        <v>0.59265100000000004</v>
      </c>
      <c r="J1813">
        <v>5.3222399999999999</v>
      </c>
      <c r="K1813" s="2">
        <v>207598000</v>
      </c>
      <c r="L1813" s="1">
        <v>0</v>
      </c>
      <c r="M1813" s="1">
        <v>0</v>
      </c>
      <c r="N1813" s="1">
        <v>0</v>
      </c>
      <c r="O1813" s="1">
        <v>0</v>
      </c>
      <c r="P1813" s="2">
        <v>4727940</v>
      </c>
      <c r="Q1813" s="1">
        <v>-52334.6</v>
      </c>
      <c r="R1813" s="1">
        <v>408539</v>
      </c>
      <c r="S1813">
        <v>97.2654</v>
      </c>
      <c r="T1813">
        <v>98.274000000000001</v>
      </c>
      <c r="U1813">
        <v>3.83317</v>
      </c>
      <c r="V1813">
        <v>0</v>
      </c>
      <c r="W1813">
        <v>0</v>
      </c>
      <c r="X1813">
        <v>2.4490599999999998</v>
      </c>
      <c r="Y1813">
        <v>2.1466599999999998</v>
      </c>
      <c r="Z1813">
        <v>0</v>
      </c>
      <c r="AA1813">
        <v>1.89211</v>
      </c>
      <c r="AB1813">
        <v>3.3868800000000001</v>
      </c>
      <c r="AC1813" s="2">
        <v>935894000</v>
      </c>
      <c r="AD1813" s="1">
        <v>0</v>
      </c>
      <c r="AE1813" s="1">
        <v>0</v>
      </c>
      <c r="AF1813" s="1">
        <v>0</v>
      </c>
      <c r="AG1813" s="1">
        <v>0</v>
      </c>
      <c r="AH1813" s="2">
        <v>6336300</v>
      </c>
      <c r="AI1813" s="1">
        <v>963417</v>
      </c>
      <c r="AJ1813" s="1">
        <v>0</v>
      </c>
      <c r="AK1813" s="8">
        <f t="shared" si="115"/>
        <v>44</v>
      </c>
      <c r="AL1813" s="8">
        <f t="shared" si="114"/>
        <v>35</v>
      </c>
      <c r="AM1813">
        <f t="shared" si="112"/>
        <v>0</v>
      </c>
      <c r="AN1813">
        <f t="shared" si="113"/>
        <v>0</v>
      </c>
    </row>
    <row r="1814" spans="1:40" x14ac:dyDescent="0.35">
      <c r="A1814">
        <v>70.407499999999999</v>
      </c>
      <c r="B1814">
        <v>85.138999999999996</v>
      </c>
      <c r="C1814">
        <v>0.863062</v>
      </c>
      <c r="D1814">
        <v>0.02</v>
      </c>
      <c r="E1814">
        <v>0.04</v>
      </c>
      <c r="F1814">
        <v>3.0569000000000002</v>
      </c>
      <c r="G1814">
        <v>3.3593000000000002</v>
      </c>
      <c r="H1814">
        <v>0</v>
      </c>
      <c r="I1814">
        <v>0.59266300000000005</v>
      </c>
      <c r="J1814">
        <v>5.3222399999999999</v>
      </c>
      <c r="K1814" s="2">
        <v>207535000</v>
      </c>
      <c r="L1814" s="1">
        <v>0</v>
      </c>
      <c r="M1814" s="1">
        <v>0</v>
      </c>
      <c r="N1814" s="1">
        <v>0</v>
      </c>
      <c r="O1814" s="1">
        <v>0</v>
      </c>
      <c r="P1814" s="2">
        <v>4569980</v>
      </c>
      <c r="Q1814" s="1">
        <v>-63196.5</v>
      </c>
      <c r="R1814" s="1">
        <v>408539</v>
      </c>
      <c r="S1814">
        <v>96.690600000000003</v>
      </c>
      <c r="T1814">
        <v>98.274000000000001</v>
      </c>
      <c r="U1814">
        <v>2.2704499999999999</v>
      </c>
      <c r="V1814">
        <v>0</v>
      </c>
      <c r="W1814">
        <v>0</v>
      </c>
      <c r="X1814">
        <v>2.3458100000000002</v>
      </c>
      <c r="Y1814">
        <v>2.0434100000000002</v>
      </c>
      <c r="Z1814">
        <v>0</v>
      </c>
      <c r="AA1814">
        <v>1.8921399999999999</v>
      </c>
      <c r="AB1814">
        <v>3.3868800000000001</v>
      </c>
      <c r="AC1814" s="2">
        <v>936849000</v>
      </c>
      <c r="AD1814" s="1">
        <v>0</v>
      </c>
      <c r="AE1814" s="1">
        <v>0</v>
      </c>
      <c r="AF1814" s="1">
        <v>0</v>
      </c>
      <c r="AG1814" s="1">
        <v>0</v>
      </c>
      <c r="AH1814" s="2">
        <v>6069170</v>
      </c>
      <c r="AI1814" s="1">
        <v>954710</v>
      </c>
      <c r="AJ1814" s="1">
        <v>0</v>
      </c>
      <c r="AK1814" s="8">
        <f t="shared" si="115"/>
        <v>45</v>
      </c>
      <c r="AL1814" s="8">
        <f t="shared" si="114"/>
        <v>35</v>
      </c>
      <c r="AM1814">
        <f t="shared" si="112"/>
        <v>0</v>
      </c>
      <c r="AN1814">
        <f t="shared" si="113"/>
        <v>0</v>
      </c>
    </row>
    <row r="1815" spans="1:40" x14ac:dyDescent="0.35">
      <c r="A1815">
        <v>68.306600000000003</v>
      </c>
      <c r="B1815">
        <v>85.138999999999996</v>
      </c>
      <c r="C1815">
        <v>0.95758399999999999</v>
      </c>
      <c r="D1815">
        <v>0.02</v>
      </c>
      <c r="E1815">
        <v>0.04</v>
      </c>
      <c r="F1815">
        <v>3.0569600000000001</v>
      </c>
      <c r="G1815">
        <v>3.3593600000000001</v>
      </c>
      <c r="H1815">
        <v>0</v>
      </c>
      <c r="I1815">
        <v>0.57286199999999998</v>
      </c>
      <c r="J1815">
        <v>5.3222399999999999</v>
      </c>
      <c r="K1815" s="2">
        <v>207472000</v>
      </c>
      <c r="L1815" s="1">
        <v>0</v>
      </c>
      <c r="M1815" s="1">
        <v>0</v>
      </c>
      <c r="N1815" s="1">
        <v>0</v>
      </c>
      <c r="O1815" s="1">
        <v>0</v>
      </c>
      <c r="P1815" s="2">
        <v>4570070</v>
      </c>
      <c r="Q1815" s="1">
        <v>-63190.2</v>
      </c>
      <c r="R1815" s="1">
        <v>408539</v>
      </c>
      <c r="S1815">
        <v>96.149000000000001</v>
      </c>
      <c r="T1815">
        <v>98.274000000000001</v>
      </c>
      <c r="U1815">
        <v>2.0794999999999999</v>
      </c>
      <c r="V1815">
        <v>0</v>
      </c>
      <c r="W1815">
        <v>0</v>
      </c>
      <c r="X1815">
        <v>2.34585</v>
      </c>
      <c r="Y1815">
        <v>2.04345</v>
      </c>
      <c r="Z1815">
        <v>0</v>
      </c>
      <c r="AA1815">
        <v>1.81237</v>
      </c>
      <c r="AB1815">
        <v>3.3868800000000001</v>
      </c>
      <c r="AC1815" s="2">
        <v>937804000</v>
      </c>
      <c r="AD1815" s="1">
        <v>0</v>
      </c>
      <c r="AE1815" s="1">
        <v>0</v>
      </c>
      <c r="AF1815" s="1">
        <v>0</v>
      </c>
      <c r="AG1815" s="1">
        <v>0</v>
      </c>
      <c r="AH1815" s="2">
        <v>6069270</v>
      </c>
      <c r="AI1815" s="1">
        <v>954713</v>
      </c>
      <c r="AJ1815" s="1">
        <v>0</v>
      </c>
      <c r="AK1815" s="8">
        <f t="shared" si="115"/>
        <v>46</v>
      </c>
      <c r="AL1815" s="8">
        <f t="shared" si="114"/>
        <v>35</v>
      </c>
      <c r="AM1815">
        <f t="shared" si="112"/>
        <v>0</v>
      </c>
      <c r="AN1815">
        <f t="shared" si="113"/>
        <v>0</v>
      </c>
    </row>
    <row r="1816" spans="1:40" x14ac:dyDescent="0.35">
      <c r="A1816">
        <v>66.514200000000002</v>
      </c>
      <c r="B1816">
        <v>85.138999999999996</v>
      </c>
      <c r="C1816">
        <v>1.27521</v>
      </c>
      <c r="D1816">
        <v>0.02</v>
      </c>
      <c r="E1816">
        <v>0.04</v>
      </c>
      <c r="F1816">
        <v>3.0570200000000001</v>
      </c>
      <c r="G1816">
        <v>3.3594200000000001</v>
      </c>
      <c r="H1816">
        <v>0</v>
      </c>
      <c r="I1816">
        <v>0.57287399999999999</v>
      </c>
      <c r="J1816">
        <v>5.3222399999999999</v>
      </c>
      <c r="K1816" s="2">
        <v>207409000</v>
      </c>
      <c r="L1816" s="1">
        <v>0</v>
      </c>
      <c r="M1816" s="1">
        <v>0</v>
      </c>
      <c r="N1816" s="1">
        <v>0</v>
      </c>
      <c r="O1816" s="1">
        <v>0</v>
      </c>
      <c r="P1816" s="2">
        <v>4570160</v>
      </c>
      <c r="Q1816" s="1">
        <v>-63183.8</v>
      </c>
      <c r="R1816" s="1">
        <v>408539</v>
      </c>
      <c r="S1816">
        <v>95.736999999999995</v>
      </c>
      <c r="T1816">
        <v>98.274000000000001</v>
      </c>
      <c r="U1816">
        <v>2.8545699999999998</v>
      </c>
      <c r="V1816">
        <v>0</v>
      </c>
      <c r="W1816">
        <v>0</v>
      </c>
      <c r="X1816">
        <v>2.3458899999999998</v>
      </c>
      <c r="Y1816">
        <v>2.0434899999999998</v>
      </c>
      <c r="Z1816">
        <v>0</v>
      </c>
      <c r="AA1816">
        <v>1.8124</v>
      </c>
      <c r="AB1816">
        <v>3.3868800000000001</v>
      </c>
      <c r="AC1816" s="2">
        <v>938758000</v>
      </c>
      <c r="AD1816" s="1">
        <v>0</v>
      </c>
      <c r="AE1816" s="1">
        <v>0</v>
      </c>
      <c r="AF1816" s="1">
        <v>0</v>
      </c>
      <c r="AG1816" s="1">
        <v>0</v>
      </c>
      <c r="AH1816" s="2">
        <v>6069370</v>
      </c>
      <c r="AI1816" s="1">
        <v>954716</v>
      </c>
      <c r="AJ1816" s="1">
        <v>0</v>
      </c>
      <c r="AK1816" s="8">
        <f t="shared" si="115"/>
        <v>47</v>
      </c>
      <c r="AL1816" s="8">
        <f t="shared" si="114"/>
        <v>35</v>
      </c>
      <c r="AM1816">
        <f t="shared" si="112"/>
        <v>0</v>
      </c>
      <c r="AN1816">
        <f t="shared" si="113"/>
        <v>0</v>
      </c>
    </row>
    <row r="1817" spans="1:40" x14ac:dyDescent="0.35">
      <c r="A1817">
        <v>65.096199999999996</v>
      </c>
      <c r="B1817">
        <v>85.138999999999996</v>
      </c>
      <c r="C1817">
        <v>1.7201299999999999</v>
      </c>
      <c r="D1817">
        <v>0.02</v>
      </c>
      <c r="E1817">
        <v>0.04</v>
      </c>
      <c r="F1817">
        <v>3.05708</v>
      </c>
      <c r="G1817">
        <v>3.35948</v>
      </c>
      <c r="H1817">
        <v>0</v>
      </c>
      <c r="I1817">
        <v>0.57288499999999998</v>
      </c>
      <c r="J1817">
        <v>5.3222399999999999</v>
      </c>
      <c r="K1817" s="2">
        <v>207345000</v>
      </c>
      <c r="L1817" s="1">
        <v>0</v>
      </c>
      <c r="M1817" s="1">
        <v>0</v>
      </c>
      <c r="N1817" s="1">
        <v>0</v>
      </c>
      <c r="O1817" s="1">
        <v>0</v>
      </c>
      <c r="P1817" s="2">
        <v>4570260</v>
      </c>
      <c r="Q1817" s="1">
        <v>-63177.5</v>
      </c>
      <c r="R1817" s="1">
        <v>408539</v>
      </c>
      <c r="S1817">
        <v>95.556600000000003</v>
      </c>
      <c r="T1817">
        <v>98.274000000000001</v>
      </c>
      <c r="U1817">
        <v>3.93452</v>
      </c>
      <c r="V1817">
        <v>0</v>
      </c>
      <c r="W1817">
        <v>0</v>
      </c>
      <c r="X1817">
        <v>2.34592</v>
      </c>
      <c r="Y1817">
        <v>2.04352</v>
      </c>
      <c r="Z1817">
        <v>0</v>
      </c>
      <c r="AA1817">
        <v>1.81243</v>
      </c>
      <c r="AB1817">
        <v>3.3868800000000001</v>
      </c>
      <c r="AC1817" s="2">
        <v>939713000</v>
      </c>
      <c r="AD1817" s="1">
        <v>0</v>
      </c>
      <c r="AE1817" s="1">
        <v>0</v>
      </c>
      <c r="AF1817" s="1">
        <v>0</v>
      </c>
      <c r="AG1817" s="1">
        <v>0</v>
      </c>
      <c r="AH1817" s="2">
        <v>6069460</v>
      </c>
      <c r="AI1817" s="1">
        <v>954719</v>
      </c>
      <c r="AJ1817" s="1">
        <v>0</v>
      </c>
      <c r="AK1817" s="8">
        <f t="shared" si="115"/>
        <v>48</v>
      </c>
      <c r="AL1817" s="8">
        <f t="shared" si="114"/>
        <v>35</v>
      </c>
      <c r="AM1817">
        <f t="shared" si="112"/>
        <v>0</v>
      </c>
      <c r="AN1817">
        <f t="shared" si="113"/>
        <v>0</v>
      </c>
    </row>
    <row r="1818" spans="1:40" x14ac:dyDescent="0.35">
      <c r="A1818">
        <v>64.266199999999998</v>
      </c>
      <c r="B1818">
        <v>85.138999999999996</v>
      </c>
      <c r="C1818">
        <v>2.26301</v>
      </c>
      <c r="D1818">
        <v>0.02</v>
      </c>
      <c r="E1818">
        <v>0.04</v>
      </c>
      <c r="F1818">
        <v>2.9703599999999999</v>
      </c>
      <c r="G1818">
        <v>3.2727599999999999</v>
      </c>
      <c r="H1818">
        <v>0</v>
      </c>
      <c r="I1818">
        <v>0.57289699999999999</v>
      </c>
      <c r="J1818">
        <v>5.3222399999999999</v>
      </c>
      <c r="K1818" s="2">
        <v>207273000</v>
      </c>
      <c r="L1818" s="1">
        <v>0</v>
      </c>
      <c r="M1818" s="1">
        <v>0</v>
      </c>
      <c r="N1818" s="1">
        <v>0</v>
      </c>
      <c r="O1818" s="1">
        <v>0</v>
      </c>
      <c r="P1818" s="2">
        <v>4440610</v>
      </c>
      <c r="Q1818" s="1">
        <v>-72092.899999999994</v>
      </c>
      <c r="R1818" s="1">
        <v>408539</v>
      </c>
      <c r="S1818">
        <v>95.302999999999997</v>
      </c>
      <c r="T1818">
        <v>98.274000000000001</v>
      </c>
      <c r="U1818">
        <v>3.28877</v>
      </c>
      <c r="V1818">
        <v>0</v>
      </c>
      <c r="W1818">
        <v>0</v>
      </c>
      <c r="X1818">
        <v>2.2519399999999998</v>
      </c>
      <c r="Y1818">
        <v>1.9495400000000001</v>
      </c>
      <c r="Z1818">
        <v>0</v>
      </c>
      <c r="AA1818">
        <v>1.81246</v>
      </c>
      <c r="AB1818">
        <v>3.3868800000000001</v>
      </c>
      <c r="AC1818" s="2">
        <v>940660000</v>
      </c>
      <c r="AD1818" s="1">
        <v>0</v>
      </c>
      <c r="AE1818" s="1">
        <v>0</v>
      </c>
      <c r="AF1818" s="1">
        <v>0</v>
      </c>
      <c r="AG1818" s="1">
        <v>0</v>
      </c>
      <c r="AH1818" s="2">
        <v>5826300</v>
      </c>
      <c r="AI1818" s="1">
        <v>946793</v>
      </c>
      <c r="AJ1818" s="1">
        <v>0</v>
      </c>
      <c r="AK1818" s="8">
        <f t="shared" si="115"/>
        <v>49</v>
      </c>
      <c r="AL1818" s="8">
        <f t="shared" si="114"/>
        <v>35</v>
      </c>
      <c r="AM1818">
        <f t="shared" si="112"/>
        <v>0</v>
      </c>
      <c r="AN1818">
        <f t="shared" si="113"/>
        <v>0</v>
      </c>
    </row>
    <row r="1819" spans="1:40" x14ac:dyDescent="0.35">
      <c r="A1819">
        <v>64.095399999999998</v>
      </c>
      <c r="B1819">
        <v>85.138999999999996</v>
      </c>
      <c r="C1819">
        <v>2.9414099999999999</v>
      </c>
      <c r="D1819">
        <v>0.02</v>
      </c>
      <c r="E1819">
        <v>0.04</v>
      </c>
      <c r="F1819">
        <v>2.9704199999999998</v>
      </c>
      <c r="G1819">
        <v>3.2728199999999998</v>
      </c>
      <c r="H1819">
        <v>0</v>
      </c>
      <c r="I1819">
        <v>0.55664499999999995</v>
      </c>
      <c r="J1819">
        <v>5.3222399999999999</v>
      </c>
      <c r="K1819" s="2">
        <v>207201000</v>
      </c>
      <c r="L1819" s="1">
        <v>0</v>
      </c>
      <c r="M1819" s="1">
        <v>0</v>
      </c>
      <c r="N1819" s="1">
        <v>0</v>
      </c>
      <c r="O1819" s="1">
        <v>0</v>
      </c>
      <c r="P1819" s="2">
        <v>4440700</v>
      </c>
      <c r="Q1819" s="1">
        <v>-72086.7</v>
      </c>
      <c r="R1819" s="1">
        <v>408539</v>
      </c>
      <c r="S1819">
        <v>95.147499999999994</v>
      </c>
      <c r="T1819">
        <v>98.274000000000001</v>
      </c>
      <c r="U1819">
        <v>3.7050200000000002</v>
      </c>
      <c r="V1819">
        <v>0</v>
      </c>
      <c r="W1819">
        <v>0</v>
      </c>
      <c r="X1819">
        <v>2.25197</v>
      </c>
      <c r="Y1819">
        <v>1.94957</v>
      </c>
      <c r="Z1819">
        <v>0</v>
      </c>
      <c r="AA1819">
        <v>1.7398499999999999</v>
      </c>
      <c r="AB1819">
        <v>3.3868800000000001</v>
      </c>
      <c r="AC1819" s="2">
        <v>941607000</v>
      </c>
      <c r="AD1819" s="1">
        <v>0</v>
      </c>
      <c r="AE1819" s="1">
        <v>0</v>
      </c>
      <c r="AF1819" s="1">
        <v>0</v>
      </c>
      <c r="AG1819" s="1">
        <v>0</v>
      </c>
      <c r="AH1819" s="2">
        <v>5826390</v>
      </c>
      <c r="AI1819" s="1">
        <v>946796</v>
      </c>
      <c r="AJ1819" s="1">
        <v>0</v>
      </c>
      <c r="AK1819" s="8">
        <f t="shared" si="115"/>
        <v>50</v>
      </c>
      <c r="AL1819" s="8">
        <f t="shared" si="114"/>
        <v>35</v>
      </c>
      <c r="AM1819">
        <f t="shared" si="112"/>
        <v>0</v>
      </c>
      <c r="AN1819">
        <f t="shared" si="113"/>
        <v>0</v>
      </c>
    </row>
    <row r="1820" spans="1:40" x14ac:dyDescent="0.35">
      <c r="A1820">
        <v>64.184399999999997</v>
      </c>
      <c r="B1820">
        <v>85.138999999999996</v>
      </c>
      <c r="C1820">
        <v>3.2054900000000002</v>
      </c>
      <c r="D1820">
        <v>0.02</v>
      </c>
      <c r="E1820">
        <v>0.04</v>
      </c>
      <c r="F1820">
        <v>2.9704799999999998</v>
      </c>
      <c r="G1820">
        <v>3.2728799999999998</v>
      </c>
      <c r="H1820">
        <v>0</v>
      </c>
      <c r="I1820">
        <v>0.55665600000000004</v>
      </c>
      <c r="J1820">
        <v>5.3222399999999999</v>
      </c>
      <c r="K1820" s="2">
        <v>207129000</v>
      </c>
      <c r="L1820" s="1">
        <v>0</v>
      </c>
      <c r="M1820" s="1">
        <v>0</v>
      </c>
      <c r="N1820" s="1">
        <v>0</v>
      </c>
      <c r="O1820" s="1">
        <v>0</v>
      </c>
      <c r="P1820" s="2">
        <v>4440790</v>
      </c>
      <c r="Q1820" s="1">
        <v>-72080.600000000006</v>
      </c>
      <c r="R1820" s="1">
        <v>408539</v>
      </c>
      <c r="S1820">
        <v>95.563599999999994</v>
      </c>
      <c r="T1820">
        <v>98.274000000000001</v>
      </c>
      <c r="U1820">
        <v>5.0757700000000003</v>
      </c>
      <c r="V1820">
        <v>0</v>
      </c>
      <c r="W1820">
        <v>0</v>
      </c>
      <c r="X1820">
        <v>2.2520099999999998</v>
      </c>
      <c r="Y1820">
        <v>1.9496100000000001</v>
      </c>
      <c r="Z1820">
        <v>0</v>
      </c>
      <c r="AA1820">
        <v>1.73987</v>
      </c>
      <c r="AB1820">
        <v>3.3868800000000001</v>
      </c>
      <c r="AC1820" s="2">
        <v>942553000</v>
      </c>
      <c r="AD1820" s="1">
        <v>0</v>
      </c>
      <c r="AE1820" s="1">
        <v>0</v>
      </c>
      <c r="AF1820" s="1">
        <v>0</v>
      </c>
      <c r="AG1820" s="1">
        <v>0</v>
      </c>
      <c r="AH1820" s="2">
        <v>5826480</v>
      </c>
      <c r="AI1820" s="1">
        <v>946799</v>
      </c>
      <c r="AJ1820" s="1">
        <v>0</v>
      </c>
      <c r="AK1820" s="8">
        <f t="shared" si="115"/>
        <v>51</v>
      </c>
      <c r="AL1820" s="8">
        <f t="shared" si="114"/>
        <v>35</v>
      </c>
      <c r="AM1820">
        <f t="shared" si="112"/>
        <v>0</v>
      </c>
      <c r="AN1820">
        <f t="shared" si="113"/>
        <v>0</v>
      </c>
    </row>
    <row r="1821" spans="1:40" x14ac:dyDescent="0.35">
      <c r="A1821">
        <v>63.872900000000001</v>
      </c>
      <c r="B1821">
        <v>85.138999999999996</v>
      </c>
      <c r="C1821">
        <v>2.8255300000000001</v>
      </c>
      <c r="D1821">
        <v>0.02</v>
      </c>
      <c r="E1821">
        <v>0.04</v>
      </c>
      <c r="F1821">
        <v>2.9705400000000002</v>
      </c>
      <c r="G1821">
        <v>3.2729400000000002</v>
      </c>
      <c r="H1821">
        <v>0</v>
      </c>
      <c r="I1821">
        <v>0.55666700000000002</v>
      </c>
      <c r="J1821">
        <v>5.3222399999999999</v>
      </c>
      <c r="K1821" s="2">
        <v>207057000</v>
      </c>
      <c r="L1821" s="1">
        <v>0</v>
      </c>
      <c r="M1821" s="1">
        <v>0</v>
      </c>
      <c r="N1821" s="1">
        <v>0</v>
      </c>
      <c r="O1821" s="1">
        <v>0</v>
      </c>
      <c r="P1821" s="2">
        <v>4440880</v>
      </c>
      <c r="Q1821" s="1">
        <v>-72074.399999999994</v>
      </c>
      <c r="R1821" s="1">
        <v>408539</v>
      </c>
      <c r="S1821">
        <v>95.9499</v>
      </c>
      <c r="T1821">
        <v>98.274000000000001</v>
      </c>
      <c r="U1821">
        <v>4.8276199999999996</v>
      </c>
      <c r="V1821">
        <v>0</v>
      </c>
      <c r="W1821">
        <v>0</v>
      </c>
      <c r="X1821">
        <v>2.25204</v>
      </c>
      <c r="Y1821">
        <v>1.94964</v>
      </c>
      <c r="Z1821">
        <v>0</v>
      </c>
      <c r="AA1821">
        <v>1.7399</v>
      </c>
      <c r="AB1821">
        <v>3.3868800000000001</v>
      </c>
      <c r="AC1821" s="2">
        <v>943500000</v>
      </c>
      <c r="AD1821" s="1">
        <v>0</v>
      </c>
      <c r="AE1821" s="1">
        <v>0</v>
      </c>
      <c r="AF1821" s="1">
        <v>0</v>
      </c>
      <c r="AG1821" s="1">
        <v>0</v>
      </c>
      <c r="AH1821" s="2">
        <v>5826570</v>
      </c>
      <c r="AI1821" s="1">
        <v>946802</v>
      </c>
      <c r="AJ1821" s="1">
        <v>0</v>
      </c>
      <c r="AK1821" s="8">
        <f t="shared" si="115"/>
        <v>52</v>
      </c>
      <c r="AL1821" s="8">
        <f t="shared" si="114"/>
        <v>35</v>
      </c>
      <c r="AM1821">
        <f t="shared" si="112"/>
        <v>943500000</v>
      </c>
      <c r="AN1821">
        <f t="shared" si="113"/>
        <v>207057000</v>
      </c>
    </row>
    <row r="1822" spans="1:40" x14ac:dyDescent="0.35">
      <c r="A1822">
        <v>63.959899999999998</v>
      </c>
      <c r="B1822">
        <v>85.138999999999996</v>
      </c>
      <c r="C1822">
        <v>3.1848200000000002</v>
      </c>
      <c r="D1822">
        <v>0.02</v>
      </c>
      <c r="E1822">
        <v>0.04</v>
      </c>
      <c r="F1822">
        <v>2.7241</v>
      </c>
      <c r="G1822">
        <v>3.0265</v>
      </c>
      <c r="H1822">
        <v>0</v>
      </c>
      <c r="I1822">
        <v>0.55667800000000001</v>
      </c>
      <c r="J1822">
        <v>5.3222399999999999</v>
      </c>
      <c r="K1822" s="2">
        <v>206960000</v>
      </c>
      <c r="L1822" s="1">
        <v>0</v>
      </c>
      <c r="M1822" s="1">
        <v>0</v>
      </c>
      <c r="N1822" s="1">
        <v>0</v>
      </c>
      <c r="O1822" s="1">
        <v>0</v>
      </c>
      <c r="P1822" s="2">
        <v>4072460</v>
      </c>
      <c r="Q1822" s="1">
        <v>-97408.3</v>
      </c>
      <c r="R1822" s="1">
        <v>408539</v>
      </c>
      <c r="S1822">
        <v>96.309700000000007</v>
      </c>
      <c r="T1822">
        <v>98.274000000000001</v>
      </c>
      <c r="U1822">
        <v>5.0569699999999997</v>
      </c>
      <c r="V1822">
        <v>0</v>
      </c>
      <c r="W1822">
        <v>0</v>
      </c>
      <c r="X1822">
        <v>2.0562399999999998</v>
      </c>
      <c r="Y1822">
        <v>1.7538400000000001</v>
      </c>
      <c r="Z1822">
        <v>0</v>
      </c>
      <c r="AA1822">
        <v>1.73993</v>
      </c>
      <c r="AB1822">
        <v>3.3868800000000001</v>
      </c>
      <c r="AC1822" s="2">
        <v>944430000</v>
      </c>
      <c r="AD1822" s="1">
        <v>0</v>
      </c>
      <c r="AE1822" s="1">
        <v>0</v>
      </c>
      <c r="AF1822" s="1">
        <v>0</v>
      </c>
      <c r="AG1822" s="1">
        <v>0</v>
      </c>
      <c r="AH1822" s="2">
        <v>5319980</v>
      </c>
      <c r="AI1822" s="1">
        <v>930289</v>
      </c>
      <c r="AJ1822" s="1">
        <v>0</v>
      </c>
      <c r="AK1822" s="8">
        <f t="shared" si="115"/>
        <v>1</v>
      </c>
      <c r="AL1822" s="8">
        <f t="shared" si="114"/>
        <v>36</v>
      </c>
      <c r="AM1822">
        <f t="shared" si="112"/>
        <v>0</v>
      </c>
      <c r="AN1822">
        <f t="shared" si="113"/>
        <v>0</v>
      </c>
    </row>
    <row r="1823" spans="1:40" x14ac:dyDescent="0.35">
      <c r="A1823">
        <v>63.401499999999999</v>
      </c>
      <c r="B1823">
        <v>85.138999999999996</v>
      </c>
      <c r="C1823">
        <v>2.5727500000000001</v>
      </c>
      <c r="D1823">
        <v>0.02</v>
      </c>
      <c r="E1823">
        <v>0.04</v>
      </c>
      <c r="F1823">
        <v>2.7241599999999999</v>
      </c>
      <c r="G1823">
        <v>3.0265599999999999</v>
      </c>
      <c r="H1823">
        <v>0</v>
      </c>
      <c r="I1823">
        <v>0.51049699999999998</v>
      </c>
      <c r="J1823">
        <v>5.3222399999999999</v>
      </c>
      <c r="K1823" s="2">
        <v>206862000</v>
      </c>
      <c r="L1823" s="1">
        <v>0</v>
      </c>
      <c r="M1823" s="1">
        <v>0</v>
      </c>
      <c r="N1823" s="1">
        <v>0</v>
      </c>
      <c r="O1823" s="1">
        <v>0</v>
      </c>
      <c r="P1823" s="2">
        <v>4072550</v>
      </c>
      <c r="Q1823" s="1">
        <v>-97402.7</v>
      </c>
      <c r="R1823" s="1">
        <v>408539</v>
      </c>
      <c r="S1823">
        <v>96.747299999999996</v>
      </c>
      <c r="T1823">
        <v>98.274000000000001</v>
      </c>
      <c r="U1823">
        <v>5.8293299999999997</v>
      </c>
      <c r="V1823">
        <v>0</v>
      </c>
      <c r="W1823">
        <v>0</v>
      </c>
      <c r="X1823">
        <v>2.05627</v>
      </c>
      <c r="Y1823">
        <v>1.75387</v>
      </c>
      <c r="Z1823">
        <v>0</v>
      </c>
      <c r="AA1823">
        <v>1.5886499999999999</v>
      </c>
      <c r="AB1823">
        <v>3.3868800000000001</v>
      </c>
      <c r="AC1823" s="2">
        <v>945361000</v>
      </c>
      <c r="AD1823" s="1">
        <v>0</v>
      </c>
      <c r="AE1823" s="1">
        <v>0</v>
      </c>
      <c r="AF1823" s="1">
        <v>0</v>
      </c>
      <c r="AG1823" s="1">
        <v>0</v>
      </c>
      <c r="AH1823" s="2">
        <v>5320070</v>
      </c>
      <c r="AI1823" s="1">
        <v>930292</v>
      </c>
      <c r="AJ1823" s="1">
        <v>0</v>
      </c>
      <c r="AK1823" s="8">
        <f t="shared" si="115"/>
        <v>2</v>
      </c>
      <c r="AL1823" s="8">
        <f t="shared" si="114"/>
        <v>36</v>
      </c>
      <c r="AM1823">
        <f t="shared" si="112"/>
        <v>0</v>
      </c>
      <c r="AN1823">
        <f t="shared" si="113"/>
        <v>0</v>
      </c>
    </row>
    <row r="1824" spans="1:40" x14ac:dyDescent="0.35">
      <c r="A1824">
        <v>64.142700000000005</v>
      </c>
      <c r="B1824">
        <v>85.138999999999996</v>
      </c>
      <c r="C1824">
        <v>3.87121</v>
      </c>
      <c r="D1824">
        <v>0.03</v>
      </c>
      <c r="E1824">
        <v>0.04</v>
      </c>
      <c r="F1824">
        <v>2.7242099999999998</v>
      </c>
      <c r="G1824">
        <v>3.0266099999999998</v>
      </c>
      <c r="H1824">
        <v>0</v>
      </c>
      <c r="I1824">
        <v>0.51050700000000004</v>
      </c>
      <c r="J1824">
        <v>5.3222399999999999</v>
      </c>
      <c r="K1824" s="2">
        <v>206765000</v>
      </c>
      <c r="L1824" s="1">
        <v>0</v>
      </c>
      <c r="M1824" s="1">
        <v>0</v>
      </c>
      <c r="N1824" s="1">
        <v>0</v>
      </c>
      <c r="O1824" s="1">
        <v>0</v>
      </c>
      <c r="P1824" s="2">
        <v>4072630</v>
      </c>
      <c r="Q1824" s="1">
        <v>-97397</v>
      </c>
      <c r="R1824" s="1">
        <v>408539</v>
      </c>
      <c r="S1824">
        <v>97.150599999999997</v>
      </c>
      <c r="T1824">
        <v>98.274000000000001</v>
      </c>
      <c r="U1824">
        <v>6.33575</v>
      </c>
      <c r="V1824">
        <v>0</v>
      </c>
      <c r="W1824">
        <v>0</v>
      </c>
      <c r="X1824">
        <v>2.0562999999999998</v>
      </c>
      <c r="Y1824">
        <v>1.7539</v>
      </c>
      <c r="Z1824">
        <v>0</v>
      </c>
      <c r="AA1824">
        <v>1.5886800000000001</v>
      </c>
      <c r="AB1824">
        <v>3.3868800000000001</v>
      </c>
      <c r="AC1824" s="2">
        <v>946291000</v>
      </c>
      <c r="AD1824" s="1">
        <v>0</v>
      </c>
      <c r="AE1824" s="1">
        <v>0</v>
      </c>
      <c r="AF1824" s="1">
        <v>0</v>
      </c>
      <c r="AG1824" s="1">
        <v>0</v>
      </c>
      <c r="AH1824" s="2">
        <v>5320150</v>
      </c>
      <c r="AI1824" s="1">
        <v>930295</v>
      </c>
      <c r="AJ1824" s="1">
        <v>0</v>
      </c>
      <c r="AK1824" s="8">
        <f t="shared" si="115"/>
        <v>3</v>
      </c>
      <c r="AL1824" s="8">
        <f t="shared" si="114"/>
        <v>36</v>
      </c>
      <c r="AM1824">
        <f t="shared" si="112"/>
        <v>0</v>
      </c>
      <c r="AN1824">
        <f t="shared" si="113"/>
        <v>0</v>
      </c>
    </row>
    <row r="1825" spans="1:40" x14ac:dyDescent="0.35">
      <c r="A1825">
        <v>65.180999999999997</v>
      </c>
      <c r="B1825">
        <v>85.138999999999996</v>
      </c>
      <c r="C1825">
        <v>4.1788699999999999</v>
      </c>
      <c r="D1825">
        <v>0.04</v>
      </c>
      <c r="E1825">
        <v>0.04</v>
      </c>
      <c r="F1825">
        <v>2.7242700000000002</v>
      </c>
      <c r="G1825">
        <v>3.0266700000000002</v>
      </c>
      <c r="H1825">
        <v>0</v>
      </c>
      <c r="I1825">
        <v>0.510517</v>
      </c>
      <c r="J1825">
        <v>5.3222399999999999</v>
      </c>
      <c r="K1825" s="2">
        <v>206668000</v>
      </c>
      <c r="L1825" s="1">
        <v>0</v>
      </c>
      <c r="M1825" s="1">
        <v>0</v>
      </c>
      <c r="N1825" s="1">
        <v>0</v>
      </c>
      <c r="O1825" s="1">
        <v>0</v>
      </c>
      <c r="P1825" s="2">
        <v>4072710</v>
      </c>
      <c r="Q1825" s="1">
        <v>-97391.3</v>
      </c>
      <c r="R1825" s="1">
        <v>408539</v>
      </c>
      <c r="S1825">
        <v>97.835499999999996</v>
      </c>
      <c r="T1825">
        <v>98.274000000000001</v>
      </c>
      <c r="U1825">
        <v>6.6235099999999996</v>
      </c>
      <c r="V1825">
        <v>0</v>
      </c>
      <c r="W1825">
        <v>0</v>
      </c>
      <c r="X1825">
        <v>2.0563400000000001</v>
      </c>
      <c r="Y1825">
        <v>1.7539400000000001</v>
      </c>
      <c r="Z1825">
        <v>0</v>
      </c>
      <c r="AA1825">
        <v>1.5887</v>
      </c>
      <c r="AB1825">
        <v>3.3868800000000001</v>
      </c>
      <c r="AC1825" s="2">
        <v>947221000</v>
      </c>
      <c r="AD1825" s="1">
        <v>0</v>
      </c>
      <c r="AE1825" s="1">
        <v>0</v>
      </c>
      <c r="AF1825" s="1">
        <v>0</v>
      </c>
      <c r="AG1825" s="1">
        <v>0</v>
      </c>
      <c r="AH1825" s="2">
        <v>5320230</v>
      </c>
      <c r="AI1825" s="1">
        <v>930297</v>
      </c>
      <c r="AJ1825" s="1">
        <v>0</v>
      </c>
      <c r="AK1825" s="8">
        <f t="shared" si="115"/>
        <v>4</v>
      </c>
      <c r="AL1825" s="8">
        <f t="shared" si="114"/>
        <v>36</v>
      </c>
      <c r="AM1825">
        <f t="shared" si="112"/>
        <v>0</v>
      </c>
      <c r="AN1825">
        <f t="shared" si="113"/>
        <v>0</v>
      </c>
    </row>
    <row r="1826" spans="1:40" x14ac:dyDescent="0.35">
      <c r="A1826">
        <v>68.436300000000003</v>
      </c>
      <c r="B1826">
        <v>85.138999999999996</v>
      </c>
      <c r="C1826">
        <v>6.5577500000000004</v>
      </c>
      <c r="D1826">
        <v>0.04</v>
      </c>
      <c r="E1826">
        <v>0.04</v>
      </c>
      <c r="F1826">
        <v>2.7243200000000001</v>
      </c>
      <c r="G1826">
        <v>3.0267200000000001</v>
      </c>
      <c r="H1826">
        <v>0</v>
      </c>
      <c r="I1826">
        <v>0.51052799999999998</v>
      </c>
      <c r="J1826">
        <v>5.3222399999999999</v>
      </c>
      <c r="K1826" s="2">
        <v>206570000</v>
      </c>
      <c r="L1826" s="1">
        <v>0</v>
      </c>
      <c r="M1826" s="1">
        <v>0</v>
      </c>
      <c r="N1826" s="1">
        <v>0</v>
      </c>
      <c r="O1826" s="1">
        <v>0</v>
      </c>
      <c r="P1826" s="2">
        <v>4072790</v>
      </c>
      <c r="Q1826" s="1">
        <v>-97385.600000000006</v>
      </c>
      <c r="R1826" s="1">
        <v>408539</v>
      </c>
      <c r="S1826">
        <v>99.302199999999999</v>
      </c>
      <c r="T1826">
        <v>98.274000000000001</v>
      </c>
      <c r="U1826">
        <v>8.2763500000000008</v>
      </c>
      <c r="V1826">
        <v>0</v>
      </c>
      <c r="W1826">
        <v>0</v>
      </c>
      <c r="X1826">
        <v>2.0563699999999998</v>
      </c>
      <c r="Y1826">
        <v>1.75397</v>
      </c>
      <c r="Z1826">
        <v>0</v>
      </c>
      <c r="AA1826">
        <v>1.58873</v>
      </c>
      <c r="AB1826">
        <v>3.3868800000000001</v>
      </c>
      <c r="AC1826" s="2">
        <v>948152000</v>
      </c>
      <c r="AD1826" s="1">
        <v>0</v>
      </c>
      <c r="AE1826" s="1">
        <v>0</v>
      </c>
      <c r="AF1826" s="1">
        <v>0</v>
      </c>
      <c r="AG1826" s="1">
        <v>0</v>
      </c>
      <c r="AH1826" s="2">
        <v>5320320</v>
      </c>
      <c r="AI1826" s="1">
        <v>930300</v>
      </c>
      <c r="AJ1826" s="1">
        <v>0</v>
      </c>
      <c r="AK1826" s="8">
        <f t="shared" si="115"/>
        <v>5</v>
      </c>
      <c r="AL1826" s="8">
        <f t="shared" si="114"/>
        <v>36</v>
      </c>
      <c r="AM1826">
        <f t="shared" si="112"/>
        <v>0</v>
      </c>
      <c r="AN1826">
        <f t="shared" si="113"/>
        <v>0</v>
      </c>
    </row>
    <row r="1827" spans="1:40" x14ac:dyDescent="0.35">
      <c r="A1827">
        <v>67.512200000000007</v>
      </c>
      <c r="B1827">
        <v>85.138999999999996</v>
      </c>
      <c r="C1827">
        <v>2.1953200000000002</v>
      </c>
      <c r="D1827">
        <v>0.04</v>
      </c>
      <c r="E1827">
        <v>0.04</v>
      </c>
      <c r="F1827">
        <v>2.8191899999999999</v>
      </c>
      <c r="G1827">
        <v>3.1215899999999999</v>
      </c>
      <c r="H1827">
        <v>0</v>
      </c>
      <c r="I1827">
        <v>0.51053800000000005</v>
      </c>
      <c r="J1827">
        <v>5.3222399999999999</v>
      </c>
      <c r="K1827" s="2">
        <v>206483000</v>
      </c>
      <c r="L1827" s="1">
        <v>0</v>
      </c>
      <c r="M1827" s="1">
        <v>0</v>
      </c>
      <c r="N1827" s="1">
        <v>0</v>
      </c>
      <c r="O1827" s="1">
        <v>0</v>
      </c>
      <c r="P1827" s="2">
        <v>4214620</v>
      </c>
      <c r="Q1827" s="1">
        <v>-87632.7</v>
      </c>
      <c r="R1827" s="1">
        <v>408539</v>
      </c>
      <c r="S1827">
        <v>99.124799999999993</v>
      </c>
      <c r="T1827">
        <v>98.274000000000001</v>
      </c>
      <c r="U1827">
        <v>2.5291100000000002</v>
      </c>
      <c r="V1827">
        <v>0</v>
      </c>
      <c r="W1827">
        <v>0</v>
      </c>
      <c r="X1827">
        <v>2.1131099999999998</v>
      </c>
      <c r="Y1827">
        <v>1.81071</v>
      </c>
      <c r="Z1827">
        <v>0</v>
      </c>
      <c r="AA1827">
        <v>1.5887500000000001</v>
      </c>
      <c r="AB1827">
        <v>3.3868800000000001</v>
      </c>
      <c r="AC1827" s="2">
        <v>949087000</v>
      </c>
      <c r="AD1827" s="1">
        <v>0</v>
      </c>
      <c r="AE1827" s="1">
        <v>0</v>
      </c>
      <c r="AF1827" s="1">
        <v>0</v>
      </c>
      <c r="AG1827" s="1">
        <v>0</v>
      </c>
      <c r="AH1827" s="2">
        <v>5467120</v>
      </c>
      <c r="AI1827" s="1">
        <v>935085</v>
      </c>
      <c r="AJ1827" s="1">
        <v>0</v>
      </c>
      <c r="AK1827" s="8">
        <f t="shared" si="115"/>
        <v>6</v>
      </c>
      <c r="AL1827" s="8">
        <f t="shared" si="114"/>
        <v>36</v>
      </c>
      <c r="AM1827">
        <f t="shared" si="112"/>
        <v>0</v>
      </c>
      <c r="AN1827">
        <f t="shared" si="113"/>
        <v>0</v>
      </c>
    </row>
    <row r="1828" spans="1:40" x14ac:dyDescent="0.35">
      <c r="A1828">
        <v>67.475999999999999</v>
      </c>
      <c r="B1828">
        <v>85.138999999999996</v>
      </c>
      <c r="C1828">
        <v>3.1458699999999999</v>
      </c>
      <c r="D1828">
        <v>0.04</v>
      </c>
      <c r="E1828">
        <v>0.04</v>
      </c>
      <c r="F1828">
        <v>2.8192300000000001</v>
      </c>
      <c r="G1828">
        <v>3.1216300000000001</v>
      </c>
      <c r="H1828">
        <v>0</v>
      </c>
      <c r="I1828">
        <v>0.52831700000000004</v>
      </c>
      <c r="J1828">
        <v>5.3222399999999999</v>
      </c>
      <c r="K1828" s="2">
        <v>206395000</v>
      </c>
      <c r="L1828" s="1">
        <v>0</v>
      </c>
      <c r="M1828" s="1">
        <v>0</v>
      </c>
      <c r="N1828" s="1">
        <v>0</v>
      </c>
      <c r="O1828" s="1">
        <v>0</v>
      </c>
      <c r="P1828" s="2">
        <v>4214680</v>
      </c>
      <c r="Q1828" s="1">
        <v>-87628.7</v>
      </c>
      <c r="R1828" s="1">
        <v>408539</v>
      </c>
      <c r="S1828">
        <v>99.141099999999994</v>
      </c>
      <c r="T1828">
        <v>98.274000000000001</v>
      </c>
      <c r="U1828">
        <v>3.0287099999999998</v>
      </c>
      <c r="V1828">
        <v>0</v>
      </c>
      <c r="W1828">
        <v>0</v>
      </c>
      <c r="X1828">
        <v>2.11313</v>
      </c>
      <c r="Y1828">
        <v>1.81073</v>
      </c>
      <c r="Z1828">
        <v>0</v>
      </c>
      <c r="AA1828">
        <v>1.63259</v>
      </c>
      <c r="AB1828">
        <v>3.3868800000000001</v>
      </c>
      <c r="AC1828" s="2">
        <v>950022000</v>
      </c>
      <c r="AD1828" s="1">
        <v>0</v>
      </c>
      <c r="AE1828" s="1">
        <v>0</v>
      </c>
      <c r="AF1828" s="1">
        <v>0</v>
      </c>
      <c r="AG1828" s="2">
        <v>7883220</v>
      </c>
      <c r="AH1828" s="2">
        <v>5467180</v>
      </c>
      <c r="AI1828" s="1">
        <v>935087</v>
      </c>
      <c r="AJ1828" s="1">
        <v>0</v>
      </c>
      <c r="AK1828" s="8">
        <f t="shared" si="115"/>
        <v>7</v>
      </c>
      <c r="AL1828" s="8">
        <f t="shared" si="114"/>
        <v>36</v>
      </c>
      <c r="AM1828">
        <f t="shared" si="112"/>
        <v>0</v>
      </c>
      <c r="AN1828">
        <f t="shared" si="113"/>
        <v>0</v>
      </c>
    </row>
    <row r="1829" spans="1:40" x14ac:dyDescent="0.35">
      <c r="A1829">
        <v>68.476600000000005</v>
      </c>
      <c r="B1829">
        <v>85.138999999999996</v>
      </c>
      <c r="C1829">
        <v>4.2303899999999999</v>
      </c>
      <c r="D1829">
        <v>0.04</v>
      </c>
      <c r="E1829">
        <v>0.04</v>
      </c>
      <c r="F1829">
        <v>2.8192699999999999</v>
      </c>
      <c r="G1829">
        <v>3.1216699999999999</v>
      </c>
      <c r="H1829">
        <v>0</v>
      </c>
      <c r="I1829">
        <v>0.52832400000000002</v>
      </c>
      <c r="J1829">
        <v>5.3222399999999999</v>
      </c>
      <c r="K1829" s="2">
        <v>206307000</v>
      </c>
      <c r="L1829" s="1">
        <v>0</v>
      </c>
      <c r="M1829" s="1">
        <v>0</v>
      </c>
      <c r="N1829" s="1">
        <v>0</v>
      </c>
      <c r="O1829" s="1">
        <v>0</v>
      </c>
      <c r="P1829" s="2">
        <v>4214740</v>
      </c>
      <c r="Q1829" s="1">
        <v>-87624.7</v>
      </c>
      <c r="R1829" s="1">
        <v>408539</v>
      </c>
      <c r="S1829">
        <v>99.302199999999999</v>
      </c>
      <c r="T1829">
        <v>98.274000000000001</v>
      </c>
      <c r="U1829">
        <v>3.7899099999999999</v>
      </c>
      <c r="V1829">
        <v>0</v>
      </c>
      <c r="W1829">
        <v>0</v>
      </c>
      <c r="X1829">
        <v>2.1131600000000001</v>
      </c>
      <c r="Y1829">
        <v>1.8107599999999999</v>
      </c>
      <c r="Z1829">
        <v>0</v>
      </c>
      <c r="AA1829">
        <v>1.6326099999999999</v>
      </c>
      <c r="AB1829">
        <v>3.3868800000000001</v>
      </c>
      <c r="AC1829" s="2">
        <v>950957000</v>
      </c>
      <c r="AD1829" s="1">
        <v>0</v>
      </c>
      <c r="AE1829" s="1">
        <v>0</v>
      </c>
      <c r="AF1829" s="1">
        <v>0</v>
      </c>
      <c r="AG1829" s="1">
        <v>0</v>
      </c>
      <c r="AH1829" s="2">
        <v>5467240</v>
      </c>
      <c r="AI1829" s="1">
        <v>935089</v>
      </c>
      <c r="AJ1829" s="1">
        <v>0</v>
      </c>
      <c r="AK1829" s="8">
        <f t="shared" si="115"/>
        <v>8</v>
      </c>
      <c r="AL1829" s="8">
        <f t="shared" si="114"/>
        <v>36</v>
      </c>
      <c r="AM1829">
        <f t="shared" si="112"/>
        <v>0</v>
      </c>
      <c r="AN1829">
        <f t="shared" si="113"/>
        <v>0</v>
      </c>
    </row>
    <row r="1830" spans="1:40" x14ac:dyDescent="0.35">
      <c r="A1830">
        <v>74.183000000000007</v>
      </c>
      <c r="B1830">
        <v>85.138999999999996</v>
      </c>
      <c r="C1830">
        <v>8.9743600000000008</v>
      </c>
      <c r="D1830">
        <v>0.04</v>
      </c>
      <c r="E1830">
        <v>0.04</v>
      </c>
      <c r="F1830">
        <v>2.8193100000000002</v>
      </c>
      <c r="G1830">
        <v>3.1217100000000002</v>
      </c>
      <c r="H1830">
        <v>0</v>
      </c>
      <c r="I1830">
        <v>0.528331</v>
      </c>
      <c r="J1830">
        <v>5.3222399999999999</v>
      </c>
      <c r="K1830" s="2">
        <v>206220000</v>
      </c>
      <c r="L1830" s="1">
        <v>0</v>
      </c>
      <c r="M1830" s="1">
        <v>0</v>
      </c>
      <c r="N1830" s="1">
        <v>0</v>
      </c>
      <c r="O1830" s="1">
        <v>0</v>
      </c>
      <c r="P1830" s="2">
        <v>4214800</v>
      </c>
      <c r="Q1830" s="1">
        <v>-87620.800000000003</v>
      </c>
      <c r="R1830" s="1">
        <v>408539</v>
      </c>
      <c r="S1830">
        <v>99.302199999999999</v>
      </c>
      <c r="T1830">
        <v>98.274000000000001</v>
      </c>
      <c r="U1830">
        <v>5.1289100000000003</v>
      </c>
      <c r="V1830">
        <v>0</v>
      </c>
      <c r="W1830">
        <v>0</v>
      </c>
      <c r="X1830">
        <v>2.1131799999999998</v>
      </c>
      <c r="Y1830">
        <v>1.8107800000000001</v>
      </c>
      <c r="Z1830">
        <v>0</v>
      </c>
      <c r="AA1830">
        <v>1.63262</v>
      </c>
      <c r="AB1830">
        <v>3.3868800000000001</v>
      </c>
      <c r="AC1830" s="2">
        <v>951892000</v>
      </c>
      <c r="AD1830" s="1">
        <v>0</v>
      </c>
      <c r="AE1830" s="1">
        <v>0</v>
      </c>
      <c r="AF1830" s="1">
        <v>0</v>
      </c>
      <c r="AG1830" s="1">
        <v>0</v>
      </c>
      <c r="AH1830" s="2">
        <v>5467300</v>
      </c>
      <c r="AI1830" s="1">
        <v>935091</v>
      </c>
      <c r="AJ1830" s="1">
        <v>0</v>
      </c>
      <c r="AK1830" s="8">
        <f t="shared" si="115"/>
        <v>9</v>
      </c>
      <c r="AL1830" s="8">
        <f t="shared" si="114"/>
        <v>36</v>
      </c>
      <c r="AM1830">
        <f t="shared" si="112"/>
        <v>0</v>
      </c>
      <c r="AN1830">
        <f t="shared" si="113"/>
        <v>0</v>
      </c>
    </row>
    <row r="1831" spans="1:40" x14ac:dyDescent="0.35">
      <c r="A1831">
        <v>78.247799999999998</v>
      </c>
      <c r="B1831">
        <v>85.138999999999996</v>
      </c>
      <c r="C1831">
        <v>7.9397799999999998</v>
      </c>
      <c r="D1831">
        <v>0.03</v>
      </c>
      <c r="E1831">
        <v>0.04</v>
      </c>
      <c r="F1831">
        <v>3.12384</v>
      </c>
      <c r="G1831">
        <v>3.42624</v>
      </c>
      <c r="H1831">
        <v>0</v>
      </c>
      <c r="I1831">
        <v>0.528339</v>
      </c>
      <c r="J1831">
        <v>5.3222399999999999</v>
      </c>
      <c r="K1831" s="2">
        <v>206163000</v>
      </c>
      <c r="L1831" s="1">
        <v>0</v>
      </c>
      <c r="M1831" s="1">
        <v>0</v>
      </c>
      <c r="N1831" s="1">
        <v>0</v>
      </c>
      <c r="O1831" s="1">
        <v>0</v>
      </c>
      <c r="P1831" s="2">
        <v>4670060</v>
      </c>
      <c r="Q1831" s="1">
        <v>-56314.8</v>
      </c>
      <c r="R1831" s="1">
        <v>408539</v>
      </c>
      <c r="S1831">
        <v>99.302199999999999</v>
      </c>
      <c r="T1831">
        <v>98.274000000000001</v>
      </c>
      <c r="U1831">
        <v>4.8477699999999997</v>
      </c>
      <c r="V1831">
        <v>0</v>
      </c>
      <c r="W1831">
        <v>0</v>
      </c>
      <c r="X1831">
        <v>2.3261099999999999</v>
      </c>
      <c r="Y1831">
        <v>2.0237099999999999</v>
      </c>
      <c r="Z1831">
        <v>0</v>
      </c>
      <c r="AA1831">
        <v>1.6326400000000001</v>
      </c>
      <c r="AB1831">
        <v>3.3868800000000001</v>
      </c>
      <c r="AC1831" s="2">
        <v>952845000</v>
      </c>
      <c r="AD1831" s="1">
        <v>0</v>
      </c>
      <c r="AE1831" s="1">
        <v>0</v>
      </c>
      <c r="AF1831" s="1">
        <v>0</v>
      </c>
      <c r="AG1831" s="1">
        <v>0</v>
      </c>
      <c r="AH1831" s="2">
        <v>6018210</v>
      </c>
      <c r="AI1831" s="1">
        <v>953049</v>
      </c>
      <c r="AJ1831" s="1">
        <v>0</v>
      </c>
      <c r="AK1831" s="8">
        <f t="shared" si="115"/>
        <v>10</v>
      </c>
      <c r="AL1831" s="8">
        <f t="shared" si="114"/>
        <v>36</v>
      </c>
      <c r="AM1831">
        <f t="shared" si="112"/>
        <v>0</v>
      </c>
      <c r="AN1831">
        <f t="shared" si="113"/>
        <v>0</v>
      </c>
    </row>
    <row r="1832" spans="1:40" x14ac:dyDescent="0.35">
      <c r="A1832">
        <v>83.280100000000004</v>
      </c>
      <c r="B1832">
        <v>85.138999999999996</v>
      </c>
      <c r="C1832">
        <v>8.90442</v>
      </c>
      <c r="D1832">
        <v>0.03</v>
      </c>
      <c r="E1832">
        <v>0.04</v>
      </c>
      <c r="F1832">
        <v>3.1238800000000002</v>
      </c>
      <c r="G1832">
        <v>3.4262800000000002</v>
      </c>
      <c r="H1832">
        <v>0</v>
      </c>
      <c r="I1832">
        <v>0.58540700000000001</v>
      </c>
      <c r="J1832">
        <v>5.3222399999999999</v>
      </c>
      <c r="K1832" s="2">
        <v>206107000</v>
      </c>
      <c r="L1832" s="1">
        <v>0</v>
      </c>
      <c r="M1832" s="1">
        <v>0</v>
      </c>
      <c r="N1832" s="1">
        <v>0</v>
      </c>
      <c r="O1832" s="1">
        <v>0</v>
      </c>
      <c r="P1832" s="2">
        <v>4670120</v>
      </c>
      <c r="Q1832" s="1">
        <v>-56310.400000000001</v>
      </c>
      <c r="R1832" s="1">
        <v>408539</v>
      </c>
      <c r="S1832">
        <v>99.302199999999999</v>
      </c>
      <c r="T1832">
        <v>98.274000000000001</v>
      </c>
      <c r="U1832">
        <v>6.0419799999999997</v>
      </c>
      <c r="V1832">
        <v>0</v>
      </c>
      <c r="W1832">
        <v>0</v>
      </c>
      <c r="X1832">
        <v>2.3261400000000001</v>
      </c>
      <c r="Y1832">
        <v>2.0237400000000001</v>
      </c>
      <c r="Z1832">
        <v>0</v>
      </c>
      <c r="AA1832">
        <v>1.7971600000000001</v>
      </c>
      <c r="AB1832">
        <v>3.3868800000000001</v>
      </c>
      <c r="AC1832" s="2">
        <v>953798000</v>
      </c>
      <c r="AD1832" s="1">
        <v>0</v>
      </c>
      <c r="AE1832" s="1">
        <v>0</v>
      </c>
      <c r="AF1832" s="1">
        <v>0</v>
      </c>
      <c r="AG1832" s="1">
        <v>0</v>
      </c>
      <c r="AH1832" s="2">
        <v>6018270</v>
      </c>
      <c r="AI1832" s="1">
        <v>953051</v>
      </c>
      <c r="AJ1832" s="1">
        <v>0</v>
      </c>
      <c r="AK1832" s="8">
        <f t="shared" si="115"/>
        <v>11</v>
      </c>
      <c r="AL1832" s="8">
        <f t="shared" si="114"/>
        <v>36</v>
      </c>
      <c r="AM1832">
        <f t="shared" si="112"/>
        <v>0</v>
      </c>
      <c r="AN1832">
        <f t="shared" si="113"/>
        <v>0</v>
      </c>
    </row>
    <row r="1833" spans="1:40" x14ac:dyDescent="0.35">
      <c r="A1833">
        <v>85.138999999999996</v>
      </c>
      <c r="B1833">
        <v>85.138999999999996</v>
      </c>
      <c r="C1833">
        <v>16.094899999999999</v>
      </c>
      <c r="D1833">
        <v>0.01</v>
      </c>
      <c r="E1833">
        <v>0.04</v>
      </c>
      <c r="F1833">
        <v>3.12392</v>
      </c>
      <c r="G1833">
        <v>3.42632</v>
      </c>
      <c r="H1833">
        <v>0</v>
      </c>
      <c r="I1833">
        <v>0.58541500000000002</v>
      </c>
      <c r="J1833">
        <v>5.3222399999999999</v>
      </c>
      <c r="K1833" s="2">
        <v>206051000</v>
      </c>
      <c r="L1833" s="1">
        <v>0</v>
      </c>
      <c r="M1833" s="1">
        <v>0</v>
      </c>
      <c r="N1833" s="1">
        <v>0</v>
      </c>
      <c r="O1833" s="1">
        <v>0</v>
      </c>
      <c r="P1833" s="2">
        <v>4670180</v>
      </c>
      <c r="Q1833" s="1">
        <v>-56306.1</v>
      </c>
      <c r="R1833" s="1">
        <v>408539</v>
      </c>
      <c r="S1833">
        <v>99.302199999999999</v>
      </c>
      <c r="T1833">
        <v>98.274000000000001</v>
      </c>
      <c r="U1833">
        <v>8.8694900000000008</v>
      </c>
      <c r="V1833">
        <v>0</v>
      </c>
      <c r="W1833">
        <v>0</v>
      </c>
      <c r="X1833">
        <v>2.3261599999999998</v>
      </c>
      <c r="Y1833">
        <v>2.0237599999999998</v>
      </c>
      <c r="Z1833">
        <v>0</v>
      </c>
      <c r="AA1833">
        <v>1.7971699999999999</v>
      </c>
      <c r="AB1833">
        <v>3.3868800000000001</v>
      </c>
      <c r="AC1833" s="2">
        <v>954751000</v>
      </c>
      <c r="AD1833" s="1">
        <v>0</v>
      </c>
      <c r="AE1833" s="1">
        <v>0</v>
      </c>
      <c r="AF1833" s="1">
        <v>0</v>
      </c>
      <c r="AG1833" s="1">
        <v>0</v>
      </c>
      <c r="AH1833" s="2">
        <v>6018340</v>
      </c>
      <c r="AI1833" s="1">
        <v>953053</v>
      </c>
      <c r="AJ1833" s="1">
        <v>0</v>
      </c>
      <c r="AK1833" s="8">
        <f t="shared" si="115"/>
        <v>12</v>
      </c>
      <c r="AL1833" s="8">
        <f t="shared" si="114"/>
        <v>36</v>
      </c>
      <c r="AM1833">
        <f t="shared" si="112"/>
        <v>0</v>
      </c>
      <c r="AN1833">
        <f t="shared" si="113"/>
        <v>0</v>
      </c>
    </row>
    <row r="1834" spans="1:40" x14ac:dyDescent="0.35">
      <c r="A1834">
        <v>85.138999999999996</v>
      </c>
      <c r="B1834">
        <v>85.138999999999996</v>
      </c>
      <c r="C1834">
        <v>6.6616799999999996</v>
      </c>
      <c r="D1834">
        <v>0</v>
      </c>
      <c r="E1834">
        <v>0.04</v>
      </c>
      <c r="F1834">
        <v>3.4263599999999999</v>
      </c>
      <c r="G1834">
        <v>3.4263599999999999</v>
      </c>
      <c r="H1834">
        <v>0</v>
      </c>
      <c r="I1834">
        <v>0.58542300000000003</v>
      </c>
      <c r="J1834">
        <v>5.3222399999999999</v>
      </c>
      <c r="K1834" s="2">
        <v>206403000</v>
      </c>
      <c r="L1834" s="1">
        <v>0</v>
      </c>
      <c r="M1834" s="1">
        <v>0</v>
      </c>
      <c r="N1834" s="1">
        <v>0</v>
      </c>
      <c r="O1834" s="1">
        <v>0</v>
      </c>
      <c r="P1834" s="2">
        <v>5122330</v>
      </c>
      <c r="Q1834" s="1">
        <v>352237</v>
      </c>
      <c r="R1834" s="1">
        <v>0</v>
      </c>
      <c r="S1834">
        <v>99.302199999999999</v>
      </c>
      <c r="T1834">
        <v>98.274000000000001</v>
      </c>
      <c r="U1834">
        <v>4.3354100000000004</v>
      </c>
      <c r="V1834">
        <v>0</v>
      </c>
      <c r="W1834">
        <v>0</v>
      </c>
      <c r="X1834">
        <v>2.02379</v>
      </c>
      <c r="Y1834">
        <v>2.02379</v>
      </c>
      <c r="Z1834">
        <v>0</v>
      </c>
      <c r="AA1834">
        <v>1.7971900000000001</v>
      </c>
      <c r="AB1834">
        <v>3.3868800000000001</v>
      </c>
      <c r="AC1834" s="2">
        <v>954922000</v>
      </c>
      <c r="AD1834" s="1">
        <v>0</v>
      </c>
      <c r="AE1834" s="1">
        <v>0</v>
      </c>
      <c r="AF1834" s="1">
        <v>0</v>
      </c>
      <c r="AG1834" s="1">
        <v>0</v>
      </c>
      <c r="AH1834" s="2">
        <v>5236020</v>
      </c>
      <c r="AI1834" s="1">
        <v>170674</v>
      </c>
      <c r="AJ1834" s="1">
        <v>0</v>
      </c>
      <c r="AK1834" s="8">
        <f t="shared" si="115"/>
        <v>13</v>
      </c>
      <c r="AL1834" s="8">
        <f t="shared" si="114"/>
        <v>36</v>
      </c>
      <c r="AM1834">
        <f t="shared" si="112"/>
        <v>0</v>
      </c>
      <c r="AN1834">
        <f t="shared" si="113"/>
        <v>0</v>
      </c>
    </row>
    <row r="1835" spans="1:40" x14ac:dyDescent="0.35">
      <c r="A1835">
        <v>85.138999999999996</v>
      </c>
      <c r="B1835">
        <v>85.138999999999996</v>
      </c>
      <c r="C1835">
        <v>9.5829799999999992</v>
      </c>
      <c r="D1835">
        <v>0</v>
      </c>
      <c r="E1835">
        <v>0.04</v>
      </c>
      <c r="F1835">
        <v>2.9920900000000001</v>
      </c>
      <c r="G1835">
        <v>2.9920900000000001</v>
      </c>
      <c r="H1835">
        <v>0</v>
      </c>
      <c r="I1835">
        <v>0.64210100000000003</v>
      </c>
      <c r="J1835">
        <v>5.3222399999999999</v>
      </c>
      <c r="K1835" s="2">
        <v>206711000</v>
      </c>
      <c r="L1835" s="1">
        <v>0</v>
      </c>
      <c r="M1835" s="1">
        <v>0</v>
      </c>
      <c r="N1835" s="1">
        <v>0</v>
      </c>
      <c r="O1835" s="1">
        <v>0</v>
      </c>
      <c r="P1835" s="2">
        <v>4473100</v>
      </c>
      <c r="Q1835" s="1">
        <v>307592</v>
      </c>
      <c r="R1835" s="1">
        <v>0</v>
      </c>
      <c r="S1835">
        <v>99.302199999999999</v>
      </c>
      <c r="T1835">
        <v>98.274000000000001</v>
      </c>
      <c r="U1835">
        <v>11.4095</v>
      </c>
      <c r="V1835">
        <v>0</v>
      </c>
      <c r="W1835">
        <v>0</v>
      </c>
      <c r="X1835">
        <v>1.73807</v>
      </c>
      <c r="Y1835">
        <v>1.73807</v>
      </c>
      <c r="Z1835">
        <v>0</v>
      </c>
      <c r="AA1835">
        <v>1.56358</v>
      </c>
      <c r="AB1835">
        <v>3.3868800000000001</v>
      </c>
      <c r="AC1835" s="2">
        <v>955068000</v>
      </c>
      <c r="AD1835" s="1">
        <v>0</v>
      </c>
      <c r="AE1835" s="1">
        <v>0</v>
      </c>
      <c r="AF1835" s="1">
        <v>0</v>
      </c>
      <c r="AG1835" s="1">
        <v>0</v>
      </c>
      <c r="AH1835" s="2">
        <v>4496800</v>
      </c>
      <c r="AI1835" s="1">
        <v>146578</v>
      </c>
      <c r="AJ1835" s="1">
        <v>0</v>
      </c>
      <c r="AK1835" s="8">
        <f t="shared" si="115"/>
        <v>14</v>
      </c>
      <c r="AL1835" s="8">
        <f t="shared" si="114"/>
        <v>36</v>
      </c>
      <c r="AM1835">
        <f t="shared" si="112"/>
        <v>0</v>
      </c>
      <c r="AN1835">
        <f t="shared" si="113"/>
        <v>0</v>
      </c>
    </row>
    <row r="1836" spans="1:40" x14ac:dyDescent="0.35">
      <c r="A1836">
        <v>85.138999999999996</v>
      </c>
      <c r="B1836">
        <v>85.138999999999996</v>
      </c>
      <c r="C1836">
        <v>9.5918200000000002</v>
      </c>
      <c r="D1836">
        <v>0</v>
      </c>
      <c r="E1836">
        <v>0.04</v>
      </c>
      <c r="F1836">
        <v>2.9921199999999999</v>
      </c>
      <c r="G1836">
        <v>2.9921199999999999</v>
      </c>
      <c r="H1836">
        <v>0</v>
      </c>
      <c r="I1836">
        <v>0.56071700000000002</v>
      </c>
      <c r="J1836">
        <v>5.3222399999999999</v>
      </c>
      <c r="K1836" s="2">
        <v>207018000</v>
      </c>
      <c r="L1836" s="1">
        <v>0</v>
      </c>
      <c r="M1836" s="1">
        <v>0</v>
      </c>
      <c r="N1836" s="1">
        <v>0</v>
      </c>
      <c r="O1836" s="1">
        <v>0</v>
      </c>
      <c r="P1836" s="2">
        <v>4473150</v>
      </c>
      <c r="Q1836" s="1">
        <v>307596</v>
      </c>
      <c r="R1836" s="1">
        <v>0</v>
      </c>
      <c r="S1836">
        <v>99.302199999999999</v>
      </c>
      <c r="T1836">
        <v>98.274000000000001</v>
      </c>
      <c r="U1836">
        <v>11.2159</v>
      </c>
      <c r="V1836">
        <v>0</v>
      </c>
      <c r="W1836">
        <v>0</v>
      </c>
      <c r="X1836">
        <v>1.7380899999999999</v>
      </c>
      <c r="Y1836">
        <v>1.7380899999999999</v>
      </c>
      <c r="Z1836">
        <v>0</v>
      </c>
      <c r="AA1836">
        <v>1.34283</v>
      </c>
      <c r="AB1836">
        <v>3.3868800000000001</v>
      </c>
      <c r="AC1836" s="2">
        <v>955215000</v>
      </c>
      <c r="AD1836" s="1">
        <v>0</v>
      </c>
      <c r="AE1836" s="1">
        <v>0</v>
      </c>
      <c r="AF1836" s="1">
        <v>0</v>
      </c>
      <c r="AG1836" s="1">
        <v>0</v>
      </c>
      <c r="AH1836" s="2">
        <v>4496860</v>
      </c>
      <c r="AI1836" s="1">
        <v>146580</v>
      </c>
      <c r="AJ1836" s="1">
        <v>0</v>
      </c>
      <c r="AK1836" s="8">
        <f t="shared" si="115"/>
        <v>15</v>
      </c>
      <c r="AL1836" s="8">
        <f t="shared" si="114"/>
        <v>36</v>
      </c>
      <c r="AM1836">
        <f t="shared" si="112"/>
        <v>0</v>
      </c>
      <c r="AN1836">
        <f t="shared" si="113"/>
        <v>0</v>
      </c>
    </row>
    <row r="1837" spans="1:40" x14ac:dyDescent="0.35">
      <c r="A1837">
        <v>85.138999999999996</v>
      </c>
      <c r="B1837">
        <v>85.138999999999996</v>
      </c>
      <c r="C1837">
        <v>9.1297999999999995</v>
      </c>
      <c r="D1837">
        <v>0</v>
      </c>
      <c r="E1837">
        <v>0.04</v>
      </c>
      <c r="F1837">
        <v>2.9921600000000002</v>
      </c>
      <c r="G1837">
        <v>2.9921600000000002</v>
      </c>
      <c r="H1837">
        <v>0</v>
      </c>
      <c r="I1837">
        <v>0.560724</v>
      </c>
      <c r="J1837">
        <v>5.3222399999999999</v>
      </c>
      <c r="K1837" s="2">
        <v>207326000</v>
      </c>
      <c r="L1837" s="1">
        <v>0</v>
      </c>
      <c r="M1837" s="1">
        <v>0</v>
      </c>
      <c r="N1837" s="1">
        <v>0</v>
      </c>
      <c r="O1837" s="1">
        <v>0</v>
      </c>
      <c r="P1837" s="2">
        <v>4473210</v>
      </c>
      <c r="Q1837" s="1">
        <v>307600</v>
      </c>
      <c r="R1837" s="1">
        <v>0</v>
      </c>
      <c r="S1837">
        <v>99.302199999999999</v>
      </c>
      <c r="T1837">
        <v>98.274000000000001</v>
      </c>
      <c r="U1837">
        <v>9.4419799999999992</v>
      </c>
      <c r="V1837">
        <v>0</v>
      </c>
      <c r="W1837">
        <v>0</v>
      </c>
      <c r="X1837">
        <v>1.73811</v>
      </c>
      <c r="Y1837">
        <v>1.73811</v>
      </c>
      <c r="Z1837">
        <v>0</v>
      </c>
      <c r="AA1837">
        <v>1.3428500000000001</v>
      </c>
      <c r="AB1837">
        <v>3.3868800000000001</v>
      </c>
      <c r="AC1837" s="2">
        <v>955362000</v>
      </c>
      <c r="AD1837" s="1">
        <v>0</v>
      </c>
      <c r="AE1837" s="1">
        <v>0</v>
      </c>
      <c r="AF1837" s="1">
        <v>0</v>
      </c>
      <c r="AG1837" s="1">
        <v>0</v>
      </c>
      <c r="AH1837" s="2">
        <v>4496910</v>
      </c>
      <c r="AI1837" s="1">
        <v>146582</v>
      </c>
      <c r="AJ1837" s="1">
        <v>0</v>
      </c>
      <c r="AK1837" s="8">
        <f t="shared" si="115"/>
        <v>16</v>
      </c>
      <c r="AL1837" s="8">
        <f t="shared" si="114"/>
        <v>36</v>
      </c>
      <c r="AM1837">
        <f t="shared" si="112"/>
        <v>0</v>
      </c>
      <c r="AN1837">
        <f t="shared" si="113"/>
        <v>0</v>
      </c>
    </row>
    <row r="1838" spans="1:40" x14ac:dyDescent="0.35">
      <c r="A1838">
        <v>85.138999999999996</v>
      </c>
      <c r="B1838">
        <v>85.138999999999996</v>
      </c>
      <c r="C1838">
        <v>6.6947599999999996</v>
      </c>
      <c r="D1838">
        <v>0</v>
      </c>
      <c r="E1838">
        <v>0.04</v>
      </c>
      <c r="F1838">
        <v>2.9922</v>
      </c>
      <c r="G1838">
        <v>2.9922</v>
      </c>
      <c r="H1838">
        <v>0</v>
      </c>
      <c r="I1838">
        <v>0.56073099999999998</v>
      </c>
      <c r="J1838">
        <v>5.3222399999999999</v>
      </c>
      <c r="K1838" s="2">
        <v>207633000</v>
      </c>
      <c r="L1838" s="1">
        <v>0</v>
      </c>
      <c r="M1838" s="1">
        <v>0</v>
      </c>
      <c r="N1838" s="1">
        <v>0</v>
      </c>
      <c r="O1838" s="1">
        <v>0</v>
      </c>
      <c r="P1838" s="2">
        <v>4473260</v>
      </c>
      <c r="Q1838" s="1">
        <v>307604</v>
      </c>
      <c r="R1838" s="1">
        <v>0</v>
      </c>
      <c r="S1838">
        <v>99.302199999999999</v>
      </c>
      <c r="T1838">
        <v>98.274000000000001</v>
      </c>
      <c r="U1838">
        <v>6.2808099999999998</v>
      </c>
      <c r="V1838">
        <v>0</v>
      </c>
      <c r="W1838">
        <v>0</v>
      </c>
      <c r="X1838">
        <v>1.73813</v>
      </c>
      <c r="Y1838">
        <v>1.73813</v>
      </c>
      <c r="Z1838">
        <v>0</v>
      </c>
      <c r="AA1838">
        <v>1.34287</v>
      </c>
      <c r="AB1838">
        <v>3.3868800000000001</v>
      </c>
      <c r="AC1838" s="2">
        <v>955508000</v>
      </c>
      <c r="AD1838" s="1">
        <v>0</v>
      </c>
      <c r="AE1838" s="1">
        <v>0</v>
      </c>
      <c r="AF1838" s="1">
        <v>0</v>
      </c>
      <c r="AG1838" s="1">
        <v>0</v>
      </c>
      <c r="AH1838" s="2">
        <v>4496970</v>
      </c>
      <c r="AI1838" s="1">
        <v>146584</v>
      </c>
      <c r="AJ1838" s="1">
        <v>0</v>
      </c>
      <c r="AK1838" s="8">
        <f t="shared" si="115"/>
        <v>17</v>
      </c>
      <c r="AL1838" s="8">
        <f t="shared" si="114"/>
        <v>36</v>
      </c>
      <c r="AM1838">
        <f t="shared" si="112"/>
        <v>0</v>
      </c>
      <c r="AN1838">
        <f t="shared" si="113"/>
        <v>0</v>
      </c>
    </row>
    <row r="1839" spans="1:40" x14ac:dyDescent="0.35">
      <c r="A1839">
        <v>85.138999999999996</v>
      </c>
      <c r="B1839">
        <v>85.138999999999996</v>
      </c>
      <c r="C1839">
        <v>5.9333999999999998</v>
      </c>
      <c r="D1839">
        <v>0</v>
      </c>
      <c r="E1839">
        <v>0.04</v>
      </c>
      <c r="F1839">
        <v>2.9922399999999998</v>
      </c>
      <c r="G1839">
        <v>2.9922399999999998</v>
      </c>
      <c r="H1839">
        <v>0</v>
      </c>
      <c r="I1839">
        <v>0.56073799999999996</v>
      </c>
      <c r="J1839">
        <v>5.3222399999999999</v>
      </c>
      <c r="K1839" s="2">
        <v>207941000</v>
      </c>
      <c r="L1839" s="1">
        <v>0</v>
      </c>
      <c r="M1839" s="1">
        <v>0</v>
      </c>
      <c r="N1839" s="1">
        <v>0</v>
      </c>
      <c r="O1839" s="1">
        <v>0</v>
      </c>
      <c r="P1839" s="2">
        <v>4473320</v>
      </c>
      <c r="Q1839" s="1">
        <v>307608</v>
      </c>
      <c r="R1839" s="1">
        <v>0</v>
      </c>
      <c r="S1839">
        <v>99.302199999999999</v>
      </c>
      <c r="T1839">
        <v>98.274000000000001</v>
      </c>
      <c r="U1839">
        <v>5.8494599999999997</v>
      </c>
      <c r="V1839">
        <v>0</v>
      </c>
      <c r="W1839">
        <v>0</v>
      </c>
      <c r="X1839">
        <v>1.7381599999999999</v>
      </c>
      <c r="Y1839">
        <v>1.7381599999999999</v>
      </c>
      <c r="Z1839">
        <v>0</v>
      </c>
      <c r="AA1839">
        <v>1.3428800000000001</v>
      </c>
      <c r="AB1839">
        <v>3.3868800000000001</v>
      </c>
      <c r="AC1839" s="2">
        <v>955655000</v>
      </c>
      <c r="AD1839" s="1">
        <v>0</v>
      </c>
      <c r="AE1839" s="1">
        <v>0</v>
      </c>
      <c r="AF1839" s="1">
        <v>0</v>
      </c>
      <c r="AG1839" s="1">
        <v>0</v>
      </c>
      <c r="AH1839" s="2">
        <v>4497020</v>
      </c>
      <c r="AI1839" s="1">
        <v>146586</v>
      </c>
      <c r="AJ1839" s="1">
        <v>0</v>
      </c>
      <c r="AK1839" s="8">
        <f t="shared" si="115"/>
        <v>18</v>
      </c>
      <c r="AL1839" s="8">
        <f t="shared" si="114"/>
        <v>36</v>
      </c>
      <c r="AM1839">
        <f t="shared" si="112"/>
        <v>0</v>
      </c>
      <c r="AN1839">
        <f t="shared" si="113"/>
        <v>0</v>
      </c>
    </row>
    <row r="1840" spans="1:40" x14ac:dyDescent="0.35">
      <c r="A1840">
        <v>85.138999999999996</v>
      </c>
      <c r="B1840">
        <v>85.138999999999996</v>
      </c>
      <c r="C1840">
        <v>7.67828</v>
      </c>
      <c r="D1840">
        <v>0</v>
      </c>
      <c r="E1840">
        <v>0.04</v>
      </c>
      <c r="F1840">
        <v>3.1015999999999999</v>
      </c>
      <c r="G1840">
        <v>3.1015999999999999</v>
      </c>
      <c r="H1840">
        <v>0</v>
      </c>
      <c r="I1840">
        <v>0.56074500000000005</v>
      </c>
      <c r="J1840">
        <v>5.3222399999999999</v>
      </c>
      <c r="K1840" s="2">
        <v>208260000</v>
      </c>
      <c r="L1840" s="1">
        <v>0</v>
      </c>
      <c r="M1840" s="1">
        <v>0</v>
      </c>
      <c r="N1840" s="1">
        <v>0</v>
      </c>
      <c r="O1840" s="1">
        <v>0</v>
      </c>
      <c r="P1840" s="2">
        <v>4636820</v>
      </c>
      <c r="Q1840" s="1">
        <v>318851</v>
      </c>
      <c r="R1840" s="1">
        <v>0</v>
      </c>
      <c r="S1840">
        <v>99.302199999999999</v>
      </c>
      <c r="T1840">
        <v>98.274000000000001</v>
      </c>
      <c r="U1840">
        <v>11.8866</v>
      </c>
      <c r="V1840">
        <v>0</v>
      </c>
      <c r="W1840">
        <v>0</v>
      </c>
      <c r="X1840">
        <v>1.80809</v>
      </c>
      <c r="Y1840">
        <v>1.80809</v>
      </c>
      <c r="Z1840">
        <v>0</v>
      </c>
      <c r="AA1840">
        <v>1.3429</v>
      </c>
      <c r="AB1840">
        <v>3.3868800000000001</v>
      </c>
      <c r="AC1840" s="2">
        <v>955807000</v>
      </c>
      <c r="AD1840" s="1">
        <v>0</v>
      </c>
      <c r="AE1840" s="1">
        <v>0</v>
      </c>
      <c r="AF1840" s="1">
        <v>0</v>
      </c>
      <c r="AG1840" s="1">
        <v>0</v>
      </c>
      <c r="AH1840" s="2">
        <v>4677950</v>
      </c>
      <c r="AI1840" s="1">
        <v>152483</v>
      </c>
      <c r="AJ1840" s="1">
        <v>0</v>
      </c>
      <c r="AK1840" s="8">
        <f t="shared" si="115"/>
        <v>19</v>
      </c>
      <c r="AL1840" s="8">
        <f t="shared" si="114"/>
        <v>36</v>
      </c>
      <c r="AM1840">
        <f t="shared" si="112"/>
        <v>0</v>
      </c>
      <c r="AN1840">
        <f t="shared" si="113"/>
        <v>0</v>
      </c>
    </row>
    <row r="1841" spans="1:40" x14ac:dyDescent="0.35">
      <c r="A1841">
        <v>85.138999999999996</v>
      </c>
      <c r="B1841">
        <v>85.138999999999996</v>
      </c>
      <c r="C1841">
        <v>7.1726999999999999</v>
      </c>
      <c r="D1841">
        <v>0</v>
      </c>
      <c r="E1841">
        <v>0.04</v>
      </c>
      <c r="F1841">
        <v>3.1016400000000002</v>
      </c>
      <c r="G1841">
        <v>3.1016400000000002</v>
      </c>
      <c r="H1841">
        <v>0</v>
      </c>
      <c r="I1841">
        <v>0.58124100000000001</v>
      </c>
      <c r="J1841">
        <v>5.3222399999999999</v>
      </c>
      <c r="K1841" s="2">
        <v>208579000</v>
      </c>
      <c r="L1841" s="1">
        <v>0</v>
      </c>
      <c r="M1841" s="1">
        <v>0</v>
      </c>
      <c r="N1841" s="1">
        <v>0</v>
      </c>
      <c r="O1841" s="1">
        <v>0</v>
      </c>
      <c r="P1841" s="2">
        <v>4636880</v>
      </c>
      <c r="Q1841" s="1">
        <v>318855</v>
      </c>
      <c r="R1841" s="1">
        <v>0</v>
      </c>
      <c r="S1841">
        <v>99.302199999999999</v>
      </c>
      <c r="T1841">
        <v>98.274000000000001</v>
      </c>
      <c r="U1841">
        <v>7.6674800000000003</v>
      </c>
      <c r="V1841">
        <v>0</v>
      </c>
      <c r="W1841">
        <v>0</v>
      </c>
      <c r="X1841">
        <v>1.8081100000000001</v>
      </c>
      <c r="Y1841">
        <v>1.8081100000000001</v>
      </c>
      <c r="Z1841">
        <v>0</v>
      </c>
      <c r="AA1841">
        <v>1.39693</v>
      </c>
      <c r="AB1841">
        <v>3.3868800000000001</v>
      </c>
      <c r="AC1841" s="2">
        <v>955960000</v>
      </c>
      <c r="AD1841" s="1">
        <v>0</v>
      </c>
      <c r="AE1841" s="1">
        <v>0</v>
      </c>
      <c r="AF1841" s="1">
        <v>0</v>
      </c>
      <c r="AG1841" s="1">
        <v>0</v>
      </c>
      <c r="AH1841" s="2">
        <v>4678010</v>
      </c>
      <c r="AI1841" s="1">
        <v>152485</v>
      </c>
      <c r="AJ1841" s="1">
        <v>0</v>
      </c>
      <c r="AK1841" s="8">
        <f t="shared" si="115"/>
        <v>20</v>
      </c>
      <c r="AL1841" s="8">
        <f t="shared" si="114"/>
        <v>36</v>
      </c>
      <c r="AM1841">
        <f t="shared" si="112"/>
        <v>0</v>
      </c>
      <c r="AN1841">
        <f t="shared" si="113"/>
        <v>0</v>
      </c>
    </row>
    <row r="1842" spans="1:40" x14ac:dyDescent="0.35">
      <c r="A1842">
        <v>85.138999999999996</v>
      </c>
      <c r="B1842">
        <v>85.138999999999996</v>
      </c>
      <c r="C1842">
        <v>4.3720299999999996</v>
      </c>
      <c r="D1842">
        <v>0</v>
      </c>
      <c r="E1842">
        <v>0.04</v>
      </c>
      <c r="F1842">
        <v>3.10168</v>
      </c>
      <c r="G1842">
        <v>3.10168</v>
      </c>
      <c r="H1842">
        <v>0</v>
      </c>
      <c r="I1842">
        <v>0.58124799999999999</v>
      </c>
      <c r="J1842">
        <v>5.3222399999999999</v>
      </c>
      <c r="K1842" s="2">
        <v>208898000</v>
      </c>
      <c r="L1842" s="1">
        <v>0</v>
      </c>
      <c r="M1842" s="1">
        <v>0</v>
      </c>
      <c r="N1842" s="1">
        <v>0</v>
      </c>
      <c r="O1842" s="1">
        <v>0</v>
      </c>
      <c r="P1842" s="2">
        <v>4636940</v>
      </c>
      <c r="Q1842" s="1">
        <v>318859</v>
      </c>
      <c r="R1842" s="1">
        <v>0</v>
      </c>
      <c r="S1842">
        <v>99.302199999999999</v>
      </c>
      <c r="T1842">
        <v>98.274000000000001</v>
      </c>
      <c r="U1842">
        <v>5.5449299999999999</v>
      </c>
      <c r="V1842">
        <v>0</v>
      </c>
      <c r="W1842">
        <v>0</v>
      </c>
      <c r="X1842">
        <v>1.80813</v>
      </c>
      <c r="Y1842">
        <v>1.80813</v>
      </c>
      <c r="Z1842">
        <v>0</v>
      </c>
      <c r="AA1842">
        <v>1.3969400000000001</v>
      </c>
      <c r="AB1842">
        <v>3.3868800000000001</v>
      </c>
      <c r="AC1842" s="2">
        <v>956112000</v>
      </c>
      <c r="AD1842" s="1">
        <v>0</v>
      </c>
      <c r="AE1842" s="1">
        <v>0</v>
      </c>
      <c r="AF1842" s="1">
        <v>0</v>
      </c>
      <c r="AG1842" s="1">
        <v>0</v>
      </c>
      <c r="AH1842" s="2">
        <v>4678060</v>
      </c>
      <c r="AI1842" s="1">
        <v>152487</v>
      </c>
      <c r="AJ1842" s="1">
        <v>0</v>
      </c>
      <c r="AK1842" s="8">
        <f t="shared" si="115"/>
        <v>21</v>
      </c>
      <c r="AL1842" s="8">
        <f t="shared" si="114"/>
        <v>36</v>
      </c>
      <c r="AM1842">
        <f t="shared" si="112"/>
        <v>0</v>
      </c>
      <c r="AN1842">
        <f t="shared" si="113"/>
        <v>0</v>
      </c>
    </row>
    <row r="1843" spans="1:40" x14ac:dyDescent="0.35">
      <c r="A1843">
        <v>85.138999999999996</v>
      </c>
      <c r="B1843">
        <v>85.138999999999996</v>
      </c>
      <c r="C1843">
        <v>3.6822900000000001</v>
      </c>
      <c r="D1843">
        <v>0</v>
      </c>
      <c r="E1843">
        <v>0.04</v>
      </c>
      <c r="F1843">
        <v>3.1017199999999998</v>
      </c>
      <c r="G1843">
        <v>3.1017199999999998</v>
      </c>
      <c r="H1843">
        <v>0</v>
      </c>
      <c r="I1843">
        <v>0.58125499999999997</v>
      </c>
      <c r="J1843">
        <v>5.3222399999999999</v>
      </c>
      <c r="K1843" s="2">
        <v>209216000</v>
      </c>
      <c r="L1843" s="1">
        <v>0</v>
      </c>
      <c r="M1843" s="1">
        <v>0</v>
      </c>
      <c r="N1843" s="1">
        <v>0</v>
      </c>
      <c r="O1843" s="1">
        <v>0</v>
      </c>
      <c r="P1843" s="2">
        <v>4636990</v>
      </c>
      <c r="Q1843" s="1">
        <v>318863</v>
      </c>
      <c r="R1843" s="1">
        <v>0</v>
      </c>
      <c r="S1843">
        <v>99.302199999999999</v>
      </c>
      <c r="T1843">
        <v>98.274000000000001</v>
      </c>
      <c r="U1843">
        <v>5.1718200000000003</v>
      </c>
      <c r="V1843">
        <v>0</v>
      </c>
      <c r="W1843">
        <v>0</v>
      </c>
      <c r="X1843">
        <v>1.8081499999999999</v>
      </c>
      <c r="Y1843">
        <v>1.8081499999999999</v>
      </c>
      <c r="Z1843">
        <v>0</v>
      </c>
      <c r="AA1843">
        <v>1.39696</v>
      </c>
      <c r="AB1843">
        <v>3.3868800000000001</v>
      </c>
      <c r="AC1843" s="2">
        <v>956265000</v>
      </c>
      <c r="AD1843" s="1">
        <v>0</v>
      </c>
      <c r="AE1843" s="1">
        <v>0</v>
      </c>
      <c r="AF1843" s="1">
        <v>0</v>
      </c>
      <c r="AG1843" s="1">
        <v>0</v>
      </c>
      <c r="AH1843" s="2">
        <v>4678120</v>
      </c>
      <c r="AI1843" s="1">
        <v>152489</v>
      </c>
      <c r="AJ1843" s="1">
        <v>0</v>
      </c>
      <c r="AK1843" s="8">
        <f t="shared" si="115"/>
        <v>22</v>
      </c>
      <c r="AL1843" s="8">
        <f t="shared" si="114"/>
        <v>36</v>
      </c>
      <c r="AM1843">
        <f t="shared" si="112"/>
        <v>0</v>
      </c>
      <c r="AN1843">
        <f t="shared" si="113"/>
        <v>0</v>
      </c>
    </row>
    <row r="1844" spans="1:40" x14ac:dyDescent="0.35">
      <c r="A1844">
        <v>85.138999999999996</v>
      </c>
      <c r="B1844">
        <v>85.138999999999996</v>
      </c>
      <c r="C1844">
        <v>4.2527200000000001</v>
      </c>
      <c r="D1844">
        <v>0</v>
      </c>
      <c r="E1844">
        <v>0.04</v>
      </c>
      <c r="F1844">
        <v>3.0590099999999998</v>
      </c>
      <c r="G1844">
        <v>3.0590099999999998</v>
      </c>
      <c r="H1844">
        <v>0</v>
      </c>
      <c r="I1844">
        <v>0.58126199999999995</v>
      </c>
      <c r="J1844">
        <v>5.3222399999999999</v>
      </c>
      <c r="K1844" s="2">
        <v>209531000</v>
      </c>
      <c r="L1844" s="1">
        <v>0</v>
      </c>
      <c r="M1844" s="1">
        <v>0</v>
      </c>
      <c r="N1844" s="1">
        <v>0</v>
      </c>
      <c r="O1844" s="1">
        <v>0</v>
      </c>
      <c r="P1844" s="2">
        <v>4573140</v>
      </c>
      <c r="Q1844" s="1">
        <v>314472</v>
      </c>
      <c r="R1844" s="1">
        <v>0</v>
      </c>
      <c r="S1844">
        <v>99.302199999999999</v>
      </c>
      <c r="T1844">
        <v>98.274000000000001</v>
      </c>
      <c r="U1844">
        <v>4.2832999999999997</v>
      </c>
      <c r="V1844">
        <v>0</v>
      </c>
      <c r="W1844">
        <v>0</v>
      </c>
      <c r="X1844">
        <v>1.78102</v>
      </c>
      <c r="Y1844">
        <v>1.78102</v>
      </c>
      <c r="Z1844">
        <v>0</v>
      </c>
      <c r="AA1844">
        <v>1.3969800000000001</v>
      </c>
      <c r="AB1844">
        <v>3.3868800000000001</v>
      </c>
      <c r="AC1844" s="2">
        <v>956415000</v>
      </c>
      <c r="AD1844" s="1">
        <v>0</v>
      </c>
      <c r="AE1844" s="1">
        <v>0</v>
      </c>
      <c r="AF1844" s="1">
        <v>0</v>
      </c>
      <c r="AG1844" s="1">
        <v>0</v>
      </c>
      <c r="AH1844" s="2">
        <v>4607930</v>
      </c>
      <c r="AI1844" s="1">
        <v>150201</v>
      </c>
      <c r="AJ1844" s="1">
        <v>0</v>
      </c>
      <c r="AK1844" s="8">
        <f t="shared" si="115"/>
        <v>23</v>
      </c>
      <c r="AL1844" s="8">
        <f t="shared" si="114"/>
        <v>36</v>
      </c>
      <c r="AM1844">
        <f t="shared" si="112"/>
        <v>0</v>
      </c>
      <c r="AN1844">
        <f t="shared" si="113"/>
        <v>0</v>
      </c>
    </row>
    <row r="1845" spans="1:40" x14ac:dyDescent="0.35">
      <c r="A1845">
        <v>85.138999999999996</v>
      </c>
      <c r="B1845">
        <v>85.138999999999996</v>
      </c>
      <c r="C1845">
        <v>3.73414</v>
      </c>
      <c r="D1845">
        <v>0</v>
      </c>
      <c r="E1845">
        <v>0.04</v>
      </c>
      <c r="F1845">
        <v>3.05905</v>
      </c>
      <c r="G1845">
        <v>3.05905</v>
      </c>
      <c r="H1845">
        <v>0</v>
      </c>
      <c r="I1845">
        <v>0.57325800000000005</v>
      </c>
      <c r="J1845">
        <v>5.3222399999999999</v>
      </c>
      <c r="K1845" s="2">
        <v>209845000</v>
      </c>
      <c r="L1845" s="1">
        <v>0</v>
      </c>
      <c r="M1845" s="1">
        <v>0</v>
      </c>
      <c r="N1845" s="1">
        <v>0</v>
      </c>
      <c r="O1845" s="1">
        <v>0</v>
      </c>
      <c r="P1845" s="2">
        <v>4573200</v>
      </c>
      <c r="Q1845" s="1">
        <v>314476</v>
      </c>
      <c r="R1845" s="1">
        <v>0</v>
      </c>
      <c r="S1845">
        <v>99.302199999999999</v>
      </c>
      <c r="T1845">
        <v>98.274000000000001</v>
      </c>
      <c r="U1845">
        <v>3.7061600000000001</v>
      </c>
      <c r="V1845">
        <v>0</v>
      </c>
      <c r="W1845">
        <v>0</v>
      </c>
      <c r="X1845">
        <v>1.78104</v>
      </c>
      <c r="Y1845">
        <v>1.78104</v>
      </c>
      <c r="Z1845">
        <v>0</v>
      </c>
      <c r="AA1845">
        <v>1.37602</v>
      </c>
      <c r="AB1845">
        <v>3.3868800000000001</v>
      </c>
      <c r="AC1845" s="2">
        <v>956565000</v>
      </c>
      <c r="AD1845" s="1">
        <v>0</v>
      </c>
      <c r="AE1845" s="1">
        <v>0</v>
      </c>
      <c r="AF1845" s="1">
        <v>0</v>
      </c>
      <c r="AG1845" s="1">
        <v>0</v>
      </c>
      <c r="AH1845" s="2">
        <v>4607990</v>
      </c>
      <c r="AI1845" s="1">
        <v>150203</v>
      </c>
      <c r="AJ1845" s="1">
        <v>0</v>
      </c>
      <c r="AK1845" s="8">
        <f t="shared" si="115"/>
        <v>24</v>
      </c>
      <c r="AL1845" s="8">
        <f t="shared" si="114"/>
        <v>36</v>
      </c>
      <c r="AM1845">
        <f t="shared" si="112"/>
        <v>0</v>
      </c>
      <c r="AN1845">
        <f t="shared" si="113"/>
        <v>0</v>
      </c>
    </row>
    <row r="1846" spans="1:40" x14ac:dyDescent="0.35">
      <c r="A1846">
        <v>85.074399999999997</v>
      </c>
      <c r="B1846">
        <v>85.138999999999996</v>
      </c>
      <c r="C1846">
        <v>3.30566</v>
      </c>
      <c r="D1846">
        <v>0</v>
      </c>
      <c r="E1846">
        <v>0.04</v>
      </c>
      <c r="F1846">
        <v>3.0590799999999998</v>
      </c>
      <c r="G1846">
        <v>3.0590799999999998</v>
      </c>
      <c r="H1846">
        <v>0</v>
      </c>
      <c r="I1846">
        <v>0.57326500000000002</v>
      </c>
      <c r="J1846">
        <v>5.3222399999999999</v>
      </c>
      <c r="K1846" s="2">
        <v>210160000</v>
      </c>
      <c r="L1846" s="1">
        <v>0</v>
      </c>
      <c r="M1846" s="1">
        <v>0</v>
      </c>
      <c r="N1846" s="1">
        <v>0</v>
      </c>
      <c r="O1846" s="1">
        <v>0</v>
      </c>
      <c r="P1846" s="2">
        <v>4573250</v>
      </c>
      <c r="Q1846" s="1">
        <v>314480</v>
      </c>
      <c r="R1846" s="1">
        <v>0</v>
      </c>
      <c r="S1846">
        <v>99.302199999999999</v>
      </c>
      <c r="T1846">
        <v>98.274000000000001</v>
      </c>
      <c r="U1846">
        <v>3.2649400000000002</v>
      </c>
      <c r="V1846">
        <v>0</v>
      </c>
      <c r="W1846">
        <v>0</v>
      </c>
      <c r="X1846">
        <v>1.7810699999999999</v>
      </c>
      <c r="Y1846">
        <v>1.7810699999999999</v>
      </c>
      <c r="Z1846">
        <v>0</v>
      </c>
      <c r="AA1846">
        <v>1.3760300000000001</v>
      </c>
      <c r="AB1846">
        <v>3.3868800000000001</v>
      </c>
      <c r="AC1846" s="2">
        <v>956715000</v>
      </c>
      <c r="AD1846" s="1">
        <v>0</v>
      </c>
      <c r="AE1846" s="1">
        <v>0</v>
      </c>
      <c r="AF1846" s="1">
        <v>0</v>
      </c>
      <c r="AG1846" s="1">
        <v>0</v>
      </c>
      <c r="AH1846" s="2">
        <v>4608040</v>
      </c>
      <c r="AI1846" s="1">
        <v>150204</v>
      </c>
      <c r="AJ1846" s="1">
        <v>0</v>
      </c>
      <c r="AK1846" s="8">
        <f t="shared" si="115"/>
        <v>25</v>
      </c>
      <c r="AL1846" s="8">
        <f t="shared" si="114"/>
        <v>36</v>
      </c>
      <c r="AM1846">
        <f t="shared" si="112"/>
        <v>0</v>
      </c>
      <c r="AN1846">
        <f t="shared" si="113"/>
        <v>0</v>
      </c>
    </row>
    <row r="1847" spans="1:40" x14ac:dyDescent="0.35">
      <c r="A1847">
        <v>84.724900000000005</v>
      </c>
      <c r="B1847">
        <v>85.138999999999996</v>
      </c>
      <c r="C1847">
        <v>2.9897100000000001</v>
      </c>
      <c r="D1847">
        <v>0</v>
      </c>
      <c r="E1847">
        <v>0.04</v>
      </c>
      <c r="F1847">
        <v>3.0591200000000001</v>
      </c>
      <c r="G1847">
        <v>3.0591200000000001</v>
      </c>
      <c r="H1847">
        <v>0</v>
      </c>
      <c r="I1847">
        <v>0.573272</v>
      </c>
      <c r="J1847">
        <v>5.3222399999999999</v>
      </c>
      <c r="K1847" s="2">
        <v>210474000</v>
      </c>
      <c r="L1847" s="1">
        <v>0</v>
      </c>
      <c r="M1847" s="1">
        <v>0</v>
      </c>
      <c r="N1847" s="1">
        <v>0</v>
      </c>
      <c r="O1847" s="1">
        <v>0</v>
      </c>
      <c r="P1847" s="2">
        <v>4573310</v>
      </c>
      <c r="Q1847" s="1">
        <v>314484</v>
      </c>
      <c r="R1847" s="1">
        <v>0</v>
      </c>
      <c r="S1847">
        <v>99.302199999999999</v>
      </c>
      <c r="T1847">
        <v>98.274000000000001</v>
      </c>
      <c r="U1847">
        <v>2.9599199999999999</v>
      </c>
      <c r="V1847">
        <v>0</v>
      </c>
      <c r="W1847">
        <v>0</v>
      </c>
      <c r="X1847">
        <v>1.7810900000000001</v>
      </c>
      <c r="Y1847">
        <v>1.7810900000000001</v>
      </c>
      <c r="Z1847">
        <v>0</v>
      </c>
      <c r="AA1847">
        <v>1.37605</v>
      </c>
      <c r="AB1847">
        <v>3.3868800000000001</v>
      </c>
      <c r="AC1847" s="2">
        <v>956865000</v>
      </c>
      <c r="AD1847" s="1">
        <v>0</v>
      </c>
      <c r="AE1847" s="1">
        <v>0</v>
      </c>
      <c r="AF1847" s="1">
        <v>0</v>
      </c>
      <c r="AG1847" s="1">
        <v>0</v>
      </c>
      <c r="AH1847" s="2">
        <v>4608100</v>
      </c>
      <c r="AI1847" s="1">
        <v>150206</v>
      </c>
      <c r="AJ1847" s="1">
        <v>0</v>
      </c>
      <c r="AK1847" s="8">
        <f t="shared" si="115"/>
        <v>26</v>
      </c>
      <c r="AL1847" s="8">
        <f t="shared" si="114"/>
        <v>36</v>
      </c>
      <c r="AM1847">
        <f t="shared" si="112"/>
        <v>0</v>
      </c>
      <c r="AN1847">
        <f t="shared" si="113"/>
        <v>0</v>
      </c>
    </row>
    <row r="1848" spans="1:40" x14ac:dyDescent="0.35">
      <c r="A1848">
        <v>84.3262</v>
      </c>
      <c r="B1848">
        <v>85.138999999999996</v>
      </c>
      <c r="C1848">
        <v>3.0343100000000001</v>
      </c>
      <c r="D1848">
        <v>0</v>
      </c>
      <c r="E1848">
        <v>0.04</v>
      </c>
      <c r="F1848">
        <v>3.2042799999999998</v>
      </c>
      <c r="G1848">
        <v>3.2042799999999998</v>
      </c>
      <c r="H1848">
        <v>0</v>
      </c>
      <c r="I1848">
        <v>0.57328000000000001</v>
      </c>
      <c r="J1848">
        <v>5.3222399999999999</v>
      </c>
      <c r="K1848" s="2">
        <v>210804000</v>
      </c>
      <c r="L1848" s="1">
        <v>0</v>
      </c>
      <c r="M1848" s="1">
        <v>0</v>
      </c>
      <c r="N1848" s="1">
        <v>0</v>
      </c>
      <c r="O1848" s="1">
        <v>0</v>
      </c>
      <c r="P1848" s="2">
        <v>4790310</v>
      </c>
      <c r="Q1848" s="1">
        <v>329406</v>
      </c>
      <c r="R1848" s="1">
        <v>0</v>
      </c>
      <c r="S1848">
        <v>99.302199999999999</v>
      </c>
      <c r="T1848">
        <v>98.274000000000001</v>
      </c>
      <c r="U1848">
        <v>2.89</v>
      </c>
      <c r="V1848">
        <v>0</v>
      </c>
      <c r="W1848">
        <v>0</v>
      </c>
      <c r="X1848">
        <v>1.87741</v>
      </c>
      <c r="Y1848">
        <v>1.87741</v>
      </c>
      <c r="Z1848">
        <v>0</v>
      </c>
      <c r="AA1848">
        <v>1.3760699999999999</v>
      </c>
      <c r="AB1848">
        <v>3.3868800000000001</v>
      </c>
      <c r="AC1848" s="2">
        <v>957024000</v>
      </c>
      <c r="AD1848" s="1">
        <v>0</v>
      </c>
      <c r="AE1848" s="1">
        <v>0</v>
      </c>
      <c r="AF1848" s="1">
        <v>0</v>
      </c>
      <c r="AG1848" s="1">
        <v>0</v>
      </c>
      <c r="AH1848" s="2">
        <v>4857300</v>
      </c>
      <c r="AI1848" s="1">
        <v>158329</v>
      </c>
      <c r="AJ1848" s="1">
        <v>0</v>
      </c>
      <c r="AK1848" s="8">
        <f t="shared" si="115"/>
        <v>27</v>
      </c>
      <c r="AL1848" s="8">
        <f t="shared" si="114"/>
        <v>36</v>
      </c>
      <c r="AM1848">
        <f t="shared" si="112"/>
        <v>0</v>
      </c>
      <c r="AN1848">
        <f t="shared" si="113"/>
        <v>0</v>
      </c>
    </row>
    <row r="1849" spans="1:40" x14ac:dyDescent="0.35">
      <c r="A1849">
        <v>83.878299999999996</v>
      </c>
      <c r="B1849">
        <v>85.138999999999996</v>
      </c>
      <c r="C1849">
        <v>2.9335200000000001</v>
      </c>
      <c r="D1849">
        <v>0</v>
      </c>
      <c r="E1849">
        <v>0.04</v>
      </c>
      <c r="F1849">
        <v>3.2043200000000001</v>
      </c>
      <c r="G1849">
        <v>3.2043200000000001</v>
      </c>
      <c r="H1849">
        <v>0</v>
      </c>
      <c r="I1849">
        <v>0.60048199999999996</v>
      </c>
      <c r="J1849">
        <v>5.3222399999999999</v>
      </c>
      <c r="K1849" s="2">
        <v>211133000</v>
      </c>
      <c r="L1849" s="1">
        <v>0</v>
      </c>
      <c r="M1849" s="1">
        <v>0</v>
      </c>
      <c r="N1849" s="1">
        <v>0</v>
      </c>
      <c r="O1849" s="1">
        <v>0</v>
      </c>
      <c r="P1849" s="2">
        <v>4790370</v>
      </c>
      <c r="Q1849" s="1">
        <v>329410</v>
      </c>
      <c r="R1849" s="1">
        <v>0</v>
      </c>
      <c r="S1849">
        <v>99.222499999999997</v>
      </c>
      <c r="T1849">
        <v>98.274000000000001</v>
      </c>
      <c r="U1849">
        <v>2.6690999999999998</v>
      </c>
      <c r="V1849">
        <v>0</v>
      </c>
      <c r="W1849">
        <v>0</v>
      </c>
      <c r="X1849">
        <v>1.8774299999999999</v>
      </c>
      <c r="Y1849">
        <v>1.8774299999999999</v>
      </c>
      <c r="Z1849">
        <v>0</v>
      </c>
      <c r="AA1849">
        <v>1.45048</v>
      </c>
      <c r="AB1849">
        <v>3.3868800000000001</v>
      </c>
      <c r="AC1849" s="2">
        <v>957182000</v>
      </c>
      <c r="AD1849" s="1">
        <v>0</v>
      </c>
      <c r="AE1849" s="1">
        <v>0</v>
      </c>
      <c r="AF1849" s="1">
        <v>0</v>
      </c>
      <c r="AG1849" s="1">
        <v>0</v>
      </c>
      <c r="AH1849" s="2">
        <v>4857360</v>
      </c>
      <c r="AI1849" s="1">
        <v>158331</v>
      </c>
      <c r="AJ1849" s="1">
        <v>0</v>
      </c>
      <c r="AK1849" s="8">
        <f t="shared" si="115"/>
        <v>28</v>
      </c>
      <c r="AL1849" s="8">
        <f t="shared" si="114"/>
        <v>36</v>
      </c>
      <c r="AM1849">
        <f t="shared" si="112"/>
        <v>0</v>
      </c>
      <c r="AN1849">
        <f t="shared" si="113"/>
        <v>0</v>
      </c>
    </row>
    <row r="1850" spans="1:40" x14ac:dyDescent="0.35">
      <c r="A1850">
        <v>83.226500000000001</v>
      </c>
      <c r="B1850">
        <v>85.138999999999996</v>
      </c>
      <c r="C1850">
        <v>2.67597</v>
      </c>
      <c r="D1850">
        <v>0</v>
      </c>
      <c r="E1850">
        <v>0.04</v>
      </c>
      <c r="F1850">
        <v>3.2043599999999999</v>
      </c>
      <c r="G1850">
        <v>3.2043599999999999</v>
      </c>
      <c r="H1850">
        <v>0</v>
      </c>
      <c r="I1850">
        <v>0.60048900000000005</v>
      </c>
      <c r="J1850">
        <v>5.3222399999999999</v>
      </c>
      <c r="K1850" s="2">
        <v>211463000</v>
      </c>
      <c r="L1850" s="1">
        <v>0</v>
      </c>
      <c r="M1850" s="1">
        <v>0</v>
      </c>
      <c r="N1850" s="1">
        <v>0</v>
      </c>
      <c r="O1850" s="1">
        <v>0</v>
      </c>
      <c r="P1850" s="2">
        <v>4790430</v>
      </c>
      <c r="Q1850" s="1">
        <v>329414</v>
      </c>
      <c r="R1850" s="1">
        <v>0</v>
      </c>
      <c r="S1850">
        <v>99.134</v>
      </c>
      <c r="T1850">
        <v>98.274000000000001</v>
      </c>
      <c r="U1850">
        <v>2.6488900000000002</v>
      </c>
      <c r="V1850">
        <v>0</v>
      </c>
      <c r="W1850">
        <v>0</v>
      </c>
      <c r="X1850">
        <v>1.8774500000000001</v>
      </c>
      <c r="Y1850">
        <v>1.8774500000000001</v>
      </c>
      <c r="Z1850">
        <v>0</v>
      </c>
      <c r="AA1850">
        <v>1.4504999999999999</v>
      </c>
      <c r="AB1850">
        <v>3.3868800000000001</v>
      </c>
      <c r="AC1850" s="2">
        <v>957340000</v>
      </c>
      <c r="AD1850" s="1">
        <v>0</v>
      </c>
      <c r="AE1850" s="1">
        <v>0</v>
      </c>
      <c r="AF1850" s="1">
        <v>0</v>
      </c>
      <c r="AG1850" s="1">
        <v>0</v>
      </c>
      <c r="AH1850" s="2">
        <v>4857420</v>
      </c>
      <c r="AI1850" s="1">
        <v>158333</v>
      </c>
      <c r="AJ1850" s="1">
        <v>0</v>
      </c>
      <c r="AK1850" s="8">
        <f t="shared" si="115"/>
        <v>29</v>
      </c>
      <c r="AL1850" s="8">
        <f t="shared" si="114"/>
        <v>36</v>
      </c>
      <c r="AM1850">
        <f t="shared" si="112"/>
        <v>0</v>
      </c>
      <c r="AN1850">
        <f t="shared" si="113"/>
        <v>0</v>
      </c>
    </row>
    <row r="1851" spans="1:40" x14ac:dyDescent="0.35">
      <c r="A1851">
        <v>82.784999999999997</v>
      </c>
      <c r="B1851">
        <v>85.138999999999996</v>
      </c>
      <c r="C1851">
        <v>2.6190899999999999</v>
      </c>
      <c r="D1851">
        <v>0.01</v>
      </c>
      <c r="E1851">
        <v>0.04</v>
      </c>
      <c r="F1851">
        <v>2.9020000000000001</v>
      </c>
      <c r="G1851">
        <v>3.2044000000000001</v>
      </c>
      <c r="H1851">
        <v>0</v>
      </c>
      <c r="I1851">
        <v>0.60049699999999995</v>
      </c>
      <c r="J1851">
        <v>5.3222399999999999</v>
      </c>
      <c r="K1851" s="2">
        <v>211383000</v>
      </c>
      <c r="L1851" s="1">
        <v>0</v>
      </c>
      <c r="M1851" s="1">
        <v>0</v>
      </c>
      <c r="N1851" s="1">
        <v>0</v>
      </c>
      <c r="O1851" s="1">
        <v>0</v>
      </c>
      <c r="P1851" s="2">
        <v>4338410</v>
      </c>
      <c r="Q1851" s="1">
        <v>-79120.3</v>
      </c>
      <c r="R1851" s="1">
        <v>408539</v>
      </c>
      <c r="S1851">
        <v>98.962400000000002</v>
      </c>
      <c r="T1851">
        <v>98.274000000000001</v>
      </c>
      <c r="U1851">
        <v>2.6929099999999999</v>
      </c>
      <c r="V1851">
        <v>0</v>
      </c>
      <c r="W1851">
        <v>0</v>
      </c>
      <c r="X1851">
        <v>2.1798799999999998</v>
      </c>
      <c r="Y1851">
        <v>1.87748</v>
      </c>
      <c r="Z1851">
        <v>0</v>
      </c>
      <c r="AA1851">
        <v>1.45052</v>
      </c>
      <c r="AB1851">
        <v>3.3868800000000001</v>
      </c>
      <c r="AC1851" s="2">
        <v>958281000</v>
      </c>
      <c r="AD1851" s="1">
        <v>0</v>
      </c>
      <c r="AE1851" s="1">
        <v>0</v>
      </c>
      <c r="AF1851" s="1">
        <v>0</v>
      </c>
      <c r="AG1851" s="1">
        <v>0</v>
      </c>
      <c r="AH1851" s="2">
        <v>5639860</v>
      </c>
      <c r="AI1851" s="1">
        <v>940716</v>
      </c>
      <c r="AJ1851" s="1">
        <v>0</v>
      </c>
      <c r="AK1851" s="8">
        <f t="shared" si="115"/>
        <v>30</v>
      </c>
      <c r="AL1851" s="8">
        <f t="shared" si="114"/>
        <v>36</v>
      </c>
      <c r="AM1851">
        <f t="shared" si="112"/>
        <v>0</v>
      </c>
      <c r="AN1851">
        <f t="shared" si="113"/>
        <v>0</v>
      </c>
    </row>
    <row r="1852" spans="1:40" x14ac:dyDescent="0.35">
      <c r="A1852">
        <v>82.172399999999996</v>
      </c>
      <c r="B1852">
        <v>85.138999999999996</v>
      </c>
      <c r="C1852">
        <v>2.4350700000000001</v>
      </c>
      <c r="D1852">
        <v>0.01</v>
      </c>
      <c r="E1852">
        <v>0.04</v>
      </c>
      <c r="F1852">
        <v>2.90204</v>
      </c>
      <c r="G1852">
        <v>3.20444</v>
      </c>
      <c r="H1852">
        <v>0</v>
      </c>
      <c r="I1852">
        <v>0.54383400000000004</v>
      </c>
      <c r="J1852">
        <v>5.3222399999999999</v>
      </c>
      <c r="K1852" s="2">
        <v>211304000</v>
      </c>
      <c r="L1852" s="1">
        <v>0</v>
      </c>
      <c r="M1852" s="1">
        <v>0</v>
      </c>
      <c r="N1852" s="1">
        <v>0</v>
      </c>
      <c r="O1852" s="1">
        <v>0</v>
      </c>
      <c r="P1852" s="2">
        <v>4338470</v>
      </c>
      <c r="Q1852" s="1">
        <v>-79116.2</v>
      </c>
      <c r="R1852" s="1">
        <v>408539</v>
      </c>
      <c r="S1852">
        <v>98.726600000000005</v>
      </c>
      <c r="T1852">
        <v>98.274000000000001</v>
      </c>
      <c r="U1852">
        <v>2.4647600000000001</v>
      </c>
      <c r="V1852">
        <v>0</v>
      </c>
      <c r="W1852">
        <v>0</v>
      </c>
      <c r="X1852">
        <v>2.1798999999999999</v>
      </c>
      <c r="Y1852">
        <v>1.8774999999999999</v>
      </c>
      <c r="Z1852">
        <v>0</v>
      </c>
      <c r="AA1852">
        <v>1.6841699999999999</v>
      </c>
      <c r="AB1852">
        <v>3.3868800000000001</v>
      </c>
      <c r="AC1852" s="2">
        <v>959222000</v>
      </c>
      <c r="AD1852" s="1">
        <v>0</v>
      </c>
      <c r="AE1852" s="1">
        <v>0</v>
      </c>
      <c r="AF1852" s="1">
        <v>0</v>
      </c>
      <c r="AG1852" s="1">
        <v>0</v>
      </c>
      <c r="AH1852" s="2">
        <v>5639920</v>
      </c>
      <c r="AI1852" s="1">
        <v>940718</v>
      </c>
      <c r="AJ1852" s="1">
        <v>0</v>
      </c>
      <c r="AK1852" s="8">
        <f t="shared" si="115"/>
        <v>31</v>
      </c>
      <c r="AL1852" s="8">
        <f t="shared" si="114"/>
        <v>36</v>
      </c>
      <c r="AM1852">
        <f t="shared" si="112"/>
        <v>0</v>
      </c>
      <c r="AN1852">
        <f t="shared" si="113"/>
        <v>0</v>
      </c>
    </row>
    <row r="1853" spans="1:40" x14ac:dyDescent="0.35">
      <c r="A1853">
        <v>81.389899999999997</v>
      </c>
      <c r="B1853">
        <v>85.138999999999996</v>
      </c>
      <c r="C1853">
        <v>2.2271999999999998</v>
      </c>
      <c r="D1853">
        <v>0.01</v>
      </c>
      <c r="E1853">
        <v>0.04</v>
      </c>
      <c r="F1853">
        <v>2.87338</v>
      </c>
      <c r="G1853">
        <v>3.17578</v>
      </c>
      <c r="H1853">
        <v>0</v>
      </c>
      <c r="I1853">
        <v>0.54384200000000005</v>
      </c>
      <c r="J1853">
        <v>5.3222399999999999</v>
      </c>
      <c r="K1853" s="2">
        <v>211222000</v>
      </c>
      <c r="L1853" s="1">
        <v>0</v>
      </c>
      <c r="M1853" s="1">
        <v>0</v>
      </c>
      <c r="N1853" s="1">
        <v>0</v>
      </c>
      <c r="O1853" s="1">
        <v>0</v>
      </c>
      <c r="P1853" s="2">
        <v>4295620</v>
      </c>
      <c r="Q1853" s="1">
        <v>-82062.600000000006</v>
      </c>
      <c r="R1853" s="1">
        <v>408539</v>
      </c>
      <c r="S1853">
        <v>98.436300000000003</v>
      </c>
      <c r="T1853">
        <v>98.274000000000001</v>
      </c>
      <c r="U1853">
        <v>2.2132700000000001</v>
      </c>
      <c r="V1853">
        <v>0</v>
      </c>
      <c r="W1853">
        <v>0</v>
      </c>
      <c r="X1853">
        <v>2.23285</v>
      </c>
      <c r="Y1853">
        <v>1.93045</v>
      </c>
      <c r="Z1853">
        <v>0</v>
      </c>
      <c r="AA1853">
        <v>1.6841900000000001</v>
      </c>
      <c r="AB1853">
        <v>3.3868800000000001</v>
      </c>
      <c r="AC1853" s="2">
        <v>960167000</v>
      </c>
      <c r="AD1853" s="1">
        <v>0</v>
      </c>
      <c r="AE1853" s="1">
        <v>0</v>
      </c>
      <c r="AF1853" s="1">
        <v>0</v>
      </c>
      <c r="AG1853" s="1">
        <v>0</v>
      </c>
      <c r="AH1853" s="2">
        <v>5776920</v>
      </c>
      <c r="AI1853" s="1">
        <v>945184</v>
      </c>
      <c r="AJ1853" s="1">
        <v>0</v>
      </c>
      <c r="AK1853" s="8">
        <f t="shared" si="115"/>
        <v>32</v>
      </c>
      <c r="AL1853" s="8">
        <f t="shared" si="114"/>
        <v>36</v>
      </c>
      <c r="AM1853">
        <f t="shared" si="112"/>
        <v>0</v>
      </c>
      <c r="AN1853">
        <f t="shared" si="113"/>
        <v>0</v>
      </c>
    </row>
    <row r="1854" spans="1:40" x14ac:dyDescent="0.35">
      <c r="A1854">
        <v>80.424800000000005</v>
      </c>
      <c r="B1854">
        <v>85.138999999999996</v>
      </c>
      <c r="C1854">
        <v>2.0388099999999998</v>
      </c>
      <c r="D1854">
        <v>0.01</v>
      </c>
      <c r="E1854">
        <v>0.04</v>
      </c>
      <c r="F1854">
        <v>2.8734199999999999</v>
      </c>
      <c r="G1854">
        <v>3.1758199999999999</v>
      </c>
      <c r="H1854">
        <v>0</v>
      </c>
      <c r="I1854">
        <v>0.53847100000000003</v>
      </c>
      <c r="J1854">
        <v>5.3222399999999999</v>
      </c>
      <c r="K1854" s="2">
        <v>211140000</v>
      </c>
      <c r="L1854" s="1">
        <v>0</v>
      </c>
      <c r="M1854" s="1">
        <v>0</v>
      </c>
      <c r="N1854" s="1">
        <v>0</v>
      </c>
      <c r="O1854" s="1">
        <v>0</v>
      </c>
      <c r="P1854" s="2">
        <v>4295680</v>
      </c>
      <c r="Q1854" s="1">
        <v>-82058.5</v>
      </c>
      <c r="R1854" s="1">
        <v>408539</v>
      </c>
      <c r="S1854">
        <v>98.073700000000002</v>
      </c>
      <c r="T1854">
        <v>98.274000000000001</v>
      </c>
      <c r="U1854">
        <v>2.2011599999999998</v>
      </c>
      <c r="V1854">
        <v>0</v>
      </c>
      <c r="W1854">
        <v>0</v>
      </c>
      <c r="X1854">
        <v>2.2328800000000002</v>
      </c>
      <c r="Y1854">
        <v>1.93048</v>
      </c>
      <c r="Z1854">
        <v>0</v>
      </c>
      <c r="AA1854">
        <v>1.7251000000000001</v>
      </c>
      <c r="AB1854">
        <v>3.3868800000000001</v>
      </c>
      <c r="AC1854" s="2">
        <v>961112000</v>
      </c>
      <c r="AD1854" s="1">
        <v>0</v>
      </c>
      <c r="AE1854" s="1">
        <v>0</v>
      </c>
      <c r="AF1854" s="1">
        <v>0</v>
      </c>
      <c r="AG1854" s="1">
        <v>0</v>
      </c>
      <c r="AH1854" s="2">
        <v>5776980</v>
      </c>
      <c r="AI1854" s="1">
        <v>945186</v>
      </c>
      <c r="AJ1854" s="1">
        <v>0</v>
      </c>
      <c r="AK1854" s="8">
        <f t="shared" si="115"/>
        <v>33</v>
      </c>
      <c r="AL1854" s="8">
        <f t="shared" si="114"/>
        <v>36</v>
      </c>
      <c r="AM1854">
        <f t="shared" si="112"/>
        <v>0</v>
      </c>
      <c r="AN1854">
        <f t="shared" si="113"/>
        <v>0</v>
      </c>
    </row>
    <row r="1855" spans="1:40" x14ac:dyDescent="0.35">
      <c r="A1855">
        <v>79.284099999999995</v>
      </c>
      <c r="B1855">
        <v>85.138999999999996</v>
      </c>
      <c r="C1855">
        <v>1.8437699999999999</v>
      </c>
      <c r="D1855">
        <v>0.01</v>
      </c>
      <c r="E1855">
        <v>0.04</v>
      </c>
      <c r="F1855">
        <v>2.8734500000000001</v>
      </c>
      <c r="G1855">
        <v>3.1758500000000001</v>
      </c>
      <c r="H1855">
        <v>0</v>
      </c>
      <c r="I1855">
        <v>0.53847800000000001</v>
      </c>
      <c r="J1855">
        <v>5.3222399999999999</v>
      </c>
      <c r="K1855" s="2">
        <v>211058000</v>
      </c>
      <c r="L1855" s="1">
        <v>0</v>
      </c>
      <c r="M1855" s="1">
        <v>0</v>
      </c>
      <c r="N1855" s="1">
        <v>0</v>
      </c>
      <c r="O1855" s="1">
        <v>0</v>
      </c>
      <c r="P1855" s="2">
        <v>4295740</v>
      </c>
      <c r="Q1855" s="1">
        <v>-82054.5</v>
      </c>
      <c r="R1855" s="1">
        <v>408539</v>
      </c>
      <c r="S1855">
        <v>97.674199999999999</v>
      </c>
      <c r="T1855">
        <v>98.274000000000001</v>
      </c>
      <c r="U1855">
        <v>1.97637</v>
      </c>
      <c r="V1855">
        <v>0</v>
      </c>
      <c r="W1855">
        <v>0</v>
      </c>
      <c r="X1855">
        <v>2.2328999999999999</v>
      </c>
      <c r="Y1855">
        <v>1.9305000000000001</v>
      </c>
      <c r="Z1855">
        <v>0</v>
      </c>
      <c r="AA1855">
        <v>1.72512</v>
      </c>
      <c r="AB1855">
        <v>3.3868800000000001</v>
      </c>
      <c r="AC1855" s="2">
        <v>962057000</v>
      </c>
      <c r="AD1855" s="1">
        <v>0</v>
      </c>
      <c r="AE1855" s="1">
        <v>0</v>
      </c>
      <c r="AF1855" s="1">
        <v>0</v>
      </c>
      <c r="AG1855" s="1">
        <v>0</v>
      </c>
      <c r="AH1855" s="2">
        <v>5777050</v>
      </c>
      <c r="AI1855" s="1">
        <v>945188</v>
      </c>
      <c r="AJ1855" s="1">
        <v>0</v>
      </c>
      <c r="AK1855" s="8">
        <f t="shared" si="115"/>
        <v>34</v>
      </c>
      <c r="AL1855" s="8">
        <f t="shared" si="114"/>
        <v>36</v>
      </c>
      <c r="AM1855">
        <f t="shared" si="112"/>
        <v>0</v>
      </c>
      <c r="AN1855">
        <f t="shared" si="113"/>
        <v>0</v>
      </c>
    </row>
    <row r="1856" spans="1:40" x14ac:dyDescent="0.35">
      <c r="A1856">
        <v>78.096500000000006</v>
      </c>
      <c r="B1856">
        <v>85.138999999999996</v>
      </c>
      <c r="C1856">
        <v>1.75108</v>
      </c>
      <c r="D1856">
        <v>0.01</v>
      </c>
      <c r="E1856">
        <v>0.04</v>
      </c>
      <c r="F1856">
        <v>2.8734899999999999</v>
      </c>
      <c r="G1856">
        <v>3.1758899999999999</v>
      </c>
      <c r="H1856">
        <v>0</v>
      </c>
      <c r="I1856">
        <v>0.53848499999999999</v>
      </c>
      <c r="J1856">
        <v>5.3222399999999999</v>
      </c>
      <c r="K1856" s="2">
        <v>210976000</v>
      </c>
      <c r="L1856" s="1">
        <v>0</v>
      </c>
      <c r="M1856" s="1">
        <v>0</v>
      </c>
      <c r="N1856" s="1">
        <v>0</v>
      </c>
      <c r="O1856" s="1">
        <v>0</v>
      </c>
      <c r="P1856" s="2">
        <v>4295800</v>
      </c>
      <c r="Q1856" s="1">
        <v>-82050.399999999994</v>
      </c>
      <c r="R1856" s="1">
        <v>408539</v>
      </c>
      <c r="S1856">
        <v>96.963099999999997</v>
      </c>
      <c r="T1856">
        <v>98.274000000000001</v>
      </c>
      <c r="U1856">
        <v>1.94207</v>
      </c>
      <c r="V1856">
        <v>0</v>
      </c>
      <c r="W1856">
        <v>0</v>
      </c>
      <c r="X1856">
        <v>2.23292</v>
      </c>
      <c r="Y1856">
        <v>1.93052</v>
      </c>
      <c r="Z1856">
        <v>0</v>
      </c>
      <c r="AA1856">
        <v>1.7251399999999999</v>
      </c>
      <c r="AB1856">
        <v>3.3868800000000001</v>
      </c>
      <c r="AC1856" s="2">
        <v>963003000</v>
      </c>
      <c r="AD1856" s="1">
        <v>0</v>
      </c>
      <c r="AE1856" s="1">
        <v>0</v>
      </c>
      <c r="AF1856" s="1">
        <v>0</v>
      </c>
      <c r="AG1856" s="1">
        <v>0</v>
      </c>
      <c r="AH1856" s="2">
        <v>5777110</v>
      </c>
      <c r="AI1856" s="1">
        <v>945190</v>
      </c>
      <c r="AJ1856" s="1">
        <v>0</v>
      </c>
      <c r="AK1856" s="8">
        <f t="shared" si="115"/>
        <v>35</v>
      </c>
      <c r="AL1856" s="8">
        <f t="shared" si="114"/>
        <v>36</v>
      </c>
      <c r="AM1856">
        <f t="shared" si="112"/>
        <v>0</v>
      </c>
      <c r="AN1856">
        <f t="shared" si="113"/>
        <v>0</v>
      </c>
    </row>
    <row r="1857" spans="1:40" x14ac:dyDescent="0.35">
      <c r="A1857">
        <v>76.692099999999996</v>
      </c>
      <c r="B1857">
        <v>85.138999999999996</v>
      </c>
      <c r="C1857">
        <v>1.58656</v>
      </c>
      <c r="D1857">
        <v>0.02</v>
      </c>
      <c r="E1857">
        <v>0.04</v>
      </c>
      <c r="F1857">
        <v>2.9476499999999999</v>
      </c>
      <c r="G1857">
        <v>3.2500499999999999</v>
      </c>
      <c r="H1857">
        <v>0</v>
      </c>
      <c r="I1857">
        <v>0.538493</v>
      </c>
      <c r="J1857">
        <v>5.3222399999999999</v>
      </c>
      <c r="K1857" s="2">
        <v>210902000</v>
      </c>
      <c r="L1857" s="1">
        <v>0</v>
      </c>
      <c r="M1857" s="1">
        <v>0</v>
      </c>
      <c r="N1857" s="1">
        <v>0</v>
      </c>
      <c r="O1857" s="1">
        <v>0</v>
      </c>
      <c r="P1857" s="2">
        <v>4406670</v>
      </c>
      <c r="Q1857" s="1">
        <v>-74426.7</v>
      </c>
      <c r="R1857" s="1">
        <v>408539</v>
      </c>
      <c r="S1857">
        <v>96.129000000000005</v>
      </c>
      <c r="T1857">
        <v>98.274000000000001</v>
      </c>
      <c r="U1857">
        <v>1.6557299999999999</v>
      </c>
      <c r="V1857">
        <v>0</v>
      </c>
      <c r="W1857">
        <v>0</v>
      </c>
      <c r="X1857">
        <v>2.2801200000000001</v>
      </c>
      <c r="Y1857">
        <v>1.9777199999999999</v>
      </c>
      <c r="Z1857">
        <v>0</v>
      </c>
      <c r="AA1857">
        <v>1.72516</v>
      </c>
      <c r="AB1857">
        <v>3.3868800000000001</v>
      </c>
      <c r="AC1857" s="2">
        <v>963952000</v>
      </c>
      <c r="AD1857" s="1">
        <v>0</v>
      </c>
      <c r="AE1857" s="1">
        <v>0</v>
      </c>
      <c r="AF1857" s="1">
        <v>0</v>
      </c>
      <c r="AG1857" s="1">
        <v>0</v>
      </c>
      <c r="AH1857" s="2">
        <v>5899220</v>
      </c>
      <c r="AI1857" s="1">
        <v>949170</v>
      </c>
      <c r="AJ1857" s="1">
        <v>0</v>
      </c>
      <c r="AK1857" s="8">
        <f t="shared" si="115"/>
        <v>36</v>
      </c>
      <c r="AL1857" s="8">
        <f t="shared" si="114"/>
        <v>36</v>
      </c>
      <c r="AM1857">
        <f t="shared" si="112"/>
        <v>0</v>
      </c>
      <c r="AN1857">
        <f t="shared" si="113"/>
        <v>0</v>
      </c>
    </row>
    <row r="1858" spans="1:40" x14ac:dyDescent="0.35">
      <c r="A1858">
        <v>75.228899999999996</v>
      </c>
      <c r="B1858">
        <v>85.138999999999996</v>
      </c>
      <c r="C1858">
        <v>1.5089900000000001</v>
      </c>
      <c r="D1858">
        <v>0.02</v>
      </c>
      <c r="E1858">
        <v>0.04</v>
      </c>
      <c r="F1858">
        <v>2.9476900000000001</v>
      </c>
      <c r="G1858">
        <v>3.2500900000000001</v>
      </c>
      <c r="H1858">
        <v>0</v>
      </c>
      <c r="I1858">
        <v>0.55239000000000005</v>
      </c>
      <c r="J1858">
        <v>5.3222399999999999</v>
      </c>
      <c r="K1858" s="2">
        <v>210827000</v>
      </c>
      <c r="L1858" s="1">
        <v>0</v>
      </c>
      <c r="M1858" s="1">
        <v>0</v>
      </c>
      <c r="N1858" s="1">
        <v>0</v>
      </c>
      <c r="O1858" s="1">
        <v>0</v>
      </c>
      <c r="P1858" s="2">
        <v>4406730</v>
      </c>
      <c r="Q1858" s="1">
        <v>-74422.600000000006</v>
      </c>
      <c r="R1858" s="1">
        <v>408539</v>
      </c>
      <c r="S1858">
        <v>95.115099999999998</v>
      </c>
      <c r="T1858">
        <v>98.274000000000001</v>
      </c>
      <c r="U1858">
        <v>1.5766</v>
      </c>
      <c r="V1858">
        <v>0</v>
      </c>
      <c r="W1858">
        <v>0</v>
      </c>
      <c r="X1858">
        <v>2.2801499999999999</v>
      </c>
      <c r="Y1858">
        <v>1.9777499999999999</v>
      </c>
      <c r="Z1858">
        <v>0</v>
      </c>
      <c r="AA1858">
        <v>1.76162</v>
      </c>
      <c r="AB1858">
        <v>3.3868800000000001</v>
      </c>
      <c r="AC1858" s="2">
        <v>964901000</v>
      </c>
      <c r="AD1858" s="1">
        <v>0</v>
      </c>
      <c r="AE1858" s="1">
        <v>0</v>
      </c>
      <c r="AF1858" s="1">
        <v>0</v>
      </c>
      <c r="AG1858" s="1">
        <v>0</v>
      </c>
      <c r="AH1858" s="2">
        <v>5899280</v>
      </c>
      <c r="AI1858" s="1">
        <v>949172</v>
      </c>
      <c r="AJ1858" s="1">
        <v>0</v>
      </c>
      <c r="AK1858" s="8">
        <f t="shared" si="115"/>
        <v>37</v>
      </c>
      <c r="AL1858" s="8">
        <f t="shared" si="114"/>
        <v>36</v>
      </c>
      <c r="AM1858">
        <f t="shared" si="112"/>
        <v>0</v>
      </c>
      <c r="AN1858">
        <f t="shared" si="113"/>
        <v>0</v>
      </c>
    </row>
    <row r="1859" spans="1:40" x14ac:dyDescent="0.35">
      <c r="A1859">
        <v>73.648099999999999</v>
      </c>
      <c r="B1859">
        <v>85.138999999999996</v>
      </c>
      <c r="C1859">
        <v>1.37351</v>
      </c>
      <c r="D1859">
        <v>0.02</v>
      </c>
      <c r="E1859">
        <v>0.04</v>
      </c>
      <c r="F1859">
        <v>2.94773</v>
      </c>
      <c r="G1859">
        <v>3.25013</v>
      </c>
      <c r="H1859">
        <v>0</v>
      </c>
      <c r="I1859">
        <v>0.55239799999999994</v>
      </c>
      <c r="J1859">
        <v>5.3222399999999999</v>
      </c>
      <c r="K1859" s="2">
        <v>210753000</v>
      </c>
      <c r="L1859" s="1">
        <v>0</v>
      </c>
      <c r="M1859" s="1">
        <v>0</v>
      </c>
      <c r="N1859" s="1">
        <v>0</v>
      </c>
      <c r="O1859" s="1">
        <v>0</v>
      </c>
      <c r="P1859" s="2">
        <v>4406790</v>
      </c>
      <c r="Q1859" s="1">
        <v>-74418.399999999994</v>
      </c>
      <c r="R1859" s="1">
        <v>408539</v>
      </c>
      <c r="S1859">
        <v>94.468900000000005</v>
      </c>
      <c r="T1859">
        <v>98.274000000000001</v>
      </c>
      <c r="U1859">
        <v>1.3827499999999999</v>
      </c>
      <c r="V1859">
        <v>0</v>
      </c>
      <c r="W1859">
        <v>0</v>
      </c>
      <c r="X1859">
        <v>2.28017</v>
      </c>
      <c r="Y1859">
        <v>1.97777</v>
      </c>
      <c r="Z1859">
        <v>0</v>
      </c>
      <c r="AA1859">
        <v>1.7616400000000001</v>
      </c>
      <c r="AB1859">
        <v>3.3868800000000001</v>
      </c>
      <c r="AC1859" s="2">
        <v>965850000</v>
      </c>
      <c r="AD1859" s="1">
        <v>0</v>
      </c>
      <c r="AE1859" s="1">
        <v>0</v>
      </c>
      <c r="AF1859" s="1">
        <v>0</v>
      </c>
      <c r="AG1859" s="1">
        <v>0</v>
      </c>
      <c r="AH1859" s="2">
        <v>5899350</v>
      </c>
      <c r="AI1859" s="1">
        <v>949174</v>
      </c>
      <c r="AJ1859" s="1">
        <v>0</v>
      </c>
      <c r="AK1859" s="8">
        <f t="shared" si="115"/>
        <v>38</v>
      </c>
      <c r="AL1859" s="8">
        <f t="shared" si="114"/>
        <v>36</v>
      </c>
      <c r="AM1859">
        <f t="shared" ref="AM1859:AM1922" si="116">IF(AK1859=52,AC1859,0)</f>
        <v>0</v>
      </c>
      <c r="AN1859">
        <f t="shared" ref="AN1859:AN1922" si="117">IF(AK1859=52,K1859,0)</f>
        <v>0</v>
      </c>
    </row>
    <row r="1860" spans="1:40" x14ac:dyDescent="0.35">
      <c r="A1860">
        <v>72.257000000000005</v>
      </c>
      <c r="B1860">
        <v>85.138999999999996</v>
      </c>
      <c r="C1860">
        <v>1.5450299999999999</v>
      </c>
      <c r="D1860">
        <v>0.02</v>
      </c>
      <c r="E1860">
        <v>0.04</v>
      </c>
      <c r="F1860">
        <v>2.9477699999999998</v>
      </c>
      <c r="G1860">
        <v>3.2501699999999998</v>
      </c>
      <c r="H1860">
        <v>0</v>
      </c>
      <c r="I1860">
        <v>0.55240500000000003</v>
      </c>
      <c r="J1860">
        <v>5.3222399999999999</v>
      </c>
      <c r="K1860" s="2">
        <v>210678000</v>
      </c>
      <c r="L1860" s="1">
        <v>0</v>
      </c>
      <c r="M1860" s="1">
        <v>0</v>
      </c>
      <c r="N1860" s="1">
        <v>0</v>
      </c>
      <c r="O1860" s="1">
        <v>0</v>
      </c>
      <c r="P1860" s="2">
        <v>4406850</v>
      </c>
      <c r="Q1860" s="1">
        <v>-74414.3</v>
      </c>
      <c r="R1860" s="1">
        <v>408539</v>
      </c>
      <c r="S1860">
        <v>93.747500000000002</v>
      </c>
      <c r="T1860">
        <v>98.274000000000001</v>
      </c>
      <c r="U1860">
        <v>1.8323400000000001</v>
      </c>
      <c r="V1860">
        <v>0</v>
      </c>
      <c r="W1860">
        <v>0</v>
      </c>
      <c r="X1860">
        <v>2.2801999999999998</v>
      </c>
      <c r="Y1860">
        <v>1.9778</v>
      </c>
      <c r="Z1860">
        <v>0</v>
      </c>
      <c r="AA1860">
        <v>1.76166</v>
      </c>
      <c r="AB1860">
        <v>3.3868800000000001</v>
      </c>
      <c r="AC1860" s="2">
        <v>966799000</v>
      </c>
      <c r="AD1860" s="1">
        <v>0</v>
      </c>
      <c r="AE1860" s="1">
        <v>0</v>
      </c>
      <c r="AF1860" s="1">
        <v>0</v>
      </c>
      <c r="AG1860" s="1">
        <v>0</v>
      </c>
      <c r="AH1860" s="2">
        <v>5899410</v>
      </c>
      <c r="AI1860" s="1">
        <v>949176</v>
      </c>
      <c r="AJ1860" s="1">
        <v>0</v>
      </c>
      <c r="AK1860" s="8">
        <f t="shared" si="115"/>
        <v>39</v>
      </c>
      <c r="AL1860" s="8">
        <f t="shared" ref="AL1860:AL1923" si="118">IF(AK1859=52,AL1859+1,AL1859)</f>
        <v>36</v>
      </c>
      <c r="AM1860">
        <f t="shared" si="116"/>
        <v>0</v>
      </c>
      <c r="AN1860">
        <f t="shared" si="117"/>
        <v>0</v>
      </c>
    </row>
    <row r="1861" spans="1:40" x14ac:dyDescent="0.35">
      <c r="A1861">
        <v>70.629300000000001</v>
      </c>
      <c r="B1861">
        <v>85.138999999999996</v>
      </c>
      <c r="C1861">
        <v>1.47834</v>
      </c>
      <c r="D1861">
        <v>0.02</v>
      </c>
      <c r="E1861">
        <v>0.04</v>
      </c>
      <c r="F1861">
        <v>3.1648800000000001</v>
      </c>
      <c r="G1861">
        <v>3.4672800000000001</v>
      </c>
      <c r="H1861">
        <v>0</v>
      </c>
      <c r="I1861">
        <v>0.55241300000000004</v>
      </c>
      <c r="J1861">
        <v>5.3222399999999999</v>
      </c>
      <c r="K1861" s="2">
        <v>210626000</v>
      </c>
      <c r="L1861" s="1">
        <v>0</v>
      </c>
      <c r="M1861" s="1">
        <v>0</v>
      </c>
      <c r="N1861" s="1">
        <v>0</v>
      </c>
      <c r="O1861" s="1">
        <v>0</v>
      </c>
      <c r="P1861" s="2">
        <v>4731420</v>
      </c>
      <c r="Q1861" s="1">
        <v>-52095.1</v>
      </c>
      <c r="R1861" s="1">
        <v>408539</v>
      </c>
      <c r="S1861">
        <v>92.927899999999994</v>
      </c>
      <c r="T1861">
        <v>98.274000000000001</v>
      </c>
      <c r="U1861">
        <v>1.67333</v>
      </c>
      <c r="V1861">
        <v>0</v>
      </c>
      <c r="W1861">
        <v>0</v>
      </c>
      <c r="X1861">
        <v>2.4504999999999999</v>
      </c>
      <c r="Y1861">
        <v>2.1480999999999999</v>
      </c>
      <c r="Z1861">
        <v>0</v>
      </c>
      <c r="AA1861">
        <v>1.7616799999999999</v>
      </c>
      <c r="AB1861">
        <v>3.3868800000000001</v>
      </c>
      <c r="AC1861" s="2">
        <v>967763000</v>
      </c>
      <c r="AD1861" s="1">
        <v>0</v>
      </c>
      <c r="AE1861" s="1">
        <v>0</v>
      </c>
      <c r="AF1861" s="1">
        <v>0</v>
      </c>
      <c r="AG1861" s="1">
        <v>0</v>
      </c>
      <c r="AH1861" s="2">
        <v>6340030</v>
      </c>
      <c r="AI1861" s="1">
        <v>963539</v>
      </c>
      <c r="AJ1861" s="1">
        <v>0</v>
      </c>
      <c r="AK1861" s="8">
        <f t="shared" si="115"/>
        <v>40</v>
      </c>
      <c r="AL1861" s="8">
        <f t="shared" si="118"/>
        <v>36</v>
      </c>
      <c r="AM1861">
        <f t="shared" si="116"/>
        <v>0</v>
      </c>
      <c r="AN1861">
        <f t="shared" si="117"/>
        <v>0</v>
      </c>
    </row>
    <row r="1862" spans="1:40" x14ac:dyDescent="0.35">
      <c r="A1862">
        <v>68.973399999999998</v>
      </c>
      <c r="B1862">
        <v>85.138999999999996</v>
      </c>
      <c r="C1862">
        <v>1.4550099999999999</v>
      </c>
      <c r="D1862">
        <v>0.02</v>
      </c>
      <c r="E1862">
        <v>0.04</v>
      </c>
      <c r="F1862">
        <v>3.16493</v>
      </c>
      <c r="G1862">
        <v>3.46733</v>
      </c>
      <c r="H1862">
        <v>0</v>
      </c>
      <c r="I1862">
        <v>0.59309900000000004</v>
      </c>
      <c r="J1862">
        <v>5.3222399999999999</v>
      </c>
      <c r="K1862" s="2">
        <v>210574000</v>
      </c>
      <c r="L1862" s="1">
        <v>0</v>
      </c>
      <c r="M1862" s="1">
        <v>0</v>
      </c>
      <c r="N1862" s="1">
        <v>0</v>
      </c>
      <c r="O1862" s="1">
        <v>0</v>
      </c>
      <c r="P1862" s="2">
        <v>4731480</v>
      </c>
      <c r="Q1862" s="1">
        <v>-52090.7</v>
      </c>
      <c r="R1862" s="1">
        <v>408539</v>
      </c>
      <c r="S1862">
        <v>92.292900000000003</v>
      </c>
      <c r="T1862">
        <v>98.274000000000001</v>
      </c>
      <c r="U1862">
        <v>1.5390200000000001</v>
      </c>
      <c r="V1862">
        <v>0</v>
      </c>
      <c r="W1862">
        <v>0</v>
      </c>
      <c r="X1862">
        <v>2.4505300000000001</v>
      </c>
      <c r="Y1862">
        <v>2.1481300000000001</v>
      </c>
      <c r="Z1862">
        <v>0</v>
      </c>
      <c r="AA1862">
        <v>1.8932599999999999</v>
      </c>
      <c r="AB1862">
        <v>3.3868800000000001</v>
      </c>
      <c r="AC1862" s="2">
        <v>968726000</v>
      </c>
      <c r="AD1862" s="1">
        <v>0</v>
      </c>
      <c r="AE1862" s="1">
        <v>0</v>
      </c>
      <c r="AF1862" s="1">
        <v>0</v>
      </c>
      <c r="AG1862" s="1">
        <v>0</v>
      </c>
      <c r="AH1862" s="2">
        <v>6340100</v>
      </c>
      <c r="AI1862" s="1">
        <v>963541</v>
      </c>
      <c r="AJ1862" s="1">
        <v>0</v>
      </c>
      <c r="AK1862" s="8">
        <f t="shared" si="115"/>
        <v>41</v>
      </c>
      <c r="AL1862" s="8">
        <f t="shared" si="118"/>
        <v>36</v>
      </c>
      <c r="AM1862">
        <f t="shared" si="116"/>
        <v>0</v>
      </c>
      <c r="AN1862">
        <f t="shared" si="117"/>
        <v>0</v>
      </c>
    </row>
    <row r="1863" spans="1:40" x14ac:dyDescent="0.35">
      <c r="A1863">
        <v>67.421300000000002</v>
      </c>
      <c r="B1863">
        <v>85.138999999999996</v>
      </c>
      <c r="C1863">
        <v>1.56732</v>
      </c>
      <c r="D1863">
        <v>0.02</v>
      </c>
      <c r="E1863">
        <v>0.04</v>
      </c>
      <c r="F1863">
        <v>3.1649699999999998</v>
      </c>
      <c r="G1863">
        <v>3.4673699999999998</v>
      </c>
      <c r="H1863">
        <v>0</v>
      </c>
      <c r="I1863">
        <v>0.59310700000000005</v>
      </c>
      <c r="J1863">
        <v>5.3222399999999999</v>
      </c>
      <c r="K1863" s="2">
        <v>210522000</v>
      </c>
      <c r="L1863" s="1">
        <v>0</v>
      </c>
      <c r="M1863" s="1">
        <v>0</v>
      </c>
      <c r="N1863" s="1">
        <v>0</v>
      </c>
      <c r="O1863" s="1">
        <v>0</v>
      </c>
      <c r="P1863" s="2">
        <v>4731550</v>
      </c>
      <c r="Q1863" s="1">
        <v>-52086.2</v>
      </c>
      <c r="R1863" s="1">
        <v>408539</v>
      </c>
      <c r="S1863">
        <v>91.408000000000001</v>
      </c>
      <c r="T1863">
        <v>98.274000000000001</v>
      </c>
      <c r="U1863">
        <v>1.8765700000000001</v>
      </c>
      <c r="V1863">
        <v>0</v>
      </c>
      <c r="W1863">
        <v>0</v>
      </c>
      <c r="X1863">
        <v>2.4505599999999998</v>
      </c>
      <c r="Y1863">
        <v>2.1481599999999998</v>
      </c>
      <c r="Z1863">
        <v>0</v>
      </c>
      <c r="AA1863">
        <v>1.8932800000000001</v>
      </c>
      <c r="AB1863">
        <v>3.3868800000000001</v>
      </c>
      <c r="AC1863" s="2">
        <v>969690000</v>
      </c>
      <c r="AD1863" s="1">
        <v>0</v>
      </c>
      <c r="AE1863" s="1">
        <v>0</v>
      </c>
      <c r="AF1863" s="1">
        <v>0</v>
      </c>
      <c r="AG1863" s="1">
        <v>0</v>
      </c>
      <c r="AH1863" s="2">
        <v>6340170</v>
      </c>
      <c r="AI1863" s="1">
        <v>963543</v>
      </c>
      <c r="AJ1863" s="1">
        <v>0</v>
      </c>
      <c r="AK1863" s="8">
        <f t="shared" si="115"/>
        <v>42</v>
      </c>
      <c r="AL1863" s="8">
        <f t="shared" si="118"/>
        <v>36</v>
      </c>
      <c r="AM1863">
        <f t="shared" si="116"/>
        <v>0</v>
      </c>
      <c r="AN1863">
        <f t="shared" si="117"/>
        <v>0</v>
      </c>
    </row>
    <row r="1864" spans="1:40" x14ac:dyDescent="0.35">
      <c r="A1864">
        <v>65.625500000000002</v>
      </c>
      <c r="B1864">
        <v>85.138999999999996</v>
      </c>
      <c r="C1864">
        <v>1.2997399999999999</v>
      </c>
      <c r="D1864">
        <v>0.02</v>
      </c>
      <c r="E1864">
        <v>0.04</v>
      </c>
      <c r="F1864">
        <v>3.1650100000000001</v>
      </c>
      <c r="G1864">
        <v>3.4674100000000001</v>
      </c>
      <c r="H1864">
        <v>0</v>
      </c>
      <c r="I1864">
        <v>0.59311499999999995</v>
      </c>
      <c r="J1864">
        <v>5.3222399999999999</v>
      </c>
      <c r="K1864" s="2">
        <v>210470000</v>
      </c>
      <c r="L1864" s="1">
        <v>0</v>
      </c>
      <c r="M1864" s="1">
        <v>0</v>
      </c>
      <c r="N1864" s="1">
        <v>0</v>
      </c>
      <c r="O1864" s="1">
        <v>0</v>
      </c>
      <c r="P1864" s="2">
        <v>4731610</v>
      </c>
      <c r="Q1864" s="1">
        <v>-52081.8</v>
      </c>
      <c r="R1864" s="1">
        <v>408539</v>
      </c>
      <c r="S1864">
        <v>90.814400000000006</v>
      </c>
      <c r="T1864">
        <v>98.274000000000001</v>
      </c>
      <c r="U1864">
        <v>1.3309599999999999</v>
      </c>
      <c r="V1864">
        <v>0</v>
      </c>
      <c r="W1864">
        <v>0</v>
      </c>
      <c r="X1864">
        <v>2.45058</v>
      </c>
      <c r="Y1864">
        <v>2.14818</v>
      </c>
      <c r="Z1864">
        <v>0</v>
      </c>
      <c r="AA1864">
        <v>1.8933</v>
      </c>
      <c r="AB1864">
        <v>3.3868800000000001</v>
      </c>
      <c r="AC1864" s="2">
        <v>970653000</v>
      </c>
      <c r="AD1864" s="1">
        <v>0</v>
      </c>
      <c r="AE1864" s="1">
        <v>0</v>
      </c>
      <c r="AF1864" s="1">
        <v>0</v>
      </c>
      <c r="AG1864" s="1">
        <v>0</v>
      </c>
      <c r="AH1864" s="2">
        <v>6340240</v>
      </c>
      <c r="AI1864" s="1">
        <v>963546</v>
      </c>
      <c r="AJ1864" s="1">
        <v>0</v>
      </c>
      <c r="AK1864" s="8">
        <f t="shared" ref="AK1864:AK1927" si="119">IF(AK1863=52, 1, AK1863+1)</f>
        <v>43</v>
      </c>
      <c r="AL1864" s="8">
        <f t="shared" si="118"/>
        <v>36</v>
      </c>
      <c r="AM1864">
        <f t="shared" si="116"/>
        <v>0</v>
      </c>
      <c r="AN1864">
        <f t="shared" si="117"/>
        <v>0</v>
      </c>
    </row>
    <row r="1865" spans="1:40" x14ac:dyDescent="0.35">
      <c r="A1865">
        <v>64.142499999999998</v>
      </c>
      <c r="B1865">
        <v>85.138999999999996</v>
      </c>
      <c r="C1865">
        <v>1.59232</v>
      </c>
      <c r="D1865">
        <v>0.02</v>
      </c>
      <c r="E1865">
        <v>0.04</v>
      </c>
      <c r="F1865">
        <v>3.16506</v>
      </c>
      <c r="G1865">
        <v>3.46746</v>
      </c>
      <c r="H1865">
        <v>0</v>
      </c>
      <c r="I1865">
        <v>0.59312299999999996</v>
      </c>
      <c r="J1865">
        <v>5.3222399999999999</v>
      </c>
      <c r="K1865" s="2">
        <v>210418000</v>
      </c>
      <c r="L1865" s="1">
        <v>0</v>
      </c>
      <c r="M1865" s="1">
        <v>0</v>
      </c>
      <c r="N1865" s="1">
        <v>0</v>
      </c>
      <c r="O1865" s="1">
        <v>0</v>
      </c>
      <c r="P1865" s="2">
        <v>4731680</v>
      </c>
      <c r="Q1865" s="1">
        <v>-52077.4</v>
      </c>
      <c r="R1865" s="1">
        <v>408539</v>
      </c>
      <c r="S1865">
        <v>90.291399999999996</v>
      </c>
      <c r="T1865">
        <v>98.274000000000001</v>
      </c>
      <c r="U1865">
        <v>2.47485</v>
      </c>
      <c r="V1865">
        <v>0</v>
      </c>
      <c r="W1865">
        <v>0</v>
      </c>
      <c r="X1865">
        <v>2.4506100000000002</v>
      </c>
      <c r="Y1865">
        <v>2.1482100000000002</v>
      </c>
      <c r="Z1865">
        <v>0</v>
      </c>
      <c r="AA1865">
        <v>1.8933199999999999</v>
      </c>
      <c r="AB1865">
        <v>3.3868800000000001</v>
      </c>
      <c r="AC1865" s="2">
        <v>971617000</v>
      </c>
      <c r="AD1865" s="1">
        <v>0</v>
      </c>
      <c r="AE1865" s="1">
        <v>0</v>
      </c>
      <c r="AF1865" s="1">
        <v>0</v>
      </c>
      <c r="AG1865" s="1">
        <v>0</v>
      </c>
      <c r="AH1865" s="2">
        <v>6340310</v>
      </c>
      <c r="AI1865" s="1">
        <v>963548</v>
      </c>
      <c r="AJ1865" s="1">
        <v>0</v>
      </c>
      <c r="AK1865" s="8">
        <f t="shared" si="119"/>
        <v>44</v>
      </c>
      <c r="AL1865" s="8">
        <f t="shared" si="118"/>
        <v>36</v>
      </c>
      <c r="AM1865">
        <f t="shared" si="116"/>
        <v>0</v>
      </c>
      <c r="AN1865">
        <f t="shared" si="117"/>
        <v>0</v>
      </c>
    </row>
    <row r="1866" spans="1:40" x14ac:dyDescent="0.35">
      <c r="A1866">
        <v>62.318600000000004</v>
      </c>
      <c r="B1866">
        <v>85.138999999999996</v>
      </c>
      <c r="C1866">
        <v>1.20966</v>
      </c>
      <c r="D1866">
        <v>0.02</v>
      </c>
      <c r="E1866">
        <v>0.04</v>
      </c>
      <c r="F1866">
        <v>3.0592999999999999</v>
      </c>
      <c r="G1866">
        <v>3.3616999999999999</v>
      </c>
      <c r="H1866">
        <v>0</v>
      </c>
      <c r="I1866">
        <v>0.59313099999999996</v>
      </c>
      <c r="J1866">
        <v>5.3222399999999999</v>
      </c>
      <c r="K1866" s="2">
        <v>210355000</v>
      </c>
      <c r="L1866" s="1">
        <v>0</v>
      </c>
      <c r="M1866" s="1">
        <v>0</v>
      </c>
      <c r="N1866" s="1">
        <v>0</v>
      </c>
      <c r="O1866" s="1">
        <v>0</v>
      </c>
      <c r="P1866" s="2">
        <v>4573580</v>
      </c>
      <c r="Q1866" s="1">
        <v>-62949.2</v>
      </c>
      <c r="R1866" s="1">
        <v>408539</v>
      </c>
      <c r="S1866">
        <v>89.715800000000002</v>
      </c>
      <c r="T1866">
        <v>98.274000000000001</v>
      </c>
      <c r="U1866">
        <v>1.5601</v>
      </c>
      <c r="V1866">
        <v>0</v>
      </c>
      <c r="W1866">
        <v>0</v>
      </c>
      <c r="X1866">
        <v>2.34728</v>
      </c>
      <c r="Y1866">
        <v>2.04488</v>
      </c>
      <c r="Z1866">
        <v>0</v>
      </c>
      <c r="AA1866">
        <v>1.89334</v>
      </c>
      <c r="AB1866">
        <v>3.3868800000000001</v>
      </c>
      <c r="AC1866" s="2">
        <v>972572000</v>
      </c>
      <c r="AD1866" s="1">
        <v>0</v>
      </c>
      <c r="AE1866" s="1">
        <v>0</v>
      </c>
      <c r="AF1866" s="1">
        <v>0</v>
      </c>
      <c r="AG1866" s="1">
        <v>0</v>
      </c>
      <c r="AH1866" s="2">
        <v>6072960</v>
      </c>
      <c r="AI1866" s="1">
        <v>954833</v>
      </c>
      <c r="AJ1866" s="1">
        <v>0</v>
      </c>
      <c r="AK1866" s="8">
        <f t="shared" si="119"/>
        <v>45</v>
      </c>
      <c r="AL1866" s="8">
        <f t="shared" si="118"/>
        <v>36</v>
      </c>
      <c r="AM1866">
        <f t="shared" si="116"/>
        <v>0</v>
      </c>
      <c r="AN1866">
        <f t="shared" si="117"/>
        <v>0</v>
      </c>
    </row>
    <row r="1867" spans="1:40" x14ac:dyDescent="0.35">
      <c r="A1867">
        <v>60.363599999999998</v>
      </c>
      <c r="B1867">
        <v>85.138999999999996</v>
      </c>
      <c r="C1867">
        <v>1.0445899999999999</v>
      </c>
      <c r="D1867">
        <v>0.02</v>
      </c>
      <c r="E1867">
        <v>0.04</v>
      </c>
      <c r="F1867">
        <v>3.0593400000000002</v>
      </c>
      <c r="G1867">
        <v>3.3617400000000002</v>
      </c>
      <c r="H1867">
        <v>0</v>
      </c>
      <c r="I1867">
        <v>0.57331299999999996</v>
      </c>
      <c r="J1867">
        <v>5.3222399999999999</v>
      </c>
      <c r="K1867" s="2">
        <v>210292000</v>
      </c>
      <c r="L1867" s="1">
        <v>0</v>
      </c>
      <c r="M1867" s="1">
        <v>0</v>
      </c>
      <c r="N1867" s="1">
        <v>0</v>
      </c>
      <c r="O1867" s="1">
        <v>0</v>
      </c>
      <c r="P1867" s="2">
        <v>4573640</v>
      </c>
      <c r="Q1867" s="1">
        <v>-62944.9</v>
      </c>
      <c r="R1867" s="1">
        <v>408539</v>
      </c>
      <c r="S1867">
        <v>89.088800000000006</v>
      </c>
      <c r="T1867">
        <v>98.274000000000001</v>
      </c>
      <c r="U1867">
        <v>2.4875099999999999</v>
      </c>
      <c r="V1867">
        <v>0</v>
      </c>
      <c r="W1867">
        <v>0</v>
      </c>
      <c r="X1867">
        <v>2.3473000000000002</v>
      </c>
      <c r="Y1867">
        <v>2.0449000000000002</v>
      </c>
      <c r="Z1867">
        <v>0</v>
      </c>
      <c r="AA1867">
        <v>1.8134999999999999</v>
      </c>
      <c r="AB1867">
        <v>3.3868800000000001</v>
      </c>
      <c r="AC1867" s="2">
        <v>973527000</v>
      </c>
      <c r="AD1867" s="1">
        <v>0</v>
      </c>
      <c r="AE1867" s="1">
        <v>0</v>
      </c>
      <c r="AF1867" s="1">
        <v>0</v>
      </c>
      <c r="AG1867" s="1">
        <v>0</v>
      </c>
      <c r="AH1867" s="2">
        <v>6073030</v>
      </c>
      <c r="AI1867" s="1">
        <v>954835</v>
      </c>
      <c r="AJ1867" s="1">
        <v>0</v>
      </c>
      <c r="AK1867" s="8">
        <f t="shared" si="119"/>
        <v>46</v>
      </c>
      <c r="AL1867" s="8">
        <f t="shared" si="118"/>
        <v>36</v>
      </c>
      <c r="AM1867">
        <f t="shared" si="116"/>
        <v>0</v>
      </c>
      <c r="AN1867">
        <f t="shared" si="117"/>
        <v>0</v>
      </c>
    </row>
    <row r="1868" spans="1:40" x14ac:dyDescent="0.35">
      <c r="A1868">
        <v>58.304900000000004</v>
      </c>
      <c r="B1868">
        <v>85.138999999999996</v>
      </c>
      <c r="C1868">
        <v>0.92044800000000004</v>
      </c>
      <c r="D1868">
        <v>0.02</v>
      </c>
      <c r="E1868">
        <v>0.04</v>
      </c>
      <c r="F1868">
        <v>3.05938</v>
      </c>
      <c r="G1868">
        <v>3.36178</v>
      </c>
      <c r="H1868">
        <v>0</v>
      </c>
      <c r="I1868">
        <v>0.57332099999999997</v>
      </c>
      <c r="J1868">
        <v>5.3222399999999999</v>
      </c>
      <c r="K1868" s="2">
        <v>210229000</v>
      </c>
      <c r="L1868" s="1">
        <v>0</v>
      </c>
      <c r="M1868" s="1">
        <v>0</v>
      </c>
      <c r="N1868" s="1">
        <v>0</v>
      </c>
      <c r="O1868" s="1">
        <v>0</v>
      </c>
      <c r="P1868" s="2">
        <v>4573700</v>
      </c>
      <c r="Q1868" s="1">
        <v>-62940.6</v>
      </c>
      <c r="R1868" s="1">
        <v>408539</v>
      </c>
      <c r="S1868">
        <v>88.139099999999999</v>
      </c>
      <c r="T1868">
        <v>98.274000000000001</v>
      </c>
      <c r="U1868">
        <v>1.4647600000000001</v>
      </c>
      <c r="V1868">
        <v>0</v>
      </c>
      <c r="W1868">
        <v>0</v>
      </c>
      <c r="X1868">
        <v>2.3473299999999999</v>
      </c>
      <c r="Y1868">
        <v>2.0449299999999999</v>
      </c>
      <c r="Z1868">
        <v>0</v>
      </c>
      <c r="AA1868">
        <v>1.81352</v>
      </c>
      <c r="AB1868">
        <v>3.3868800000000001</v>
      </c>
      <c r="AC1868" s="2">
        <v>974482000</v>
      </c>
      <c r="AD1868" s="1">
        <v>0</v>
      </c>
      <c r="AE1868" s="1">
        <v>0</v>
      </c>
      <c r="AF1868" s="1">
        <v>0</v>
      </c>
      <c r="AG1868" s="1">
        <v>0</v>
      </c>
      <c r="AH1868" s="2">
        <v>6073090</v>
      </c>
      <c r="AI1868" s="1">
        <v>954838</v>
      </c>
      <c r="AJ1868" s="1">
        <v>0</v>
      </c>
      <c r="AK1868" s="8">
        <f t="shared" si="119"/>
        <v>47</v>
      </c>
      <c r="AL1868" s="8">
        <f t="shared" si="118"/>
        <v>36</v>
      </c>
      <c r="AM1868">
        <f t="shared" si="116"/>
        <v>0</v>
      </c>
      <c r="AN1868">
        <f t="shared" si="117"/>
        <v>0</v>
      </c>
    </row>
    <row r="1869" spans="1:40" x14ac:dyDescent="0.35">
      <c r="A1869">
        <v>56.249299999999998</v>
      </c>
      <c r="B1869">
        <v>85.138999999999996</v>
      </c>
      <c r="C1869">
        <v>0.89001699999999995</v>
      </c>
      <c r="D1869">
        <v>0.04</v>
      </c>
      <c r="E1869">
        <v>0.04</v>
      </c>
      <c r="F1869">
        <v>3.0594299999999999</v>
      </c>
      <c r="G1869">
        <v>3.3618299999999999</v>
      </c>
      <c r="H1869">
        <v>0</v>
      </c>
      <c r="I1869">
        <v>0.57332899999999998</v>
      </c>
      <c r="J1869">
        <v>5.3222399999999999</v>
      </c>
      <c r="K1869" s="2">
        <v>210166000</v>
      </c>
      <c r="L1869" s="1">
        <v>0</v>
      </c>
      <c r="M1869" s="1">
        <v>0</v>
      </c>
      <c r="N1869" s="1">
        <v>0</v>
      </c>
      <c r="O1869" s="1">
        <v>0</v>
      </c>
      <c r="P1869" s="2">
        <v>4573760</v>
      </c>
      <c r="Q1869" s="1">
        <v>-62936.3</v>
      </c>
      <c r="R1869" s="1">
        <v>408539</v>
      </c>
      <c r="S1869">
        <v>87.506600000000006</v>
      </c>
      <c r="T1869">
        <v>98.274000000000001</v>
      </c>
      <c r="U1869">
        <v>1.3524</v>
      </c>
      <c r="V1869">
        <v>0</v>
      </c>
      <c r="W1869">
        <v>0</v>
      </c>
      <c r="X1869">
        <v>2.34735</v>
      </c>
      <c r="Y1869">
        <v>2.04495</v>
      </c>
      <c r="Z1869">
        <v>0</v>
      </c>
      <c r="AA1869">
        <v>1.8135399999999999</v>
      </c>
      <c r="AB1869">
        <v>3.3868800000000001</v>
      </c>
      <c r="AC1869" s="2">
        <v>975436000</v>
      </c>
      <c r="AD1869" s="1">
        <v>0</v>
      </c>
      <c r="AE1869" s="1">
        <v>0</v>
      </c>
      <c r="AF1869" s="1">
        <v>0</v>
      </c>
      <c r="AG1869" s="1">
        <v>0</v>
      </c>
      <c r="AH1869" s="2">
        <v>6073160</v>
      </c>
      <c r="AI1869" s="1">
        <v>954840</v>
      </c>
      <c r="AJ1869" s="1">
        <v>0</v>
      </c>
      <c r="AK1869" s="8">
        <f t="shared" si="119"/>
        <v>48</v>
      </c>
      <c r="AL1869" s="8">
        <f t="shared" si="118"/>
        <v>36</v>
      </c>
      <c r="AM1869">
        <f t="shared" si="116"/>
        <v>0</v>
      </c>
      <c r="AN1869">
        <f t="shared" si="117"/>
        <v>0</v>
      </c>
    </row>
    <row r="1870" spans="1:40" x14ac:dyDescent="0.35">
      <c r="A1870">
        <v>54.952399999999997</v>
      </c>
      <c r="B1870">
        <v>85.138999999999996</v>
      </c>
      <c r="C1870">
        <v>1.6869099999999999</v>
      </c>
      <c r="D1870">
        <v>0.03</v>
      </c>
      <c r="E1870">
        <v>0.04</v>
      </c>
      <c r="F1870">
        <v>2.97262</v>
      </c>
      <c r="G1870">
        <v>3.27502</v>
      </c>
      <c r="H1870">
        <v>0</v>
      </c>
      <c r="I1870">
        <v>0.57333599999999996</v>
      </c>
      <c r="J1870">
        <v>5.3222399999999999</v>
      </c>
      <c r="K1870" s="2">
        <v>210094000</v>
      </c>
      <c r="L1870" s="1">
        <v>0</v>
      </c>
      <c r="M1870" s="1">
        <v>0</v>
      </c>
      <c r="N1870" s="1">
        <v>0</v>
      </c>
      <c r="O1870" s="1">
        <v>0</v>
      </c>
      <c r="P1870" s="2">
        <v>4444000</v>
      </c>
      <c r="Q1870" s="1">
        <v>-71859.8</v>
      </c>
      <c r="R1870" s="1">
        <v>408539</v>
      </c>
      <c r="S1870">
        <v>86.895200000000003</v>
      </c>
      <c r="T1870">
        <v>98.274000000000001</v>
      </c>
      <c r="U1870">
        <v>2.0570400000000002</v>
      </c>
      <c r="V1870">
        <v>0</v>
      </c>
      <c r="W1870">
        <v>0</v>
      </c>
      <c r="X1870">
        <v>2.2532899999999998</v>
      </c>
      <c r="Y1870">
        <v>1.95089</v>
      </c>
      <c r="Z1870">
        <v>0</v>
      </c>
      <c r="AA1870">
        <v>1.8135600000000001</v>
      </c>
      <c r="AB1870">
        <v>3.3868800000000001</v>
      </c>
      <c r="AC1870" s="2">
        <v>976383000</v>
      </c>
      <c r="AD1870" s="1">
        <v>0</v>
      </c>
      <c r="AE1870" s="1">
        <v>0</v>
      </c>
      <c r="AF1870" s="1">
        <v>0</v>
      </c>
      <c r="AG1870" s="1">
        <v>0</v>
      </c>
      <c r="AH1870" s="2">
        <v>5829790</v>
      </c>
      <c r="AI1870" s="1">
        <v>946907</v>
      </c>
      <c r="AJ1870" s="1">
        <v>0</v>
      </c>
      <c r="AK1870" s="8">
        <f t="shared" si="119"/>
        <v>49</v>
      </c>
      <c r="AL1870" s="8">
        <f t="shared" si="118"/>
        <v>36</v>
      </c>
      <c r="AM1870">
        <f t="shared" si="116"/>
        <v>0</v>
      </c>
      <c r="AN1870">
        <f t="shared" si="117"/>
        <v>0</v>
      </c>
    </row>
    <row r="1871" spans="1:40" x14ac:dyDescent="0.35">
      <c r="A1871">
        <v>53.712800000000001</v>
      </c>
      <c r="B1871">
        <v>85.138999999999996</v>
      </c>
      <c r="C1871">
        <v>1.69004</v>
      </c>
      <c r="D1871">
        <v>0.03</v>
      </c>
      <c r="E1871">
        <v>0.04</v>
      </c>
      <c r="F1871">
        <v>2.9726599999999999</v>
      </c>
      <c r="G1871">
        <v>3.2750599999999999</v>
      </c>
      <c r="H1871">
        <v>0</v>
      </c>
      <c r="I1871">
        <v>0.55706900000000004</v>
      </c>
      <c r="J1871">
        <v>5.3222399999999999</v>
      </c>
      <c r="K1871" s="2">
        <v>210022000</v>
      </c>
      <c r="L1871" s="1">
        <v>0</v>
      </c>
      <c r="M1871" s="1">
        <v>0</v>
      </c>
      <c r="N1871" s="1">
        <v>0</v>
      </c>
      <c r="O1871" s="1">
        <v>0</v>
      </c>
      <c r="P1871" s="2">
        <v>4444060</v>
      </c>
      <c r="Q1871" s="1">
        <v>-71855.7</v>
      </c>
      <c r="R1871" s="1">
        <v>408539</v>
      </c>
      <c r="S1871">
        <v>86.366699999999994</v>
      </c>
      <c r="T1871">
        <v>98.274000000000001</v>
      </c>
      <c r="U1871">
        <v>1.46821</v>
      </c>
      <c r="V1871">
        <v>0</v>
      </c>
      <c r="W1871">
        <v>0</v>
      </c>
      <c r="X1871">
        <v>2.2533099999999999</v>
      </c>
      <c r="Y1871">
        <v>1.9509099999999999</v>
      </c>
      <c r="Z1871">
        <v>0</v>
      </c>
      <c r="AA1871">
        <v>1.74089</v>
      </c>
      <c r="AB1871">
        <v>3.3868800000000001</v>
      </c>
      <c r="AC1871" s="2">
        <v>977330000</v>
      </c>
      <c r="AD1871" s="1">
        <v>0</v>
      </c>
      <c r="AE1871" s="1">
        <v>0</v>
      </c>
      <c r="AF1871" s="1">
        <v>0</v>
      </c>
      <c r="AG1871" s="1">
        <v>0</v>
      </c>
      <c r="AH1871" s="2">
        <v>5829850</v>
      </c>
      <c r="AI1871" s="1">
        <v>946909</v>
      </c>
      <c r="AJ1871" s="1">
        <v>0</v>
      </c>
      <c r="AK1871" s="8">
        <f t="shared" si="119"/>
        <v>50</v>
      </c>
      <c r="AL1871" s="8">
        <f t="shared" si="118"/>
        <v>36</v>
      </c>
      <c r="AM1871">
        <f t="shared" si="116"/>
        <v>0</v>
      </c>
      <c r="AN1871">
        <f t="shared" si="117"/>
        <v>0</v>
      </c>
    </row>
    <row r="1872" spans="1:40" x14ac:dyDescent="0.35">
      <c r="A1872">
        <v>53.261699999999998</v>
      </c>
      <c r="B1872">
        <v>85.138999999999996</v>
      </c>
      <c r="C1872">
        <v>2.5274399999999999</v>
      </c>
      <c r="D1872">
        <v>0.05</v>
      </c>
      <c r="E1872">
        <v>0.04</v>
      </c>
      <c r="F1872">
        <v>2.9727000000000001</v>
      </c>
      <c r="G1872">
        <v>3.2751000000000001</v>
      </c>
      <c r="H1872">
        <v>0</v>
      </c>
      <c r="I1872">
        <v>0.55707700000000004</v>
      </c>
      <c r="J1872">
        <v>5.3222399999999999</v>
      </c>
      <c r="K1872" s="2">
        <v>209951000</v>
      </c>
      <c r="L1872" s="1">
        <v>0</v>
      </c>
      <c r="M1872" s="1">
        <v>0</v>
      </c>
      <c r="N1872" s="1">
        <v>0</v>
      </c>
      <c r="O1872" s="1">
        <v>0</v>
      </c>
      <c r="P1872" s="2">
        <v>4444120</v>
      </c>
      <c r="Q1872" s="1">
        <v>-71851.5</v>
      </c>
      <c r="R1872" s="1">
        <v>408539</v>
      </c>
      <c r="S1872">
        <v>86.066599999999994</v>
      </c>
      <c r="T1872">
        <v>98.274000000000001</v>
      </c>
      <c r="U1872">
        <v>2.6107</v>
      </c>
      <c r="V1872">
        <v>0</v>
      </c>
      <c r="W1872">
        <v>0</v>
      </c>
      <c r="X1872">
        <v>2.2533400000000001</v>
      </c>
      <c r="Y1872">
        <v>1.9509399999999999</v>
      </c>
      <c r="Z1872">
        <v>0</v>
      </c>
      <c r="AA1872">
        <v>1.74091</v>
      </c>
      <c r="AB1872">
        <v>3.3868800000000001</v>
      </c>
      <c r="AC1872" s="2">
        <v>978277000</v>
      </c>
      <c r="AD1872" s="1">
        <v>0</v>
      </c>
      <c r="AE1872" s="1">
        <v>0</v>
      </c>
      <c r="AF1872" s="1">
        <v>0</v>
      </c>
      <c r="AG1872" s="1">
        <v>0</v>
      </c>
      <c r="AH1872" s="2">
        <v>5829920</v>
      </c>
      <c r="AI1872" s="1">
        <v>946911</v>
      </c>
      <c r="AJ1872" s="1">
        <v>0</v>
      </c>
      <c r="AK1872" s="8">
        <f t="shared" si="119"/>
        <v>51</v>
      </c>
      <c r="AL1872" s="8">
        <f t="shared" si="118"/>
        <v>36</v>
      </c>
      <c r="AM1872">
        <f t="shared" si="116"/>
        <v>0</v>
      </c>
      <c r="AN1872">
        <f t="shared" si="117"/>
        <v>0</v>
      </c>
    </row>
    <row r="1873" spans="1:40" x14ac:dyDescent="0.35">
      <c r="A1873">
        <v>52.950200000000002</v>
      </c>
      <c r="B1873">
        <v>85.138999999999996</v>
      </c>
      <c r="C1873">
        <v>2.6989299999999998</v>
      </c>
      <c r="D1873">
        <v>0.04</v>
      </c>
      <c r="E1873">
        <v>0.04</v>
      </c>
      <c r="F1873">
        <v>2.9727399999999999</v>
      </c>
      <c r="G1873">
        <v>3.2751399999999999</v>
      </c>
      <c r="H1873">
        <v>0</v>
      </c>
      <c r="I1873">
        <v>0.55708500000000005</v>
      </c>
      <c r="J1873">
        <v>5.3222399999999999</v>
      </c>
      <c r="K1873" s="2">
        <v>209879000</v>
      </c>
      <c r="L1873" s="1">
        <v>0</v>
      </c>
      <c r="M1873" s="1">
        <v>0</v>
      </c>
      <c r="N1873" s="1">
        <v>0</v>
      </c>
      <c r="O1873" s="1">
        <v>0</v>
      </c>
      <c r="P1873" s="2">
        <v>4444180</v>
      </c>
      <c r="Q1873" s="1">
        <v>-71847.3</v>
      </c>
      <c r="R1873" s="1">
        <v>408539</v>
      </c>
      <c r="S1873">
        <v>85.7226</v>
      </c>
      <c r="T1873">
        <v>98.274000000000001</v>
      </c>
      <c r="U1873">
        <v>3.0929600000000002</v>
      </c>
      <c r="V1873">
        <v>0</v>
      </c>
      <c r="W1873">
        <v>0</v>
      </c>
      <c r="X1873">
        <v>2.2533599999999998</v>
      </c>
      <c r="Y1873">
        <v>1.95096</v>
      </c>
      <c r="Z1873">
        <v>0</v>
      </c>
      <c r="AA1873">
        <v>1.7409300000000001</v>
      </c>
      <c r="AB1873">
        <v>3.3868800000000001</v>
      </c>
      <c r="AC1873" s="2">
        <v>979224000</v>
      </c>
      <c r="AD1873" s="1">
        <v>0</v>
      </c>
      <c r="AE1873" s="1">
        <v>0</v>
      </c>
      <c r="AF1873" s="1">
        <v>0</v>
      </c>
      <c r="AG1873" s="1">
        <v>0</v>
      </c>
      <c r="AH1873" s="2">
        <v>5829980</v>
      </c>
      <c r="AI1873" s="1">
        <v>946913</v>
      </c>
      <c r="AJ1873" s="1">
        <v>0</v>
      </c>
      <c r="AK1873" s="8">
        <f t="shared" si="119"/>
        <v>52</v>
      </c>
      <c r="AL1873" s="8">
        <f t="shared" si="118"/>
        <v>36</v>
      </c>
      <c r="AM1873">
        <f t="shared" si="116"/>
        <v>979224000</v>
      </c>
      <c r="AN1873">
        <f t="shared" si="117"/>
        <v>209879000</v>
      </c>
    </row>
    <row r="1874" spans="1:40" x14ac:dyDescent="0.35">
      <c r="A1874">
        <v>54.322899999999997</v>
      </c>
      <c r="B1874">
        <v>85.138999999999996</v>
      </c>
      <c r="C1874">
        <v>4.27332</v>
      </c>
      <c r="D1874">
        <v>0.04</v>
      </c>
      <c r="E1874">
        <v>0.04</v>
      </c>
      <c r="F1874">
        <v>2.7261299999999999</v>
      </c>
      <c r="G1874">
        <v>3.0285299999999999</v>
      </c>
      <c r="H1874">
        <v>0</v>
      </c>
      <c r="I1874">
        <v>0.55709200000000003</v>
      </c>
      <c r="J1874">
        <v>5.3222399999999999</v>
      </c>
      <c r="K1874" s="2">
        <v>209782000</v>
      </c>
      <c r="L1874" s="1">
        <v>0</v>
      </c>
      <c r="M1874" s="1">
        <v>0</v>
      </c>
      <c r="N1874" s="1">
        <v>0</v>
      </c>
      <c r="O1874" s="1">
        <v>0</v>
      </c>
      <c r="P1874" s="2">
        <v>4075490</v>
      </c>
      <c r="Q1874" s="1">
        <v>-97200.2</v>
      </c>
      <c r="R1874" s="1">
        <v>408539</v>
      </c>
      <c r="S1874">
        <v>86.158900000000003</v>
      </c>
      <c r="T1874">
        <v>98.274000000000001</v>
      </c>
      <c r="U1874">
        <v>4.7131699999999999</v>
      </c>
      <c r="V1874">
        <v>0</v>
      </c>
      <c r="W1874">
        <v>0</v>
      </c>
      <c r="X1874">
        <v>2.05741</v>
      </c>
      <c r="Y1874">
        <v>1.75501</v>
      </c>
      <c r="Z1874">
        <v>0</v>
      </c>
      <c r="AA1874">
        <v>1.74095</v>
      </c>
      <c r="AB1874">
        <v>3.3868800000000001</v>
      </c>
      <c r="AC1874" s="2">
        <v>980154000</v>
      </c>
      <c r="AD1874" s="1">
        <v>0</v>
      </c>
      <c r="AE1874" s="1">
        <v>0</v>
      </c>
      <c r="AF1874" s="1">
        <v>0</v>
      </c>
      <c r="AG1874" s="1">
        <v>0</v>
      </c>
      <c r="AH1874" s="2">
        <v>5323020</v>
      </c>
      <c r="AI1874" s="1">
        <v>930388</v>
      </c>
      <c r="AJ1874" s="1">
        <v>0</v>
      </c>
      <c r="AK1874" s="8">
        <f t="shared" si="119"/>
        <v>1</v>
      </c>
      <c r="AL1874" s="8">
        <f t="shared" si="118"/>
        <v>37</v>
      </c>
      <c r="AM1874">
        <f t="shared" si="116"/>
        <v>0</v>
      </c>
      <c r="AN1874">
        <f t="shared" si="117"/>
        <v>0</v>
      </c>
    </row>
    <row r="1875" spans="1:40" x14ac:dyDescent="0.35">
      <c r="A1875">
        <v>56.772100000000002</v>
      </c>
      <c r="B1875">
        <v>85.138999999999996</v>
      </c>
      <c r="C1875">
        <v>5.37453</v>
      </c>
      <c r="D1875">
        <v>0.04</v>
      </c>
      <c r="E1875">
        <v>0.04</v>
      </c>
      <c r="F1875">
        <v>2.7261600000000001</v>
      </c>
      <c r="G1875">
        <v>3.0285600000000001</v>
      </c>
      <c r="H1875">
        <v>0</v>
      </c>
      <c r="I1875">
        <v>0.510876</v>
      </c>
      <c r="J1875">
        <v>5.3222399999999999</v>
      </c>
      <c r="K1875" s="2">
        <v>209684000</v>
      </c>
      <c r="L1875" s="1">
        <v>0</v>
      </c>
      <c r="M1875" s="1">
        <v>0</v>
      </c>
      <c r="N1875" s="1">
        <v>0</v>
      </c>
      <c r="O1875" s="1">
        <v>0</v>
      </c>
      <c r="P1875" s="2">
        <v>4075550</v>
      </c>
      <c r="Q1875" s="1">
        <v>-97196.3</v>
      </c>
      <c r="R1875" s="1">
        <v>408539</v>
      </c>
      <c r="S1875">
        <v>86.712999999999994</v>
      </c>
      <c r="T1875">
        <v>98.274000000000001</v>
      </c>
      <c r="U1875">
        <v>5.1337000000000002</v>
      </c>
      <c r="V1875">
        <v>0</v>
      </c>
      <c r="W1875">
        <v>0</v>
      </c>
      <c r="X1875">
        <v>2.0574400000000002</v>
      </c>
      <c r="Y1875">
        <v>1.7550399999999999</v>
      </c>
      <c r="Z1875">
        <v>0</v>
      </c>
      <c r="AA1875">
        <v>1.5895600000000001</v>
      </c>
      <c r="AB1875">
        <v>3.3868800000000001</v>
      </c>
      <c r="AC1875" s="2">
        <v>981085000</v>
      </c>
      <c r="AD1875" s="1">
        <v>0</v>
      </c>
      <c r="AE1875" s="1">
        <v>0</v>
      </c>
      <c r="AF1875" s="1">
        <v>0</v>
      </c>
      <c r="AG1875" s="1">
        <v>0</v>
      </c>
      <c r="AH1875" s="2">
        <v>5323080</v>
      </c>
      <c r="AI1875" s="1">
        <v>930390</v>
      </c>
      <c r="AJ1875" s="1">
        <v>0</v>
      </c>
      <c r="AK1875" s="8">
        <f t="shared" si="119"/>
        <v>2</v>
      </c>
      <c r="AL1875" s="8">
        <f t="shared" si="118"/>
        <v>37</v>
      </c>
      <c r="AM1875">
        <f t="shared" si="116"/>
        <v>0</v>
      </c>
      <c r="AN1875">
        <f t="shared" si="117"/>
        <v>0</v>
      </c>
    </row>
    <row r="1876" spans="1:40" x14ac:dyDescent="0.35">
      <c r="A1876">
        <v>59.534100000000002</v>
      </c>
      <c r="B1876">
        <v>85.138999999999996</v>
      </c>
      <c r="C1876">
        <v>6.0605200000000004</v>
      </c>
      <c r="D1876">
        <v>0.04</v>
      </c>
      <c r="E1876">
        <v>0.04</v>
      </c>
      <c r="F1876">
        <v>2.7262</v>
      </c>
      <c r="G1876">
        <v>3.0286</v>
      </c>
      <c r="H1876">
        <v>0</v>
      </c>
      <c r="I1876">
        <v>0.51088299999999998</v>
      </c>
      <c r="J1876">
        <v>5.3222399999999999</v>
      </c>
      <c r="K1876" s="2">
        <v>209587000</v>
      </c>
      <c r="L1876" s="1">
        <v>0</v>
      </c>
      <c r="M1876" s="1">
        <v>0</v>
      </c>
      <c r="N1876" s="1">
        <v>0</v>
      </c>
      <c r="O1876" s="1">
        <v>0</v>
      </c>
      <c r="P1876" s="2">
        <v>4075600</v>
      </c>
      <c r="Q1876" s="1">
        <v>-97192.4</v>
      </c>
      <c r="R1876" s="1">
        <v>408539</v>
      </c>
      <c r="S1876">
        <v>87.617999999999995</v>
      </c>
      <c r="T1876">
        <v>98.274000000000001</v>
      </c>
      <c r="U1876">
        <v>6.4180799999999998</v>
      </c>
      <c r="V1876">
        <v>0</v>
      </c>
      <c r="W1876">
        <v>0</v>
      </c>
      <c r="X1876">
        <v>2.0574599999999998</v>
      </c>
      <c r="Y1876">
        <v>1.7550600000000001</v>
      </c>
      <c r="Z1876">
        <v>0</v>
      </c>
      <c r="AA1876">
        <v>1.58958</v>
      </c>
      <c r="AB1876">
        <v>3.3868800000000001</v>
      </c>
      <c r="AC1876" s="2">
        <v>982015000</v>
      </c>
      <c r="AD1876" s="1">
        <v>0</v>
      </c>
      <c r="AE1876" s="1">
        <v>0</v>
      </c>
      <c r="AF1876" s="1">
        <v>0</v>
      </c>
      <c r="AG1876" s="1">
        <v>0</v>
      </c>
      <c r="AH1876" s="2">
        <v>5323130</v>
      </c>
      <c r="AI1876" s="1">
        <v>930392</v>
      </c>
      <c r="AJ1876" s="1">
        <v>0</v>
      </c>
      <c r="AK1876" s="8">
        <f t="shared" si="119"/>
        <v>3</v>
      </c>
      <c r="AL1876" s="8">
        <f t="shared" si="118"/>
        <v>37</v>
      </c>
      <c r="AM1876">
        <f t="shared" si="116"/>
        <v>0</v>
      </c>
      <c r="AN1876">
        <f t="shared" si="117"/>
        <v>0</v>
      </c>
    </row>
    <row r="1877" spans="1:40" x14ac:dyDescent="0.35">
      <c r="A1877">
        <v>62.599299999999999</v>
      </c>
      <c r="B1877">
        <v>85.138999999999996</v>
      </c>
      <c r="C1877">
        <v>6.4023599999999998</v>
      </c>
      <c r="D1877">
        <v>0.04</v>
      </c>
      <c r="E1877">
        <v>0.04</v>
      </c>
      <c r="F1877">
        <v>2.7262400000000002</v>
      </c>
      <c r="G1877">
        <v>3.0286400000000002</v>
      </c>
      <c r="H1877">
        <v>0</v>
      </c>
      <c r="I1877">
        <v>0.51088999999999996</v>
      </c>
      <c r="J1877">
        <v>5.3222399999999999</v>
      </c>
      <c r="K1877" s="2">
        <v>209490000</v>
      </c>
      <c r="L1877" s="1">
        <v>0</v>
      </c>
      <c r="M1877" s="1">
        <v>0</v>
      </c>
      <c r="N1877" s="1">
        <v>0</v>
      </c>
      <c r="O1877" s="1">
        <v>0</v>
      </c>
      <c r="P1877" s="2">
        <v>4075660</v>
      </c>
      <c r="Q1877" s="1">
        <v>-97188.6</v>
      </c>
      <c r="R1877" s="1">
        <v>408539</v>
      </c>
      <c r="S1877">
        <v>88.470399999999998</v>
      </c>
      <c r="T1877">
        <v>98.274000000000001</v>
      </c>
      <c r="U1877">
        <v>5.9162100000000004</v>
      </c>
      <c r="V1877">
        <v>0</v>
      </c>
      <c r="W1877">
        <v>0</v>
      </c>
      <c r="X1877">
        <v>2.05748</v>
      </c>
      <c r="Y1877">
        <v>1.75508</v>
      </c>
      <c r="Z1877">
        <v>0</v>
      </c>
      <c r="AA1877">
        <v>1.5895900000000001</v>
      </c>
      <c r="AB1877">
        <v>3.3868800000000001</v>
      </c>
      <c r="AC1877" s="2">
        <v>982946000</v>
      </c>
      <c r="AD1877" s="1">
        <v>0</v>
      </c>
      <c r="AE1877" s="1">
        <v>0</v>
      </c>
      <c r="AF1877" s="1">
        <v>0</v>
      </c>
      <c r="AG1877" s="1">
        <v>0</v>
      </c>
      <c r="AH1877" s="2">
        <v>5323190</v>
      </c>
      <c r="AI1877" s="1">
        <v>930394</v>
      </c>
      <c r="AJ1877" s="1">
        <v>0</v>
      </c>
      <c r="AK1877" s="8">
        <f t="shared" si="119"/>
        <v>4</v>
      </c>
      <c r="AL1877" s="8">
        <f t="shared" si="118"/>
        <v>37</v>
      </c>
      <c r="AM1877">
        <f t="shared" si="116"/>
        <v>0</v>
      </c>
      <c r="AN1877">
        <f t="shared" si="117"/>
        <v>0</v>
      </c>
    </row>
    <row r="1878" spans="1:40" x14ac:dyDescent="0.35">
      <c r="A1878">
        <v>64.659099999999995</v>
      </c>
      <c r="B1878">
        <v>85.138999999999996</v>
      </c>
      <c r="C1878">
        <v>5.4312399999999998</v>
      </c>
      <c r="D1878">
        <v>0.04</v>
      </c>
      <c r="E1878">
        <v>0.04</v>
      </c>
      <c r="F1878">
        <v>2.72628</v>
      </c>
      <c r="G1878">
        <v>3.02868</v>
      </c>
      <c r="H1878">
        <v>0</v>
      </c>
      <c r="I1878">
        <v>0.51089700000000005</v>
      </c>
      <c r="J1878">
        <v>5.3222399999999999</v>
      </c>
      <c r="K1878" s="2">
        <v>209393000</v>
      </c>
      <c r="L1878" s="1">
        <v>0</v>
      </c>
      <c r="M1878" s="1">
        <v>0</v>
      </c>
      <c r="N1878" s="1">
        <v>0</v>
      </c>
      <c r="O1878" s="1">
        <v>0</v>
      </c>
      <c r="P1878" s="2">
        <v>4075710</v>
      </c>
      <c r="Q1878" s="1">
        <v>-97184.7</v>
      </c>
      <c r="R1878" s="1">
        <v>408539</v>
      </c>
      <c r="S1878">
        <v>89.275700000000001</v>
      </c>
      <c r="T1878">
        <v>98.274000000000001</v>
      </c>
      <c r="U1878">
        <v>5.6886299999999999</v>
      </c>
      <c r="V1878">
        <v>0</v>
      </c>
      <c r="W1878">
        <v>0</v>
      </c>
      <c r="X1878">
        <v>2.0575000000000001</v>
      </c>
      <c r="Y1878">
        <v>1.7551000000000001</v>
      </c>
      <c r="Z1878">
        <v>0</v>
      </c>
      <c r="AA1878">
        <v>1.58961</v>
      </c>
      <c r="AB1878">
        <v>3.3868800000000001</v>
      </c>
      <c r="AC1878" s="2">
        <v>983876000</v>
      </c>
      <c r="AD1878" s="1">
        <v>0</v>
      </c>
      <c r="AE1878" s="1">
        <v>0</v>
      </c>
      <c r="AF1878" s="1">
        <v>0</v>
      </c>
      <c r="AG1878" s="1">
        <v>0</v>
      </c>
      <c r="AH1878" s="2">
        <v>5323250</v>
      </c>
      <c r="AI1878" s="1">
        <v>930396</v>
      </c>
      <c r="AJ1878" s="1">
        <v>0</v>
      </c>
      <c r="AK1878" s="8">
        <f t="shared" si="119"/>
        <v>5</v>
      </c>
      <c r="AL1878" s="8">
        <f t="shared" si="118"/>
        <v>37</v>
      </c>
      <c r="AM1878">
        <f t="shared" si="116"/>
        <v>0</v>
      </c>
      <c r="AN1878">
        <f t="shared" si="117"/>
        <v>0</v>
      </c>
    </row>
    <row r="1879" spans="1:40" x14ac:dyDescent="0.35">
      <c r="A1879">
        <v>66.771299999999997</v>
      </c>
      <c r="B1879">
        <v>85.138999999999996</v>
      </c>
      <c r="C1879">
        <v>5.4601800000000003</v>
      </c>
      <c r="D1879">
        <v>0.04</v>
      </c>
      <c r="E1879">
        <v>0.04</v>
      </c>
      <c r="F1879">
        <v>2.72628</v>
      </c>
      <c r="G1879">
        <v>3.02868</v>
      </c>
      <c r="H1879">
        <v>0</v>
      </c>
      <c r="I1879">
        <v>0.51090400000000002</v>
      </c>
      <c r="J1879">
        <v>5.3222399999999999</v>
      </c>
      <c r="K1879" s="2">
        <v>209296000</v>
      </c>
      <c r="L1879" s="1">
        <v>0</v>
      </c>
      <c r="M1879" s="1">
        <v>0</v>
      </c>
      <c r="N1879" s="1">
        <v>0</v>
      </c>
      <c r="O1879" s="1">
        <v>0</v>
      </c>
      <c r="P1879" s="2">
        <v>4075710</v>
      </c>
      <c r="Q1879" s="1">
        <v>-97184.7</v>
      </c>
      <c r="R1879" s="1">
        <v>408539</v>
      </c>
      <c r="S1879">
        <v>90.04</v>
      </c>
      <c r="T1879">
        <v>98.274000000000001</v>
      </c>
      <c r="U1879">
        <v>5.2918700000000003</v>
      </c>
      <c r="V1879">
        <v>0</v>
      </c>
      <c r="W1879">
        <v>0</v>
      </c>
      <c r="X1879">
        <v>2.0575000000000001</v>
      </c>
      <c r="Y1879">
        <v>1.7551000000000001</v>
      </c>
      <c r="Z1879">
        <v>0</v>
      </c>
      <c r="AA1879">
        <v>1.5896300000000001</v>
      </c>
      <c r="AB1879">
        <v>3.3868800000000001</v>
      </c>
      <c r="AC1879" s="2">
        <v>984806000</v>
      </c>
      <c r="AD1879" s="1">
        <v>0</v>
      </c>
      <c r="AE1879" s="1">
        <v>0</v>
      </c>
      <c r="AF1879" s="1">
        <v>0</v>
      </c>
      <c r="AG1879" s="1">
        <v>0</v>
      </c>
      <c r="AH1879" s="2">
        <v>5323250</v>
      </c>
      <c r="AI1879" s="1">
        <v>930396</v>
      </c>
      <c r="AJ1879" s="1">
        <v>0</v>
      </c>
      <c r="AK1879" s="8">
        <f t="shared" si="119"/>
        <v>6</v>
      </c>
      <c r="AL1879" s="8">
        <f t="shared" si="118"/>
        <v>37</v>
      </c>
      <c r="AM1879">
        <f t="shared" si="116"/>
        <v>0</v>
      </c>
      <c r="AN1879">
        <f t="shared" si="117"/>
        <v>0</v>
      </c>
    </row>
    <row r="1880" spans="1:40" x14ac:dyDescent="0.35">
      <c r="A1880">
        <v>68.259200000000007</v>
      </c>
      <c r="B1880">
        <v>85.138999999999996</v>
      </c>
      <c r="C1880">
        <v>4.8249599999999999</v>
      </c>
      <c r="D1880">
        <v>0.04</v>
      </c>
      <c r="E1880">
        <v>0.04</v>
      </c>
      <c r="F1880">
        <v>2.8211900000000001</v>
      </c>
      <c r="G1880">
        <v>3.1235900000000001</v>
      </c>
      <c r="H1880">
        <v>0</v>
      </c>
      <c r="I1880">
        <v>0.51090400000000002</v>
      </c>
      <c r="J1880">
        <v>5.3222399999999999</v>
      </c>
      <c r="K1880" s="2">
        <v>209208000</v>
      </c>
      <c r="L1880" s="1">
        <v>0</v>
      </c>
      <c r="M1880" s="1">
        <v>0</v>
      </c>
      <c r="N1880" s="1">
        <v>0</v>
      </c>
      <c r="O1880" s="1">
        <v>0</v>
      </c>
      <c r="P1880" s="2">
        <v>4217610</v>
      </c>
      <c r="Q1880" s="1">
        <v>-87427.4</v>
      </c>
      <c r="R1880" s="1">
        <v>408539</v>
      </c>
      <c r="S1880">
        <v>90.716700000000003</v>
      </c>
      <c r="T1880">
        <v>98.274000000000001</v>
      </c>
      <c r="U1880">
        <v>4.8087099999999996</v>
      </c>
      <c r="V1880">
        <v>0</v>
      </c>
      <c r="W1880">
        <v>0</v>
      </c>
      <c r="X1880">
        <v>2.1142699999999999</v>
      </c>
      <c r="Y1880">
        <v>1.8118700000000001</v>
      </c>
      <c r="Z1880">
        <v>0</v>
      </c>
      <c r="AA1880">
        <v>1.5896300000000001</v>
      </c>
      <c r="AB1880">
        <v>3.3868800000000001</v>
      </c>
      <c r="AC1880" s="2">
        <v>985742000</v>
      </c>
      <c r="AD1880" s="1">
        <v>0</v>
      </c>
      <c r="AE1880" s="1">
        <v>0</v>
      </c>
      <c r="AF1880" s="1">
        <v>0</v>
      </c>
      <c r="AG1880" s="2">
        <v>7883220</v>
      </c>
      <c r="AH1880" s="2">
        <v>5470120</v>
      </c>
      <c r="AI1880" s="1">
        <v>935183</v>
      </c>
      <c r="AJ1880" s="1">
        <v>0</v>
      </c>
      <c r="AK1880" s="8">
        <f t="shared" si="119"/>
        <v>7</v>
      </c>
      <c r="AL1880" s="8">
        <f t="shared" si="118"/>
        <v>37</v>
      </c>
      <c r="AM1880">
        <f t="shared" si="116"/>
        <v>0</v>
      </c>
      <c r="AN1880">
        <f t="shared" si="117"/>
        <v>0</v>
      </c>
    </row>
    <row r="1881" spans="1:40" x14ac:dyDescent="0.35">
      <c r="A1881">
        <v>69.207400000000007</v>
      </c>
      <c r="B1881">
        <v>85.138999999999996</v>
      </c>
      <c r="C1881">
        <v>4.2262300000000002</v>
      </c>
      <c r="D1881">
        <v>0.04</v>
      </c>
      <c r="E1881">
        <v>0.04</v>
      </c>
      <c r="F1881">
        <v>2.8212100000000002</v>
      </c>
      <c r="G1881">
        <v>3.1236100000000002</v>
      </c>
      <c r="H1881">
        <v>0</v>
      </c>
      <c r="I1881">
        <v>0.52869100000000002</v>
      </c>
      <c r="J1881">
        <v>5.3222399999999999</v>
      </c>
      <c r="K1881" s="2">
        <v>209121000</v>
      </c>
      <c r="L1881" s="1">
        <v>0</v>
      </c>
      <c r="M1881" s="1">
        <v>0</v>
      </c>
      <c r="N1881" s="1">
        <v>0</v>
      </c>
      <c r="O1881" s="1">
        <v>0</v>
      </c>
      <c r="P1881" s="2">
        <v>4217640</v>
      </c>
      <c r="Q1881" s="1">
        <v>-87425.2</v>
      </c>
      <c r="R1881" s="1">
        <v>408539</v>
      </c>
      <c r="S1881">
        <v>90.872600000000006</v>
      </c>
      <c r="T1881">
        <v>98.274000000000001</v>
      </c>
      <c r="U1881">
        <v>3.6612</v>
      </c>
      <c r="V1881">
        <v>0</v>
      </c>
      <c r="W1881">
        <v>0</v>
      </c>
      <c r="X1881">
        <v>2.1142799999999999</v>
      </c>
      <c r="Y1881">
        <v>1.8118799999999999</v>
      </c>
      <c r="Z1881">
        <v>0</v>
      </c>
      <c r="AA1881">
        <v>1.6334900000000001</v>
      </c>
      <c r="AB1881">
        <v>3.3868800000000001</v>
      </c>
      <c r="AC1881" s="2">
        <v>986677000</v>
      </c>
      <c r="AD1881" s="1">
        <v>0</v>
      </c>
      <c r="AE1881" s="1">
        <v>0</v>
      </c>
      <c r="AF1881" s="1">
        <v>0</v>
      </c>
      <c r="AG1881" s="1">
        <v>0</v>
      </c>
      <c r="AH1881" s="2">
        <v>5470150</v>
      </c>
      <c r="AI1881" s="1">
        <v>935184</v>
      </c>
      <c r="AJ1881" s="1">
        <v>0</v>
      </c>
      <c r="AK1881" s="8">
        <f t="shared" si="119"/>
        <v>8</v>
      </c>
      <c r="AL1881" s="8">
        <f t="shared" si="118"/>
        <v>37</v>
      </c>
      <c r="AM1881">
        <f t="shared" si="116"/>
        <v>0</v>
      </c>
      <c r="AN1881">
        <f t="shared" si="117"/>
        <v>0</v>
      </c>
    </row>
    <row r="1882" spans="1:40" x14ac:dyDescent="0.35">
      <c r="A1882">
        <v>70.637500000000003</v>
      </c>
      <c r="B1882">
        <v>85.138999999999996</v>
      </c>
      <c r="C1882">
        <v>4.8693900000000001</v>
      </c>
      <c r="D1882">
        <v>0.04</v>
      </c>
      <c r="E1882">
        <v>0.04</v>
      </c>
      <c r="F1882">
        <v>2.8212299999999999</v>
      </c>
      <c r="G1882">
        <v>3.1236299999999999</v>
      </c>
      <c r="H1882">
        <v>0</v>
      </c>
      <c r="I1882">
        <v>0.52869500000000003</v>
      </c>
      <c r="J1882">
        <v>5.3222399999999999</v>
      </c>
      <c r="K1882" s="2">
        <v>209033000</v>
      </c>
      <c r="L1882" s="1">
        <v>0</v>
      </c>
      <c r="M1882" s="1">
        <v>0</v>
      </c>
      <c r="N1882" s="1">
        <v>0</v>
      </c>
      <c r="O1882" s="1">
        <v>0</v>
      </c>
      <c r="P1882" s="2">
        <v>4217670</v>
      </c>
      <c r="Q1882" s="1">
        <v>-87423.1</v>
      </c>
      <c r="R1882" s="1">
        <v>408539</v>
      </c>
      <c r="S1882">
        <v>91.152900000000002</v>
      </c>
      <c r="T1882">
        <v>98.274000000000001</v>
      </c>
      <c r="U1882">
        <v>3.9435899999999999</v>
      </c>
      <c r="V1882">
        <v>0</v>
      </c>
      <c r="W1882">
        <v>0</v>
      </c>
      <c r="X1882">
        <v>2.11429</v>
      </c>
      <c r="Y1882">
        <v>1.81189</v>
      </c>
      <c r="Z1882">
        <v>0</v>
      </c>
      <c r="AA1882">
        <v>1.6334900000000001</v>
      </c>
      <c r="AB1882">
        <v>3.3868800000000001</v>
      </c>
      <c r="AC1882" s="2">
        <v>987612000</v>
      </c>
      <c r="AD1882" s="1">
        <v>0</v>
      </c>
      <c r="AE1882" s="1">
        <v>0</v>
      </c>
      <c r="AF1882" s="1">
        <v>0</v>
      </c>
      <c r="AG1882" s="1">
        <v>0</v>
      </c>
      <c r="AH1882" s="2">
        <v>5470180</v>
      </c>
      <c r="AI1882" s="1">
        <v>935185</v>
      </c>
      <c r="AJ1882" s="1">
        <v>0</v>
      </c>
      <c r="AK1882" s="8">
        <f t="shared" si="119"/>
        <v>9</v>
      </c>
      <c r="AL1882" s="8">
        <f t="shared" si="118"/>
        <v>37</v>
      </c>
      <c r="AM1882">
        <f t="shared" si="116"/>
        <v>0</v>
      </c>
      <c r="AN1882">
        <f t="shared" si="117"/>
        <v>0</v>
      </c>
    </row>
    <row r="1883" spans="1:40" x14ac:dyDescent="0.35">
      <c r="A1883">
        <v>70.86</v>
      </c>
      <c r="B1883">
        <v>85.138999999999996</v>
      </c>
      <c r="C1883">
        <v>3.44156</v>
      </c>
      <c r="D1883">
        <v>0.04</v>
      </c>
      <c r="E1883">
        <v>0.04</v>
      </c>
      <c r="F1883">
        <v>2.82125</v>
      </c>
      <c r="G1883">
        <v>3.12365</v>
      </c>
      <c r="H1883">
        <v>0</v>
      </c>
      <c r="I1883">
        <v>0.52869900000000003</v>
      </c>
      <c r="J1883">
        <v>5.3222399999999999</v>
      </c>
      <c r="K1883" s="2">
        <v>208946000</v>
      </c>
      <c r="L1883" s="1">
        <v>0</v>
      </c>
      <c r="M1883" s="1">
        <v>0</v>
      </c>
      <c r="N1883" s="1">
        <v>0</v>
      </c>
      <c r="O1883" s="1">
        <v>0</v>
      </c>
      <c r="P1883" s="2">
        <v>4217700</v>
      </c>
      <c r="Q1883" s="1">
        <v>-87421</v>
      </c>
      <c r="R1883" s="1">
        <v>408539</v>
      </c>
      <c r="S1883">
        <v>91.238500000000002</v>
      </c>
      <c r="T1883">
        <v>98.274000000000001</v>
      </c>
      <c r="U1883">
        <v>3.1181800000000002</v>
      </c>
      <c r="V1883">
        <v>0</v>
      </c>
      <c r="W1883">
        <v>0</v>
      </c>
      <c r="X1883">
        <v>2.1143100000000001</v>
      </c>
      <c r="Y1883">
        <v>1.8119099999999999</v>
      </c>
      <c r="Z1883">
        <v>0</v>
      </c>
      <c r="AA1883">
        <v>1.6335</v>
      </c>
      <c r="AB1883">
        <v>3.3868800000000001</v>
      </c>
      <c r="AC1883" s="2">
        <v>988547000</v>
      </c>
      <c r="AD1883" s="1">
        <v>0</v>
      </c>
      <c r="AE1883" s="1">
        <v>0</v>
      </c>
      <c r="AF1883" s="1">
        <v>0</v>
      </c>
      <c r="AG1883" s="1">
        <v>0</v>
      </c>
      <c r="AH1883" s="2">
        <v>5470210</v>
      </c>
      <c r="AI1883" s="1">
        <v>935186</v>
      </c>
      <c r="AJ1883" s="1">
        <v>0</v>
      </c>
      <c r="AK1883" s="8">
        <f t="shared" si="119"/>
        <v>10</v>
      </c>
      <c r="AL1883" s="8">
        <f t="shared" si="118"/>
        <v>37</v>
      </c>
      <c r="AM1883">
        <f t="shared" si="116"/>
        <v>0</v>
      </c>
      <c r="AN1883">
        <f t="shared" si="117"/>
        <v>0</v>
      </c>
    </row>
    <row r="1884" spans="1:40" x14ac:dyDescent="0.35">
      <c r="A1884">
        <v>70.531999999999996</v>
      </c>
      <c r="B1884">
        <v>85.138999999999996</v>
      </c>
      <c r="C1884">
        <v>3.0500699999999998</v>
      </c>
      <c r="D1884">
        <v>0.04</v>
      </c>
      <c r="E1884">
        <v>0.04</v>
      </c>
      <c r="F1884">
        <v>3.12595</v>
      </c>
      <c r="G1884">
        <v>3.42835</v>
      </c>
      <c r="H1884">
        <v>0</v>
      </c>
      <c r="I1884">
        <v>0.52870300000000003</v>
      </c>
      <c r="J1884">
        <v>5.3222399999999999</v>
      </c>
      <c r="K1884" s="2">
        <v>208890000</v>
      </c>
      <c r="L1884" s="1">
        <v>0</v>
      </c>
      <c r="M1884" s="1">
        <v>0</v>
      </c>
      <c r="N1884" s="1">
        <v>0</v>
      </c>
      <c r="O1884" s="1">
        <v>0</v>
      </c>
      <c r="P1884" s="2">
        <v>4673220</v>
      </c>
      <c r="Q1884" s="1">
        <v>-56097.599999999999</v>
      </c>
      <c r="R1884" s="1">
        <v>408539</v>
      </c>
      <c r="S1884">
        <v>91.168199999999999</v>
      </c>
      <c r="T1884">
        <v>98.274000000000001</v>
      </c>
      <c r="U1884">
        <v>2.4373499999999999</v>
      </c>
      <c r="V1884">
        <v>0</v>
      </c>
      <c r="W1884">
        <v>0</v>
      </c>
      <c r="X1884">
        <v>2.3273600000000001</v>
      </c>
      <c r="Y1884">
        <v>2.0249600000000001</v>
      </c>
      <c r="Z1884">
        <v>0</v>
      </c>
      <c r="AA1884">
        <v>1.63351</v>
      </c>
      <c r="AB1884">
        <v>3.3868800000000001</v>
      </c>
      <c r="AC1884" s="2">
        <v>989500000</v>
      </c>
      <c r="AD1884" s="1">
        <v>0</v>
      </c>
      <c r="AE1884" s="1">
        <v>0</v>
      </c>
      <c r="AF1884" s="1">
        <v>0</v>
      </c>
      <c r="AG1884" s="1">
        <v>0</v>
      </c>
      <c r="AH1884" s="2">
        <v>6021440</v>
      </c>
      <c r="AI1884" s="1">
        <v>953154</v>
      </c>
      <c r="AJ1884" s="1">
        <v>0</v>
      </c>
      <c r="AK1884" s="8">
        <f t="shared" si="119"/>
        <v>11</v>
      </c>
      <c r="AL1884" s="8">
        <f t="shared" si="118"/>
        <v>37</v>
      </c>
      <c r="AM1884">
        <f t="shared" si="116"/>
        <v>0</v>
      </c>
      <c r="AN1884">
        <f t="shared" si="117"/>
        <v>0</v>
      </c>
    </row>
    <row r="1885" spans="1:40" x14ac:dyDescent="0.35">
      <c r="A1885">
        <v>72.190100000000001</v>
      </c>
      <c r="B1885">
        <v>85.138999999999996</v>
      </c>
      <c r="C1885">
        <v>5.1929499999999997</v>
      </c>
      <c r="D1885">
        <v>0.04</v>
      </c>
      <c r="E1885">
        <v>0.04</v>
      </c>
      <c r="F1885">
        <v>3.1259700000000001</v>
      </c>
      <c r="G1885">
        <v>3.4283700000000001</v>
      </c>
      <c r="H1885">
        <v>0</v>
      </c>
      <c r="I1885">
        <v>0.58580299999999996</v>
      </c>
      <c r="J1885">
        <v>5.3222399999999999</v>
      </c>
      <c r="K1885" s="2">
        <v>208834000</v>
      </c>
      <c r="L1885" s="1">
        <v>0</v>
      </c>
      <c r="M1885" s="1">
        <v>0</v>
      </c>
      <c r="N1885" s="1">
        <v>0</v>
      </c>
      <c r="O1885" s="1">
        <v>0</v>
      </c>
      <c r="P1885" s="2">
        <v>4673250</v>
      </c>
      <c r="Q1885" s="1">
        <v>-56095.199999999997</v>
      </c>
      <c r="R1885" s="1">
        <v>408539</v>
      </c>
      <c r="S1885">
        <v>91.373900000000006</v>
      </c>
      <c r="T1885">
        <v>98.274000000000001</v>
      </c>
      <c r="U1885">
        <v>3.3877799999999998</v>
      </c>
      <c r="V1885">
        <v>0</v>
      </c>
      <c r="W1885">
        <v>0</v>
      </c>
      <c r="X1885">
        <v>2.3273799999999998</v>
      </c>
      <c r="Y1885">
        <v>2.0249799999999998</v>
      </c>
      <c r="Z1885">
        <v>0</v>
      </c>
      <c r="AA1885">
        <v>1.7981199999999999</v>
      </c>
      <c r="AB1885">
        <v>3.3868800000000001</v>
      </c>
      <c r="AC1885" s="2">
        <v>990453000</v>
      </c>
      <c r="AD1885" s="1">
        <v>0</v>
      </c>
      <c r="AE1885" s="1">
        <v>0</v>
      </c>
      <c r="AF1885" s="1">
        <v>0</v>
      </c>
      <c r="AG1885" s="1">
        <v>0</v>
      </c>
      <c r="AH1885" s="2">
        <v>6021470</v>
      </c>
      <c r="AI1885" s="1">
        <v>953155</v>
      </c>
      <c r="AJ1885" s="1">
        <v>0</v>
      </c>
      <c r="AK1885" s="8">
        <f t="shared" si="119"/>
        <v>12</v>
      </c>
      <c r="AL1885" s="8">
        <f t="shared" si="118"/>
        <v>37</v>
      </c>
      <c r="AM1885">
        <f t="shared" si="116"/>
        <v>0</v>
      </c>
      <c r="AN1885">
        <f t="shared" si="117"/>
        <v>0</v>
      </c>
    </row>
    <row r="1886" spans="1:40" x14ac:dyDescent="0.35">
      <c r="A1886">
        <v>73.839299999999994</v>
      </c>
      <c r="B1886">
        <v>85.138999999999996</v>
      </c>
      <c r="C1886">
        <v>5.3219200000000004</v>
      </c>
      <c r="D1886">
        <v>0.03</v>
      </c>
      <c r="E1886">
        <v>0.04</v>
      </c>
      <c r="F1886">
        <v>3.1259999999999999</v>
      </c>
      <c r="G1886">
        <v>3.4283999999999999</v>
      </c>
      <c r="H1886">
        <v>0</v>
      </c>
      <c r="I1886">
        <v>0.58580699999999997</v>
      </c>
      <c r="J1886">
        <v>5.3222399999999999</v>
      </c>
      <c r="K1886" s="2">
        <v>208778000</v>
      </c>
      <c r="L1886" s="1">
        <v>0</v>
      </c>
      <c r="M1886" s="1">
        <v>0</v>
      </c>
      <c r="N1886" s="1">
        <v>0</v>
      </c>
      <c r="O1886" s="1">
        <v>0</v>
      </c>
      <c r="P1886" s="2">
        <v>4673280</v>
      </c>
      <c r="Q1886" s="1">
        <v>-56092.9</v>
      </c>
      <c r="R1886" s="1">
        <v>408539</v>
      </c>
      <c r="S1886">
        <v>91.717399999999998</v>
      </c>
      <c r="T1886">
        <v>98.274000000000001</v>
      </c>
      <c r="U1886">
        <v>3.5500099999999999</v>
      </c>
      <c r="V1886">
        <v>0</v>
      </c>
      <c r="W1886">
        <v>0</v>
      </c>
      <c r="X1886">
        <v>2.3273899999999998</v>
      </c>
      <c r="Y1886">
        <v>2.0249899999999998</v>
      </c>
      <c r="Z1886">
        <v>0</v>
      </c>
      <c r="AA1886">
        <v>1.79813</v>
      </c>
      <c r="AB1886">
        <v>3.3868800000000001</v>
      </c>
      <c r="AC1886" s="2">
        <v>991407000</v>
      </c>
      <c r="AD1886" s="1">
        <v>0</v>
      </c>
      <c r="AE1886" s="1">
        <v>0</v>
      </c>
      <c r="AF1886" s="1">
        <v>0</v>
      </c>
      <c r="AG1886" s="1">
        <v>0</v>
      </c>
      <c r="AH1886" s="2">
        <v>6021510</v>
      </c>
      <c r="AI1886" s="1">
        <v>953156</v>
      </c>
      <c r="AJ1886" s="1">
        <v>0</v>
      </c>
      <c r="AK1886" s="8">
        <f t="shared" si="119"/>
        <v>13</v>
      </c>
      <c r="AL1886" s="8">
        <f t="shared" si="118"/>
        <v>37</v>
      </c>
      <c r="AM1886">
        <f t="shared" si="116"/>
        <v>0</v>
      </c>
      <c r="AN1886">
        <f t="shared" si="117"/>
        <v>0</v>
      </c>
    </row>
    <row r="1887" spans="1:40" x14ac:dyDescent="0.35">
      <c r="A1887">
        <v>75.0625</v>
      </c>
      <c r="B1887">
        <v>85.138999999999996</v>
      </c>
      <c r="C1887">
        <v>4.8351199999999999</v>
      </c>
      <c r="D1887">
        <v>0.03</v>
      </c>
      <c r="E1887">
        <v>0.04</v>
      </c>
      <c r="F1887">
        <v>3.12602</v>
      </c>
      <c r="G1887">
        <v>3.42842</v>
      </c>
      <c r="H1887">
        <v>0</v>
      </c>
      <c r="I1887">
        <v>0.58581099999999997</v>
      </c>
      <c r="J1887">
        <v>5.3222399999999999</v>
      </c>
      <c r="K1887" s="2">
        <v>208722000</v>
      </c>
      <c r="L1887" s="1">
        <v>0</v>
      </c>
      <c r="M1887" s="1">
        <v>0</v>
      </c>
      <c r="N1887" s="1">
        <v>0</v>
      </c>
      <c r="O1887" s="1">
        <v>0</v>
      </c>
      <c r="P1887" s="2">
        <v>4673320</v>
      </c>
      <c r="Q1887" s="1">
        <v>-56090.5</v>
      </c>
      <c r="R1887" s="1">
        <v>408539</v>
      </c>
      <c r="S1887">
        <v>92.172799999999995</v>
      </c>
      <c r="T1887">
        <v>98.274000000000001</v>
      </c>
      <c r="U1887">
        <v>4.0573699999999997</v>
      </c>
      <c r="V1887">
        <v>0</v>
      </c>
      <c r="W1887">
        <v>0</v>
      </c>
      <c r="X1887">
        <v>2.3273999999999999</v>
      </c>
      <c r="Y1887">
        <v>2.0249999999999999</v>
      </c>
      <c r="Z1887">
        <v>0</v>
      </c>
      <c r="AA1887">
        <v>1.7981400000000001</v>
      </c>
      <c r="AB1887">
        <v>3.3868800000000001</v>
      </c>
      <c r="AC1887" s="2">
        <v>992360000</v>
      </c>
      <c r="AD1887" s="1">
        <v>0</v>
      </c>
      <c r="AE1887" s="1">
        <v>0</v>
      </c>
      <c r="AF1887" s="1">
        <v>0</v>
      </c>
      <c r="AG1887" s="1">
        <v>0</v>
      </c>
      <c r="AH1887" s="2">
        <v>6021540</v>
      </c>
      <c r="AI1887" s="1">
        <v>953157</v>
      </c>
      <c r="AJ1887" s="1">
        <v>0</v>
      </c>
      <c r="AK1887" s="8">
        <f t="shared" si="119"/>
        <v>14</v>
      </c>
      <c r="AL1887" s="8">
        <f t="shared" si="118"/>
        <v>37</v>
      </c>
      <c r="AM1887">
        <f t="shared" si="116"/>
        <v>0</v>
      </c>
      <c r="AN1887">
        <f t="shared" si="117"/>
        <v>0</v>
      </c>
    </row>
    <row r="1888" spans="1:40" x14ac:dyDescent="0.35">
      <c r="A1888">
        <v>74.887200000000007</v>
      </c>
      <c r="B1888">
        <v>85.138999999999996</v>
      </c>
      <c r="C1888">
        <v>3.0325700000000002</v>
      </c>
      <c r="D1888">
        <v>0.03</v>
      </c>
      <c r="E1888">
        <v>0.04</v>
      </c>
      <c r="F1888">
        <v>2.6914600000000002</v>
      </c>
      <c r="G1888">
        <v>2.9938600000000002</v>
      </c>
      <c r="H1888">
        <v>0</v>
      </c>
      <c r="I1888">
        <v>0.585816</v>
      </c>
      <c r="J1888">
        <v>5.3222399999999999</v>
      </c>
      <c r="K1888" s="2">
        <v>208621000</v>
      </c>
      <c r="L1888" s="1">
        <v>0</v>
      </c>
      <c r="M1888" s="1">
        <v>0</v>
      </c>
      <c r="N1888" s="1">
        <v>0</v>
      </c>
      <c r="O1888" s="1">
        <v>0</v>
      </c>
      <c r="P1888" s="2">
        <v>4023670</v>
      </c>
      <c r="Q1888" s="1">
        <v>-100764</v>
      </c>
      <c r="R1888" s="1">
        <v>408539</v>
      </c>
      <c r="S1888">
        <v>92.591800000000006</v>
      </c>
      <c r="T1888">
        <v>98.274000000000001</v>
      </c>
      <c r="U1888">
        <v>3.7558400000000001</v>
      </c>
      <c r="V1888">
        <v>0</v>
      </c>
      <c r="W1888">
        <v>0</v>
      </c>
      <c r="X1888">
        <v>2.0415000000000001</v>
      </c>
      <c r="Y1888">
        <v>1.7391000000000001</v>
      </c>
      <c r="Z1888">
        <v>0</v>
      </c>
      <c r="AA1888">
        <v>1.7981499999999999</v>
      </c>
      <c r="AB1888">
        <v>3.3868800000000001</v>
      </c>
      <c r="AC1888" s="2">
        <v>993289000</v>
      </c>
      <c r="AD1888" s="1">
        <v>0</v>
      </c>
      <c r="AE1888" s="1">
        <v>0</v>
      </c>
      <c r="AF1888" s="1">
        <v>0</v>
      </c>
      <c r="AG1888" s="1">
        <v>0</v>
      </c>
      <c r="AH1888" s="2">
        <v>5281850</v>
      </c>
      <c r="AI1888" s="1">
        <v>929046</v>
      </c>
      <c r="AJ1888" s="1">
        <v>0</v>
      </c>
      <c r="AK1888" s="8">
        <f t="shared" si="119"/>
        <v>15</v>
      </c>
      <c r="AL1888" s="8">
        <f t="shared" si="118"/>
        <v>37</v>
      </c>
      <c r="AM1888">
        <f t="shared" si="116"/>
        <v>0</v>
      </c>
      <c r="AN1888">
        <f t="shared" si="117"/>
        <v>0</v>
      </c>
    </row>
    <row r="1889" spans="1:40" x14ac:dyDescent="0.35">
      <c r="A1889">
        <v>77.266599999999997</v>
      </c>
      <c r="B1889">
        <v>85.138999999999996</v>
      </c>
      <c r="C1889">
        <v>5.6615000000000002</v>
      </c>
      <c r="D1889">
        <v>0.02</v>
      </c>
      <c r="E1889">
        <v>0.04</v>
      </c>
      <c r="F1889">
        <v>2.6914799999999999</v>
      </c>
      <c r="G1889">
        <v>2.9938799999999999</v>
      </c>
      <c r="H1889">
        <v>0</v>
      </c>
      <c r="I1889">
        <v>0.50438000000000005</v>
      </c>
      <c r="J1889">
        <v>5.3222399999999999</v>
      </c>
      <c r="K1889" s="2">
        <v>208520000</v>
      </c>
      <c r="L1889" s="1">
        <v>0</v>
      </c>
      <c r="M1889" s="1">
        <v>0</v>
      </c>
      <c r="N1889" s="1">
        <v>0</v>
      </c>
      <c r="O1889" s="1">
        <v>0</v>
      </c>
      <c r="P1889" s="2">
        <v>4023700</v>
      </c>
      <c r="Q1889" s="1">
        <v>-100761</v>
      </c>
      <c r="R1889" s="1">
        <v>408539</v>
      </c>
      <c r="S1889">
        <v>93.654799999999994</v>
      </c>
      <c r="T1889">
        <v>98.274000000000001</v>
      </c>
      <c r="U1889">
        <v>5.9487199999999998</v>
      </c>
      <c r="V1889">
        <v>0</v>
      </c>
      <c r="W1889">
        <v>0</v>
      </c>
      <c r="X1889">
        <v>2.0415100000000002</v>
      </c>
      <c r="Y1889">
        <v>1.7391099999999999</v>
      </c>
      <c r="Z1889">
        <v>0</v>
      </c>
      <c r="AA1889">
        <v>1.5772600000000001</v>
      </c>
      <c r="AB1889">
        <v>3.3868800000000001</v>
      </c>
      <c r="AC1889" s="2">
        <v>994218000</v>
      </c>
      <c r="AD1889" s="1">
        <v>0</v>
      </c>
      <c r="AE1889" s="1">
        <v>0</v>
      </c>
      <c r="AF1889" s="1">
        <v>0</v>
      </c>
      <c r="AG1889" s="1">
        <v>0</v>
      </c>
      <c r="AH1889" s="2">
        <v>5281880</v>
      </c>
      <c r="AI1889" s="1">
        <v>929047</v>
      </c>
      <c r="AJ1889" s="1">
        <v>0</v>
      </c>
      <c r="AK1889" s="8">
        <f t="shared" si="119"/>
        <v>16</v>
      </c>
      <c r="AL1889" s="8">
        <f t="shared" si="118"/>
        <v>37</v>
      </c>
      <c r="AM1889">
        <f t="shared" si="116"/>
        <v>0</v>
      </c>
      <c r="AN1889">
        <f t="shared" si="117"/>
        <v>0</v>
      </c>
    </row>
    <row r="1890" spans="1:40" x14ac:dyDescent="0.35">
      <c r="A1890">
        <v>78.197900000000004</v>
      </c>
      <c r="B1890">
        <v>85.138999999999996</v>
      </c>
      <c r="C1890">
        <v>4.2880799999999999</v>
      </c>
      <c r="D1890">
        <v>0.02</v>
      </c>
      <c r="E1890">
        <v>0.04</v>
      </c>
      <c r="F1890">
        <v>2.6915</v>
      </c>
      <c r="G1890">
        <v>2.9939</v>
      </c>
      <c r="H1890">
        <v>0</v>
      </c>
      <c r="I1890">
        <v>0.50438400000000005</v>
      </c>
      <c r="J1890">
        <v>5.3222399999999999</v>
      </c>
      <c r="K1890" s="2">
        <v>208419000</v>
      </c>
      <c r="L1890" s="1">
        <v>0</v>
      </c>
      <c r="M1890" s="1">
        <v>0</v>
      </c>
      <c r="N1890" s="1">
        <v>0</v>
      </c>
      <c r="O1890" s="1">
        <v>0</v>
      </c>
      <c r="P1890" s="2">
        <v>4023730</v>
      </c>
      <c r="Q1890" s="1">
        <v>-100759</v>
      </c>
      <c r="R1890" s="1">
        <v>408539</v>
      </c>
      <c r="S1890">
        <v>94.939300000000003</v>
      </c>
      <c r="T1890">
        <v>98.274000000000001</v>
      </c>
      <c r="U1890">
        <v>5.9423899999999996</v>
      </c>
      <c r="V1890">
        <v>0</v>
      </c>
      <c r="W1890">
        <v>0</v>
      </c>
      <c r="X1890">
        <v>2.0415199999999998</v>
      </c>
      <c r="Y1890">
        <v>1.73912</v>
      </c>
      <c r="Z1890">
        <v>0</v>
      </c>
      <c r="AA1890">
        <v>1.5772699999999999</v>
      </c>
      <c r="AB1890">
        <v>3.3868800000000001</v>
      </c>
      <c r="AC1890" s="2">
        <v>995147000</v>
      </c>
      <c r="AD1890" s="1">
        <v>0</v>
      </c>
      <c r="AE1890" s="1">
        <v>0</v>
      </c>
      <c r="AF1890" s="1">
        <v>0</v>
      </c>
      <c r="AG1890" s="1">
        <v>0</v>
      </c>
      <c r="AH1890" s="2">
        <v>5281910</v>
      </c>
      <c r="AI1890" s="1">
        <v>929048</v>
      </c>
      <c r="AJ1890" s="1">
        <v>0</v>
      </c>
      <c r="AK1890" s="8">
        <f t="shared" si="119"/>
        <v>17</v>
      </c>
      <c r="AL1890" s="8">
        <f t="shared" si="118"/>
        <v>37</v>
      </c>
      <c r="AM1890">
        <f t="shared" si="116"/>
        <v>0</v>
      </c>
      <c r="AN1890">
        <f t="shared" si="117"/>
        <v>0</v>
      </c>
    </row>
    <row r="1891" spans="1:40" x14ac:dyDescent="0.35">
      <c r="A1891">
        <v>80.929900000000004</v>
      </c>
      <c r="B1891">
        <v>85.138999999999996</v>
      </c>
      <c r="C1891">
        <v>6.2072599999999998</v>
      </c>
      <c r="D1891">
        <v>0.02</v>
      </c>
      <c r="E1891">
        <v>0.04</v>
      </c>
      <c r="F1891">
        <v>2.6915200000000001</v>
      </c>
      <c r="G1891">
        <v>2.9939200000000001</v>
      </c>
      <c r="H1891">
        <v>0</v>
      </c>
      <c r="I1891">
        <v>0.50438799999999995</v>
      </c>
      <c r="J1891">
        <v>5.3222399999999999</v>
      </c>
      <c r="K1891" s="2">
        <v>208318000</v>
      </c>
      <c r="L1891" s="1">
        <v>0</v>
      </c>
      <c r="M1891" s="1">
        <v>0</v>
      </c>
      <c r="N1891" s="1">
        <v>0</v>
      </c>
      <c r="O1891" s="1">
        <v>0</v>
      </c>
      <c r="P1891" s="2">
        <v>4023760</v>
      </c>
      <c r="Q1891" s="1">
        <v>-100757</v>
      </c>
      <c r="R1891" s="1">
        <v>408539</v>
      </c>
      <c r="S1891">
        <v>96.042500000000004</v>
      </c>
      <c r="T1891">
        <v>98.274000000000001</v>
      </c>
      <c r="U1891">
        <v>5.9295200000000001</v>
      </c>
      <c r="V1891">
        <v>0</v>
      </c>
      <c r="W1891">
        <v>0</v>
      </c>
      <c r="X1891">
        <v>2.0415399999999999</v>
      </c>
      <c r="Y1891">
        <v>1.7391399999999999</v>
      </c>
      <c r="Z1891">
        <v>0</v>
      </c>
      <c r="AA1891">
        <v>1.57728</v>
      </c>
      <c r="AB1891">
        <v>3.3868800000000001</v>
      </c>
      <c r="AC1891" s="2">
        <v>996076000</v>
      </c>
      <c r="AD1891" s="1">
        <v>0</v>
      </c>
      <c r="AE1891" s="1">
        <v>0</v>
      </c>
      <c r="AF1891" s="1">
        <v>0</v>
      </c>
      <c r="AG1891" s="1">
        <v>0</v>
      </c>
      <c r="AH1891" s="2">
        <v>5281940</v>
      </c>
      <c r="AI1891" s="1">
        <v>929049</v>
      </c>
      <c r="AJ1891" s="1">
        <v>0</v>
      </c>
      <c r="AK1891" s="8">
        <f t="shared" si="119"/>
        <v>18</v>
      </c>
      <c r="AL1891" s="8">
        <f t="shared" si="118"/>
        <v>37</v>
      </c>
      <c r="AM1891">
        <f t="shared" si="116"/>
        <v>0</v>
      </c>
      <c r="AN1891">
        <f t="shared" si="117"/>
        <v>0</v>
      </c>
    </row>
    <row r="1892" spans="1:40" x14ac:dyDescent="0.35">
      <c r="A1892">
        <v>82.008700000000005</v>
      </c>
      <c r="B1892">
        <v>85.138999999999996</v>
      </c>
      <c r="C1892">
        <v>4.4563300000000003</v>
      </c>
      <c r="D1892">
        <v>0.01</v>
      </c>
      <c r="E1892">
        <v>0.04</v>
      </c>
      <c r="F1892">
        <v>2.6915399999999998</v>
      </c>
      <c r="G1892">
        <v>2.9939399999999998</v>
      </c>
      <c r="H1892">
        <v>0</v>
      </c>
      <c r="I1892">
        <v>0.50439100000000003</v>
      </c>
      <c r="J1892">
        <v>5.3222399999999999</v>
      </c>
      <c r="K1892" s="2">
        <v>208218000</v>
      </c>
      <c r="L1892" s="1">
        <v>0</v>
      </c>
      <c r="M1892" s="1">
        <v>0</v>
      </c>
      <c r="N1892" s="1">
        <v>0</v>
      </c>
      <c r="O1892" s="1">
        <v>0</v>
      </c>
      <c r="P1892" s="2">
        <v>4023790</v>
      </c>
      <c r="Q1892" s="1">
        <v>-100755</v>
      </c>
      <c r="R1892" s="1">
        <v>408539</v>
      </c>
      <c r="S1892">
        <v>96.603800000000007</v>
      </c>
      <c r="T1892">
        <v>98.274000000000001</v>
      </c>
      <c r="U1892">
        <v>5.1068499999999997</v>
      </c>
      <c r="V1892">
        <v>0</v>
      </c>
      <c r="W1892">
        <v>0</v>
      </c>
      <c r="X1892">
        <v>2.04155</v>
      </c>
      <c r="Y1892">
        <v>1.73915</v>
      </c>
      <c r="Z1892">
        <v>0</v>
      </c>
      <c r="AA1892">
        <v>1.5772900000000001</v>
      </c>
      <c r="AB1892">
        <v>3.3868800000000001</v>
      </c>
      <c r="AC1892" s="2">
        <v>997005000</v>
      </c>
      <c r="AD1892" s="1">
        <v>0</v>
      </c>
      <c r="AE1892" s="1">
        <v>0</v>
      </c>
      <c r="AF1892" s="1">
        <v>0</v>
      </c>
      <c r="AG1892" s="1">
        <v>0</v>
      </c>
      <c r="AH1892" s="2">
        <v>5281970</v>
      </c>
      <c r="AI1892" s="1">
        <v>929050</v>
      </c>
      <c r="AJ1892" s="1">
        <v>0</v>
      </c>
      <c r="AK1892" s="8">
        <f t="shared" si="119"/>
        <v>19</v>
      </c>
      <c r="AL1892" s="8">
        <f t="shared" si="118"/>
        <v>37</v>
      </c>
      <c r="AM1892">
        <f t="shared" si="116"/>
        <v>0</v>
      </c>
      <c r="AN1892">
        <f t="shared" si="117"/>
        <v>0</v>
      </c>
    </row>
    <row r="1893" spans="1:40" x14ac:dyDescent="0.35">
      <c r="A1893">
        <v>82.319599999999994</v>
      </c>
      <c r="B1893">
        <v>85.138999999999996</v>
      </c>
      <c r="C1893">
        <v>3.6537899999999999</v>
      </c>
      <c r="D1893">
        <v>0.01</v>
      </c>
      <c r="E1893">
        <v>0.04</v>
      </c>
      <c r="F1893">
        <v>2.8009599999999999</v>
      </c>
      <c r="G1893">
        <v>3.1033599999999999</v>
      </c>
      <c r="H1893">
        <v>0</v>
      </c>
      <c r="I1893">
        <v>0.50439500000000004</v>
      </c>
      <c r="J1893">
        <v>5.3222399999999999</v>
      </c>
      <c r="K1893" s="2">
        <v>208128000</v>
      </c>
      <c r="L1893" s="1">
        <v>0</v>
      </c>
      <c r="M1893" s="1">
        <v>0</v>
      </c>
      <c r="N1893" s="1">
        <v>0</v>
      </c>
      <c r="O1893" s="1">
        <v>0</v>
      </c>
      <c r="P1893" s="2">
        <v>4187360</v>
      </c>
      <c r="Q1893" s="1">
        <v>-89507.5</v>
      </c>
      <c r="R1893" s="1">
        <v>408539</v>
      </c>
      <c r="S1893">
        <v>97.1768</v>
      </c>
      <c r="T1893">
        <v>98.274000000000001</v>
      </c>
      <c r="U1893">
        <v>5.1814799999999996</v>
      </c>
      <c r="V1893">
        <v>0</v>
      </c>
      <c r="W1893">
        <v>0</v>
      </c>
      <c r="X1893">
        <v>2.11151</v>
      </c>
      <c r="Y1893">
        <v>1.80911</v>
      </c>
      <c r="Z1893">
        <v>0</v>
      </c>
      <c r="AA1893">
        <v>1.5772999999999999</v>
      </c>
      <c r="AB1893">
        <v>3.3868800000000001</v>
      </c>
      <c r="AC1893" s="2">
        <v>997940000</v>
      </c>
      <c r="AD1893" s="1">
        <v>0</v>
      </c>
      <c r="AE1893" s="1">
        <v>0</v>
      </c>
      <c r="AF1893" s="1">
        <v>0</v>
      </c>
      <c r="AG1893" s="1">
        <v>0</v>
      </c>
      <c r="AH1893" s="2">
        <v>5462970</v>
      </c>
      <c r="AI1893" s="1">
        <v>934950</v>
      </c>
      <c r="AJ1893" s="1">
        <v>0</v>
      </c>
      <c r="AK1893" s="8">
        <f t="shared" si="119"/>
        <v>20</v>
      </c>
      <c r="AL1893" s="8">
        <f t="shared" si="118"/>
        <v>37</v>
      </c>
      <c r="AM1893">
        <f t="shared" si="116"/>
        <v>0</v>
      </c>
      <c r="AN1893">
        <f t="shared" si="117"/>
        <v>0</v>
      </c>
    </row>
    <row r="1894" spans="1:40" x14ac:dyDescent="0.35">
      <c r="A1894">
        <v>82.393199999999993</v>
      </c>
      <c r="B1894">
        <v>85.138999999999996</v>
      </c>
      <c r="C1894">
        <v>3.38801</v>
      </c>
      <c r="D1894">
        <v>0.01</v>
      </c>
      <c r="E1894">
        <v>0.04</v>
      </c>
      <c r="F1894">
        <v>2.80098</v>
      </c>
      <c r="G1894">
        <v>3.10338</v>
      </c>
      <c r="H1894">
        <v>0</v>
      </c>
      <c r="I1894">
        <v>0.524899</v>
      </c>
      <c r="J1894">
        <v>5.3222399999999999</v>
      </c>
      <c r="K1894" s="2">
        <v>208039000</v>
      </c>
      <c r="L1894" s="1">
        <v>0</v>
      </c>
      <c r="M1894" s="1">
        <v>0</v>
      </c>
      <c r="N1894" s="1">
        <v>0</v>
      </c>
      <c r="O1894" s="1">
        <v>0</v>
      </c>
      <c r="P1894" s="2">
        <v>4187390</v>
      </c>
      <c r="Q1894" s="1">
        <v>-89505.4</v>
      </c>
      <c r="R1894" s="1">
        <v>408539</v>
      </c>
      <c r="S1894">
        <v>97.947900000000004</v>
      </c>
      <c r="T1894">
        <v>98.274000000000001</v>
      </c>
      <c r="U1894">
        <v>5.6460800000000004</v>
      </c>
      <c r="V1894">
        <v>0</v>
      </c>
      <c r="W1894">
        <v>0</v>
      </c>
      <c r="X1894">
        <v>2.1115200000000001</v>
      </c>
      <c r="Y1894">
        <v>1.8091200000000001</v>
      </c>
      <c r="Z1894">
        <v>0</v>
      </c>
      <c r="AA1894">
        <v>1.6313500000000001</v>
      </c>
      <c r="AB1894">
        <v>3.3868800000000001</v>
      </c>
      <c r="AC1894" s="2">
        <v>998875000</v>
      </c>
      <c r="AD1894" s="1">
        <v>0</v>
      </c>
      <c r="AE1894" s="1">
        <v>0</v>
      </c>
      <c r="AF1894" s="1">
        <v>0</v>
      </c>
      <c r="AG1894" s="1">
        <v>0</v>
      </c>
      <c r="AH1894" s="2">
        <v>5463000</v>
      </c>
      <c r="AI1894" s="1">
        <v>934951</v>
      </c>
      <c r="AJ1894" s="1">
        <v>0</v>
      </c>
      <c r="AK1894" s="8">
        <f t="shared" si="119"/>
        <v>21</v>
      </c>
      <c r="AL1894" s="8">
        <f t="shared" si="118"/>
        <v>37</v>
      </c>
      <c r="AM1894">
        <f t="shared" si="116"/>
        <v>0</v>
      </c>
      <c r="AN1894">
        <f t="shared" si="117"/>
        <v>0</v>
      </c>
    </row>
    <row r="1895" spans="1:40" x14ac:dyDescent="0.35">
      <c r="A1895">
        <v>82.190299999999993</v>
      </c>
      <c r="B1895">
        <v>85.138999999999996</v>
      </c>
      <c r="C1895">
        <v>3.0781900000000002</v>
      </c>
      <c r="D1895">
        <v>0.01</v>
      </c>
      <c r="E1895">
        <v>0.04</v>
      </c>
      <c r="F1895">
        <v>2.8010000000000002</v>
      </c>
      <c r="G1895">
        <v>3.1034000000000002</v>
      </c>
      <c r="H1895">
        <v>0</v>
      </c>
      <c r="I1895">
        <v>0.52490300000000001</v>
      </c>
      <c r="J1895">
        <v>5.3222399999999999</v>
      </c>
      <c r="K1895" s="2">
        <v>207949000</v>
      </c>
      <c r="L1895" s="1">
        <v>0</v>
      </c>
      <c r="M1895" s="1">
        <v>0</v>
      </c>
      <c r="N1895" s="1">
        <v>0</v>
      </c>
      <c r="O1895" s="1">
        <v>0</v>
      </c>
      <c r="P1895" s="2">
        <v>4187420</v>
      </c>
      <c r="Q1895" s="1">
        <v>-89503.3</v>
      </c>
      <c r="R1895" s="1">
        <v>408539</v>
      </c>
      <c r="S1895">
        <v>98.997699999999995</v>
      </c>
      <c r="T1895">
        <v>98.274000000000001</v>
      </c>
      <c r="U1895">
        <v>6.4101800000000004</v>
      </c>
      <c r="V1895">
        <v>0</v>
      </c>
      <c r="W1895">
        <v>0</v>
      </c>
      <c r="X1895">
        <v>2.1115300000000001</v>
      </c>
      <c r="Y1895">
        <v>1.8091299999999999</v>
      </c>
      <c r="Z1895">
        <v>0</v>
      </c>
      <c r="AA1895">
        <v>1.6313599999999999</v>
      </c>
      <c r="AB1895">
        <v>3.3868800000000001</v>
      </c>
      <c r="AC1895" s="2">
        <v>999810000</v>
      </c>
      <c r="AD1895" s="1">
        <v>0</v>
      </c>
      <c r="AE1895" s="1">
        <v>0</v>
      </c>
      <c r="AF1895" s="1">
        <v>0</v>
      </c>
      <c r="AG1895" s="1">
        <v>0</v>
      </c>
      <c r="AH1895" s="2">
        <v>5463030</v>
      </c>
      <c r="AI1895" s="1">
        <v>934952</v>
      </c>
      <c r="AJ1895" s="1">
        <v>0</v>
      </c>
      <c r="AK1895" s="8">
        <f t="shared" si="119"/>
        <v>22</v>
      </c>
      <c r="AL1895" s="8">
        <f t="shared" si="118"/>
        <v>37</v>
      </c>
      <c r="AM1895">
        <f t="shared" si="116"/>
        <v>0</v>
      </c>
      <c r="AN1895">
        <f t="shared" si="117"/>
        <v>0</v>
      </c>
    </row>
    <row r="1896" spans="1:40" x14ac:dyDescent="0.35">
      <c r="A1896">
        <v>81.432299999999998</v>
      </c>
      <c r="B1896">
        <v>85.138999999999996</v>
      </c>
      <c r="C1896">
        <v>2.4564699999999999</v>
      </c>
      <c r="D1896">
        <v>0.01</v>
      </c>
      <c r="E1896">
        <v>0.04</v>
      </c>
      <c r="F1896">
        <v>2.8010199999999998</v>
      </c>
      <c r="G1896">
        <v>3.1034199999999998</v>
      </c>
      <c r="H1896">
        <v>0</v>
      </c>
      <c r="I1896">
        <v>0.52490700000000001</v>
      </c>
      <c r="J1896">
        <v>5.3222399999999999</v>
      </c>
      <c r="K1896" s="2">
        <v>207860000</v>
      </c>
      <c r="L1896" s="1">
        <v>0</v>
      </c>
      <c r="M1896" s="1">
        <v>0</v>
      </c>
      <c r="N1896" s="1">
        <v>0</v>
      </c>
      <c r="O1896" s="1">
        <v>0</v>
      </c>
      <c r="P1896" s="2">
        <v>4187450</v>
      </c>
      <c r="Q1896" s="1">
        <v>-89501.2</v>
      </c>
      <c r="R1896" s="1">
        <v>408539</v>
      </c>
      <c r="S1896">
        <v>99.112700000000004</v>
      </c>
      <c r="T1896">
        <v>98.274000000000001</v>
      </c>
      <c r="U1896">
        <v>3.2599100000000001</v>
      </c>
      <c r="V1896">
        <v>0</v>
      </c>
      <c r="W1896">
        <v>0</v>
      </c>
      <c r="X1896">
        <v>2.1115400000000002</v>
      </c>
      <c r="Y1896">
        <v>1.80914</v>
      </c>
      <c r="Z1896">
        <v>0</v>
      </c>
      <c r="AA1896">
        <v>1.63137</v>
      </c>
      <c r="AB1896">
        <v>3.3868800000000001</v>
      </c>
      <c r="AC1896" s="2">
        <v>1000740000</v>
      </c>
      <c r="AD1896" s="1">
        <v>0</v>
      </c>
      <c r="AE1896" s="1">
        <v>0</v>
      </c>
      <c r="AF1896" s="1">
        <v>0</v>
      </c>
      <c r="AG1896" s="1">
        <v>0</v>
      </c>
      <c r="AH1896" s="2">
        <v>5463060</v>
      </c>
      <c r="AI1896" s="1">
        <v>934953</v>
      </c>
      <c r="AJ1896" s="1">
        <v>0</v>
      </c>
      <c r="AK1896" s="8">
        <f t="shared" si="119"/>
        <v>23</v>
      </c>
      <c r="AL1896" s="8">
        <f t="shared" si="118"/>
        <v>37</v>
      </c>
      <c r="AM1896">
        <f t="shared" si="116"/>
        <v>0</v>
      </c>
      <c r="AN1896">
        <f t="shared" si="117"/>
        <v>0</v>
      </c>
    </row>
    <row r="1897" spans="1:40" x14ac:dyDescent="0.35">
      <c r="A1897">
        <v>80.555800000000005</v>
      </c>
      <c r="B1897">
        <v>85.138999999999996</v>
      </c>
      <c r="C1897">
        <v>2.20139</v>
      </c>
      <c r="D1897">
        <v>0.01</v>
      </c>
      <c r="E1897">
        <v>0.04</v>
      </c>
      <c r="F1897">
        <v>2.75827</v>
      </c>
      <c r="G1897">
        <v>3.06067</v>
      </c>
      <c r="H1897">
        <v>0</v>
      </c>
      <c r="I1897">
        <v>0.52491100000000002</v>
      </c>
      <c r="J1897">
        <v>5.3222399999999999</v>
      </c>
      <c r="K1897" s="2">
        <v>207766000</v>
      </c>
      <c r="L1897" s="1">
        <v>0</v>
      </c>
      <c r="M1897" s="1">
        <v>0</v>
      </c>
      <c r="N1897" s="1">
        <v>0</v>
      </c>
      <c r="O1897" s="1">
        <v>0</v>
      </c>
      <c r="P1897" s="2">
        <v>4123540</v>
      </c>
      <c r="Q1897" s="1">
        <v>-93896.2</v>
      </c>
      <c r="R1897" s="1">
        <v>408539</v>
      </c>
      <c r="S1897">
        <v>99.076599999999999</v>
      </c>
      <c r="T1897">
        <v>98.274000000000001</v>
      </c>
      <c r="U1897">
        <v>2.9860799999999998</v>
      </c>
      <c r="V1897">
        <v>0</v>
      </c>
      <c r="W1897">
        <v>0</v>
      </c>
      <c r="X1897">
        <v>2.08439</v>
      </c>
      <c r="Y1897">
        <v>1.78199</v>
      </c>
      <c r="Z1897">
        <v>0</v>
      </c>
      <c r="AA1897">
        <v>1.6313800000000001</v>
      </c>
      <c r="AB1897">
        <v>3.3868800000000001</v>
      </c>
      <c r="AC1897" s="2">
        <v>1001680000</v>
      </c>
      <c r="AD1897" s="1">
        <v>0</v>
      </c>
      <c r="AE1897" s="1">
        <v>0</v>
      </c>
      <c r="AF1897" s="1">
        <v>0</v>
      </c>
      <c r="AG1897" s="1">
        <v>0</v>
      </c>
      <c r="AH1897" s="2">
        <v>5392810</v>
      </c>
      <c r="AI1897" s="1">
        <v>932663</v>
      </c>
      <c r="AJ1897" s="1">
        <v>0</v>
      </c>
      <c r="AK1897" s="8">
        <f t="shared" si="119"/>
        <v>24</v>
      </c>
      <c r="AL1897" s="8">
        <f t="shared" si="118"/>
        <v>37</v>
      </c>
      <c r="AM1897">
        <f t="shared" si="116"/>
        <v>0</v>
      </c>
      <c r="AN1897">
        <f t="shared" si="117"/>
        <v>0</v>
      </c>
    </row>
    <row r="1898" spans="1:40" x14ac:dyDescent="0.35">
      <c r="A1898">
        <v>79.653899999999993</v>
      </c>
      <c r="B1898">
        <v>85.138999999999996</v>
      </c>
      <c r="C1898">
        <v>2.13652</v>
      </c>
      <c r="D1898">
        <v>0.01</v>
      </c>
      <c r="E1898">
        <v>0.04</v>
      </c>
      <c r="F1898">
        <v>2.7582900000000001</v>
      </c>
      <c r="G1898">
        <v>3.0606900000000001</v>
      </c>
      <c r="H1898">
        <v>0</v>
      </c>
      <c r="I1898">
        <v>0.516899</v>
      </c>
      <c r="J1898">
        <v>5.3222399999999999</v>
      </c>
      <c r="K1898" s="2">
        <v>207672000</v>
      </c>
      <c r="L1898" s="1">
        <v>0</v>
      </c>
      <c r="M1898" s="1">
        <v>0</v>
      </c>
      <c r="N1898" s="1">
        <v>0</v>
      </c>
      <c r="O1898" s="1">
        <v>0</v>
      </c>
      <c r="P1898" s="2">
        <v>4123570</v>
      </c>
      <c r="Q1898" s="1">
        <v>-93894.1</v>
      </c>
      <c r="R1898" s="1">
        <v>408539</v>
      </c>
      <c r="S1898">
        <v>99.095799999999997</v>
      </c>
      <c r="T1898">
        <v>98.274000000000001</v>
      </c>
      <c r="U1898">
        <v>3.2185999999999999</v>
      </c>
      <c r="V1898">
        <v>0</v>
      </c>
      <c r="W1898">
        <v>0</v>
      </c>
      <c r="X1898">
        <v>2.0844</v>
      </c>
      <c r="Y1898">
        <v>1.782</v>
      </c>
      <c r="Z1898">
        <v>0</v>
      </c>
      <c r="AA1898">
        <v>1.6104000000000001</v>
      </c>
      <c r="AB1898">
        <v>3.3868800000000001</v>
      </c>
      <c r="AC1898" s="2">
        <v>1002610000</v>
      </c>
      <c r="AD1898" s="1">
        <v>0</v>
      </c>
      <c r="AE1898" s="1">
        <v>0</v>
      </c>
      <c r="AF1898" s="1">
        <v>0</v>
      </c>
      <c r="AG1898" s="1">
        <v>0</v>
      </c>
      <c r="AH1898" s="2">
        <v>5392840</v>
      </c>
      <c r="AI1898" s="1">
        <v>932664</v>
      </c>
      <c r="AJ1898" s="1">
        <v>0</v>
      </c>
      <c r="AK1898" s="8">
        <f t="shared" si="119"/>
        <v>25</v>
      </c>
      <c r="AL1898" s="8">
        <f t="shared" si="118"/>
        <v>37</v>
      </c>
      <c r="AM1898">
        <f t="shared" si="116"/>
        <v>0</v>
      </c>
      <c r="AN1898">
        <f t="shared" si="117"/>
        <v>0</v>
      </c>
    </row>
    <row r="1899" spans="1:40" x14ac:dyDescent="0.35">
      <c r="A1899">
        <v>78.6203</v>
      </c>
      <c r="B1899">
        <v>85.138999999999996</v>
      </c>
      <c r="C1899">
        <v>1.9844299999999999</v>
      </c>
      <c r="D1899">
        <v>0.01</v>
      </c>
      <c r="E1899">
        <v>0.04</v>
      </c>
      <c r="F1899">
        <v>2.7583099999999998</v>
      </c>
      <c r="G1899">
        <v>3.0607099999999998</v>
      </c>
      <c r="H1899">
        <v>0</v>
      </c>
      <c r="I1899">
        <v>0.516903</v>
      </c>
      <c r="J1899">
        <v>5.3222399999999999</v>
      </c>
      <c r="K1899" s="2">
        <v>207578000</v>
      </c>
      <c r="L1899" s="1">
        <v>0</v>
      </c>
      <c r="M1899" s="1">
        <v>0</v>
      </c>
      <c r="N1899" s="1">
        <v>0</v>
      </c>
      <c r="O1899" s="1">
        <v>0</v>
      </c>
      <c r="P1899" s="2">
        <v>4123600</v>
      </c>
      <c r="Q1899" s="1">
        <v>-93892</v>
      </c>
      <c r="R1899" s="1">
        <v>408539</v>
      </c>
      <c r="S1899">
        <v>99.046999999999997</v>
      </c>
      <c r="T1899">
        <v>98.274000000000001</v>
      </c>
      <c r="U1899">
        <v>2.9382000000000001</v>
      </c>
      <c r="V1899">
        <v>0</v>
      </c>
      <c r="W1899">
        <v>0</v>
      </c>
      <c r="X1899">
        <v>2.0844100000000001</v>
      </c>
      <c r="Y1899">
        <v>1.7820100000000001</v>
      </c>
      <c r="Z1899">
        <v>0</v>
      </c>
      <c r="AA1899">
        <v>1.6104099999999999</v>
      </c>
      <c r="AB1899">
        <v>3.3868800000000001</v>
      </c>
      <c r="AC1899" s="2">
        <v>1003540000</v>
      </c>
      <c r="AD1899" s="1">
        <v>0</v>
      </c>
      <c r="AE1899" s="1">
        <v>0</v>
      </c>
      <c r="AF1899" s="1">
        <v>0</v>
      </c>
      <c r="AG1899" s="1">
        <v>0</v>
      </c>
      <c r="AH1899" s="2">
        <v>5392870</v>
      </c>
      <c r="AI1899" s="1">
        <v>932665</v>
      </c>
      <c r="AJ1899" s="1">
        <v>0</v>
      </c>
      <c r="AK1899" s="8">
        <f t="shared" si="119"/>
        <v>26</v>
      </c>
      <c r="AL1899" s="8">
        <f t="shared" si="118"/>
        <v>37</v>
      </c>
      <c r="AM1899">
        <f t="shared" si="116"/>
        <v>0</v>
      </c>
      <c r="AN1899">
        <f t="shared" si="117"/>
        <v>0</v>
      </c>
    </row>
    <row r="1900" spans="1:40" x14ac:dyDescent="0.35">
      <c r="A1900">
        <v>77.616399999999999</v>
      </c>
      <c r="B1900">
        <v>85.138999999999996</v>
      </c>
      <c r="C1900">
        <v>1.9980599999999999</v>
      </c>
      <c r="D1900">
        <v>0.01</v>
      </c>
      <c r="E1900">
        <v>0.04</v>
      </c>
      <c r="F1900">
        <v>2.7583299999999999</v>
      </c>
      <c r="G1900">
        <v>3.06073</v>
      </c>
      <c r="H1900">
        <v>0</v>
      </c>
      <c r="I1900">
        <v>0.51690700000000001</v>
      </c>
      <c r="J1900">
        <v>5.3222399999999999</v>
      </c>
      <c r="K1900" s="2">
        <v>207484000</v>
      </c>
      <c r="L1900" s="1">
        <v>0</v>
      </c>
      <c r="M1900" s="1">
        <v>0</v>
      </c>
      <c r="N1900" s="1">
        <v>0</v>
      </c>
      <c r="O1900" s="1">
        <v>0</v>
      </c>
      <c r="P1900" s="2">
        <v>4123630</v>
      </c>
      <c r="Q1900" s="1">
        <v>-93889.9</v>
      </c>
      <c r="R1900" s="1">
        <v>408539</v>
      </c>
      <c r="S1900">
        <v>99.022999999999996</v>
      </c>
      <c r="T1900">
        <v>98.274000000000001</v>
      </c>
      <c r="U1900">
        <v>2.8466999999999998</v>
      </c>
      <c r="V1900">
        <v>0</v>
      </c>
      <c r="W1900">
        <v>0</v>
      </c>
      <c r="X1900">
        <v>2.0844200000000002</v>
      </c>
      <c r="Y1900">
        <v>1.7820199999999999</v>
      </c>
      <c r="Z1900">
        <v>0</v>
      </c>
      <c r="AA1900">
        <v>1.61042</v>
      </c>
      <c r="AB1900">
        <v>3.3868800000000001</v>
      </c>
      <c r="AC1900" s="2">
        <v>1004480000</v>
      </c>
      <c r="AD1900" s="1">
        <v>0</v>
      </c>
      <c r="AE1900" s="1">
        <v>0</v>
      </c>
      <c r="AF1900" s="1">
        <v>0</v>
      </c>
      <c r="AG1900" s="1">
        <v>0</v>
      </c>
      <c r="AH1900" s="2">
        <v>5392900</v>
      </c>
      <c r="AI1900" s="1">
        <v>932666</v>
      </c>
      <c r="AJ1900" s="1">
        <v>0</v>
      </c>
      <c r="AK1900" s="8">
        <f t="shared" si="119"/>
        <v>27</v>
      </c>
      <c r="AL1900" s="8">
        <f t="shared" si="118"/>
        <v>37</v>
      </c>
      <c r="AM1900">
        <f t="shared" si="116"/>
        <v>0</v>
      </c>
      <c r="AN1900">
        <f t="shared" si="117"/>
        <v>0</v>
      </c>
    </row>
    <row r="1901" spans="1:40" x14ac:dyDescent="0.35">
      <c r="A1901">
        <v>76.219099999999997</v>
      </c>
      <c r="B1901">
        <v>85.138999999999996</v>
      </c>
      <c r="C1901">
        <v>1.6761999999999999</v>
      </c>
      <c r="D1901">
        <v>0.02</v>
      </c>
      <c r="E1901">
        <v>0.04</v>
      </c>
      <c r="F1901">
        <v>2.90354</v>
      </c>
      <c r="G1901">
        <v>3.20594</v>
      </c>
      <c r="H1901">
        <v>0</v>
      </c>
      <c r="I1901">
        <v>0.51690999999999998</v>
      </c>
      <c r="J1901">
        <v>5.3222399999999999</v>
      </c>
      <c r="K1901" s="2">
        <v>207405000</v>
      </c>
      <c r="L1901" s="1">
        <v>0</v>
      </c>
      <c r="M1901" s="1">
        <v>0</v>
      </c>
      <c r="N1901" s="1">
        <v>0</v>
      </c>
      <c r="O1901" s="1">
        <v>0</v>
      </c>
      <c r="P1901" s="2">
        <v>4340720</v>
      </c>
      <c r="Q1901" s="1">
        <v>-78961.8</v>
      </c>
      <c r="R1901" s="1">
        <v>408539</v>
      </c>
      <c r="S1901">
        <v>98.789699999999996</v>
      </c>
      <c r="T1901">
        <v>98.274000000000001</v>
      </c>
      <c r="U1901">
        <v>2.4771299999999998</v>
      </c>
      <c r="V1901">
        <v>0</v>
      </c>
      <c r="W1901">
        <v>0</v>
      </c>
      <c r="X1901">
        <v>2.1807799999999999</v>
      </c>
      <c r="Y1901">
        <v>1.8783799999999999</v>
      </c>
      <c r="Z1901">
        <v>0</v>
      </c>
      <c r="AA1901">
        <v>1.61042</v>
      </c>
      <c r="AB1901">
        <v>3.3868800000000001</v>
      </c>
      <c r="AC1901" s="2">
        <v>1005420000</v>
      </c>
      <c r="AD1901" s="1">
        <v>0</v>
      </c>
      <c r="AE1901" s="1">
        <v>0</v>
      </c>
      <c r="AF1901" s="1">
        <v>0</v>
      </c>
      <c r="AG1901" s="1">
        <v>0</v>
      </c>
      <c r="AH1901" s="2">
        <v>5642200</v>
      </c>
      <c r="AI1901" s="1">
        <v>940792</v>
      </c>
      <c r="AJ1901" s="1">
        <v>0</v>
      </c>
      <c r="AK1901" s="8">
        <f t="shared" si="119"/>
        <v>28</v>
      </c>
      <c r="AL1901" s="8">
        <f t="shared" si="118"/>
        <v>37</v>
      </c>
      <c r="AM1901">
        <f t="shared" si="116"/>
        <v>0</v>
      </c>
      <c r="AN1901">
        <f t="shared" si="117"/>
        <v>0</v>
      </c>
    </row>
    <row r="1902" spans="1:40" x14ac:dyDescent="0.35">
      <c r="A1902">
        <v>74.737799999999993</v>
      </c>
      <c r="B1902">
        <v>85.138999999999996</v>
      </c>
      <c r="C1902">
        <v>1.57423</v>
      </c>
      <c r="D1902">
        <v>0.02</v>
      </c>
      <c r="E1902">
        <v>0.04</v>
      </c>
      <c r="F1902">
        <v>2.9035600000000001</v>
      </c>
      <c r="G1902">
        <v>3.2059600000000001</v>
      </c>
      <c r="H1902">
        <v>0</v>
      </c>
      <c r="I1902">
        <v>0.54412300000000002</v>
      </c>
      <c r="J1902">
        <v>5.3222399999999999</v>
      </c>
      <c r="K1902" s="2">
        <v>207326000</v>
      </c>
      <c r="L1902" s="1">
        <v>0</v>
      </c>
      <c r="M1902" s="1">
        <v>0</v>
      </c>
      <c r="N1902" s="1">
        <v>0</v>
      </c>
      <c r="O1902" s="1">
        <v>0</v>
      </c>
      <c r="P1902" s="2">
        <v>4340750</v>
      </c>
      <c r="Q1902" s="1">
        <v>-78959.600000000006</v>
      </c>
      <c r="R1902" s="1">
        <v>408539</v>
      </c>
      <c r="S1902">
        <v>98.4773</v>
      </c>
      <c r="T1902">
        <v>98.274000000000001</v>
      </c>
      <c r="U1902">
        <v>2.2889599999999999</v>
      </c>
      <c r="V1902">
        <v>0</v>
      </c>
      <c r="W1902">
        <v>0</v>
      </c>
      <c r="X1902">
        <v>2.18079</v>
      </c>
      <c r="Y1902">
        <v>1.87839</v>
      </c>
      <c r="Z1902">
        <v>0</v>
      </c>
      <c r="AA1902">
        <v>1.6848700000000001</v>
      </c>
      <c r="AB1902">
        <v>3.3868800000000001</v>
      </c>
      <c r="AC1902" s="2">
        <v>1006360000</v>
      </c>
      <c r="AD1902" s="1">
        <v>0</v>
      </c>
      <c r="AE1902" s="1">
        <v>0</v>
      </c>
      <c r="AF1902" s="1">
        <v>0</v>
      </c>
      <c r="AG1902" s="1">
        <v>0</v>
      </c>
      <c r="AH1902" s="2">
        <v>5642230</v>
      </c>
      <c r="AI1902" s="1">
        <v>940793</v>
      </c>
      <c r="AJ1902" s="1">
        <v>0</v>
      </c>
      <c r="AK1902" s="8">
        <f t="shared" si="119"/>
        <v>29</v>
      </c>
      <c r="AL1902" s="8">
        <f t="shared" si="118"/>
        <v>37</v>
      </c>
      <c r="AM1902">
        <f t="shared" si="116"/>
        <v>0</v>
      </c>
      <c r="AN1902">
        <f t="shared" si="117"/>
        <v>0</v>
      </c>
    </row>
    <row r="1903" spans="1:40" x14ac:dyDescent="0.35">
      <c r="A1903">
        <v>73.146600000000007</v>
      </c>
      <c r="B1903">
        <v>85.138999999999996</v>
      </c>
      <c r="C1903">
        <v>1.43963</v>
      </c>
      <c r="D1903">
        <v>0.02</v>
      </c>
      <c r="E1903">
        <v>0.04</v>
      </c>
      <c r="F1903">
        <v>2.9035799999999998</v>
      </c>
      <c r="G1903">
        <v>3.2059799999999998</v>
      </c>
      <c r="H1903">
        <v>0</v>
      </c>
      <c r="I1903">
        <v>0.54412700000000003</v>
      </c>
      <c r="J1903">
        <v>5.3222399999999999</v>
      </c>
      <c r="K1903" s="2">
        <v>207247000</v>
      </c>
      <c r="L1903" s="1">
        <v>0</v>
      </c>
      <c r="M1903" s="1">
        <v>0</v>
      </c>
      <c r="N1903" s="1">
        <v>0</v>
      </c>
      <c r="O1903" s="1">
        <v>0</v>
      </c>
      <c r="P1903" s="2">
        <v>4340780</v>
      </c>
      <c r="Q1903" s="1">
        <v>-78957.399999999994</v>
      </c>
      <c r="R1903" s="1">
        <v>408539</v>
      </c>
      <c r="S1903">
        <v>98.064800000000005</v>
      </c>
      <c r="T1903">
        <v>98.274000000000001</v>
      </c>
      <c r="U1903">
        <v>2.0845899999999999</v>
      </c>
      <c r="V1903">
        <v>0</v>
      </c>
      <c r="W1903">
        <v>0</v>
      </c>
      <c r="X1903">
        <v>2.1808100000000001</v>
      </c>
      <c r="Y1903">
        <v>1.8784099999999999</v>
      </c>
      <c r="Z1903">
        <v>0</v>
      </c>
      <c r="AA1903">
        <v>1.6848799999999999</v>
      </c>
      <c r="AB1903">
        <v>3.3868800000000001</v>
      </c>
      <c r="AC1903" s="2">
        <v>1007300000</v>
      </c>
      <c r="AD1903" s="1">
        <v>0</v>
      </c>
      <c r="AE1903" s="1">
        <v>0</v>
      </c>
      <c r="AF1903" s="1">
        <v>0</v>
      </c>
      <c r="AG1903" s="1">
        <v>0</v>
      </c>
      <c r="AH1903" s="2">
        <v>5642260</v>
      </c>
      <c r="AI1903" s="1">
        <v>940794</v>
      </c>
      <c r="AJ1903" s="1">
        <v>0</v>
      </c>
      <c r="AK1903" s="8">
        <f t="shared" si="119"/>
        <v>30</v>
      </c>
      <c r="AL1903" s="8">
        <f t="shared" si="118"/>
        <v>37</v>
      </c>
      <c r="AM1903">
        <f t="shared" si="116"/>
        <v>0</v>
      </c>
      <c r="AN1903">
        <f t="shared" si="117"/>
        <v>0</v>
      </c>
    </row>
    <row r="1904" spans="1:40" x14ac:dyDescent="0.35">
      <c r="A1904">
        <v>71.513300000000001</v>
      </c>
      <c r="B1904">
        <v>85.138999999999996</v>
      </c>
      <c r="C1904">
        <v>1.3322499999999999</v>
      </c>
      <c r="D1904">
        <v>0.02</v>
      </c>
      <c r="E1904">
        <v>0.04</v>
      </c>
      <c r="F1904">
        <v>2.9036</v>
      </c>
      <c r="G1904">
        <v>3.206</v>
      </c>
      <c r="H1904">
        <v>0</v>
      </c>
      <c r="I1904">
        <v>0.54413100000000003</v>
      </c>
      <c r="J1904">
        <v>5.3222399999999999</v>
      </c>
      <c r="K1904" s="2">
        <v>207168000</v>
      </c>
      <c r="L1904" s="1">
        <v>0</v>
      </c>
      <c r="M1904" s="1">
        <v>0</v>
      </c>
      <c r="N1904" s="1">
        <v>0</v>
      </c>
      <c r="O1904" s="1">
        <v>0</v>
      </c>
      <c r="P1904" s="2">
        <v>4340810</v>
      </c>
      <c r="Q1904" s="1">
        <v>-78955.199999999997</v>
      </c>
      <c r="R1904" s="1">
        <v>408539</v>
      </c>
      <c r="S1904">
        <v>97.713899999999995</v>
      </c>
      <c r="T1904">
        <v>98.274000000000001</v>
      </c>
      <c r="U1904">
        <v>2.0052599999999998</v>
      </c>
      <c r="V1904">
        <v>0</v>
      </c>
      <c r="W1904">
        <v>0</v>
      </c>
      <c r="X1904">
        <v>2.1808200000000002</v>
      </c>
      <c r="Y1904">
        <v>1.87842</v>
      </c>
      <c r="Z1904">
        <v>0</v>
      </c>
      <c r="AA1904">
        <v>1.68489</v>
      </c>
      <c r="AB1904">
        <v>3.3868800000000001</v>
      </c>
      <c r="AC1904" s="2">
        <v>1008240000</v>
      </c>
      <c r="AD1904" s="1">
        <v>0</v>
      </c>
      <c r="AE1904" s="1">
        <v>0</v>
      </c>
      <c r="AF1904" s="1">
        <v>0</v>
      </c>
      <c r="AG1904" s="1">
        <v>0</v>
      </c>
      <c r="AH1904" s="2">
        <v>5642300</v>
      </c>
      <c r="AI1904" s="1">
        <v>940795</v>
      </c>
      <c r="AJ1904" s="1">
        <v>0</v>
      </c>
      <c r="AK1904" s="8">
        <f t="shared" si="119"/>
        <v>31</v>
      </c>
      <c r="AL1904" s="8">
        <f t="shared" si="118"/>
        <v>37</v>
      </c>
      <c r="AM1904">
        <f t="shared" si="116"/>
        <v>0</v>
      </c>
      <c r="AN1904">
        <f t="shared" si="117"/>
        <v>0</v>
      </c>
    </row>
    <row r="1905" spans="1:40" x14ac:dyDescent="0.35">
      <c r="A1905">
        <v>70.6875</v>
      </c>
      <c r="B1905">
        <v>85.138999999999996</v>
      </c>
      <c r="C1905">
        <v>2.1431900000000002</v>
      </c>
      <c r="D1905">
        <v>0.02</v>
      </c>
      <c r="E1905">
        <v>0.04</v>
      </c>
      <c r="F1905">
        <v>2.9036200000000001</v>
      </c>
      <c r="G1905">
        <v>3.2060200000000001</v>
      </c>
      <c r="H1905">
        <v>0</v>
      </c>
      <c r="I1905">
        <v>0.54413500000000004</v>
      </c>
      <c r="J1905">
        <v>5.3222399999999999</v>
      </c>
      <c r="K1905" s="2">
        <v>207089000</v>
      </c>
      <c r="L1905" s="1">
        <v>0</v>
      </c>
      <c r="M1905" s="1">
        <v>0</v>
      </c>
      <c r="N1905" s="1">
        <v>0</v>
      </c>
      <c r="O1905" s="1">
        <v>0</v>
      </c>
      <c r="P1905" s="2">
        <v>4340850</v>
      </c>
      <c r="Q1905" s="1">
        <v>-78953</v>
      </c>
      <c r="R1905" s="1">
        <v>408539</v>
      </c>
      <c r="S1905">
        <v>97.466700000000003</v>
      </c>
      <c r="T1905">
        <v>98.274000000000001</v>
      </c>
      <c r="U1905">
        <v>2.7351200000000002</v>
      </c>
      <c r="V1905">
        <v>0</v>
      </c>
      <c r="W1905">
        <v>0</v>
      </c>
      <c r="X1905">
        <v>2.1808299999999998</v>
      </c>
      <c r="Y1905">
        <v>1.87843</v>
      </c>
      <c r="Z1905">
        <v>0</v>
      </c>
      <c r="AA1905">
        <v>1.6849000000000001</v>
      </c>
      <c r="AB1905">
        <v>3.3868800000000001</v>
      </c>
      <c r="AC1905" s="2">
        <v>1009180000</v>
      </c>
      <c r="AD1905" s="1">
        <v>0</v>
      </c>
      <c r="AE1905" s="1">
        <v>0</v>
      </c>
      <c r="AF1905" s="1">
        <v>0</v>
      </c>
      <c r="AG1905" s="1">
        <v>0</v>
      </c>
      <c r="AH1905" s="2">
        <v>5642330</v>
      </c>
      <c r="AI1905" s="1">
        <v>940796</v>
      </c>
      <c r="AJ1905" s="1">
        <v>0</v>
      </c>
      <c r="AK1905" s="8">
        <f t="shared" si="119"/>
        <v>32</v>
      </c>
      <c r="AL1905" s="8">
        <f t="shared" si="118"/>
        <v>37</v>
      </c>
      <c r="AM1905">
        <f t="shared" si="116"/>
        <v>0</v>
      </c>
      <c r="AN1905">
        <f t="shared" si="117"/>
        <v>0</v>
      </c>
    </row>
    <row r="1906" spans="1:40" x14ac:dyDescent="0.35">
      <c r="A1906">
        <v>69.797799999999995</v>
      </c>
      <c r="B1906">
        <v>85.138999999999996</v>
      </c>
      <c r="C1906">
        <v>2.0309300000000001</v>
      </c>
      <c r="D1906">
        <v>0.02</v>
      </c>
      <c r="E1906">
        <v>0.04</v>
      </c>
      <c r="F1906">
        <v>2.87493</v>
      </c>
      <c r="G1906">
        <v>3.17733</v>
      </c>
      <c r="H1906">
        <v>0</v>
      </c>
      <c r="I1906">
        <v>0.54413900000000004</v>
      </c>
      <c r="J1906">
        <v>5.3222399999999999</v>
      </c>
      <c r="K1906" s="2">
        <v>207007000</v>
      </c>
      <c r="L1906" s="1">
        <v>0</v>
      </c>
      <c r="M1906" s="1">
        <v>0</v>
      </c>
      <c r="N1906" s="1">
        <v>0</v>
      </c>
      <c r="O1906" s="1">
        <v>0</v>
      </c>
      <c r="P1906" s="2">
        <v>4297950</v>
      </c>
      <c r="Q1906" s="1">
        <v>-81902.7</v>
      </c>
      <c r="R1906" s="1">
        <v>408539</v>
      </c>
      <c r="S1906">
        <v>97.188500000000005</v>
      </c>
      <c r="T1906">
        <v>98.274000000000001</v>
      </c>
      <c r="U1906">
        <v>2.65205</v>
      </c>
      <c r="V1906">
        <v>0</v>
      </c>
      <c r="W1906">
        <v>0</v>
      </c>
      <c r="X1906">
        <v>2.2338</v>
      </c>
      <c r="Y1906">
        <v>1.9314</v>
      </c>
      <c r="Z1906">
        <v>0</v>
      </c>
      <c r="AA1906">
        <v>1.6849099999999999</v>
      </c>
      <c r="AB1906">
        <v>3.3868800000000001</v>
      </c>
      <c r="AC1906" s="2">
        <v>1010120000</v>
      </c>
      <c r="AD1906" s="1">
        <v>0</v>
      </c>
      <c r="AE1906" s="1">
        <v>0</v>
      </c>
      <c r="AF1906" s="1">
        <v>0</v>
      </c>
      <c r="AG1906" s="1">
        <v>0</v>
      </c>
      <c r="AH1906" s="2">
        <v>5779370</v>
      </c>
      <c r="AI1906" s="1">
        <v>945263</v>
      </c>
      <c r="AJ1906" s="1">
        <v>0</v>
      </c>
      <c r="AK1906" s="8">
        <f t="shared" si="119"/>
        <v>33</v>
      </c>
      <c r="AL1906" s="8">
        <f t="shared" si="118"/>
        <v>37</v>
      </c>
      <c r="AM1906">
        <f t="shared" si="116"/>
        <v>0</v>
      </c>
      <c r="AN1906">
        <f t="shared" si="117"/>
        <v>0</v>
      </c>
    </row>
    <row r="1907" spans="1:40" x14ac:dyDescent="0.35">
      <c r="A1907">
        <v>68.790300000000002</v>
      </c>
      <c r="B1907">
        <v>85.138999999999996</v>
      </c>
      <c r="C1907">
        <v>1.8950400000000001</v>
      </c>
      <c r="D1907">
        <v>0.02</v>
      </c>
      <c r="E1907">
        <v>0.04</v>
      </c>
      <c r="F1907">
        <v>2.8749500000000001</v>
      </c>
      <c r="G1907">
        <v>3.1773500000000001</v>
      </c>
      <c r="H1907">
        <v>0</v>
      </c>
      <c r="I1907">
        <v>0.53876199999999996</v>
      </c>
      <c r="J1907">
        <v>5.3222399999999999</v>
      </c>
      <c r="K1907" s="2">
        <v>206926000</v>
      </c>
      <c r="L1907" s="1">
        <v>0</v>
      </c>
      <c r="M1907" s="1">
        <v>0</v>
      </c>
      <c r="N1907" s="1">
        <v>0</v>
      </c>
      <c r="O1907" s="1">
        <v>0</v>
      </c>
      <c r="P1907" s="2">
        <v>4297980</v>
      </c>
      <c r="Q1907" s="1">
        <v>-81900.600000000006</v>
      </c>
      <c r="R1907" s="1">
        <v>408539</v>
      </c>
      <c r="S1907">
        <v>96.825299999999999</v>
      </c>
      <c r="T1907">
        <v>98.274000000000001</v>
      </c>
      <c r="U1907">
        <v>2.48637</v>
      </c>
      <c r="V1907">
        <v>0</v>
      </c>
      <c r="W1907">
        <v>0</v>
      </c>
      <c r="X1907">
        <v>2.2338100000000001</v>
      </c>
      <c r="Y1907">
        <v>1.9314100000000001</v>
      </c>
      <c r="Z1907">
        <v>0</v>
      </c>
      <c r="AA1907">
        <v>1.72583</v>
      </c>
      <c r="AB1907">
        <v>3.3868800000000001</v>
      </c>
      <c r="AC1907" s="2">
        <v>1011070000</v>
      </c>
      <c r="AD1907" s="1">
        <v>0</v>
      </c>
      <c r="AE1907" s="1">
        <v>0</v>
      </c>
      <c r="AF1907" s="1">
        <v>0</v>
      </c>
      <c r="AG1907" s="1">
        <v>0</v>
      </c>
      <c r="AH1907" s="2">
        <v>5779400</v>
      </c>
      <c r="AI1907" s="1">
        <v>945264</v>
      </c>
      <c r="AJ1907" s="1">
        <v>0</v>
      </c>
      <c r="AK1907" s="8">
        <f t="shared" si="119"/>
        <v>34</v>
      </c>
      <c r="AL1907" s="8">
        <f t="shared" si="118"/>
        <v>37</v>
      </c>
      <c r="AM1907">
        <f t="shared" si="116"/>
        <v>0</v>
      </c>
      <c r="AN1907">
        <f t="shared" si="117"/>
        <v>0</v>
      </c>
    </row>
    <row r="1908" spans="1:40" x14ac:dyDescent="0.35">
      <c r="A1908">
        <v>67.690399999999997</v>
      </c>
      <c r="B1908">
        <v>85.138999999999996</v>
      </c>
      <c r="C1908">
        <v>1.7889699999999999</v>
      </c>
      <c r="D1908">
        <v>0.02</v>
      </c>
      <c r="E1908">
        <v>0.04</v>
      </c>
      <c r="F1908">
        <v>2.8749699999999998</v>
      </c>
      <c r="G1908">
        <v>3.1773699999999998</v>
      </c>
      <c r="H1908">
        <v>0</v>
      </c>
      <c r="I1908">
        <v>0.53876599999999997</v>
      </c>
      <c r="J1908">
        <v>5.3222399999999999</v>
      </c>
      <c r="K1908" s="2">
        <v>206844000</v>
      </c>
      <c r="L1908" s="1">
        <v>0</v>
      </c>
      <c r="M1908" s="1">
        <v>0</v>
      </c>
      <c r="N1908" s="1">
        <v>0</v>
      </c>
      <c r="O1908" s="1">
        <v>0</v>
      </c>
      <c r="P1908" s="2">
        <v>4298010</v>
      </c>
      <c r="Q1908" s="1">
        <v>-81898.399999999994</v>
      </c>
      <c r="R1908" s="1">
        <v>408539</v>
      </c>
      <c r="S1908">
        <v>96.422200000000004</v>
      </c>
      <c r="T1908">
        <v>98.274000000000001</v>
      </c>
      <c r="U1908">
        <v>2.3403800000000001</v>
      </c>
      <c r="V1908">
        <v>0</v>
      </c>
      <c r="W1908">
        <v>0</v>
      </c>
      <c r="X1908">
        <v>2.2338200000000001</v>
      </c>
      <c r="Y1908">
        <v>1.9314199999999999</v>
      </c>
      <c r="Z1908">
        <v>0</v>
      </c>
      <c r="AA1908">
        <v>1.72584</v>
      </c>
      <c r="AB1908">
        <v>3.3868800000000001</v>
      </c>
      <c r="AC1908" s="2">
        <v>1012020000</v>
      </c>
      <c r="AD1908" s="1">
        <v>0</v>
      </c>
      <c r="AE1908" s="1">
        <v>0</v>
      </c>
      <c r="AF1908" s="1">
        <v>0</v>
      </c>
      <c r="AG1908" s="1">
        <v>0</v>
      </c>
      <c r="AH1908" s="2">
        <v>5779430</v>
      </c>
      <c r="AI1908" s="1">
        <v>945265</v>
      </c>
      <c r="AJ1908" s="1">
        <v>0</v>
      </c>
      <c r="AK1908" s="8">
        <f t="shared" si="119"/>
        <v>35</v>
      </c>
      <c r="AL1908" s="8">
        <f t="shared" si="118"/>
        <v>37</v>
      </c>
      <c r="AM1908">
        <f t="shared" si="116"/>
        <v>0</v>
      </c>
      <c r="AN1908">
        <f t="shared" si="117"/>
        <v>0</v>
      </c>
    </row>
    <row r="1909" spans="1:40" x14ac:dyDescent="0.35">
      <c r="A1909">
        <v>66.658000000000001</v>
      </c>
      <c r="B1909">
        <v>85.138999999999996</v>
      </c>
      <c r="C1909">
        <v>1.83369</v>
      </c>
      <c r="D1909">
        <v>0.02</v>
      </c>
      <c r="E1909">
        <v>0.04</v>
      </c>
      <c r="F1909">
        <v>2.8749899999999999</v>
      </c>
      <c r="G1909">
        <v>3.1773899999999999</v>
      </c>
      <c r="H1909">
        <v>0</v>
      </c>
      <c r="I1909">
        <v>0.53876999999999997</v>
      </c>
      <c r="J1909">
        <v>5.3222399999999999</v>
      </c>
      <c r="K1909" s="2">
        <v>206762000</v>
      </c>
      <c r="L1909" s="1">
        <v>0</v>
      </c>
      <c r="M1909" s="1">
        <v>0</v>
      </c>
      <c r="N1909" s="1">
        <v>0</v>
      </c>
      <c r="O1909" s="1">
        <v>0</v>
      </c>
      <c r="P1909" s="2">
        <v>4298040</v>
      </c>
      <c r="Q1909" s="1">
        <v>-81896.2</v>
      </c>
      <c r="R1909" s="1">
        <v>408539</v>
      </c>
      <c r="S1909">
        <v>96.102999999999994</v>
      </c>
      <c r="T1909">
        <v>98.274000000000001</v>
      </c>
      <c r="U1909">
        <v>2.4764200000000001</v>
      </c>
      <c r="V1909">
        <v>0</v>
      </c>
      <c r="W1909">
        <v>0</v>
      </c>
      <c r="X1909">
        <v>2.2338399999999998</v>
      </c>
      <c r="Y1909">
        <v>1.93144</v>
      </c>
      <c r="Z1909">
        <v>0</v>
      </c>
      <c r="AA1909">
        <v>1.7258500000000001</v>
      </c>
      <c r="AB1909">
        <v>3.3868800000000001</v>
      </c>
      <c r="AC1909" s="2">
        <v>1012960000</v>
      </c>
      <c r="AD1909" s="1">
        <v>0</v>
      </c>
      <c r="AE1909" s="1">
        <v>0</v>
      </c>
      <c r="AF1909" s="1">
        <v>0</v>
      </c>
      <c r="AG1909" s="1">
        <v>0</v>
      </c>
      <c r="AH1909" s="2">
        <v>5779470</v>
      </c>
      <c r="AI1909" s="1">
        <v>945267</v>
      </c>
      <c r="AJ1909" s="1">
        <v>0</v>
      </c>
      <c r="AK1909" s="8">
        <f t="shared" si="119"/>
        <v>36</v>
      </c>
      <c r="AL1909" s="8">
        <f t="shared" si="118"/>
        <v>37</v>
      </c>
      <c r="AM1909">
        <f t="shared" si="116"/>
        <v>0</v>
      </c>
      <c r="AN1909">
        <f t="shared" si="117"/>
        <v>0</v>
      </c>
    </row>
    <row r="1910" spans="1:40" x14ac:dyDescent="0.35">
      <c r="A1910">
        <v>65.616100000000003</v>
      </c>
      <c r="B1910">
        <v>85.138999999999996</v>
      </c>
      <c r="C1910">
        <v>1.8633200000000001</v>
      </c>
      <c r="D1910">
        <v>0.02</v>
      </c>
      <c r="E1910">
        <v>0.04</v>
      </c>
      <c r="F1910">
        <v>2.9491700000000001</v>
      </c>
      <c r="G1910">
        <v>3.2515700000000001</v>
      </c>
      <c r="H1910">
        <v>0</v>
      </c>
      <c r="I1910">
        <v>0.53877399999999998</v>
      </c>
      <c r="J1910">
        <v>5.3222399999999999</v>
      </c>
      <c r="K1910" s="2">
        <v>206687000</v>
      </c>
      <c r="L1910" s="1">
        <v>0</v>
      </c>
      <c r="M1910" s="1">
        <v>0</v>
      </c>
      <c r="N1910" s="1">
        <v>0</v>
      </c>
      <c r="O1910" s="1">
        <v>0</v>
      </c>
      <c r="P1910" s="2">
        <v>4408930</v>
      </c>
      <c r="Q1910" s="1">
        <v>-74270.8</v>
      </c>
      <c r="R1910" s="1">
        <v>408539</v>
      </c>
      <c r="S1910">
        <v>95.819299999999998</v>
      </c>
      <c r="T1910">
        <v>98.274000000000001</v>
      </c>
      <c r="U1910">
        <v>2.7132000000000001</v>
      </c>
      <c r="V1910">
        <v>0</v>
      </c>
      <c r="W1910">
        <v>0</v>
      </c>
      <c r="X1910">
        <v>2.28105</v>
      </c>
      <c r="Y1910">
        <v>1.97865</v>
      </c>
      <c r="Z1910">
        <v>0</v>
      </c>
      <c r="AA1910">
        <v>1.7258599999999999</v>
      </c>
      <c r="AB1910">
        <v>3.3868800000000001</v>
      </c>
      <c r="AC1910" s="2">
        <v>1013910000</v>
      </c>
      <c r="AD1910" s="1">
        <v>0</v>
      </c>
      <c r="AE1910" s="1">
        <v>0</v>
      </c>
      <c r="AF1910" s="1">
        <v>0</v>
      </c>
      <c r="AG1910" s="1">
        <v>0</v>
      </c>
      <c r="AH1910" s="2">
        <v>5901610</v>
      </c>
      <c r="AI1910" s="1">
        <v>949248</v>
      </c>
      <c r="AJ1910" s="1">
        <v>0</v>
      </c>
      <c r="AK1910" s="8">
        <f t="shared" si="119"/>
        <v>37</v>
      </c>
      <c r="AL1910" s="8">
        <f t="shared" si="118"/>
        <v>37</v>
      </c>
      <c r="AM1910">
        <f t="shared" si="116"/>
        <v>0</v>
      </c>
      <c r="AN1910">
        <f t="shared" si="117"/>
        <v>0</v>
      </c>
    </row>
    <row r="1911" spans="1:40" x14ac:dyDescent="0.35">
      <c r="A1911">
        <v>64.383099999999999</v>
      </c>
      <c r="B1911">
        <v>85.138999999999996</v>
      </c>
      <c r="C1911">
        <v>1.6561999999999999</v>
      </c>
      <c r="D1911">
        <v>0.02</v>
      </c>
      <c r="E1911">
        <v>0.04</v>
      </c>
      <c r="F1911">
        <v>2.9491900000000002</v>
      </c>
      <c r="G1911">
        <v>3.2515900000000002</v>
      </c>
      <c r="H1911">
        <v>0</v>
      </c>
      <c r="I1911">
        <v>0.552674</v>
      </c>
      <c r="J1911">
        <v>5.3222399999999999</v>
      </c>
      <c r="K1911" s="2">
        <v>206613000</v>
      </c>
      <c r="L1911" s="1">
        <v>0</v>
      </c>
      <c r="M1911" s="1">
        <v>0</v>
      </c>
      <c r="N1911" s="1">
        <v>0</v>
      </c>
      <c r="O1911" s="1">
        <v>0</v>
      </c>
      <c r="P1911" s="2">
        <v>4408970</v>
      </c>
      <c r="Q1911" s="1">
        <v>-74268.600000000006</v>
      </c>
      <c r="R1911" s="1">
        <v>408539</v>
      </c>
      <c r="S1911">
        <v>95.493399999999994</v>
      </c>
      <c r="T1911">
        <v>98.274000000000001</v>
      </c>
      <c r="U1911">
        <v>2.57999</v>
      </c>
      <c r="V1911">
        <v>0</v>
      </c>
      <c r="W1911">
        <v>0</v>
      </c>
      <c r="X1911">
        <v>2.2810600000000001</v>
      </c>
      <c r="Y1911">
        <v>1.9786600000000001</v>
      </c>
      <c r="Z1911">
        <v>0</v>
      </c>
      <c r="AA1911">
        <v>1.76234</v>
      </c>
      <c r="AB1911">
        <v>3.3868800000000001</v>
      </c>
      <c r="AC1911" s="2">
        <v>1014860000</v>
      </c>
      <c r="AD1911" s="1">
        <v>0</v>
      </c>
      <c r="AE1911" s="1">
        <v>0</v>
      </c>
      <c r="AF1911" s="1">
        <v>0</v>
      </c>
      <c r="AG1911" s="1">
        <v>0</v>
      </c>
      <c r="AH1911" s="2">
        <v>5901640</v>
      </c>
      <c r="AI1911" s="1">
        <v>949249</v>
      </c>
      <c r="AJ1911" s="1">
        <v>0</v>
      </c>
      <c r="AK1911" s="8">
        <f t="shared" si="119"/>
        <v>38</v>
      </c>
      <c r="AL1911" s="8">
        <f t="shared" si="118"/>
        <v>37</v>
      </c>
      <c r="AM1911">
        <f t="shared" si="116"/>
        <v>0</v>
      </c>
      <c r="AN1911">
        <f t="shared" si="117"/>
        <v>0</v>
      </c>
    </row>
    <row r="1912" spans="1:40" x14ac:dyDescent="0.35">
      <c r="A1912">
        <v>63.029400000000003</v>
      </c>
      <c r="B1912">
        <v>85.138999999999996</v>
      </c>
      <c r="C1912">
        <v>1.51701</v>
      </c>
      <c r="D1912">
        <v>0.02</v>
      </c>
      <c r="E1912">
        <v>0.04</v>
      </c>
      <c r="F1912">
        <v>2.9492099999999999</v>
      </c>
      <c r="G1912">
        <v>3.2516099999999999</v>
      </c>
      <c r="H1912">
        <v>0</v>
      </c>
      <c r="I1912">
        <v>0.55267900000000003</v>
      </c>
      <c r="J1912">
        <v>5.3222399999999999</v>
      </c>
      <c r="K1912" s="2">
        <v>206539000</v>
      </c>
      <c r="L1912" s="1">
        <v>0</v>
      </c>
      <c r="M1912" s="1">
        <v>0</v>
      </c>
      <c r="N1912" s="1">
        <v>0</v>
      </c>
      <c r="O1912" s="1">
        <v>0</v>
      </c>
      <c r="P1912" s="2">
        <v>4409000</v>
      </c>
      <c r="Q1912" s="1">
        <v>-74266.399999999994</v>
      </c>
      <c r="R1912" s="1">
        <v>408539</v>
      </c>
      <c r="S1912">
        <v>95.146000000000001</v>
      </c>
      <c r="T1912">
        <v>98.274000000000001</v>
      </c>
      <c r="U1912">
        <v>2.4139900000000001</v>
      </c>
      <c r="V1912">
        <v>0</v>
      </c>
      <c r="W1912">
        <v>0</v>
      </c>
      <c r="X1912">
        <v>2.2810700000000002</v>
      </c>
      <c r="Y1912">
        <v>1.9786699999999999</v>
      </c>
      <c r="Z1912">
        <v>0</v>
      </c>
      <c r="AA1912">
        <v>1.7623500000000001</v>
      </c>
      <c r="AB1912">
        <v>3.3868800000000001</v>
      </c>
      <c r="AC1912" s="2">
        <v>1015810000</v>
      </c>
      <c r="AD1912" s="1">
        <v>0</v>
      </c>
      <c r="AE1912" s="1">
        <v>0</v>
      </c>
      <c r="AF1912" s="1">
        <v>0</v>
      </c>
      <c r="AG1912" s="1">
        <v>0</v>
      </c>
      <c r="AH1912" s="2">
        <v>5901680</v>
      </c>
      <c r="AI1912" s="1">
        <v>949250</v>
      </c>
      <c r="AJ1912" s="1">
        <v>0</v>
      </c>
      <c r="AK1912" s="8">
        <f t="shared" si="119"/>
        <v>39</v>
      </c>
      <c r="AL1912" s="8">
        <f t="shared" si="118"/>
        <v>37</v>
      </c>
      <c r="AM1912">
        <f t="shared" si="116"/>
        <v>0</v>
      </c>
      <c r="AN1912">
        <f t="shared" si="117"/>
        <v>0</v>
      </c>
    </row>
    <row r="1913" spans="1:40" x14ac:dyDescent="0.35">
      <c r="A1913">
        <v>61.590299999999999</v>
      </c>
      <c r="B1913">
        <v>85.138999999999996</v>
      </c>
      <c r="C1913">
        <v>1.39391</v>
      </c>
      <c r="D1913">
        <v>0.02</v>
      </c>
      <c r="E1913">
        <v>0.04</v>
      </c>
      <c r="F1913">
        <v>2.94923</v>
      </c>
      <c r="G1913">
        <v>3.25163</v>
      </c>
      <c r="H1913">
        <v>0</v>
      </c>
      <c r="I1913">
        <v>0.55268300000000004</v>
      </c>
      <c r="J1913">
        <v>5.3222399999999999</v>
      </c>
      <c r="K1913" s="2">
        <v>206465000</v>
      </c>
      <c r="L1913" s="1">
        <v>0</v>
      </c>
      <c r="M1913" s="1">
        <v>0</v>
      </c>
      <c r="N1913" s="1">
        <v>0</v>
      </c>
      <c r="O1913" s="1">
        <v>0</v>
      </c>
      <c r="P1913" s="2">
        <v>4409030</v>
      </c>
      <c r="Q1913" s="1">
        <v>-74264.2</v>
      </c>
      <c r="R1913" s="1">
        <v>408539</v>
      </c>
      <c r="S1913">
        <v>94.794899999999998</v>
      </c>
      <c r="T1913">
        <v>98.274000000000001</v>
      </c>
      <c r="U1913">
        <v>2.4152</v>
      </c>
      <c r="V1913">
        <v>0</v>
      </c>
      <c r="W1913">
        <v>0</v>
      </c>
      <c r="X1913">
        <v>2.2810800000000002</v>
      </c>
      <c r="Y1913">
        <v>1.97868</v>
      </c>
      <c r="Z1913">
        <v>0</v>
      </c>
      <c r="AA1913">
        <v>1.7623599999999999</v>
      </c>
      <c r="AB1913">
        <v>3.3868800000000001</v>
      </c>
      <c r="AC1913" s="2">
        <v>1016760000</v>
      </c>
      <c r="AD1913" s="1">
        <v>0</v>
      </c>
      <c r="AE1913" s="1">
        <v>0</v>
      </c>
      <c r="AF1913" s="1">
        <v>0</v>
      </c>
      <c r="AG1913" s="1">
        <v>0</v>
      </c>
      <c r="AH1913" s="2">
        <v>5901710</v>
      </c>
      <c r="AI1913" s="1">
        <v>949251</v>
      </c>
      <c r="AJ1913" s="1">
        <v>0</v>
      </c>
      <c r="AK1913" s="8">
        <f t="shared" si="119"/>
        <v>40</v>
      </c>
      <c r="AL1913" s="8">
        <f t="shared" si="118"/>
        <v>37</v>
      </c>
      <c r="AM1913">
        <f t="shared" si="116"/>
        <v>0</v>
      </c>
      <c r="AN1913">
        <f t="shared" si="117"/>
        <v>0</v>
      </c>
    </row>
    <row r="1914" spans="1:40" x14ac:dyDescent="0.35">
      <c r="A1914">
        <v>60.28</v>
      </c>
      <c r="B1914">
        <v>85.138999999999996</v>
      </c>
      <c r="C1914">
        <v>1.65523</v>
      </c>
      <c r="D1914">
        <v>0.02</v>
      </c>
      <c r="E1914">
        <v>0.04</v>
      </c>
      <c r="F1914">
        <v>3.16642</v>
      </c>
      <c r="G1914">
        <v>3.46882</v>
      </c>
      <c r="H1914">
        <v>0</v>
      </c>
      <c r="I1914">
        <v>0.55268700000000004</v>
      </c>
      <c r="J1914">
        <v>5.3222399999999999</v>
      </c>
      <c r="K1914" s="2">
        <v>206413000</v>
      </c>
      <c r="L1914" s="1">
        <v>0</v>
      </c>
      <c r="M1914" s="1">
        <v>0</v>
      </c>
      <c r="N1914" s="1">
        <v>0</v>
      </c>
      <c r="O1914" s="1">
        <v>0</v>
      </c>
      <c r="P1914" s="2">
        <v>4733720</v>
      </c>
      <c r="Q1914" s="1">
        <v>-51937.1</v>
      </c>
      <c r="R1914" s="1">
        <v>408539</v>
      </c>
      <c r="S1914">
        <v>94.445499999999996</v>
      </c>
      <c r="T1914">
        <v>98.274000000000001</v>
      </c>
      <c r="U1914">
        <v>2.4340899999999999</v>
      </c>
      <c r="V1914">
        <v>0</v>
      </c>
      <c r="W1914">
        <v>0</v>
      </c>
      <c r="X1914">
        <v>2.45146</v>
      </c>
      <c r="Y1914">
        <v>2.14906</v>
      </c>
      <c r="Z1914">
        <v>0</v>
      </c>
      <c r="AA1914">
        <v>1.76237</v>
      </c>
      <c r="AB1914">
        <v>3.3868800000000001</v>
      </c>
      <c r="AC1914" s="2">
        <v>1017720000</v>
      </c>
      <c r="AD1914" s="1">
        <v>0</v>
      </c>
      <c r="AE1914" s="1">
        <v>0</v>
      </c>
      <c r="AF1914" s="1">
        <v>0</v>
      </c>
      <c r="AG1914" s="1">
        <v>0</v>
      </c>
      <c r="AH1914" s="2">
        <v>6342500</v>
      </c>
      <c r="AI1914" s="1">
        <v>963619</v>
      </c>
      <c r="AJ1914" s="1">
        <v>0</v>
      </c>
      <c r="AK1914" s="8">
        <f t="shared" si="119"/>
        <v>41</v>
      </c>
      <c r="AL1914" s="8">
        <f t="shared" si="118"/>
        <v>37</v>
      </c>
      <c r="AM1914">
        <f t="shared" si="116"/>
        <v>0</v>
      </c>
      <c r="AN1914">
        <f t="shared" si="117"/>
        <v>0</v>
      </c>
    </row>
    <row r="1915" spans="1:40" x14ac:dyDescent="0.35">
      <c r="A1915">
        <v>59.085299999999997</v>
      </c>
      <c r="B1915">
        <v>85.138999999999996</v>
      </c>
      <c r="C1915">
        <v>1.7821</v>
      </c>
      <c r="D1915">
        <v>0.02</v>
      </c>
      <c r="E1915">
        <v>0.04</v>
      </c>
      <c r="F1915">
        <v>3.1664400000000001</v>
      </c>
      <c r="G1915">
        <v>3.4688400000000001</v>
      </c>
      <c r="H1915">
        <v>0</v>
      </c>
      <c r="I1915">
        <v>0.593387</v>
      </c>
      <c r="J1915">
        <v>5.3222399999999999</v>
      </c>
      <c r="K1915" s="2">
        <v>206361000</v>
      </c>
      <c r="L1915" s="1">
        <v>0</v>
      </c>
      <c r="M1915" s="1">
        <v>0</v>
      </c>
      <c r="N1915" s="1">
        <v>0</v>
      </c>
      <c r="O1915" s="1">
        <v>0</v>
      </c>
      <c r="P1915" s="2">
        <v>4733750</v>
      </c>
      <c r="Q1915" s="1">
        <v>-51934.7</v>
      </c>
      <c r="R1915" s="1">
        <v>408539</v>
      </c>
      <c r="S1915">
        <v>94.237099999999998</v>
      </c>
      <c r="T1915">
        <v>98.274000000000001</v>
      </c>
      <c r="U1915">
        <v>2.9680599999999999</v>
      </c>
      <c r="V1915">
        <v>0</v>
      </c>
      <c r="W1915">
        <v>0</v>
      </c>
      <c r="X1915">
        <v>2.45147</v>
      </c>
      <c r="Y1915">
        <v>2.14907</v>
      </c>
      <c r="Z1915">
        <v>0</v>
      </c>
      <c r="AA1915">
        <v>1.8939900000000001</v>
      </c>
      <c r="AB1915">
        <v>3.3868800000000001</v>
      </c>
      <c r="AC1915" s="2">
        <v>1018680000</v>
      </c>
      <c r="AD1915" s="1">
        <v>0</v>
      </c>
      <c r="AE1915" s="1">
        <v>0</v>
      </c>
      <c r="AF1915" s="1">
        <v>0</v>
      </c>
      <c r="AG1915" s="1">
        <v>0</v>
      </c>
      <c r="AH1915" s="2">
        <v>6342540</v>
      </c>
      <c r="AI1915" s="1">
        <v>963620</v>
      </c>
      <c r="AJ1915" s="1">
        <v>0</v>
      </c>
      <c r="AK1915" s="8">
        <f t="shared" si="119"/>
        <v>42</v>
      </c>
      <c r="AL1915" s="8">
        <f t="shared" si="118"/>
        <v>37</v>
      </c>
      <c r="AM1915">
        <f t="shared" si="116"/>
        <v>0</v>
      </c>
      <c r="AN1915">
        <f t="shared" si="117"/>
        <v>0</v>
      </c>
    </row>
    <row r="1916" spans="1:40" x14ac:dyDescent="0.35">
      <c r="A1916">
        <v>57.6096</v>
      </c>
      <c r="B1916">
        <v>85.138999999999996</v>
      </c>
      <c r="C1916">
        <v>1.47732</v>
      </c>
      <c r="D1916">
        <v>0.04</v>
      </c>
      <c r="E1916">
        <v>0.04</v>
      </c>
      <c r="F1916">
        <v>3.1664699999999999</v>
      </c>
      <c r="G1916">
        <v>3.4688699999999999</v>
      </c>
      <c r="H1916">
        <v>0</v>
      </c>
      <c r="I1916">
        <v>0.59339200000000003</v>
      </c>
      <c r="J1916">
        <v>5.3222399999999999</v>
      </c>
      <c r="K1916" s="2">
        <v>206309000</v>
      </c>
      <c r="L1916" s="1">
        <v>0</v>
      </c>
      <c r="M1916" s="1">
        <v>0</v>
      </c>
      <c r="N1916" s="1">
        <v>0</v>
      </c>
      <c r="O1916" s="1">
        <v>0</v>
      </c>
      <c r="P1916" s="2">
        <v>4733790</v>
      </c>
      <c r="Q1916" s="1">
        <v>-51932.3</v>
      </c>
      <c r="R1916" s="1">
        <v>408539</v>
      </c>
      <c r="S1916">
        <v>93.825199999999995</v>
      </c>
      <c r="T1916">
        <v>98.274000000000001</v>
      </c>
      <c r="U1916">
        <v>2.10209</v>
      </c>
      <c r="V1916">
        <v>0</v>
      </c>
      <c r="W1916">
        <v>0</v>
      </c>
      <c r="X1916">
        <v>2.4514800000000001</v>
      </c>
      <c r="Y1916">
        <v>2.1490800000000001</v>
      </c>
      <c r="Z1916">
        <v>0</v>
      </c>
      <c r="AA1916">
        <v>1.89401</v>
      </c>
      <c r="AB1916">
        <v>3.3868800000000001</v>
      </c>
      <c r="AC1916" s="2">
        <v>1019650000</v>
      </c>
      <c r="AD1916" s="1">
        <v>0</v>
      </c>
      <c r="AE1916" s="1">
        <v>0</v>
      </c>
      <c r="AF1916" s="1">
        <v>0</v>
      </c>
      <c r="AG1916" s="1">
        <v>0</v>
      </c>
      <c r="AH1916" s="2">
        <v>6342570</v>
      </c>
      <c r="AI1916" s="1">
        <v>963622</v>
      </c>
      <c r="AJ1916" s="1">
        <v>0</v>
      </c>
      <c r="AK1916" s="8">
        <f t="shared" si="119"/>
        <v>43</v>
      </c>
      <c r="AL1916" s="8">
        <f t="shared" si="118"/>
        <v>37</v>
      </c>
      <c r="AM1916">
        <f t="shared" si="116"/>
        <v>0</v>
      </c>
      <c r="AN1916">
        <f t="shared" si="117"/>
        <v>0</v>
      </c>
    </row>
    <row r="1917" spans="1:40" x14ac:dyDescent="0.35">
      <c r="A1917">
        <v>56.488100000000003</v>
      </c>
      <c r="B1917">
        <v>85.138999999999996</v>
      </c>
      <c r="C1917">
        <v>1.8112200000000001</v>
      </c>
      <c r="D1917">
        <v>0.04</v>
      </c>
      <c r="E1917">
        <v>0.04</v>
      </c>
      <c r="F1917">
        <v>3.16649</v>
      </c>
      <c r="G1917">
        <v>3.46889</v>
      </c>
      <c r="H1917">
        <v>0</v>
      </c>
      <c r="I1917">
        <v>0.59339600000000003</v>
      </c>
      <c r="J1917">
        <v>5.3222399999999999</v>
      </c>
      <c r="K1917" s="2">
        <v>206257000</v>
      </c>
      <c r="L1917" s="1">
        <v>0</v>
      </c>
      <c r="M1917" s="1">
        <v>0</v>
      </c>
      <c r="N1917" s="1">
        <v>0</v>
      </c>
      <c r="O1917" s="1">
        <v>0</v>
      </c>
      <c r="P1917" s="2">
        <v>4733820</v>
      </c>
      <c r="Q1917" s="1">
        <v>-51929.9</v>
      </c>
      <c r="R1917" s="1">
        <v>408539</v>
      </c>
      <c r="S1917">
        <v>93.814099999999996</v>
      </c>
      <c r="T1917">
        <v>98.274000000000001</v>
      </c>
      <c r="U1917">
        <v>3.9203600000000001</v>
      </c>
      <c r="V1917">
        <v>0</v>
      </c>
      <c r="W1917">
        <v>0</v>
      </c>
      <c r="X1917">
        <v>2.4514999999999998</v>
      </c>
      <c r="Y1917">
        <v>2.1490999999999998</v>
      </c>
      <c r="Z1917">
        <v>0</v>
      </c>
      <c r="AA1917">
        <v>1.89402</v>
      </c>
      <c r="AB1917">
        <v>3.3868800000000001</v>
      </c>
      <c r="AC1917" s="2">
        <v>1020610000</v>
      </c>
      <c r="AD1917" s="1">
        <v>0</v>
      </c>
      <c r="AE1917" s="1">
        <v>0</v>
      </c>
      <c r="AF1917" s="1">
        <v>0</v>
      </c>
      <c r="AG1917" s="1">
        <v>0</v>
      </c>
      <c r="AH1917" s="2">
        <v>6342610</v>
      </c>
      <c r="AI1917" s="1">
        <v>963623</v>
      </c>
      <c r="AJ1917" s="1">
        <v>0</v>
      </c>
      <c r="AK1917" s="8">
        <f t="shared" si="119"/>
        <v>44</v>
      </c>
      <c r="AL1917" s="8">
        <f t="shared" si="118"/>
        <v>37</v>
      </c>
      <c r="AM1917">
        <f t="shared" si="116"/>
        <v>0</v>
      </c>
      <c r="AN1917">
        <f t="shared" si="117"/>
        <v>0</v>
      </c>
    </row>
    <row r="1918" spans="1:40" x14ac:dyDescent="0.35">
      <c r="A1918">
        <v>54.813000000000002</v>
      </c>
      <c r="B1918">
        <v>85.138999999999996</v>
      </c>
      <c r="C1918">
        <v>1.16598</v>
      </c>
      <c r="D1918">
        <v>0.04</v>
      </c>
      <c r="E1918">
        <v>0.04</v>
      </c>
      <c r="F1918">
        <v>3.1665100000000002</v>
      </c>
      <c r="G1918">
        <v>3.4689100000000002</v>
      </c>
      <c r="H1918">
        <v>0</v>
      </c>
      <c r="I1918">
        <v>0.59340000000000004</v>
      </c>
      <c r="J1918">
        <v>5.3222399999999999</v>
      </c>
      <c r="K1918" s="2">
        <v>206205000</v>
      </c>
      <c r="L1918" s="1">
        <v>0</v>
      </c>
      <c r="M1918" s="1">
        <v>0</v>
      </c>
      <c r="N1918" s="1">
        <v>0</v>
      </c>
      <c r="O1918" s="1">
        <v>0</v>
      </c>
      <c r="P1918" s="2">
        <v>4733860</v>
      </c>
      <c r="Q1918" s="1">
        <v>-51927.6</v>
      </c>
      <c r="R1918" s="1">
        <v>408539</v>
      </c>
      <c r="S1918">
        <v>93.642300000000006</v>
      </c>
      <c r="T1918">
        <v>98.274000000000001</v>
      </c>
      <c r="U1918">
        <v>3.1982300000000001</v>
      </c>
      <c r="V1918">
        <v>0</v>
      </c>
      <c r="W1918">
        <v>0</v>
      </c>
      <c r="X1918">
        <v>2.4515099999999999</v>
      </c>
      <c r="Y1918">
        <v>2.1491099999999999</v>
      </c>
      <c r="Z1918">
        <v>0</v>
      </c>
      <c r="AA1918">
        <v>1.8940300000000001</v>
      </c>
      <c r="AB1918">
        <v>3.3868800000000001</v>
      </c>
      <c r="AC1918" s="2">
        <v>1021580000</v>
      </c>
      <c r="AD1918" s="1">
        <v>0</v>
      </c>
      <c r="AE1918" s="1">
        <v>0</v>
      </c>
      <c r="AF1918" s="1">
        <v>0</v>
      </c>
      <c r="AG1918" s="1">
        <v>0</v>
      </c>
      <c r="AH1918" s="2">
        <v>6342650</v>
      </c>
      <c r="AI1918" s="1">
        <v>963624</v>
      </c>
      <c r="AJ1918" s="1">
        <v>0</v>
      </c>
      <c r="AK1918" s="8">
        <f t="shared" si="119"/>
        <v>45</v>
      </c>
      <c r="AL1918" s="8">
        <f t="shared" si="118"/>
        <v>37</v>
      </c>
      <c r="AM1918">
        <f t="shared" si="116"/>
        <v>0</v>
      </c>
      <c r="AN1918">
        <f t="shared" si="117"/>
        <v>0</v>
      </c>
    </row>
    <row r="1919" spans="1:40" x14ac:dyDescent="0.35">
      <c r="A1919">
        <v>53.105699999999999</v>
      </c>
      <c r="B1919">
        <v>85.138999999999996</v>
      </c>
      <c r="C1919">
        <v>1.0220400000000001</v>
      </c>
      <c r="D1919">
        <v>0.04</v>
      </c>
      <c r="E1919">
        <v>0.04</v>
      </c>
      <c r="F1919">
        <v>3.0606900000000001</v>
      </c>
      <c r="G1919">
        <v>3.3630900000000001</v>
      </c>
      <c r="H1919">
        <v>0</v>
      </c>
      <c r="I1919">
        <v>0.59340499999999996</v>
      </c>
      <c r="J1919">
        <v>5.3222399999999999</v>
      </c>
      <c r="K1919" s="2">
        <v>206142000</v>
      </c>
      <c r="L1919" s="1">
        <v>0</v>
      </c>
      <c r="M1919" s="1">
        <v>0</v>
      </c>
      <c r="N1919" s="1">
        <v>0</v>
      </c>
      <c r="O1919" s="1">
        <v>0</v>
      </c>
      <c r="P1919" s="2">
        <v>4575660</v>
      </c>
      <c r="Q1919" s="1">
        <v>-62805.9</v>
      </c>
      <c r="R1919" s="1">
        <v>408539</v>
      </c>
      <c r="S1919">
        <v>93.019199999999998</v>
      </c>
      <c r="T1919">
        <v>98.274000000000001</v>
      </c>
      <c r="U1919">
        <v>1.83019</v>
      </c>
      <c r="V1919">
        <v>0</v>
      </c>
      <c r="W1919">
        <v>0</v>
      </c>
      <c r="X1919">
        <v>2.3481200000000002</v>
      </c>
      <c r="Y1919">
        <v>2.0457200000000002</v>
      </c>
      <c r="Z1919">
        <v>0</v>
      </c>
      <c r="AA1919">
        <v>1.8940399999999999</v>
      </c>
      <c r="AB1919">
        <v>3.3868800000000001</v>
      </c>
      <c r="AC1919" s="2">
        <v>1022530000</v>
      </c>
      <c r="AD1919" s="1">
        <v>0</v>
      </c>
      <c r="AE1919" s="1">
        <v>0</v>
      </c>
      <c r="AF1919" s="1">
        <v>0</v>
      </c>
      <c r="AG1919" s="1">
        <v>0</v>
      </c>
      <c r="AH1919" s="2">
        <v>6075150</v>
      </c>
      <c r="AI1919" s="1">
        <v>954905</v>
      </c>
      <c r="AJ1919" s="1">
        <v>0</v>
      </c>
      <c r="AK1919" s="8">
        <f t="shared" si="119"/>
        <v>46</v>
      </c>
      <c r="AL1919" s="8">
        <f t="shared" si="118"/>
        <v>37</v>
      </c>
      <c r="AM1919">
        <f t="shared" si="116"/>
        <v>0</v>
      </c>
      <c r="AN1919">
        <f t="shared" si="117"/>
        <v>0</v>
      </c>
    </row>
    <row r="1920" spans="1:40" x14ac:dyDescent="0.35">
      <c r="A1920">
        <v>51.274700000000003</v>
      </c>
      <c r="B1920">
        <v>85.138999999999996</v>
      </c>
      <c r="C1920">
        <v>0.87162499999999998</v>
      </c>
      <c r="D1920">
        <v>0.06</v>
      </c>
      <c r="E1920">
        <v>0.04</v>
      </c>
      <c r="F1920">
        <v>3.0607199999999999</v>
      </c>
      <c r="G1920">
        <v>3.3631199999999999</v>
      </c>
      <c r="H1920">
        <v>0</v>
      </c>
      <c r="I1920">
        <v>0.57357400000000003</v>
      </c>
      <c r="J1920">
        <v>5.3222399999999999</v>
      </c>
      <c r="K1920" s="2">
        <v>206079000</v>
      </c>
      <c r="L1920" s="1">
        <v>0</v>
      </c>
      <c r="M1920" s="1">
        <v>0</v>
      </c>
      <c r="N1920" s="1">
        <v>0</v>
      </c>
      <c r="O1920" s="1">
        <v>0</v>
      </c>
      <c r="P1920" s="2">
        <v>4575690</v>
      </c>
      <c r="Q1920" s="1">
        <v>-62803.6</v>
      </c>
      <c r="R1920" s="1">
        <v>408539</v>
      </c>
      <c r="S1920">
        <v>92.465500000000006</v>
      </c>
      <c r="T1920">
        <v>98.274000000000001</v>
      </c>
      <c r="U1920">
        <v>1.67252</v>
      </c>
      <c r="V1920">
        <v>0</v>
      </c>
      <c r="W1920">
        <v>0</v>
      </c>
      <c r="X1920">
        <v>2.3481399999999999</v>
      </c>
      <c r="Y1920">
        <v>2.0457399999999999</v>
      </c>
      <c r="Z1920">
        <v>0</v>
      </c>
      <c r="AA1920">
        <v>1.81416</v>
      </c>
      <c r="AB1920">
        <v>3.3868800000000001</v>
      </c>
      <c r="AC1920" s="2">
        <v>1023490000</v>
      </c>
      <c r="AD1920" s="1">
        <v>0</v>
      </c>
      <c r="AE1920" s="1">
        <v>0</v>
      </c>
      <c r="AF1920" s="1">
        <v>0</v>
      </c>
      <c r="AG1920" s="1">
        <v>0</v>
      </c>
      <c r="AH1920" s="2">
        <v>6075190</v>
      </c>
      <c r="AI1920" s="1">
        <v>954906</v>
      </c>
      <c r="AJ1920" s="1">
        <v>0</v>
      </c>
      <c r="AK1920" s="8">
        <f t="shared" si="119"/>
        <v>47</v>
      </c>
      <c r="AL1920" s="8">
        <f t="shared" si="118"/>
        <v>37</v>
      </c>
      <c r="AM1920">
        <f t="shared" si="116"/>
        <v>0</v>
      </c>
      <c r="AN1920">
        <f t="shared" si="117"/>
        <v>0</v>
      </c>
    </row>
    <row r="1921" spans="1:40" x14ac:dyDescent="0.35">
      <c r="A1921">
        <v>50.311</v>
      </c>
      <c r="B1921">
        <v>85.138999999999996</v>
      </c>
      <c r="C1921">
        <v>1.86215</v>
      </c>
      <c r="D1921">
        <v>0.06</v>
      </c>
      <c r="E1921">
        <v>0.04</v>
      </c>
      <c r="F1921">
        <v>3.06074</v>
      </c>
      <c r="G1921">
        <v>3.36314</v>
      </c>
      <c r="H1921">
        <v>0</v>
      </c>
      <c r="I1921">
        <v>0.57357800000000003</v>
      </c>
      <c r="J1921">
        <v>5.3222399999999999</v>
      </c>
      <c r="K1921" s="2">
        <v>206017000</v>
      </c>
      <c r="L1921" s="1">
        <v>0</v>
      </c>
      <c r="M1921" s="1">
        <v>0</v>
      </c>
      <c r="N1921" s="1">
        <v>0</v>
      </c>
      <c r="O1921" s="1">
        <v>0</v>
      </c>
      <c r="P1921" s="2">
        <v>4575730</v>
      </c>
      <c r="Q1921" s="1">
        <v>-62801.3</v>
      </c>
      <c r="R1921" s="1">
        <v>408539</v>
      </c>
      <c r="S1921">
        <v>92.297799999999995</v>
      </c>
      <c r="T1921">
        <v>98.274000000000001</v>
      </c>
      <c r="U1921">
        <v>2.5703399999999998</v>
      </c>
      <c r="V1921">
        <v>0</v>
      </c>
      <c r="W1921">
        <v>0</v>
      </c>
      <c r="X1921">
        <v>2.34815</v>
      </c>
      <c r="Y1921">
        <v>2.04575</v>
      </c>
      <c r="Z1921">
        <v>0</v>
      </c>
      <c r="AA1921">
        <v>1.8141700000000001</v>
      </c>
      <c r="AB1921">
        <v>3.3868800000000001</v>
      </c>
      <c r="AC1921" s="2">
        <v>1024440000</v>
      </c>
      <c r="AD1921" s="1">
        <v>0</v>
      </c>
      <c r="AE1921" s="1">
        <v>0</v>
      </c>
      <c r="AF1921" s="1">
        <v>0</v>
      </c>
      <c r="AG1921" s="1">
        <v>0</v>
      </c>
      <c r="AH1921" s="2">
        <v>6075220</v>
      </c>
      <c r="AI1921" s="1">
        <v>954907</v>
      </c>
      <c r="AJ1921" s="1">
        <v>0</v>
      </c>
      <c r="AK1921" s="8">
        <f t="shared" si="119"/>
        <v>48</v>
      </c>
      <c r="AL1921" s="8">
        <f t="shared" si="118"/>
        <v>37</v>
      </c>
      <c r="AM1921">
        <f t="shared" si="116"/>
        <v>0</v>
      </c>
      <c r="AN1921">
        <f t="shared" si="117"/>
        <v>0</v>
      </c>
    </row>
    <row r="1922" spans="1:40" x14ac:dyDescent="0.35">
      <c r="A1922">
        <v>51.115900000000003</v>
      </c>
      <c r="B1922">
        <v>85.138999999999996</v>
      </c>
      <c r="C1922">
        <v>3.7506200000000001</v>
      </c>
      <c r="D1922">
        <v>0.05</v>
      </c>
      <c r="E1922">
        <v>0.04</v>
      </c>
      <c r="F1922">
        <v>3.0607600000000001</v>
      </c>
      <c r="G1922">
        <v>3.3631600000000001</v>
      </c>
      <c r="H1922">
        <v>0</v>
      </c>
      <c r="I1922">
        <v>0.57358299999999995</v>
      </c>
      <c r="J1922">
        <v>5.3222399999999999</v>
      </c>
      <c r="K1922" s="2">
        <v>205954000</v>
      </c>
      <c r="L1922" s="1">
        <v>0</v>
      </c>
      <c r="M1922" s="1">
        <v>0</v>
      </c>
      <c r="N1922" s="1">
        <v>0</v>
      </c>
      <c r="O1922" s="1">
        <v>0</v>
      </c>
      <c r="P1922" s="2">
        <v>4575760</v>
      </c>
      <c r="Q1922" s="1">
        <v>-62799</v>
      </c>
      <c r="R1922" s="1">
        <v>408539</v>
      </c>
      <c r="S1922">
        <v>92.433899999999994</v>
      </c>
      <c r="T1922">
        <v>98.274000000000001</v>
      </c>
      <c r="U1922">
        <v>4.0709200000000001</v>
      </c>
      <c r="V1922">
        <v>0</v>
      </c>
      <c r="W1922">
        <v>0</v>
      </c>
      <c r="X1922">
        <v>2.34816</v>
      </c>
      <c r="Y1922">
        <v>2.04576</v>
      </c>
      <c r="Z1922">
        <v>0</v>
      </c>
      <c r="AA1922">
        <v>1.8141799999999999</v>
      </c>
      <c r="AB1922">
        <v>3.3868800000000001</v>
      </c>
      <c r="AC1922" s="2">
        <v>1025400000</v>
      </c>
      <c r="AD1922" s="1">
        <v>0</v>
      </c>
      <c r="AE1922" s="1">
        <v>0</v>
      </c>
      <c r="AF1922" s="1">
        <v>0</v>
      </c>
      <c r="AG1922" s="1">
        <v>0</v>
      </c>
      <c r="AH1922" s="2">
        <v>6075260</v>
      </c>
      <c r="AI1922" s="1">
        <v>954908</v>
      </c>
      <c r="AJ1922" s="1">
        <v>0</v>
      </c>
      <c r="AK1922" s="8">
        <f t="shared" si="119"/>
        <v>49</v>
      </c>
      <c r="AL1922" s="8">
        <f t="shared" si="118"/>
        <v>37</v>
      </c>
      <c r="AM1922">
        <f t="shared" si="116"/>
        <v>0</v>
      </c>
      <c r="AN1922">
        <f t="shared" si="117"/>
        <v>0</v>
      </c>
    </row>
    <row r="1923" spans="1:40" x14ac:dyDescent="0.35">
      <c r="A1923">
        <v>51.9392</v>
      </c>
      <c r="B1923">
        <v>85.138999999999996</v>
      </c>
      <c r="C1923">
        <v>3.7443399999999998</v>
      </c>
      <c r="D1923">
        <v>0.05</v>
      </c>
      <c r="E1923">
        <v>0.04</v>
      </c>
      <c r="F1923">
        <v>2.9739</v>
      </c>
      <c r="G1923">
        <v>3.2763</v>
      </c>
      <c r="H1923">
        <v>0</v>
      </c>
      <c r="I1923">
        <v>0.57358699999999996</v>
      </c>
      <c r="J1923">
        <v>5.3222399999999999</v>
      </c>
      <c r="K1923" s="2">
        <v>205882000</v>
      </c>
      <c r="L1923" s="1">
        <v>0</v>
      </c>
      <c r="M1923" s="1">
        <v>0</v>
      </c>
      <c r="N1923" s="1">
        <v>0</v>
      </c>
      <c r="O1923" s="1">
        <v>0</v>
      </c>
      <c r="P1923" s="2">
        <v>4445910</v>
      </c>
      <c r="Q1923" s="1">
        <v>-71728.100000000006</v>
      </c>
      <c r="R1923" s="1">
        <v>408539</v>
      </c>
      <c r="S1923">
        <v>92.415000000000006</v>
      </c>
      <c r="T1923">
        <v>98.274000000000001</v>
      </c>
      <c r="U1923">
        <v>4.54664</v>
      </c>
      <c r="V1923">
        <v>0</v>
      </c>
      <c r="W1923">
        <v>0</v>
      </c>
      <c r="X1923">
        <v>2.2540499999999999</v>
      </c>
      <c r="Y1923">
        <v>1.9516500000000001</v>
      </c>
      <c r="Z1923">
        <v>0</v>
      </c>
      <c r="AA1923">
        <v>1.81419</v>
      </c>
      <c r="AB1923">
        <v>3.3868800000000001</v>
      </c>
      <c r="AC1923" s="2">
        <v>1026340000</v>
      </c>
      <c r="AD1923" s="1">
        <v>0</v>
      </c>
      <c r="AE1923" s="1">
        <v>0</v>
      </c>
      <c r="AF1923" s="1">
        <v>0</v>
      </c>
      <c r="AG1923" s="1">
        <v>0</v>
      </c>
      <c r="AH1923" s="2">
        <v>5831770</v>
      </c>
      <c r="AI1923" s="1">
        <v>946971</v>
      </c>
      <c r="AJ1923" s="1">
        <v>0</v>
      </c>
      <c r="AK1923" s="8">
        <f t="shared" si="119"/>
        <v>50</v>
      </c>
      <c r="AL1923" s="8">
        <f t="shared" si="118"/>
        <v>37</v>
      </c>
      <c r="AM1923">
        <f t="shared" ref="AM1923:AM1986" si="120">IF(AK1923=52,AC1923,0)</f>
        <v>0</v>
      </c>
      <c r="AN1923">
        <f t="shared" ref="AN1923:AN1986" si="121">IF(AK1923=52,K1923,0)</f>
        <v>0</v>
      </c>
    </row>
    <row r="1924" spans="1:40" x14ac:dyDescent="0.35">
      <c r="A1924">
        <v>52.514099999999999</v>
      </c>
      <c r="B1924">
        <v>85.138999999999996</v>
      </c>
      <c r="C1924">
        <v>3.5468799999999998</v>
      </c>
      <c r="D1924">
        <v>0.05</v>
      </c>
      <c r="E1924">
        <v>0.04</v>
      </c>
      <c r="F1924">
        <v>2.9739300000000002</v>
      </c>
      <c r="G1924">
        <v>3.2763300000000002</v>
      </c>
      <c r="H1924">
        <v>0</v>
      </c>
      <c r="I1924">
        <v>0.55730999999999997</v>
      </c>
      <c r="J1924">
        <v>5.3222399999999999</v>
      </c>
      <c r="K1924" s="2">
        <v>205810000</v>
      </c>
      <c r="L1924" s="1">
        <v>0</v>
      </c>
      <c r="M1924" s="1">
        <v>0</v>
      </c>
      <c r="N1924" s="1">
        <v>0</v>
      </c>
      <c r="O1924" s="1">
        <v>0</v>
      </c>
      <c r="P1924" s="2">
        <v>4445940</v>
      </c>
      <c r="Q1924" s="1">
        <v>-71725.8</v>
      </c>
      <c r="R1924" s="1">
        <v>408539</v>
      </c>
      <c r="S1924">
        <v>93.204499999999996</v>
      </c>
      <c r="T1924">
        <v>98.274000000000001</v>
      </c>
      <c r="U1924">
        <v>6.4235600000000002</v>
      </c>
      <c r="V1924">
        <v>0</v>
      </c>
      <c r="W1924">
        <v>0</v>
      </c>
      <c r="X1924">
        <v>2.25406</v>
      </c>
      <c r="Y1924">
        <v>1.95166</v>
      </c>
      <c r="Z1924">
        <v>0</v>
      </c>
      <c r="AA1924">
        <v>1.7414799999999999</v>
      </c>
      <c r="AB1924">
        <v>3.3868800000000001</v>
      </c>
      <c r="AC1924" s="2">
        <v>1027290000</v>
      </c>
      <c r="AD1924" s="1">
        <v>0</v>
      </c>
      <c r="AE1924" s="1">
        <v>0</v>
      </c>
      <c r="AF1924" s="1">
        <v>0</v>
      </c>
      <c r="AG1924" s="1">
        <v>0</v>
      </c>
      <c r="AH1924" s="2">
        <v>5831800</v>
      </c>
      <c r="AI1924" s="1">
        <v>946972</v>
      </c>
      <c r="AJ1924" s="1">
        <v>0</v>
      </c>
      <c r="AK1924" s="8">
        <f t="shared" si="119"/>
        <v>51</v>
      </c>
      <c r="AL1924" s="8">
        <f t="shared" ref="AL1924:AL1987" si="122">IF(AK1923=52,AL1923+1,AL1923)</f>
        <v>37</v>
      </c>
      <c r="AM1924">
        <f t="shared" si="120"/>
        <v>0</v>
      </c>
      <c r="AN1924">
        <f t="shared" si="121"/>
        <v>0</v>
      </c>
    </row>
    <row r="1925" spans="1:40" x14ac:dyDescent="0.35">
      <c r="A1925">
        <v>53.229900000000001</v>
      </c>
      <c r="B1925">
        <v>85.138999999999996</v>
      </c>
      <c r="C1925">
        <v>3.6568999999999998</v>
      </c>
      <c r="D1925">
        <v>0.04</v>
      </c>
      <c r="E1925">
        <v>0.04</v>
      </c>
      <c r="F1925">
        <v>2.9739499999999999</v>
      </c>
      <c r="G1925">
        <v>3.2763499999999999</v>
      </c>
      <c r="H1925">
        <v>0</v>
      </c>
      <c r="I1925">
        <v>0.55731399999999998</v>
      </c>
      <c r="J1925">
        <v>5.3222399999999999</v>
      </c>
      <c r="K1925" s="2">
        <v>205739000</v>
      </c>
      <c r="L1925" s="1">
        <v>0</v>
      </c>
      <c r="M1925" s="1">
        <v>0</v>
      </c>
      <c r="N1925" s="1">
        <v>0</v>
      </c>
      <c r="O1925" s="1">
        <v>0</v>
      </c>
      <c r="P1925" s="2">
        <v>4445980</v>
      </c>
      <c r="Q1925" s="1">
        <v>-71723.600000000006</v>
      </c>
      <c r="R1925" s="1">
        <v>408539</v>
      </c>
      <c r="S1925">
        <v>93.591899999999995</v>
      </c>
      <c r="T1925">
        <v>98.274000000000001</v>
      </c>
      <c r="U1925">
        <v>5.8998100000000004</v>
      </c>
      <c r="V1925">
        <v>0</v>
      </c>
      <c r="W1925">
        <v>0</v>
      </c>
      <c r="X1925">
        <v>2.2540800000000001</v>
      </c>
      <c r="Y1925">
        <v>1.9516800000000001</v>
      </c>
      <c r="Z1925">
        <v>0</v>
      </c>
      <c r="AA1925">
        <v>1.74149</v>
      </c>
      <c r="AB1925">
        <v>3.3868800000000001</v>
      </c>
      <c r="AC1925" s="2">
        <v>1028240000</v>
      </c>
      <c r="AD1925" s="1">
        <v>0</v>
      </c>
      <c r="AE1925" s="1">
        <v>0</v>
      </c>
      <c r="AF1925" s="1">
        <v>0</v>
      </c>
      <c r="AG1925" s="1">
        <v>0</v>
      </c>
      <c r="AH1925" s="2">
        <v>5831830</v>
      </c>
      <c r="AI1925" s="1">
        <v>946974</v>
      </c>
      <c r="AJ1925" s="1">
        <v>0</v>
      </c>
      <c r="AK1925" s="8">
        <f t="shared" si="119"/>
        <v>52</v>
      </c>
      <c r="AL1925" s="8">
        <f t="shared" si="122"/>
        <v>37</v>
      </c>
      <c r="AM1925">
        <f t="shared" si="120"/>
        <v>1028240000</v>
      </c>
      <c r="AN1925">
        <f t="shared" si="121"/>
        <v>205739000</v>
      </c>
    </row>
    <row r="1926" spans="1:40" x14ac:dyDescent="0.35">
      <c r="A1926">
        <v>54.749600000000001</v>
      </c>
      <c r="B1926">
        <v>85.138999999999996</v>
      </c>
      <c r="C1926">
        <v>4.6357400000000002</v>
      </c>
      <c r="D1926">
        <v>0.04</v>
      </c>
      <c r="E1926">
        <v>0.04</v>
      </c>
      <c r="F1926">
        <v>2.97397</v>
      </c>
      <c r="G1926">
        <v>3.27637</v>
      </c>
      <c r="H1926">
        <v>0</v>
      </c>
      <c r="I1926">
        <v>0.55731799999999998</v>
      </c>
      <c r="J1926">
        <v>5.3222399999999999</v>
      </c>
      <c r="K1926" s="2">
        <v>205667000</v>
      </c>
      <c r="L1926" s="1">
        <v>0</v>
      </c>
      <c r="M1926" s="1">
        <v>0</v>
      </c>
      <c r="N1926" s="1">
        <v>0</v>
      </c>
      <c r="O1926" s="1">
        <v>0</v>
      </c>
      <c r="P1926" s="2">
        <v>4446010</v>
      </c>
      <c r="Q1926" s="1">
        <v>-71721.399999999994</v>
      </c>
      <c r="R1926" s="1">
        <v>408539</v>
      </c>
      <c r="S1926">
        <v>94.706800000000001</v>
      </c>
      <c r="T1926">
        <v>98.274000000000001</v>
      </c>
      <c r="U1926">
        <v>7.7573800000000004</v>
      </c>
      <c r="V1926">
        <v>0</v>
      </c>
      <c r="W1926">
        <v>0</v>
      </c>
      <c r="X1926">
        <v>2.2540900000000001</v>
      </c>
      <c r="Y1926">
        <v>1.9516899999999999</v>
      </c>
      <c r="Z1926">
        <v>0</v>
      </c>
      <c r="AA1926">
        <v>1.7415</v>
      </c>
      <c r="AB1926">
        <v>3.3868800000000001</v>
      </c>
      <c r="AC1926" s="2">
        <v>1029180000</v>
      </c>
      <c r="AD1926" s="1">
        <v>0</v>
      </c>
      <c r="AE1926" s="1">
        <v>0</v>
      </c>
      <c r="AF1926" s="1">
        <v>0</v>
      </c>
      <c r="AG1926" s="1">
        <v>0</v>
      </c>
      <c r="AH1926" s="2">
        <v>5831870</v>
      </c>
      <c r="AI1926" s="1">
        <v>946975</v>
      </c>
      <c r="AJ1926" s="1">
        <v>0</v>
      </c>
      <c r="AK1926" s="8">
        <f t="shared" si="119"/>
        <v>1</v>
      </c>
      <c r="AL1926" s="8">
        <f t="shared" si="122"/>
        <v>38</v>
      </c>
      <c r="AM1926">
        <f t="shared" si="120"/>
        <v>0</v>
      </c>
      <c r="AN1926">
        <f t="shared" si="121"/>
        <v>0</v>
      </c>
    </row>
    <row r="1927" spans="1:40" x14ac:dyDescent="0.35">
      <c r="A1927">
        <v>56.220599999999997</v>
      </c>
      <c r="B1927">
        <v>85.138999999999996</v>
      </c>
      <c r="C1927">
        <v>4.31351</v>
      </c>
      <c r="D1927">
        <v>0.03</v>
      </c>
      <c r="E1927">
        <v>0.04</v>
      </c>
      <c r="F1927">
        <v>2.7272400000000001</v>
      </c>
      <c r="G1927">
        <v>3.0296400000000001</v>
      </c>
      <c r="H1927">
        <v>0</v>
      </c>
      <c r="I1927">
        <v>0.55732199999999998</v>
      </c>
      <c r="J1927">
        <v>5.3222399999999999</v>
      </c>
      <c r="K1927" s="2">
        <v>205570000</v>
      </c>
      <c r="L1927" s="1">
        <v>0</v>
      </c>
      <c r="M1927" s="1">
        <v>0</v>
      </c>
      <c r="N1927" s="1">
        <v>0</v>
      </c>
      <c r="O1927" s="1">
        <v>0</v>
      </c>
      <c r="P1927" s="2">
        <v>4077160</v>
      </c>
      <c r="Q1927" s="1">
        <v>-97085.5</v>
      </c>
      <c r="R1927" s="1">
        <v>408539</v>
      </c>
      <c r="S1927">
        <v>96.07</v>
      </c>
      <c r="T1927">
        <v>98.274000000000001</v>
      </c>
      <c r="U1927">
        <v>7.8170200000000003</v>
      </c>
      <c r="V1927">
        <v>0</v>
      </c>
      <c r="W1927">
        <v>0</v>
      </c>
      <c r="X1927">
        <v>2.0580599999999998</v>
      </c>
      <c r="Y1927">
        <v>1.75566</v>
      </c>
      <c r="Z1927">
        <v>0</v>
      </c>
      <c r="AA1927">
        <v>1.7415099999999999</v>
      </c>
      <c r="AB1927">
        <v>3.3868800000000001</v>
      </c>
      <c r="AC1927" s="2">
        <v>1030110000</v>
      </c>
      <c r="AD1927" s="1">
        <v>0</v>
      </c>
      <c r="AE1927" s="1">
        <v>0</v>
      </c>
      <c r="AF1927" s="1">
        <v>0</v>
      </c>
      <c r="AG1927" s="1">
        <v>0</v>
      </c>
      <c r="AH1927" s="2">
        <v>5324690</v>
      </c>
      <c r="AI1927" s="1">
        <v>930443</v>
      </c>
      <c r="AJ1927" s="1">
        <v>0</v>
      </c>
      <c r="AK1927" s="8">
        <f t="shared" si="119"/>
        <v>2</v>
      </c>
      <c r="AL1927" s="8">
        <f t="shared" si="122"/>
        <v>38</v>
      </c>
      <c r="AM1927">
        <f t="shared" si="120"/>
        <v>0</v>
      </c>
      <c r="AN1927">
        <f t="shared" si="121"/>
        <v>0</v>
      </c>
    </row>
    <row r="1928" spans="1:40" x14ac:dyDescent="0.35">
      <c r="A1928">
        <v>60.737099999999998</v>
      </c>
      <c r="B1928">
        <v>85.138999999999996</v>
      </c>
      <c r="C1928">
        <v>7.5321899999999999</v>
      </c>
      <c r="D1928">
        <v>0.04</v>
      </c>
      <c r="E1928">
        <v>0.04</v>
      </c>
      <c r="F1928">
        <v>2.7272599999999998</v>
      </c>
      <c r="G1928">
        <v>3.0296599999999998</v>
      </c>
      <c r="H1928">
        <v>0</v>
      </c>
      <c r="I1928">
        <v>0.51108500000000001</v>
      </c>
      <c r="J1928">
        <v>5.3222399999999999</v>
      </c>
      <c r="K1928" s="2">
        <v>205473000</v>
      </c>
      <c r="L1928" s="1">
        <v>0</v>
      </c>
      <c r="M1928" s="1">
        <v>0</v>
      </c>
      <c r="N1928" s="1">
        <v>0</v>
      </c>
      <c r="O1928" s="1">
        <v>0</v>
      </c>
      <c r="P1928" s="2">
        <v>4077190</v>
      </c>
      <c r="Q1928" s="1">
        <v>-97083.4</v>
      </c>
      <c r="R1928" s="1">
        <v>408539</v>
      </c>
      <c r="S1928">
        <v>96.8536</v>
      </c>
      <c r="T1928">
        <v>98.274000000000001</v>
      </c>
      <c r="U1928">
        <v>7.1619000000000002</v>
      </c>
      <c r="V1928">
        <v>0</v>
      </c>
      <c r="W1928">
        <v>0</v>
      </c>
      <c r="X1928">
        <v>2.0580699999999998</v>
      </c>
      <c r="Y1928">
        <v>1.7556700000000001</v>
      </c>
      <c r="Z1928">
        <v>0</v>
      </c>
      <c r="AA1928">
        <v>1.59006</v>
      </c>
      <c r="AB1928">
        <v>3.3868800000000001</v>
      </c>
      <c r="AC1928" s="2">
        <v>1031040000</v>
      </c>
      <c r="AD1928" s="1">
        <v>0</v>
      </c>
      <c r="AE1928" s="1">
        <v>0</v>
      </c>
      <c r="AF1928" s="1">
        <v>0</v>
      </c>
      <c r="AG1928" s="1">
        <v>0</v>
      </c>
      <c r="AH1928" s="2">
        <v>5324720</v>
      </c>
      <c r="AI1928" s="1">
        <v>930444</v>
      </c>
      <c r="AJ1928" s="1">
        <v>0</v>
      </c>
      <c r="AK1928" s="8">
        <f t="shared" ref="AK1928:AK1991" si="123">IF(AK1927=52, 1, AK1927+1)</f>
        <v>3</v>
      </c>
      <c r="AL1928" s="8">
        <f t="shared" si="122"/>
        <v>38</v>
      </c>
      <c r="AM1928">
        <f t="shared" si="120"/>
        <v>0</v>
      </c>
      <c r="AN1928">
        <f t="shared" si="121"/>
        <v>0</v>
      </c>
    </row>
    <row r="1929" spans="1:40" x14ac:dyDescent="0.35">
      <c r="A1929">
        <v>62.973700000000001</v>
      </c>
      <c r="B1929">
        <v>85.138999999999996</v>
      </c>
      <c r="C1929">
        <v>5.2204699999999997</v>
      </c>
      <c r="D1929">
        <v>0.04</v>
      </c>
      <c r="E1929">
        <v>0.04</v>
      </c>
      <c r="F1929">
        <v>2.7272799999999999</v>
      </c>
      <c r="G1929">
        <v>3.0296799999999999</v>
      </c>
      <c r="H1929">
        <v>0</v>
      </c>
      <c r="I1929">
        <v>0.51108900000000002</v>
      </c>
      <c r="J1929">
        <v>5.3222399999999999</v>
      </c>
      <c r="K1929" s="2">
        <v>205376000</v>
      </c>
      <c r="L1929" s="1">
        <v>0</v>
      </c>
      <c r="M1929" s="1">
        <v>0</v>
      </c>
      <c r="N1929" s="1">
        <v>0</v>
      </c>
      <c r="O1929" s="1">
        <v>0</v>
      </c>
      <c r="P1929" s="2">
        <v>4077220</v>
      </c>
      <c r="Q1929" s="1">
        <v>-97081.4</v>
      </c>
      <c r="R1929" s="1">
        <v>408539</v>
      </c>
      <c r="S1929">
        <v>96.984800000000007</v>
      </c>
      <c r="T1929">
        <v>98.274000000000001</v>
      </c>
      <c r="U1929">
        <v>5.7969200000000001</v>
      </c>
      <c r="V1929">
        <v>0</v>
      </c>
      <c r="W1929">
        <v>0</v>
      </c>
      <c r="X1929">
        <v>2.0580799999999999</v>
      </c>
      <c r="Y1929">
        <v>1.7556799999999999</v>
      </c>
      <c r="Z1929">
        <v>0</v>
      </c>
      <c r="AA1929">
        <v>1.5900700000000001</v>
      </c>
      <c r="AB1929">
        <v>3.3868800000000001</v>
      </c>
      <c r="AC1929" s="2">
        <v>1031970000</v>
      </c>
      <c r="AD1929" s="1">
        <v>0</v>
      </c>
      <c r="AE1929" s="1">
        <v>0</v>
      </c>
      <c r="AF1929" s="1">
        <v>0</v>
      </c>
      <c r="AG1929" s="1">
        <v>0</v>
      </c>
      <c r="AH1929" s="2">
        <v>5324750</v>
      </c>
      <c r="AI1929" s="1">
        <v>930445</v>
      </c>
      <c r="AJ1929" s="1">
        <v>0</v>
      </c>
      <c r="AK1929" s="8">
        <f t="shared" si="123"/>
        <v>4</v>
      </c>
      <c r="AL1929" s="8">
        <f t="shared" si="122"/>
        <v>38</v>
      </c>
      <c r="AM1929">
        <f t="shared" si="120"/>
        <v>0</v>
      </c>
      <c r="AN1929">
        <f t="shared" si="121"/>
        <v>0</v>
      </c>
    </row>
    <row r="1930" spans="1:40" x14ac:dyDescent="0.35">
      <c r="A1930">
        <v>64.883200000000002</v>
      </c>
      <c r="B1930">
        <v>85.138999999999996</v>
      </c>
      <c r="C1930">
        <v>4.9741400000000002</v>
      </c>
      <c r="D1930">
        <v>0.04</v>
      </c>
      <c r="E1930">
        <v>0.04</v>
      </c>
      <c r="F1930">
        <v>2.7273000000000001</v>
      </c>
      <c r="G1930">
        <v>3.0297000000000001</v>
      </c>
      <c r="H1930">
        <v>0</v>
      </c>
      <c r="I1930">
        <v>0.51109300000000002</v>
      </c>
      <c r="J1930">
        <v>5.3222399999999999</v>
      </c>
      <c r="K1930" s="2">
        <v>205279000</v>
      </c>
      <c r="L1930" s="1">
        <v>0</v>
      </c>
      <c r="M1930" s="1">
        <v>0</v>
      </c>
      <c r="N1930" s="1">
        <v>0</v>
      </c>
      <c r="O1930" s="1">
        <v>0</v>
      </c>
      <c r="P1930" s="2">
        <v>4077250</v>
      </c>
      <c r="Q1930" s="1">
        <v>-97079.3</v>
      </c>
      <c r="R1930" s="1">
        <v>408539</v>
      </c>
      <c r="S1930">
        <v>97.508799999999994</v>
      </c>
      <c r="T1930">
        <v>98.274000000000001</v>
      </c>
      <c r="U1930">
        <v>7.1701199999999998</v>
      </c>
      <c r="V1930">
        <v>0</v>
      </c>
      <c r="W1930">
        <v>0</v>
      </c>
      <c r="X1930">
        <v>2.0581</v>
      </c>
      <c r="Y1930">
        <v>1.7557</v>
      </c>
      <c r="Z1930">
        <v>0</v>
      </c>
      <c r="AA1930">
        <v>1.5900799999999999</v>
      </c>
      <c r="AB1930">
        <v>3.3868800000000001</v>
      </c>
      <c r="AC1930" s="2">
        <v>1032900000</v>
      </c>
      <c r="AD1930" s="1">
        <v>0</v>
      </c>
      <c r="AE1930" s="1">
        <v>0</v>
      </c>
      <c r="AF1930" s="1">
        <v>0</v>
      </c>
      <c r="AG1930" s="1">
        <v>0</v>
      </c>
      <c r="AH1930" s="2">
        <v>5324780</v>
      </c>
      <c r="AI1930" s="1">
        <v>930446</v>
      </c>
      <c r="AJ1930" s="1">
        <v>0</v>
      </c>
      <c r="AK1930" s="8">
        <f t="shared" si="123"/>
        <v>5</v>
      </c>
      <c r="AL1930" s="8">
        <f t="shared" si="122"/>
        <v>38</v>
      </c>
      <c r="AM1930">
        <f t="shared" si="120"/>
        <v>0</v>
      </c>
      <c r="AN1930">
        <f t="shared" si="121"/>
        <v>0</v>
      </c>
    </row>
    <row r="1931" spans="1:40" x14ac:dyDescent="0.35">
      <c r="A1931">
        <v>66.278999999999996</v>
      </c>
      <c r="B1931">
        <v>85.138999999999996</v>
      </c>
      <c r="C1931">
        <v>4.4695</v>
      </c>
      <c r="D1931">
        <v>0.04</v>
      </c>
      <c r="E1931">
        <v>0.04</v>
      </c>
      <c r="F1931">
        <v>2.7273200000000002</v>
      </c>
      <c r="G1931">
        <v>3.0297200000000002</v>
      </c>
      <c r="H1931">
        <v>0</v>
      </c>
      <c r="I1931">
        <v>0.51109599999999999</v>
      </c>
      <c r="J1931">
        <v>5.3222399999999999</v>
      </c>
      <c r="K1931" s="2">
        <v>205182000</v>
      </c>
      <c r="L1931" s="1">
        <v>0</v>
      </c>
      <c r="M1931" s="1">
        <v>0</v>
      </c>
      <c r="N1931" s="1">
        <v>0</v>
      </c>
      <c r="O1931" s="1">
        <v>0</v>
      </c>
      <c r="P1931" s="2">
        <v>4077280</v>
      </c>
      <c r="Q1931" s="1">
        <v>-97077.2</v>
      </c>
      <c r="R1931" s="1">
        <v>408539</v>
      </c>
      <c r="S1931">
        <v>98.078199999999995</v>
      </c>
      <c r="T1931">
        <v>98.274000000000001</v>
      </c>
      <c r="U1931">
        <v>4.58826</v>
      </c>
      <c r="V1931">
        <v>0</v>
      </c>
      <c r="W1931">
        <v>0</v>
      </c>
      <c r="X1931">
        <v>2.0581100000000001</v>
      </c>
      <c r="Y1931">
        <v>1.7557100000000001</v>
      </c>
      <c r="Z1931">
        <v>0</v>
      </c>
      <c r="AA1931">
        <v>1.5900799999999999</v>
      </c>
      <c r="AB1931">
        <v>3.3868800000000001</v>
      </c>
      <c r="AC1931" s="2">
        <v>1033840000</v>
      </c>
      <c r="AD1931" s="1">
        <v>0</v>
      </c>
      <c r="AE1931" s="1">
        <v>0</v>
      </c>
      <c r="AF1931" s="1">
        <v>0</v>
      </c>
      <c r="AG1931" s="1">
        <v>0</v>
      </c>
      <c r="AH1931" s="2">
        <v>5324810</v>
      </c>
      <c r="AI1931" s="1">
        <v>930447</v>
      </c>
      <c r="AJ1931" s="1">
        <v>0</v>
      </c>
      <c r="AK1931" s="8">
        <f t="shared" si="123"/>
        <v>6</v>
      </c>
      <c r="AL1931" s="8">
        <f t="shared" si="122"/>
        <v>38</v>
      </c>
      <c r="AM1931">
        <f t="shared" si="120"/>
        <v>0</v>
      </c>
      <c r="AN1931">
        <f t="shared" si="121"/>
        <v>0</v>
      </c>
    </row>
    <row r="1932" spans="1:40" x14ac:dyDescent="0.35">
      <c r="A1932">
        <v>68.555899999999994</v>
      </c>
      <c r="B1932">
        <v>85.138999999999996</v>
      </c>
      <c r="C1932">
        <v>5.4299900000000001</v>
      </c>
      <c r="D1932">
        <v>0.04</v>
      </c>
      <c r="E1932">
        <v>0.04</v>
      </c>
      <c r="F1932">
        <v>2.8222499999999999</v>
      </c>
      <c r="G1932">
        <v>3.1246499999999999</v>
      </c>
      <c r="H1932">
        <v>0</v>
      </c>
      <c r="I1932">
        <v>0.5111</v>
      </c>
      <c r="J1932">
        <v>5.3222399999999999</v>
      </c>
      <c r="K1932" s="2">
        <v>205094000</v>
      </c>
      <c r="L1932" s="1">
        <v>0</v>
      </c>
      <c r="M1932" s="1">
        <v>0</v>
      </c>
      <c r="N1932" s="1">
        <v>0</v>
      </c>
      <c r="O1932" s="1">
        <v>0</v>
      </c>
      <c r="P1932" s="2">
        <v>4219190</v>
      </c>
      <c r="Q1932" s="1">
        <v>-87318.399999999994</v>
      </c>
      <c r="R1932" s="1">
        <v>408539</v>
      </c>
      <c r="S1932">
        <v>98.161699999999996</v>
      </c>
      <c r="T1932">
        <v>98.274000000000001</v>
      </c>
      <c r="U1932">
        <v>3.3879299999999999</v>
      </c>
      <c r="V1932">
        <v>0</v>
      </c>
      <c r="W1932">
        <v>0</v>
      </c>
      <c r="X1932">
        <v>2.1148899999999999</v>
      </c>
      <c r="Y1932">
        <v>1.8124899999999999</v>
      </c>
      <c r="Z1932">
        <v>0</v>
      </c>
      <c r="AA1932">
        <v>1.59009</v>
      </c>
      <c r="AB1932">
        <v>3.3868800000000001</v>
      </c>
      <c r="AC1932" s="2">
        <v>1034770000</v>
      </c>
      <c r="AD1932" s="1">
        <v>0</v>
      </c>
      <c r="AE1932" s="1">
        <v>0</v>
      </c>
      <c r="AF1932" s="1">
        <v>0</v>
      </c>
      <c r="AG1932" s="2">
        <v>7883220</v>
      </c>
      <c r="AH1932" s="2">
        <v>5471710</v>
      </c>
      <c r="AI1932" s="1">
        <v>935235</v>
      </c>
      <c r="AJ1932" s="1">
        <v>0</v>
      </c>
      <c r="AK1932" s="8">
        <f t="shared" si="123"/>
        <v>7</v>
      </c>
      <c r="AL1932" s="8">
        <f t="shared" si="122"/>
        <v>38</v>
      </c>
      <c r="AM1932">
        <f t="shared" si="120"/>
        <v>0</v>
      </c>
      <c r="AN1932">
        <f t="shared" si="121"/>
        <v>0</v>
      </c>
    </row>
    <row r="1933" spans="1:40" x14ac:dyDescent="0.35">
      <c r="A1933">
        <v>70.115099999999998</v>
      </c>
      <c r="B1933">
        <v>85.138999999999996</v>
      </c>
      <c r="C1933">
        <v>4.7655399999999997</v>
      </c>
      <c r="D1933">
        <v>0.04</v>
      </c>
      <c r="E1933">
        <v>0.04</v>
      </c>
      <c r="F1933">
        <v>2.8222499999999999</v>
      </c>
      <c r="G1933">
        <v>3.1246499999999999</v>
      </c>
      <c r="H1933">
        <v>0</v>
      </c>
      <c r="I1933">
        <v>0.52888999999999997</v>
      </c>
      <c r="J1933">
        <v>5.3222399999999999</v>
      </c>
      <c r="K1933" s="2">
        <v>205007000</v>
      </c>
      <c r="L1933" s="1">
        <v>0</v>
      </c>
      <c r="M1933" s="1">
        <v>0</v>
      </c>
      <c r="N1933" s="1">
        <v>0</v>
      </c>
      <c r="O1933" s="1">
        <v>0</v>
      </c>
      <c r="P1933" s="2">
        <v>4219200</v>
      </c>
      <c r="Q1933" s="1">
        <v>-87318.1</v>
      </c>
      <c r="R1933" s="1">
        <v>408539</v>
      </c>
      <c r="S1933">
        <v>97.974000000000004</v>
      </c>
      <c r="T1933">
        <v>98.274000000000001</v>
      </c>
      <c r="U1933">
        <v>2.7130700000000001</v>
      </c>
      <c r="V1933">
        <v>0</v>
      </c>
      <c r="W1933">
        <v>0</v>
      </c>
      <c r="X1933">
        <v>2.1148899999999999</v>
      </c>
      <c r="Y1933">
        <v>1.8124899999999999</v>
      </c>
      <c r="Z1933">
        <v>0</v>
      </c>
      <c r="AA1933">
        <v>1.6339600000000001</v>
      </c>
      <c r="AB1933">
        <v>3.3868800000000001</v>
      </c>
      <c r="AC1933" s="2">
        <v>1035710000</v>
      </c>
      <c r="AD1933" s="1">
        <v>0</v>
      </c>
      <c r="AE1933" s="1">
        <v>0</v>
      </c>
      <c r="AF1933" s="1">
        <v>0</v>
      </c>
      <c r="AG1933" s="1">
        <v>0</v>
      </c>
      <c r="AH1933" s="2">
        <v>5471720</v>
      </c>
      <c r="AI1933" s="1">
        <v>935235</v>
      </c>
      <c r="AJ1933" s="1">
        <v>0</v>
      </c>
      <c r="AK1933" s="8">
        <f t="shared" si="123"/>
        <v>8</v>
      </c>
      <c r="AL1933" s="8">
        <f t="shared" si="122"/>
        <v>38</v>
      </c>
      <c r="AM1933">
        <f t="shared" si="120"/>
        <v>0</v>
      </c>
      <c r="AN1933">
        <f t="shared" si="121"/>
        <v>0</v>
      </c>
    </row>
    <row r="1934" spans="1:40" x14ac:dyDescent="0.35">
      <c r="A1934">
        <v>73.582700000000003</v>
      </c>
      <c r="B1934">
        <v>85.138999999999996</v>
      </c>
      <c r="C1934">
        <v>6.6796199999999999</v>
      </c>
      <c r="D1934">
        <v>0.04</v>
      </c>
      <c r="E1934">
        <v>0.04</v>
      </c>
      <c r="F1934">
        <v>2.82226</v>
      </c>
      <c r="G1934">
        <v>3.12466</v>
      </c>
      <c r="H1934">
        <v>0</v>
      </c>
      <c r="I1934">
        <v>0.52888999999999997</v>
      </c>
      <c r="J1934">
        <v>5.3222399999999999</v>
      </c>
      <c r="K1934" s="2">
        <v>204920000</v>
      </c>
      <c r="L1934" s="1">
        <v>0</v>
      </c>
      <c r="M1934" s="1">
        <v>0</v>
      </c>
      <c r="N1934" s="1">
        <v>0</v>
      </c>
      <c r="O1934" s="1">
        <v>0</v>
      </c>
      <c r="P1934" s="2">
        <v>4219200</v>
      </c>
      <c r="Q1934" s="1">
        <v>-87317.8</v>
      </c>
      <c r="R1934" s="1">
        <v>408539</v>
      </c>
      <c r="S1934">
        <v>98.190299999999993</v>
      </c>
      <c r="T1934">
        <v>98.274000000000001</v>
      </c>
      <c r="U1934">
        <v>6.1651800000000003</v>
      </c>
      <c r="V1934">
        <v>0</v>
      </c>
      <c r="W1934">
        <v>0</v>
      </c>
      <c r="X1934">
        <v>2.1148899999999999</v>
      </c>
      <c r="Y1934">
        <v>1.8124899999999999</v>
      </c>
      <c r="Z1934">
        <v>0</v>
      </c>
      <c r="AA1934">
        <v>1.6339600000000001</v>
      </c>
      <c r="AB1934">
        <v>3.3868800000000001</v>
      </c>
      <c r="AC1934" s="2">
        <v>1036640000</v>
      </c>
      <c r="AD1934" s="1">
        <v>0</v>
      </c>
      <c r="AE1934" s="1">
        <v>0</v>
      </c>
      <c r="AF1934" s="1">
        <v>0</v>
      </c>
      <c r="AG1934" s="1">
        <v>0</v>
      </c>
      <c r="AH1934" s="2">
        <v>5471720</v>
      </c>
      <c r="AI1934" s="1">
        <v>935235</v>
      </c>
      <c r="AJ1934" s="1">
        <v>0</v>
      </c>
      <c r="AK1934" s="8">
        <f t="shared" si="123"/>
        <v>9</v>
      </c>
      <c r="AL1934" s="8">
        <f t="shared" si="122"/>
        <v>38</v>
      </c>
      <c r="AM1934">
        <f t="shared" si="120"/>
        <v>0</v>
      </c>
      <c r="AN1934">
        <f t="shared" si="121"/>
        <v>0</v>
      </c>
    </row>
    <row r="1935" spans="1:40" x14ac:dyDescent="0.35">
      <c r="A1935">
        <v>78.076400000000007</v>
      </c>
      <c r="B1935">
        <v>85.138999999999996</v>
      </c>
      <c r="C1935">
        <v>7.8429099999999998</v>
      </c>
      <c r="D1935">
        <v>0.04</v>
      </c>
      <c r="E1935">
        <v>0.04</v>
      </c>
      <c r="F1935">
        <v>2.82226</v>
      </c>
      <c r="G1935">
        <v>3.12466</v>
      </c>
      <c r="H1935">
        <v>0</v>
      </c>
      <c r="I1935">
        <v>0.528891</v>
      </c>
      <c r="J1935">
        <v>5.3222399999999999</v>
      </c>
      <c r="K1935" s="2">
        <v>204832000</v>
      </c>
      <c r="L1935" s="1">
        <v>0</v>
      </c>
      <c r="M1935" s="1">
        <v>0</v>
      </c>
      <c r="N1935" s="1">
        <v>0</v>
      </c>
      <c r="O1935" s="1">
        <v>0</v>
      </c>
      <c r="P1935" s="2">
        <v>4219210</v>
      </c>
      <c r="Q1935" s="1">
        <v>-87317.5</v>
      </c>
      <c r="R1935" s="1">
        <v>408539</v>
      </c>
      <c r="S1935">
        <v>98.272900000000007</v>
      </c>
      <c r="T1935">
        <v>98.274000000000001</v>
      </c>
      <c r="U1935">
        <v>5.1498699999999999</v>
      </c>
      <c r="V1935">
        <v>0</v>
      </c>
      <c r="W1935">
        <v>0</v>
      </c>
      <c r="X1935">
        <v>2.1148899999999999</v>
      </c>
      <c r="Y1935">
        <v>1.8124899999999999</v>
      </c>
      <c r="Z1935">
        <v>0</v>
      </c>
      <c r="AA1935">
        <v>1.6339600000000001</v>
      </c>
      <c r="AB1935">
        <v>3.3868800000000001</v>
      </c>
      <c r="AC1935" s="2">
        <v>1037580000</v>
      </c>
      <c r="AD1935" s="1">
        <v>0</v>
      </c>
      <c r="AE1935" s="1">
        <v>0</v>
      </c>
      <c r="AF1935" s="1">
        <v>0</v>
      </c>
      <c r="AG1935" s="1">
        <v>0</v>
      </c>
      <c r="AH1935" s="2">
        <v>5471730</v>
      </c>
      <c r="AI1935" s="1">
        <v>935235</v>
      </c>
      <c r="AJ1935" s="1">
        <v>0</v>
      </c>
      <c r="AK1935" s="8">
        <f t="shared" si="123"/>
        <v>10</v>
      </c>
      <c r="AL1935" s="8">
        <f t="shared" si="122"/>
        <v>38</v>
      </c>
      <c r="AM1935">
        <f t="shared" si="120"/>
        <v>0</v>
      </c>
      <c r="AN1935">
        <f t="shared" si="121"/>
        <v>0</v>
      </c>
    </row>
    <row r="1936" spans="1:40" x14ac:dyDescent="0.35">
      <c r="A1936">
        <v>80.4529</v>
      </c>
      <c r="B1936">
        <v>85.138999999999996</v>
      </c>
      <c r="C1936">
        <v>6.11388</v>
      </c>
      <c r="D1936">
        <v>0.03</v>
      </c>
      <c r="E1936">
        <v>0.04</v>
      </c>
      <c r="F1936">
        <v>3.12703</v>
      </c>
      <c r="G1936">
        <v>3.42943</v>
      </c>
      <c r="H1936">
        <v>0</v>
      </c>
      <c r="I1936">
        <v>0.528891</v>
      </c>
      <c r="J1936">
        <v>5.3222399999999999</v>
      </c>
      <c r="K1936" s="2">
        <v>204776000</v>
      </c>
      <c r="L1936" s="1">
        <v>0</v>
      </c>
      <c r="M1936" s="1">
        <v>0</v>
      </c>
      <c r="N1936" s="1">
        <v>0</v>
      </c>
      <c r="O1936" s="1">
        <v>0</v>
      </c>
      <c r="P1936" s="2">
        <v>4674840</v>
      </c>
      <c r="Q1936" s="1">
        <v>-55986</v>
      </c>
      <c r="R1936" s="1">
        <v>408539</v>
      </c>
      <c r="S1936">
        <v>98.235100000000003</v>
      </c>
      <c r="T1936">
        <v>98.274000000000001</v>
      </c>
      <c r="U1936">
        <v>3.9029799999999999</v>
      </c>
      <c r="V1936">
        <v>0</v>
      </c>
      <c r="W1936">
        <v>0</v>
      </c>
      <c r="X1936">
        <v>2.3279999999999998</v>
      </c>
      <c r="Y1936">
        <v>2.0255999999999998</v>
      </c>
      <c r="Z1936">
        <v>0</v>
      </c>
      <c r="AA1936">
        <v>1.6339600000000001</v>
      </c>
      <c r="AB1936">
        <v>3.3868800000000001</v>
      </c>
      <c r="AC1936" s="2">
        <v>1038530000</v>
      </c>
      <c r="AD1936" s="1">
        <v>0</v>
      </c>
      <c r="AE1936" s="1">
        <v>0</v>
      </c>
      <c r="AF1936" s="1">
        <v>0</v>
      </c>
      <c r="AG1936" s="1">
        <v>0</v>
      </c>
      <c r="AH1936" s="2">
        <v>6023100</v>
      </c>
      <c r="AI1936" s="1">
        <v>953208</v>
      </c>
      <c r="AJ1936" s="1">
        <v>0</v>
      </c>
      <c r="AK1936" s="8">
        <f t="shared" si="123"/>
        <v>11</v>
      </c>
      <c r="AL1936" s="8">
        <f t="shared" si="122"/>
        <v>38</v>
      </c>
      <c r="AM1936">
        <f t="shared" si="120"/>
        <v>0</v>
      </c>
      <c r="AN1936">
        <f t="shared" si="121"/>
        <v>0</v>
      </c>
    </row>
    <row r="1937" spans="1:40" x14ac:dyDescent="0.35">
      <c r="A1937">
        <v>81.6995</v>
      </c>
      <c r="B1937">
        <v>85.138999999999996</v>
      </c>
      <c r="C1937">
        <v>4.8784000000000001</v>
      </c>
      <c r="D1937">
        <v>0.01</v>
      </c>
      <c r="E1937">
        <v>0.04</v>
      </c>
      <c r="F1937">
        <v>3.12704</v>
      </c>
      <c r="G1937">
        <v>3.42944</v>
      </c>
      <c r="H1937">
        <v>0</v>
      </c>
      <c r="I1937">
        <v>0.58600600000000003</v>
      </c>
      <c r="J1937">
        <v>5.3222399999999999</v>
      </c>
      <c r="K1937" s="2">
        <v>204720000</v>
      </c>
      <c r="L1937" s="1">
        <v>0</v>
      </c>
      <c r="M1937" s="1">
        <v>0</v>
      </c>
      <c r="N1937" s="1">
        <v>0</v>
      </c>
      <c r="O1937" s="1">
        <v>0</v>
      </c>
      <c r="P1937" s="2">
        <v>4674840</v>
      </c>
      <c r="Q1937" s="1">
        <v>-55985.7</v>
      </c>
      <c r="R1937" s="1">
        <v>408539</v>
      </c>
      <c r="S1937">
        <v>98.034199999999998</v>
      </c>
      <c r="T1937">
        <v>98.274000000000001</v>
      </c>
      <c r="U1937">
        <v>2.8713299999999999</v>
      </c>
      <c r="V1937">
        <v>0</v>
      </c>
      <c r="W1937">
        <v>0</v>
      </c>
      <c r="X1937">
        <v>2.3279999999999998</v>
      </c>
      <c r="Y1937">
        <v>2.0255999999999998</v>
      </c>
      <c r="Z1937">
        <v>0</v>
      </c>
      <c r="AA1937">
        <v>1.79861</v>
      </c>
      <c r="AB1937">
        <v>3.3868800000000001</v>
      </c>
      <c r="AC1937" s="2">
        <v>1039480000</v>
      </c>
      <c r="AD1937" s="1">
        <v>0</v>
      </c>
      <c r="AE1937" s="1">
        <v>0</v>
      </c>
      <c r="AF1937" s="1">
        <v>0</v>
      </c>
      <c r="AG1937" s="1">
        <v>0</v>
      </c>
      <c r="AH1937" s="2">
        <v>6023100</v>
      </c>
      <c r="AI1937" s="1">
        <v>953208</v>
      </c>
      <c r="AJ1937" s="1">
        <v>0</v>
      </c>
      <c r="AK1937" s="8">
        <f t="shared" si="123"/>
        <v>12</v>
      </c>
      <c r="AL1937" s="8">
        <f t="shared" si="122"/>
        <v>38</v>
      </c>
      <c r="AM1937">
        <f t="shared" si="120"/>
        <v>0</v>
      </c>
      <c r="AN1937">
        <f t="shared" si="121"/>
        <v>0</v>
      </c>
    </row>
    <row r="1938" spans="1:40" x14ac:dyDescent="0.35">
      <c r="A1938">
        <v>85.138999999999996</v>
      </c>
      <c r="B1938">
        <v>85.138999999999996</v>
      </c>
      <c r="C1938">
        <v>9.3427299999999995</v>
      </c>
      <c r="D1938">
        <v>0.01</v>
      </c>
      <c r="E1938">
        <v>0.04</v>
      </c>
      <c r="F1938">
        <v>3.12704</v>
      </c>
      <c r="G1938">
        <v>3.42944</v>
      </c>
      <c r="H1938">
        <v>0</v>
      </c>
      <c r="I1938">
        <v>0.58600699999999994</v>
      </c>
      <c r="J1938">
        <v>5.3222399999999999</v>
      </c>
      <c r="K1938" s="2">
        <v>204664000</v>
      </c>
      <c r="L1938" s="1">
        <v>0</v>
      </c>
      <c r="M1938" s="1">
        <v>0</v>
      </c>
      <c r="N1938" s="1">
        <v>0</v>
      </c>
      <c r="O1938" s="1">
        <v>0</v>
      </c>
      <c r="P1938" s="2">
        <v>4674850</v>
      </c>
      <c r="Q1938" s="1">
        <v>-55985.4</v>
      </c>
      <c r="R1938" s="1">
        <v>408539</v>
      </c>
      <c r="S1938">
        <v>98.365300000000005</v>
      </c>
      <c r="T1938">
        <v>98.274000000000001</v>
      </c>
      <c r="U1938">
        <v>5.4639100000000003</v>
      </c>
      <c r="V1938">
        <v>0</v>
      </c>
      <c r="W1938">
        <v>0</v>
      </c>
      <c r="X1938">
        <v>2.3280099999999999</v>
      </c>
      <c r="Y1938">
        <v>2.0256099999999999</v>
      </c>
      <c r="Z1938">
        <v>0</v>
      </c>
      <c r="AA1938">
        <v>1.7986200000000001</v>
      </c>
      <c r="AB1938">
        <v>3.3868800000000001</v>
      </c>
      <c r="AC1938" s="2">
        <v>1040440000</v>
      </c>
      <c r="AD1938" s="1">
        <v>0</v>
      </c>
      <c r="AE1938" s="1">
        <v>0</v>
      </c>
      <c r="AF1938" s="1">
        <v>0</v>
      </c>
      <c r="AG1938" s="1">
        <v>0</v>
      </c>
      <c r="AH1938" s="2">
        <v>6023110</v>
      </c>
      <c r="AI1938" s="1">
        <v>953208</v>
      </c>
      <c r="AJ1938" s="1">
        <v>0</v>
      </c>
      <c r="AK1938" s="8">
        <f t="shared" si="123"/>
        <v>13</v>
      </c>
      <c r="AL1938" s="8">
        <f t="shared" si="122"/>
        <v>38</v>
      </c>
      <c r="AM1938">
        <f t="shared" si="120"/>
        <v>0</v>
      </c>
      <c r="AN1938">
        <f t="shared" si="121"/>
        <v>0</v>
      </c>
    </row>
    <row r="1939" spans="1:40" x14ac:dyDescent="0.35">
      <c r="A1939">
        <v>85.138999999999996</v>
      </c>
      <c r="B1939">
        <v>85.138999999999996</v>
      </c>
      <c r="C1939">
        <v>8.7026299999999992</v>
      </c>
      <c r="D1939">
        <v>0</v>
      </c>
      <c r="E1939">
        <v>0.04</v>
      </c>
      <c r="F1939">
        <v>3.42944</v>
      </c>
      <c r="G1939">
        <v>3.42944</v>
      </c>
      <c r="H1939">
        <v>0</v>
      </c>
      <c r="I1939">
        <v>0.58600699999999994</v>
      </c>
      <c r="J1939">
        <v>5.3222399999999999</v>
      </c>
      <c r="K1939" s="2">
        <v>205017000</v>
      </c>
      <c r="L1939" s="1">
        <v>0</v>
      </c>
      <c r="M1939" s="1">
        <v>0</v>
      </c>
      <c r="N1939" s="1">
        <v>0</v>
      </c>
      <c r="O1939" s="1">
        <v>0</v>
      </c>
      <c r="P1939" s="2">
        <v>5126930</v>
      </c>
      <c r="Q1939" s="1">
        <v>352553</v>
      </c>
      <c r="R1939" s="1">
        <v>0</v>
      </c>
      <c r="S1939">
        <v>98.966200000000001</v>
      </c>
      <c r="T1939">
        <v>98.274000000000001</v>
      </c>
      <c r="U1939">
        <v>7.2349500000000004</v>
      </c>
      <c r="V1939">
        <v>0</v>
      </c>
      <c r="W1939">
        <v>0</v>
      </c>
      <c r="X1939">
        <v>2.0256099999999999</v>
      </c>
      <c r="Y1939">
        <v>2.0256099999999999</v>
      </c>
      <c r="Z1939">
        <v>0</v>
      </c>
      <c r="AA1939">
        <v>1.7986200000000001</v>
      </c>
      <c r="AB1939">
        <v>3.3868800000000001</v>
      </c>
      <c r="AC1939" s="2">
        <v>1040610000</v>
      </c>
      <c r="AD1939" s="1">
        <v>0</v>
      </c>
      <c r="AE1939" s="1">
        <v>0</v>
      </c>
      <c r="AF1939" s="1">
        <v>0</v>
      </c>
      <c r="AG1939" s="1">
        <v>0</v>
      </c>
      <c r="AH1939" s="2">
        <v>5240730</v>
      </c>
      <c r="AI1939" s="1">
        <v>170828</v>
      </c>
      <c r="AJ1939" s="1">
        <v>0</v>
      </c>
      <c r="AK1939" s="8">
        <f t="shared" si="123"/>
        <v>14</v>
      </c>
      <c r="AL1939" s="8">
        <f t="shared" si="122"/>
        <v>38</v>
      </c>
      <c r="AM1939">
        <f t="shared" si="120"/>
        <v>0</v>
      </c>
      <c r="AN1939">
        <f t="shared" si="121"/>
        <v>0</v>
      </c>
    </row>
    <row r="1940" spans="1:40" x14ac:dyDescent="0.35">
      <c r="A1940">
        <v>85.138999999999996</v>
      </c>
      <c r="B1940">
        <v>85.138999999999996</v>
      </c>
      <c r="C1940">
        <v>5.4412200000000004</v>
      </c>
      <c r="D1940">
        <v>0</v>
      </c>
      <c r="E1940">
        <v>0.04</v>
      </c>
      <c r="F1940">
        <v>2.9947400000000002</v>
      </c>
      <c r="G1940">
        <v>2.9947400000000002</v>
      </c>
      <c r="H1940">
        <v>0</v>
      </c>
      <c r="I1940">
        <v>0.64267799999999997</v>
      </c>
      <c r="J1940">
        <v>5.3222399999999999</v>
      </c>
      <c r="K1940" s="2">
        <v>205325000</v>
      </c>
      <c r="L1940" s="1">
        <v>0</v>
      </c>
      <c r="M1940" s="1">
        <v>0</v>
      </c>
      <c r="N1940" s="1">
        <v>0</v>
      </c>
      <c r="O1940" s="1">
        <v>0</v>
      </c>
      <c r="P1940" s="2">
        <v>4477060</v>
      </c>
      <c r="Q1940" s="1">
        <v>307865</v>
      </c>
      <c r="R1940" s="1">
        <v>0</v>
      </c>
      <c r="S1940">
        <v>99.302199999999999</v>
      </c>
      <c r="T1940">
        <v>98.274000000000001</v>
      </c>
      <c r="U1940">
        <v>5.2236700000000003</v>
      </c>
      <c r="V1940">
        <v>0</v>
      </c>
      <c r="W1940">
        <v>0</v>
      </c>
      <c r="X1940">
        <v>1.7396100000000001</v>
      </c>
      <c r="Y1940">
        <v>1.7396100000000001</v>
      </c>
      <c r="Z1940">
        <v>0</v>
      </c>
      <c r="AA1940">
        <v>1.56498</v>
      </c>
      <c r="AB1940">
        <v>3.3868800000000001</v>
      </c>
      <c r="AC1940" s="2">
        <v>1040750000</v>
      </c>
      <c r="AD1940" s="1">
        <v>0</v>
      </c>
      <c r="AE1940" s="1">
        <v>0</v>
      </c>
      <c r="AF1940" s="1">
        <v>0</v>
      </c>
      <c r="AG1940" s="1">
        <v>0</v>
      </c>
      <c r="AH1940" s="2">
        <v>4500790</v>
      </c>
      <c r="AI1940" s="1">
        <v>146708</v>
      </c>
      <c r="AJ1940" s="1">
        <v>0</v>
      </c>
      <c r="AK1940" s="8">
        <f t="shared" si="123"/>
        <v>15</v>
      </c>
      <c r="AL1940" s="8">
        <f t="shared" si="122"/>
        <v>38</v>
      </c>
      <c r="AM1940">
        <f t="shared" si="120"/>
        <v>0</v>
      </c>
      <c r="AN1940">
        <f t="shared" si="121"/>
        <v>0</v>
      </c>
    </row>
    <row r="1941" spans="1:40" x14ac:dyDescent="0.35">
      <c r="A1941">
        <v>85.138999999999996</v>
      </c>
      <c r="B1941">
        <v>85.138999999999996</v>
      </c>
      <c r="C1941">
        <v>4.8376700000000001</v>
      </c>
      <c r="D1941">
        <v>0</v>
      </c>
      <c r="E1941">
        <v>0.04</v>
      </c>
      <c r="F1941">
        <v>2.9947499999999998</v>
      </c>
      <c r="G1941">
        <v>2.9947499999999998</v>
      </c>
      <c r="H1941">
        <v>0</v>
      </c>
      <c r="I1941">
        <v>0.56121500000000002</v>
      </c>
      <c r="J1941">
        <v>5.3222399999999999</v>
      </c>
      <c r="K1941" s="2">
        <v>205633000</v>
      </c>
      <c r="L1941" s="1">
        <v>0</v>
      </c>
      <c r="M1941" s="1">
        <v>0</v>
      </c>
      <c r="N1941" s="1">
        <v>0</v>
      </c>
      <c r="O1941" s="1">
        <v>0</v>
      </c>
      <c r="P1941" s="2">
        <v>4477070</v>
      </c>
      <c r="Q1941" s="1">
        <v>307866</v>
      </c>
      <c r="R1941" s="1">
        <v>0</v>
      </c>
      <c r="S1941">
        <v>99.302199999999999</v>
      </c>
      <c r="T1941">
        <v>98.274000000000001</v>
      </c>
      <c r="U1941">
        <v>4.7040699999999998</v>
      </c>
      <c r="V1941">
        <v>0</v>
      </c>
      <c r="W1941">
        <v>0</v>
      </c>
      <c r="X1941">
        <v>1.7396100000000001</v>
      </c>
      <c r="Y1941">
        <v>1.7396100000000001</v>
      </c>
      <c r="Z1941">
        <v>0</v>
      </c>
      <c r="AA1941">
        <v>1.34402</v>
      </c>
      <c r="AB1941">
        <v>3.3868800000000001</v>
      </c>
      <c r="AC1941" s="2">
        <v>1040900000</v>
      </c>
      <c r="AD1941" s="1">
        <v>0</v>
      </c>
      <c r="AE1941" s="1">
        <v>0</v>
      </c>
      <c r="AF1941" s="1">
        <v>0</v>
      </c>
      <c r="AG1941" s="1">
        <v>0</v>
      </c>
      <c r="AH1941" s="2">
        <v>4500790</v>
      </c>
      <c r="AI1941" s="1">
        <v>146709</v>
      </c>
      <c r="AJ1941" s="1">
        <v>0</v>
      </c>
      <c r="AK1941" s="8">
        <f t="shared" si="123"/>
        <v>16</v>
      </c>
      <c r="AL1941" s="8">
        <f t="shared" si="122"/>
        <v>38</v>
      </c>
      <c r="AM1941">
        <f t="shared" si="120"/>
        <v>0</v>
      </c>
      <c r="AN1941">
        <f t="shared" si="121"/>
        <v>0</v>
      </c>
    </row>
    <row r="1942" spans="1:40" x14ac:dyDescent="0.35">
      <c r="A1942">
        <v>85.138999999999996</v>
      </c>
      <c r="B1942">
        <v>85.138999999999996</v>
      </c>
      <c r="C1942">
        <v>4.60032</v>
      </c>
      <c r="D1942">
        <v>0</v>
      </c>
      <c r="E1942">
        <v>0.04</v>
      </c>
      <c r="F1942">
        <v>2.9947499999999998</v>
      </c>
      <c r="G1942">
        <v>2.9947499999999998</v>
      </c>
      <c r="H1942">
        <v>0</v>
      </c>
      <c r="I1942">
        <v>0.56121500000000002</v>
      </c>
      <c r="J1942">
        <v>5.3222399999999999</v>
      </c>
      <c r="K1942" s="2">
        <v>205940000</v>
      </c>
      <c r="L1942" s="1">
        <v>0</v>
      </c>
      <c r="M1942" s="1">
        <v>0</v>
      </c>
      <c r="N1942" s="1">
        <v>0</v>
      </c>
      <c r="O1942" s="1">
        <v>0</v>
      </c>
      <c r="P1942" s="2">
        <v>4477070</v>
      </c>
      <c r="Q1942" s="1">
        <v>307866</v>
      </c>
      <c r="R1942" s="1">
        <v>0</v>
      </c>
      <c r="S1942">
        <v>99.302199999999999</v>
      </c>
      <c r="T1942">
        <v>98.274000000000001</v>
      </c>
      <c r="U1942">
        <v>4.78071</v>
      </c>
      <c r="V1942">
        <v>0</v>
      </c>
      <c r="W1942">
        <v>0</v>
      </c>
      <c r="X1942">
        <v>1.7396100000000001</v>
      </c>
      <c r="Y1942">
        <v>1.7396100000000001</v>
      </c>
      <c r="Z1942">
        <v>0</v>
      </c>
      <c r="AA1942">
        <v>1.3440300000000001</v>
      </c>
      <c r="AB1942">
        <v>3.3868800000000001</v>
      </c>
      <c r="AC1942" s="2">
        <v>1041050000</v>
      </c>
      <c r="AD1942" s="1">
        <v>0</v>
      </c>
      <c r="AE1942" s="1">
        <v>0</v>
      </c>
      <c r="AF1942" s="1">
        <v>0</v>
      </c>
      <c r="AG1942" s="1">
        <v>0</v>
      </c>
      <c r="AH1942" s="2">
        <v>4500800</v>
      </c>
      <c r="AI1942" s="1">
        <v>146709</v>
      </c>
      <c r="AJ1942" s="1">
        <v>0</v>
      </c>
      <c r="AK1942" s="8">
        <f t="shared" si="123"/>
        <v>17</v>
      </c>
      <c r="AL1942" s="8">
        <f t="shared" si="122"/>
        <v>38</v>
      </c>
      <c r="AM1942">
        <f t="shared" si="120"/>
        <v>0</v>
      </c>
      <c r="AN1942">
        <f t="shared" si="121"/>
        <v>0</v>
      </c>
    </row>
    <row r="1943" spans="1:40" x14ac:dyDescent="0.35">
      <c r="A1943">
        <v>85.138999999999996</v>
      </c>
      <c r="B1943">
        <v>85.138999999999996</v>
      </c>
      <c r="C1943">
        <v>4.6957500000000003</v>
      </c>
      <c r="D1943">
        <v>0</v>
      </c>
      <c r="E1943">
        <v>0.04</v>
      </c>
      <c r="F1943">
        <v>2.9947499999999998</v>
      </c>
      <c r="G1943">
        <v>2.9947499999999998</v>
      </c>
      <c r="H1943">
        <v>0</v>
      </c>
      <c r="I1943">
        <v>0.56121600000000005</v>
      </c>
      <c r="J1943">
        <v>5.3222399999999999</v>
      </c>
      <c r="K1943" s="2">
        <v>206248000</v>
      </c>
      <c r="L1943" s="1">
        <v>0</v>
      </c>
      <c r="M1943" s="1">
        <v>0</v>
      </c>
      <c r="N1943" s="1">
        <v>0</v>
      </c>
      <c r="O1943" s="1">
        <v>0</v>
      </c>
      <c r="P1943" s="2">
        <v>4477080</v>
      </c>
      <c r="Q1943" s="1">
        <v>307866</v>
      </c>
      <c r="R1943" s="1">
        <v>0</v>
      </c>
      <c r="S1943">
        <v>99.302199999999999</v>
      </c>
      <c r="T1943">
        <v>98.274000000000001</v>
      </c>
      <c r="U1943">
        <v>4.5280800000000001</v>
      </c>
      <c r="V1943">
        <v>0</v>
      </c>
      <c r="W1943">
        <v>0</v>
      </c>
      <c r="X1943">
        <v>1.7396199999999999</v>
      </c>
      <c r="Y1943">
        <v>1.7396199999999999</v>
      </c>
      <c r="Z1943">
        <v>0</v>
      </c>
      <c r="AA1943">
        <v>1.3440300000000001</v>
      </c>
      <c r="AB1943">
        <v>3.3868800000000001</v>
      </c>
      <c r="AC1943" s="2">
        <v>1041190000</v>
      </c>
      <c r="AD1943" s="1">
        <v>0</v>
      </c>
      <c r="AE1943" s="1">
        <v>0</v>
      </c>
      <c r="AF1943" s="1">
        <v>0</v>
      </c>
      <c r="AG1943" s="1">
        <v>0</v>
      </c>
      <c r="AH1943" s="2">
        <v>4500800</v>
      </c>
      <c r="AI1943" s="1">
        <v>146709</v>
      </c>
      <c r="AJ1943" s="1">
        <v>0</v>
      </c>
      <c r="AK1943" s="8">
        <f t="shared" si="123"/>
        <v>18</v>
      </c>
      <c r="AL1943" s="8">
        <f t="shared" si="122"/>
        <v>38</v>
      </c>
      <c r="AM1943">
        <f t="shared" si="120"/>
        <v>0</v>
      </c>
      <c r="AN1943">
        <f t="shared" si="121"/>
        <v>0</v>
      </c>
    </row>
    <row r="1944" spans="1:40" x14ac:dyDescent="0.35">
      <c r="A1944">
        <v>85.138999999999996</v>
      </c>
      <c r="B1944">
        <v>85.138999999999996</v>
      </c>
      <c r="C1944">
        <v>4.5450799999999996</v>
      </c>
      <c r="D1944">
        <v>0</v>
      </c>
      <c r="E1944">
        <v>0.04</v>
      </c>
      <c r="F1944">
        <v>2.9947499999999998</v>
      </c>
      <c r="G1944">
        <v>2.9947499999999998</v>
      </c>
      <c r="H1944">
        <v>0</v>
      </c>
      <c r="I1944">
        <v>0.56121600000000005</v>
      </c>
      <c r="J1944">
        <v>5.3222399999999999</v>
      </c>
      <c r="K1944" s="2">
        <v>206556000</v>
      </c>
      <c r="L1944" s="1">
        <v>0</v>
      </c>
      <c r="M1944" s="1">
        <v>0</v>
      </c>
      <c r="N1944" s="1">
        <v>0</v>
      </c>
      <c r="O1944" s="1">
        <v>0</v>
      </c>
      <c r="P1944" s="2">
        <v>4477080</v>
      </c>
      <c r="Q1944" s="1">
        <v>307866</v>
      </c>
      <c r="R1944" s="1">
        <v>0</v>
      </c>
      <c r="S1944">
        <v>99.302199999999999</v>
      </c>
      <c r="T1944">
        <v>98.274000000000001</v>
      </c>
      <c r="U1944">
        <v>5.0785</v>
      </c>
      <c r="V1944">
        <v>0</v>
      </c>
      <c r="W1944">
        <v>0</v>
      </c>
      <c r="X1944">
        <v>1.7396199999999999</v>
      </c>
      <c r="Y1944">
        <v>1.7396199999999999</v>
      </c>
      <c r="Z1944">
        <v>0</v>
      </c>
      <c r="AA1944">
        <v>1.3440300000000001</v>
      </c>
      <c r="AB1944">
        <v>3.3868800000000001</v>
      </c>
      <c r="AC1944" s="2">
        <v>1041340000</v>
      </c>
      <c r="AD1944" s="1">
        <v>0</v>
      </c>
      <c r="AE1944" s="1">
        <v>0</v>
      </c>
      <c r="AF1944" s="1">
        <v>0</v>
      </c>
      <c r="AG1944" s="1">
        <v>0</v>
      </c>
      <c r="AH1944" s="2">
        <v>4500810</v>
      </c>
      <c r="AI1944" s="1">
        <v>146709</v>
      </c>
      <c r="AJ1944" s="1">
        <v>0</v>
      </c>
      <c r="AK1944" s="8">
        <f t="shared" si="123"/>
        <v>19</v>
      </c>
      <c r="AL1944" s="8">
        <f t="shared" si="122"/>
        <v>38</v>
      </c>
      <c r="AM1944">
        <f t="shared" si="120"/>
        <v>0</v>
      </c>
      <c r="AN1944">
        <f t="shared" si="121"/>
        <v>0</v>
      </c>
    </row>
    <row r="1945" spans="1:40" x14ac:dyDescent="0.35">
      <c r="A1945">
        <v>85.138999999999996</v>
      </c>
      <c r="B1945">
        <v>85.138999999999996</v>
      </c>
      <c r="C1945">
        <v>5.3098099999999997</v>
      </c>
      <c r="D1945">
        <v>0</v>
      </c>
      <c r="E1945">
        <v>0.04</v>
      </c>
      <c r="F1945">
        <v>3.1041799999999999</v>
      </c>
      <c r="G1945">
        <v>3.1041799999999999</v>
      </c>
      <c r="H1945">
        <v>0</v>
      </c>
      <c r="I1945">
        <v>0.56121699999999997</v>
      </c>
      <c r="J1945">
        <v>5.3222399999999999</v>
      </c>
      <c r="K1945" s="2">
        <v>206875000</v>
      </c>
      <c r="L1945" s="1">
        <v>0</v>
      </c>
      <c r="M1945" s="1">
        <v>0</v>
      </c>
      <c r="N1945" s="1">
        <v>0</v>
      </c>
      <c r="O1945" s="1">
        <v>0</v>
      </c>
      <c r="P1945" s="2">
        <v>4640670</v>
      </c>
      <c r="Q1945" s="1">
        <v>319116</v>
      </c>
      <c r="R1945" s="1">
        <v>0</v>
      </c>
      <c r="S1945">
        <v>99.302199999999999</v>
      </c>
      <c r="T1945">
        <v>98.274000000000001</v>
      </c>
      <c r="U1945">
        <v>5.11843</v>
      </c>
      <c r="V1945">
        <v>0</v>
      </c>
      <c r="W1945">
        <v>0</v>
      </c>
      <c r="X1945">
        <v>1.80959</v>
      </c>
      <c r="Y1945">
        <v>1.80959</v>
      </c>
      <c r="Z1945">
        <v>0</v>
      </c>
      <c r="AA1945">
        <v>1.3440300000000001</v>
      </c>
      <c r="AB1945">
        <v>3.3868800000000001</v>
      </c>
      <c r="AC1945" s="2">
        <v>1041490000</v>
      </c>
      <c r="AD1945" s="1">
        <v>0</v>
      </c>
      <c r="AE1945" s="1">
        <v>0</v>
      </c>
      <c r="AF1945" s="1">
        <v>0</v>
      </c>
      <c r="AG1945" s="1">
        <v>0</v>
      </c>
      <c r="AH1945" s="2">
        <v>4681830</v>
      </c>
      <c r="AI1945" s="1">
        <v>152610</v>
      </c>
      <c r="AJ1945" s="1">
        <v>0</v>
      </c>
      <c r="AK1945" s="8">
        <f t="shared" si="123"/>
        <v>20</v>
      </c>
      <c r="AL1945" s="8">
        <f t="shared" si="122"/>
        <v>38</v>
      </c>
      <c r="AM1945">
        <f t="shared" si="120"/>
        <v>0</v>
      </c>
      <c r="AN1945">
        <f t="shared" si="121"/>
        <v>0</v>
      </c>
    </row>
    <row r="1946" spans="1:40" x14ac:dyDescent="0.35">
      <c r="A1946">
        <v>85.138999999999996</v>
      </c>
      <c r="B1946">
        <v>85.138999999999996</v>
      </c>
      <c r="C1946">
        <v>5.9768600000000003</v>
      </c>
      <c r="D1946">
        <v>0</v>
      </c>
      <c r="E1946">
        <v>0.04</v>
      </c>
      <c r="F1946">
        <v>3.1041799999999999</v>
      </c>
      <c r="G1946">
        <v>3.1041799999999999</v>
      </c>
      <c r="H1946">
        <v>0</v>
      </c>
      <c r="I1946">
        <v>0.58172299999999999</v>
      </c>
      <c r="J1946">
        <v>5.3222399999999999</v>
      </c>
      <c r="K1946" s="2">
        <v>207194000</v>
      </c>
      <c r="L1946" s="1">
        <v>0</v>
      </c>
      <c r="M1946" s="1">
        <v>0</v>
      </c>
      <c r="N1946" s="1">
        <v>0</v>
      </c>
      <c r="O1946" s="1">
        <v>0</v>
      </c>
      <c r="P1946" s="2">
        <v>4640670</v>
      </c>
      <c r="Q1946" s="1">
        <v>319116</v>
      </c>
      <c r="R1946" s="1">
        <v>0</v>
      </c>
      <c r="S1946">
        <v>99.302199999999999</v>
      </c>
      <c r="T1946">
        <v>98.274000000000001</v>
      </c>
      <c r="U1946">
        <v>5.9736000000000002</v>
      </c>
      <c r="V1946">
        <v>0</v>
      </c>
      <c r="W1946">
        <v>0</v>
      </c>
      <c r="X1946">
        <v>1.80959</v>
      </c>
      <c r="Y1946">
        <v>1.80959</v>
      </c>
      <c r="Z1946">
        <v>0</v>
      </c>
      <c r="AA1946">
        <v>1.3980900000000001</v>
      </c>
      <c r="AB1946">
        <v>3.3868800000000001</v>
      </c>
      <c r="AC1946" s="2">
        <v>1041650000</v>
      </c>
      <c r="AD1946" s="1">
        <v>0</v>
      </c>
      <c r="AE1946" s="1">
        <v>0</v>
      </c>
      <c r="AF1946" s="1">
        <v>0</v>
      </c>
      <c r="AG1946" s="1">
        <v>0</v>
      </c>
      <c r="AH1946" s="2">
        <v>4681830</v>
      </c>
      <c r="AI1946" s="1">
        <v>152610</v>
      </c>
      <c r="AJ1946" s="1">
        <v>0</v>
      </c>
      <c r="AK1946" s="8">
        <f t="shared" si="123"/>
        <v>21</v>
      </c>
      <c r="AL1946" s="8">
        <f t="shared" si="122"/>
        <v>38</v>
      </c>
      <c r="AM1946">
        <f t="shared" si="120"/>
        <v>0</v>
      </c>
      <c r="AN1946">
        <f t="shared" si="121"/>
        <v>0</v>
      </c>
    </row>
    <row r="1947" spans="1:40" x14ac:dyDescent="0.35">
      <c r="A1947">
        <v>85.138999999999996</v>
      </c>
      <c r="B1947">
        <v>85.138999999999996</v>
      </c>
      <c r="C1947">
        <v>5.9508000000000001</v>
      </c>
      <c r="D1947">
        <v>0</v>
      </c>
      <c r="E1947">
        <v>0.04</v>
      </c>
      <c r="F1947">
        <v>3.1041799999999999</v>
      </c>
      <c r="G1947">
        <v>3.1041799999999999</v>
      </c>
      <c r="H1947">
        <v>0</v>
      </c>
      <c r="I1947">
        <v>0.58172299999999999</v>
      </c>
      <c r="J1947">
        <v>5.3222399999999999</v>
      </c>
      <c r="K1947" s="2">
        <v>207514000</v>
      </c>
      <c r="L1947" s="1">
        <v>0</v>
      </c>
      <c r="M1947" s="1">
        <v>0</v>
      </c>
      <c r="N1947" s="1">
        <v>0</v>
      </c>
      <c r="O1947" s="1">
        <v>0</v>
      </c>
      <c r="P1947" s="2">
        <v>4640680</v>
      </c>
      <c r="Q1947" s="1">
        <v>319116</v>
      </c>
      <c r="R1947" s="1">
        <v>0</v>
      </c>
      <c r="S1947">
        <v>99.302199999999999</v>
      </c>
      <c r="T1947">
        <v>98.274000000000001</v>
      </c>
      <c r="U1947">
        <v>6.4821400000000002</v>
      </c>
      <c r="V1947">
        <v>0</v>
      </c>
      <c r="W1947">
        <v>0</v>
      </c>
      <c r="X1947">
        <v>1.80959</v>
      </c>
      <c r="Y1947">
        <v>1.80959</v>
      </c>
      <c r="Z1947">
        <v>0</v>
      </c>
      <c r="AA1947">
        <v>1.3980900000000001</v>
      </c>
      <c r="AB1947">
        <v>3.3868800000000001</v>
      </c>
      <c r="AC1947" s="2">
        <v>1041800000</v>
      </c>
      <c r="AD1947" s="1">
        <v>0</v>
      </c>
      <c r="AE1947" s="1">
        <v>0</v>
      </c>
      <c r="AF1947" s="1">
        <v>0</v>
      </c>
      <c r="AG1947" s="1">
        <v>0</v>
      </c>
      <c r="AH1947" s="2">
        <v>4681840</v>
      </c>
      <c r="AI1947" s="1">
        <v>152610</v>
      </c>
      <c r="AJ1947" s="1">
        <v>0</v>
      </c>
      <c r="AK1947" s="8">
        <f t="shared" si="123"/>
        <v>22</v>
      </c>
      <c r="AL1947" s="8">
        <f t="shared" si="122"/>
        <v>38</v>
      </c>
      <c r="AM1947">
        <f t="shared" si="120"/>
        <v>0</v>
      </c>
      <c r="AN1947">
        <f t="shared" si="121"/>
        <v>0</v>
      </c>
    </row>
    <row r="1948" spans="1:40" x14ac:dyDescent="0.35">
      <c r="A1948">
        <v>85.138999999999996</v>
      </c>
      <c r="B1948">
        <v>85.138999999999996</v>
      </c>
      <c r="C1948">
        <v>6.9631800000000004</v>
      </c>
      <c r="D1948">
        <v>0</v>
      </c>
      <c r="E1948">
        <v>0.04</v>
      </c>
      <c r="F1948">
        <v>3.10419</v>
      </c>
      <c r="G1948">
        <v>3.10419</v>
      </c>
      <c r="H1948">
        <v>0</v>
      </c>
      <c r="I1948">
        <v>0.58172400000000002</v>
      </c>
      <c r="J1948">
        <v>5.3222399999999999</v>
      </c>
      <c r="K1948" s="2">
        <v>207833000</v>
      </c>
      <c r="L1948" s="1">
        <v>0</v>
      </c>
      <c r="M1948" s="1">
        <v>0</v>
      </c>
      <c r="N1948" s="1">
        <v>0</v>
      </c>
      <c r="O1948" s="1">
        <v>0</v>
      </c>
      <c r="P1948" s="2">
        <v>4640680</v>
      </c>
      <c r="Q1948" s="1">
        <v>319116</v>
      </c>
      <c r="R1948" s="1">
        <v>0</v>
      </c>
      <c r="S1948">
        <v>99.302199999999999</v>
      </c>
      <c r="T1948">
        <v>98.274000000000001</v>
      </c>
      <c r="U1948">
        <v>6.6281600000000003</v>
      </c>
      <c r="V1948">
        <v>0</v>
      </c>
      <c r="W1948">
        <v>0</v>
      </c>
      <c r="X1948">
        <v>1.80959</v>
      </c>
      <c r="Y1948">
        <v>1.80959</v>
      </c>
      <c r="Z1948">
        <v>0</v>
      </c>
      <c r="AA1948">
        <v>1.3980900000000001</v>
      </c>
      <c r="AB1948">
        <v>3.3868800000000001</v>
      </c>
      <c r="AC1948" s="2">
        <v>1041950000</v>
      </c>
      <c r="AD1948" s="1">
        <v>0</v>
      </c>
      <c r="AE1948" s="1">
        <v>0</v>
      </c>
      <c r="AF1948" s="1">
        <v>0</v>
      </c>
      <c r="AG1948" s="1">
        <v>0</v>
      </c>
      <c r="AH1948" s="2">
        <v>4681840</v>
      </c>
      <c r="AI1948" s="1">
        <v>152610</v>
      </c>
      <c r="AJ1948" s="1">
        <v>0</v>
      </c>
      <c r="AK1948" s="8">
        <f t="shared" si="123"/>
        <v>23</v>
      </c>
      <c r="AL1948" s="8">
        <f t="shared" si="122"/>
        <v>38</v>
      </c>
      <c r="AM1948">
        <f t="shared" si="120"/>
        <v>0</v>
      </c>
      <c r="AN1948">
        <f t="shared" si="121"/>
        <v>0</v>
      </c>
    </row>
    <row r="1949" spans="1:40" x14ac:dyDescent="0.35">
      <c r="A1949">
        <v>85.138999999999996</v>
      </c>
      <c r="B1949">
        <v>85.138999999999996</v>
      </c>
      <c r="C1949">
        <v>4.4866799999999998</v>
      </c>
      <c r="D1949">
        <v>0</v>
      </c>
      <c r="E1949">
        <v>0.04</v>
      </c>
      <c r="F1949">
        <v>3.06141</v>
      </c>
      <c r="G1949">
        <v>3.06141</v>
      </c>
      <c r="H1949">
        <v>0</v>
      </c>
      <c r="I1949">
        <v>0.58172400000000002</v>
      </c>
      <c r="J1949">
        <v>5.3222399999999999</v>
      </c>
      <c r="K1949" s="2">
        <v>208147000</v>
      </c>
      <c r="L1949" s="1">
        <v>0</v>
      </c>
      <c r="M1949" s="1">
        <v>0</v>
      </c>
      <c r="N1949" s="1">
        <v>0</v>
      </c>
      <c r="O1949" s="1">
        <v>0</v>
      </c>
      <c r="P1949" s="2">
        <v>4576720</v>
      </c>
      <c r="Q1949" s="1">
        <v>314718</v>
      </c>
      <c r="R1949" s="1">
        <v>0</v>
      </c>
      <c r="S1949">
        <v>99.302199999999999</v>
      </c>
      <c r="T1949">
        <v>98.274000000000001</v>
      </c>
      <c r="U1949">
        <v>3.8493499999999998</v>
      </c>
      <c r="V1949">
        <v>0</v>
      </c>
      <c r="W1949">
        <v>0</v>
      </c>
      <c r="X1949">
        <v>1.7824199999999999</v>
      </c>
      <c r="Y1949">
        <v>1.7824199999999999</v>
      </c>
      <c r="Z1949">
        <v>0</v>
      </c>
      <c r="AA1949">
        <v>1.3980900000000001</v>
      </c>
      <c r="AB1949">
        <v>3.3868800000000001</v>
      </c>
      <c r="AC1949" s="2">
        <v>1042100000</v>
      </c>
      <c r="AD1949" s="1">
        <v>0</v>
      </c>
      <c r="AE1949" s="1">
        <v>0</v>
      </c>
      <c r="AF1949" s="1">
        <v>0</v>
      </c>
      <c r="AG1949" s="1">
        <v>0</v>
      </c>
      <c r="AH1949" s="2">
        <v>4611540</v>
      </c>
      <c r="AI1949" s="1">
        <v>150318</v>
      </c>
      <c r="AJ1949" s="1">
        <v>0</v>
      </c>
      <c r="AK1949" s="8">
        <f t="shared" si="123"/>
        <v>24</v>
      </c>
      <c r="AL1949" s="8">
        <f t="shared" si="122"/>
        <v>38</v>
      </c>
      <c r="AM1949">
        <f t="shared" si="120"/>
        <v>0</v>
      </c>
      <c r="AN1949">
        <f t="shared" si="121"/>
        <v>0</v>
      </c>
    </row>
    <row r="1950" spans="1:40" x14ac:dyDescent="0.35">
      <c r="A1950">
        <v>85.138999999999996</v>
      </c>
      <c r="B1950">
        <v>85.138999999999996</v>
      </c>
      <c r="C1950">
        <v>3.9717899999999999</v>
      </c>
      <c r="D1950">
        <v>0</v>
      </c>
      <c r="E1950">
        <v>0.04</v>
      </c>
      <c r="F1950">
        <v>3.06141</v>
      </c>
      <c r="G1950">
        <v>3.06141</v>
      </c>
      <c r="H1950">
        <v>0</v>
      </c>
      <c r="I1950">
        <v>0.57370699999999997</v>
      </c>
      <c r="J1950">
        <v>5.3222399999999999</v>
      </c>
      <c r="K1950" s="2">
        <v>208462000</v>
      </c>
      <c r="L1950" s="1">
        <v>0</v>
      </c>
      <c r="M1950" s="1">
        <v>0</v>
      </c>
      <c r="N1950" s="1">
        <v>0</v>
      </c>
      <c r="O1950" s="1">
        <v>0</v>
      </c>
      <c r="P1950" s="2">
        <v>4576730</v>
      </c>
      <c r="Q1950" s="1">
        <v>314719</v>
      </c>
      <c r="R1950" s="1">
        <v>0</v>
      </c>
      <c r="S1950">
        <v>99.302199999999999</v>
      </c>
      <c r="T1950">
        <v>98.274000000000001</v>
      </c>
      <c r="U1950">
        <v>3.36856</v>
      </c>
      <c r="V1950">
        <v>0</v>
      </c>
      <c r="W1950">
        <v>0</v>
      </c>
      <c r="X1950">
        <v>1.7824199999999999</v>
      </c>
      <c r="Y1950">
        <v>1.7824199999999999</v>
      </c>
      <c r="Z1950">
        <v>0</v>
      </c>
      <c r="AA1950">
        <v>1.3771</v>
      </c>
      <c r="AB1950">
        <v>3.3868800000000001</v>
      </c>
      <c r="AC1950" s="2">
        <v>1042250000</v>
      </c>
      <c r="AD1950" s="1">
        <v>0</v>
      </c>
      <c r="AE1950" s="1">
        <v>0</v>
      </c>
      <c r="AF1950" s="1">
        <v>0</v>
      </c>
      <c r="AG1950" s="1">
        <v>0</v>
      </c>
      <c r="AH1950" s="2">
        <v>4611540</v>
      </c>
      <c r="AI1950" s="1">
        <v>150319</v>
      </c>
      <c r="AJ1950" s="1">
        <v>0</v>
      </c>
      <c r="AK1950" s="8">
        <f t="shared" si="123"/>
        <v>25</v>
      </c>
      <c r="AL1950" s="8">
        <f t="shared" si="122"/>
        <v>38</v>
      </c>
      <c r="AM1950">
        <f t="shared" si="120"/>
        <v>0</v>
      </c>
      <c r="AN1950">
        <f t="shared" si="121"/>
        <v>0</v>
      </c>
    </row>
    <row r="1951" spans="1:40" x14ac:dyDescent="0.35">
      <c r="A1951">
        <v>85.138999999999996</v>
      </c>
      <c r="B1951">
        <v>85.138999999999996</v>
      </c>
      <c r="C1951">
        <v>3.6188500000000001</v>
      </c>
      <c r="D1951">
        <v>0</v>
      </c>
      <c r="E1951">
        <v>0.04</v>
      </c>
      <c r="F1951">
        <v>3.06141</v>
      </c>
      <c r="G1951">
        <v>3.06141</v>
      </c>
      <c r="H1951">
        <v>0</v>
      </c>
      <c r="I1951">
        <v>0.573708</v>
      </c>
      <c r="J1951">
        <v>5.3222399999999999</v>
      </c>
      <c r="K1951" s="2">
        <v>208777000</v>
      </c>
      <c r="L1951" s="1">
        <v>0</v>
      </c>
      <c r="M1951" s="1">
        <v>0</v>
      </c>
      <c r="N1951" s="1">
        <v>0</v>
      </c>
      <c r="O1951" s="1">
        <v>0</v>
      </c>
      <c r="P1951" s="2">
        <v>4576730</v>
      </c>
      <c r="Q1951" s="1">
        <v>314719</v>
      </c>
      <c r="R1951" s="1">
        <v>0</v>
      </c>
      <c r="S1951">
        <v>99.2898</v>
      </c>
      <c r="T1951">
        <v>98.274000000000001</v>
      </c>
      <c r="U1951">
        <v>3.08786</v>
      </c>
      <c r="V1951">
        <v>0</v>
      </c>
      <c r="W1951">
        <v>0</v>
      </c>
      <c r="X1951">
        <v>1.7824199999999999</v>
      </c>
      <c r="Y1951">
        <v>1.7824199999999999</v>
      </c>
      <c r="Z1951">
        <v>0</v>
      </c>
      <c r="AA1951">
        <v>1.3771</v>
      </c>
      <c r="AB1951">
        <v>3.3868800000000001</v>
      </c>
      <c r="AC1951" s="2">
        <v>1042400000</v>
      </c>
      <c r="AD1951" s="1">
        <v>0</v>
      </c>
      <c r="AE1951" s="1">
        <v>0</v>
      </c>
      <c r="AF1951" s="1">
        <v>0</v>
      </c>
      <c r="AG1951" s="1">
        <v>0</v>
      </c>
      <c r="AH1951" s="2">
        <v>4611550</v>
      </c>
      <c r="AI1951" s="1">
        <v>150319</v>
      </c>
      <c r="AJ1951" s="1">
        <v>0</v>
      </c>
      <c r="AK1951" s="8">
        <f t="shared" si="123"/>
        <v>26</v>
      </c>
      <c r="AL1951" s="8">
        <f t="shared" si="122"/>
        <v>38</v>
      </c>
      <c r="AM1951">
        <f t="shared" si="120"/>
        <v>0</v>
      </c>
      <c r="AN1951">
        <f t="shared" si="121"/>
        <v>0</v>
      </c>
    </row>
    <row r="1952" spans="1:40" x14ac:dyDescent="0.35">
      <c r="A1952">
        <v>85.138999999999996</v>
      </c>
      <c r="B1952">
        <v>85.138999999999996</v>
      </c>
      <c r="C1952">
        <v>3.4329999999999998</v>
      </c>
      <c r="D1952">
        <v>0</v>
      </c>
      <c r="E1952">
        <v>0.04</v>
      </c>
      <c r="F1952">
        <v>3.06141</v>
      </c>
      <c r="G1952">
        <v>3.06141</v>
      </c>
      <c r="H1952">
        <v>0</v>
      </c>
      <c r="I1952">
        <v>0.573708</v>
      </c>
      <c r="J1952">
        <v>5.3222399999999999</v>
      </c>
      <c r="K1952" s="2">
        <v>209091000</v>
      </c>
      <c r="L1952" s="1">
        <v>0</v>
      </c>
      <c r="M1952" s="1">
        <v>0</v>
      </c>
      <c r="N1952" s="1">
        <v>0</v>
      </c>
      <c r="O1952" s="1">
        <v>0</v>
      </c>
      <c r="P1952" s="2">
        <v>4576740</v>
      </c>
      <c r="Q1952" s="1">
        <v>314719</v>
      </c>
      <c r="R1952" s="1">
        <v>0</v>
      </c>
      <c r="S1952">
        <v>99.302199999999999</v>
      </c>
      <c r="T1952">
        <v>98.274000000000001</v>
      </c>
      <c r="U1952">
        <v>2.9979800000000001</v>
      </c>
      <c r="V1952">
        <v>0</v>
      </c>
      <c r="W1952">
        <v>0</v>
      </c>
      <c r="X1952">
        <v>1.7824199999999999</v>
      </c>
      <c r="Y1952">
        <v>1.7824199999999999</v>
      </c>
      <c r="Z1952">
        <v>0</v>
      </c>
      <c r="AA1952">
        <v>1.3771</v>
      </c>
      <c r="AB1952">
        <v>3.3868800000000001</v>
      </c>
      <c r="AC1952" s="2">
        <v>1042550000</v>
      </c>
      <c r="AD1952" s="1">
        <v>0</v>
      </c>
      <c r="AE1952" s="1">
        <v>0</v>
      </c>
      <c r="AF1952" s="1">
        <v>0</v>
      </c>
      <c r="AG1952" s="1">
        <v>0</v>
      </c>
      <c r="AH1952" s="2">
        <v>4611550</v>
      </c>
      <c r="AI1952" s="1">
        <v>150319</v>
      </c>
      <c r="AJ1952" s="1">
        <v>0</v>
      </c>
      <c r="AK1952" s="8">
        <f t="shared" si="123"/>
        <v>27</v>
      </c>
      <c r="AL1952" s="8">
        <f t="shared" si="122"/>
        <v>38</v>
      </c>
      <c r="AM1952">
        <f t="shared" si="120"/>
        <v>0</v>
      </c>
      <c r="AN1952">
        <f t="shared" si="121"/>
        <v>0</v>
      </c>
    </row>
    <row r="1953" spans="1:40" x14ac:dyDescent="0.35">
      <c r="A1953">
        <v>85.138999999999996</v>
      </c>
      <c r="B1953">
        <v>85.138999999999996</v>
      </c>
      <c r="C1953">
        <v>3.61802</v>
      </c>
      <c r="D1953">
        <v>0</v>
      </c>
      <c r="E1953">
        <v>0.04</v>
      </c>
      <c r="F1953">
        <v>3.2066400000000002</v>
      </c>
      <c r="G1953">
        <v>3.2066400000000002</v>
      </c>
      <c r="H1953">
        <v>0</v>
      </c>
      <c r="I1953">
        <v>0.57370900000000002</v>
      </c>
      <c r="J1953">
        <v>5.3222399999999999</v>
      </c>
      <c r="K1953" s="2">
        <v>209421000</v>
      </c>
      <c r="L1953" s="1">
        <v>0</v>
      </c>
      <c r="M1953" s="1">
        <v>0</v>
      </c>
      <c r="N1953" s="1">
        <v>0</v>
      </c>
      <c r="O1953" s="1">
        <v>0</v>
      </c>
      <c r="P1953" s="2">
        <v>4793850</v>
      </c>
      <c r="Q1953" s="1">
        <v>329649</v>
      </c>
      <c r="R1953" s="1">
        <v>0</v>
      </c>
      <c r="S1953">
        <v>99.302199999999999</v>
      </c>
      <c r="T1953">
        <v>98.274000000000001</v>
      </c>
      <c r="U1953">
        <v>3.08785</v>
      </c>
      <c r="V1953">
        <v>0</v>
      </c>
      <c r="W1953">
        <v>0</v>
      </c>
      <c r="X1953">
        <v>1.87879</v>
      </c>
      <c r="Y1953">
        <v>1.87879</v>
      </c>
      <c r="Z1953">
        <v>0</v>
      </c>
      <c r="AA1953">
        <v>1.3771</v>
      </c>
      <c r="AB1953">
        <v>3.3868800000000001</v>
      </c>
      <c r="AC1953" s="2">
        <v>1042710000</v>
      </c>
      <c r="AD1953" s="1">
        <v>0</v>
      </c>
      <c r="AE1953" s="1">
        <v>0</v>
      </c>
      <c r="AF1953" s="1">
        <v>0</v>
      </c>
      <c r="AG1953" s="1">
        <v>0</v>
      </c>
      <c r="AH1953" s="2">
        <v>4860880</v>
      </c>
      <c r="AI1953" s="1">
        <v>158446</v>
      </c>
      <c r="AJ1953" s="1">
        <v>0</v>
      </c>
      <c r="AK1953" s="8">
        <f t="shared" si="123"/>
        <v>28</v>
      </c>
      <c r="AL1953" s="8">
        <f t="shared" si="122"/>
        <v>38</v>
      </c>
      <c r="AM1953">
        <f t="shared" si="120"/>
        <v>0</v>
      </c>
      <c r="AN1953">
        <f t="shared" si="121"/>
        <v>0</v>
      </c>
    </row>
    <row r="1954" spans="1:40" x14ac:dyDescent="0.35">
      <c r="A1954">
        <v>84.948700000000002</v>
      </c>
      <c r="B1954">
        <v>85.138999999999996</v>
      </c>
      <c r="C1954">
        <v>3.2652899999999998</v>
      </c>
      <c r="D1954">
        <v>0</v>
      </c>
      <c r="E1954">
        <v>0.04</v>
      </c>
      <c r="F1954">
        <v>3.2066400000000002</v>
      </c>
      <c r="G1954">
        <v>3.2066400000000002</v>
      </c>
      <c r="H1954">
        <v>0</v>
      </c>
      <c r="I1954">
        <v>0.60092400000000001</v>
      </c>
      <c r="J1954">
        <v>5.3222399999999999</v>
      </c>
      <c r="K1954" s="2">
        <v>209751000</v>
      </c>
      <c r="L1954" s="1">
        <v>0</v>
      </c>
      <c r="M1954" s="1">
        <v>0</v>
      </c>
      <c r="N1954" s="1">
        <v>0</v>
      </c>
      <c r="O1954" s="1">
        <v>0</v>
      </c>
      <c r="P1954" s="2">
        <v>4793850</v>
      </c>
      <c r="Q1954" s="1">
        <v>329649</v>
      </c>
      <c r="R1954" s="1">
        <v>0</v>
      </c>
      <c r="S1954">
        <v>99.224800000000002</v>
      </c>
      <c r="T1954">
        <v>98.274000000000001</v>
      </c>
      <c r="U1954">
        <v>2.7712400000000001</v>
      </c>
      <c r="V1954">
        <v>0</v>
      </c>
      <c r="W1954">
        <v>0</v>
      </c>
      <c r="X1954">
        <v>1.87879</v>
      </c>
      <c r="Y1954">
        <v>1.87879</v>
      </c>
      <c r="Z1954">
        <v>0</v>
      </c>
      <c r="AA1954">
        <v>1.4515499999999999</v>
      </c>
      <c r="AB1954">
        <v>3.3868800000000001</v>
      </c>
      <c r="AC1954" s="2">
        <v>1042870000</v>
      </c>
      <c r="AD1954" s="1">
        <v>0</v>
      </c>
      <c r="AE1954" s="1">
        <v>0</v>
      </c>
      <c r="AF1954" s="1">
        <v>0</v>
      </c>
      <c r="AG1954" s="1">
        <v>0</v>
      </c>
      <c r="AH1954" s="2">
        <v>4860890</v>
      </c>
      <c r="AI1954" s="1">
        <v>158446</v>
      </c>
      <c r="AJ1954" s="1">
        <v>0</v>
      </c>
      <c r="AK1954" s="8">
        <f t="shared" si="123"/>
        <v>29</v>
      </c>
      <c r="AL1954" s="8">
        <f t="shared" si="122"/>
        <v>38</v>
      </c>
      <c r="AM1954">
        <f t="shared" si="120"/>
        <v>0</v>
      </c>
      <c r="AN1954">
        <f t="shared" si="121"/>
        <v>0</v>
      </c>
    </row>
    <row r="1955" spans="1:40" x14ac:dyDescent="0.35">
      <c r="A1955">
        <v>84.532899999999998</v>
      </c>
      <c r="B1955">
        <v>85.138999999999996</v>
      </c>
      <c r="C1955">
        <v>3.0078</v>
      </c>
      <c r="D1955">
        <v>0</v>
      </c>
      <c r="E1955">
        <v>0.04</v>
      </c>
      <c r="F1955">
        <v>3.2066499999999998</v>
      </c>
      <c r="G1955">
        <v>3.2066499999999998</v>
      </c>
      <c r="H1955">
        <v>0</v>
      </c>
      <c r="I1955">
        <v>0.60092500000000004</v>
      </c>
      <c r="J1955">
        <v>5.3222399999999999</v>
      </c>
      <c r="K1955" s="2">
        <v>210080000</v>
      </c>
      <c r="L1955" s="1">
        <v>0</v>
      </c>
      <c r="M1955" s="1">
        <v>0</v>
      </c>
      <c r="N1955" s="1">
        <v>0</v>
      </c>
      <c r="O1955" s="1">
        <v>0</v>
      </c>
      <c r="P1955" s="2">
        <v>4793860</v>
      </c>
      <c r="Q1955" s="1">
        <v>329649</v>
      </c>
      <c r="R1955" s="1">
        <v>0</v>
      </c>
      <c r="S1955">
        <v>99.123500000000007</v>
      </c>
      <c r="T1955">
        <v>98.274000000000001</v>
      </c>
      <c r="U1955">
        <v>2.8083900000000002</v>
      </c>
      <c r="V1955">
        <v>0</v>
      </c>
      <c r="W1955">
        <v>0</v>
      </c>
      <c r="X1955">
        <v>1.87879</v>
      </c>
      <c r="Y1955">
        <v>1.87879</v>
      </c>
      <c r="Z1955">
        <v>0</v>
      </c>
      <c r="AA1955">
        <v>1.45156</v>
      </c>
      <c r="AB1955">
        <v>3.3868800000000001</v>
      </c>
      <c r="AC1955" s="2">
        <v>1043030000</v>
      </c>
      <c r="AD1955" s="1">
        <v>0</v>
      </c>
      <c r="AE1955" s="1">
        <v>0</v>
      </c>
      <c r="AF1955" s="1">
        <v>0</v>
      </c>
      <c r="AG1955" s="1">
        <v>0</v>
      </c>
      <c r="AH1955" s="2">
        <v>4860890</v>
      </c>
      <c r="AI1955" s="1">
        <v>158446</v>
      </c>
      <c r="AJ1955" s="1">
        <v>0</v>
      </c>
      <c r="AK1955" s="8">
        <f t="shared" si="123"/>
        <v>30</v>
      </c>
      <c r="AL1955" s="8">
        <f t="shared" si="122"/>
        <v>38</v>
      </c>
      <c r="AM1955">
        <f t="shared" si="120"/>
        <v>0</v>
      </c>
      <c r="AN1955">
        <f t="shared" si="121"/>
        <v>0</v>
      </c>
    </row>
    <row r="1956" spans="1:40" x14ac:dyDescent="0.35">
      <c r="A1956">
        <v>83.982900000000001</v>
      </c>
      <c r="B1956">
        <v>85.138999999999996</v>
      </c>
      <c r="C1956">
        <v>2.8539699999999999</v>
      </c>
      <c r="D1956">
        <v>0</v>
      </c>
      <c r="E1956">
        <v>0.04</v>
      </c>
      <c r="F1956">
        <v>3.2066499999999998</v>
      </c>
      <c r="G1956">
        <v>3.2066499999999998</v>
      </c>
      <c r="H1956">
        <v>0</v>
      </c>
      <c r="I1956">
        <v>0.60092599999999996</v>
      </c>
      <c r="J1956">
        <v>5.3222399999999999</v>
      </c>
      <c r="K1956" s="2">
        <v>210410000</v>
      </c>
      <c r="L1956" s="1">
        <v>0</v>
      </c>
      <c r="M1956" s="1">
        <v>0</v>
      </c>
      <c r="N1956" s="1">
        <v>0</v>
      </c>
      <c r="O1956" s="1">
        <v>0</v>
      </c>
      <c r="P1956" s="2">
        <v>4793860</v>
      </c>
      <c r="Q1956" s="1">
        <v>329650</v>
      </c>
      <c r="R1956" s="1">
        <v>0</v>
      </c>
      <c r="S1956">
        <v>98.632000000000005</v>
      </c>
      <c r="T1956">
        <v>98.274000000000001</v>
      </c>
      <c r="U1956">
        <v>2.48238</v>
      </c>
      <c r="V1956">
        <v>0</v>
      </c>
      <c r="W1956">
        <v>0</v>
      </c>
      <c r="X1956">
        <v>1.8788</v>
      </c>
      <c r="Y1956">
        <v>1.8788</v>
      </c>
      <c r="Z1956">
        <v>0</v>
      </c>
      <c r="AA1956">
        <v>1.45156</v>
      </c>
      <c r="AB1956">
        <v>3.3868800000000001</v>
      </c>
      <c r="AC1956" s="2">
        <v>1043190000</v>
      </c>
      <c r="AD1956" s="1">
        <v>0</v>
      </c>
      <c r="AE1956" s="1">
        <v>0</v>
      </c>
      <c r="AF1956" s="1">
        <v>0</v>
      </c>
      <c r="AG1956" s="1">
        <v>0</v>
      </c>
      <c r="AH1956" s="2">
        <v>4860890</v>
      </c>
      <c r="AI1956" s="1">
        <v>158446</v>
      </c>
      <c r="AJ1956" s="1">
        <v>0</v>
      </c>
      <c r="AK1956" s="8">
        <f t="shared" si="123"/>
        <v>31</v>
      </c>
      <c r="AL1956" s="8">
        <f t="shared" si="122"/>
        <v>38</v>
      </c>
      <c r="AM1956">
        <f t="shared" si="120"/>
        <v>0</v>
      </c>
      <c r="AN1956">
        <f t="shared" si="121"/>
        <v>0</v>
      </c>
    </row>
    <row r="1957" spans="1:40" x14ac:dyDescent="0.35">
      <c r="A1957">
        <v>82.425200000000004</v>
      </c>
      <c r="B1957">
        <v>85.138999999999996</v>
      </c>
      <c r="C1957">
        <v>1.73976</v>
      </c>
      <c r="D1957">
        <v>0</v>
      </c>
      <c r="E1957">
        <v>0.04</v>
      </c>
      <c r="F1957">
        <v>3.2066499999999998</v>
      </c>
      <c r="G1957">
        <v>3.2066499999999998</v>
      </c>
      <c r="H1957">
        <v>0</v>
      </c>
      <c r="I1957">
        <v>0.60092599999999996</v>
      </c>
      <c r="J1957">
        <v>5.3222399999999999</v>
      </c>
      <c r="K1957" s="2">
        <v>210740000</v>
      </c>
      <c r="L1957" s="1">
        <v>0</v>
      </c>
      <c r="M1957" s="1">
        <v>0</v>
      </c>
      <c r="N1957" s="1">
        <v>0</v>
      </c>
      <c r="O1957" s="1">
        <v>0</v>
      </c>
      <c r="P1957" s="2">
        <v>4793860</v>
      </c>
      <c r="Q1957" s="1">
        <v>329650</v>
      </c>
      <c r="R1957" s="1">
        <v>0</v>
      </c>
      <c r="S1957">
        <v>98.041499999999999</v>
      </c>
      <c r="T1957">
        <v>98.274000000000001</v>
      </c>
      <c r="U1957">
        <v>1.7419500000000001</v>
      </c>
      <c r="V1957">
        <v>0</v>
      </c>
      <c r="W1957">
        <v>0</v>
      </c>
      <c r="X1957">
        <v>1.8788</v>
      </c>
      <c r="Y1957">
        <v>1.8788</v>
      </c>
      <c r="Z1957">
        <v>0</v>
      </c>
      <c r="AA1957">
        <v>1.45156</v>
      </c>
      <c r="AB1957">
        <v>3.3868800000000001</v>
      </c>
      <c r="AC1957" s="2">
        <v>1043340000</v>
      </c>
      <c r="AD1957" s="1">
        <v>0</v>
      </c>
      <c r="AE1957" s="1">
        <v>0</v>
      </c>
      <c r="AF1957" s="1">
        <v>0</v>
      </c>
      <c r="AG1957" s="1">
        <v>0</v>
      </c>
      <c r="AH1957" s="2">
        <v>4860900</v>
      </c>
      <c r="AI1957" s="1">
        <v>158447</v>
      </c>
      <c r="AJ1957" s="1">
        <v>0</v>
      </c>
      <c r="AK1957" s="8">
        <f t="shared" si="123"/>
        <v>32</v>
      </c>
      <c r="AL1957" s="8">
        <f t="shared" si="122"/>
        <v>38</v>
      </c>
      <c r="AM1957">
        <f t="shared" si="120"/>
        <v>0</v>
      </c>
      <c r="AN1957">
        <f t="shared" si="121"/>
        <v>0</v>
      </c>
    </row>
    <row r="1958" spans="1:40" x14ac:dyDescent="0.35">
      <c r="A1958">
        <v>80.935699999999997</v>
      </c>
      <c r="B1958">
        <v>85.138999999999996</v>
      </c>
      <c r="C1958">
        <v>1.5026299999999999</v>
      </c>
      <c r="D1958">
        <v>0.01</v>
      </c>
      <c r="E1958">
        <v>0.04</v>
      </c>
      <c r="F1958">
        <v>2.87554</v>
      </c>
      <c r="G1958">
        <v>3.17794</v>
      </c>
      <c r="H1958">
        <v>0</v>
      </c>
      <c r="I1958">
        <v>0.60092699999999999</v>
      </c>
      <c r="J1958">
        <v>5.3222399999999999</v>
      </c>
      <c r="K1958" s="2">
        <v>210658000</v>
      </c>
      <c r="L1958" s="1">
        <v>0</v>
      </c>
      <c r="M1958" s="1">
        <v>0</v>
      </c>
      <c r="N1958" s="1">
        <v>0</v>
      </c>
      <c r="O1958" s="1">
        <v>0</v>
      </c>
      <c r="P1958" s="2">
        <v>4298850</v>
      </c>
      <c r="Q1958" s="1">
        <v>-81840.600000000006</v>
      </c>
      <c r="R1958" s="1">
        <v>408539</v>
      </c>
      <c r="S1958">
        <v>97.308800000000005</v>
      </c>
      <c r="T1958">
        <v>98.274000000000001</v>
      </c>
      <c r="U1958">
        <v>1.56287</v>
      </c>
      <c r="V1958">
        <v>0</v>
      </c>
      <c r="W1958">
        <v>0</v>
      </c>
      <c r="X1958">
        <v>2.2341700000000002</v>
      </c>
      <c r="Y1958">
        <v>1.93177</v>
      </c>
      <c r="Z1958">
        <v>0</v>
      </c>
      <c r="AA1958">
        <v>1.45156</v>
      </c>
      <c r="AB1958">
        <v>3.3868800000000001</v>
      </c>
      <c r="AC1958" s="2">
        <v>1044290000</v>
      </c>
      <c r="AD1958" s="1">
        <v>0</v>
      </c>
      <c r="AE1958" s="1">
        <v>0</v>
      </c>
      <c r="AF1958" s="1">
        <v>0</v>
      </c>
      <c r="AG1958" s="1">
        <v>0</v>
      </c>
      <c r="AH1958" s="2">
        <v>5780320</v>
      </c>
      <c r="AI1958" s="1">
        <v>945294</v>
      </c>
      <c r="AJ1958" s="1">
        <v>0</v>
      </c>
      <c r="AK1958" s="8">
        <f t="shared" si="123"/>
        <v>33</v>
      </c>
      <c r="AL1958" s="8">
        <f t="shared" si="122"/>
        <v>38</v>
      </c>
      <c r="AM1958">
        <f t="shared" si="120"/>
        <v>0</v>
      </c>
      <c r="AN1958">
        <f t="shared" si="121"/>
        <v>0</v>
      </c>
    </row>
    <row r="1959" spans="1:40" x14ac:dyDescent="0.35">
      <c r="A1959">
        <v>79.328599999999994</v>
      </c>
      <c r="B1959">
        <v>85.138999999999996</v>
      </c>
      <c r="C1959">
        <v>1.37351</v>
      </c>
      <c r="D1959">
        <v>0.01</v>
      </c>
      <c r="E1959">
        <v>0.04</v>
      </c>
      <c r="F1959">
        <v>2.87554</v>
      </c>
      <c r="G1959">
        <v>3.17794</v>
      </c>
      <c r="H1959">
        <v>0</v>
      </c>
      <c r="I1959">
        <v>0.53887499999999999</v>
      </c>
      <c r="J1959">
        <v>5.3222399999999999</v>
      </c>
      <c r="K1959" s="2">
        <v>210576000</v>
      </c>
      <c r="L1959" s="1">
        <v>0</v>
      </c>
      <c r="M1959" s="1">
        <v>0</v>
      </c>
      <c r="N1959" s="1">
        <v>0</v>
      </c>
      <c r="O1959" s="1">
        <v>0</v>
      </c>
      <c r="P1959" s="2">
        <v>4298860</v>
      </c>
      <c r="Q1959" s="1">
        <v>-81840.399999999994</v>
      </c>
      <c r="R1959" s="1">
        <v>408539</v>
      </c>
      <c r="S1959">
        <v>96.440700000000007</v>
      </c>
      <c r="T1959">
        <v>98.274000000000001</v>
      </c>
      <c r="U1959">
        <v>1.56159</v>
      </c>
      <c r="V1959">
        <v>0</v>
      </c>
      <c r="W1959">
        <v>0</v>
      </c>
      <c r="X1959">
        <v>2.2341700000000002</v>
      </c>
      <c r="Y1959">
        <v>1.93177</v>
      </c>
      <c r="Z1959">
        <v>0</v>
      </c>
      <c r="AA1959">
        <v>1.7261200000000001</v>
      </c>
      <c r="AB1959">
        <v>3.3868800000000001</v>
      </c>
      <c r="AC1959" s="2">
        <v>1045230000</v>
      </c>
      <c r="AD1959" s="1">
        <v>0</v>
      </c>
      <c r="AE1959" s="1">
        <v>0</v>
      </c>
      <c r="AF1959" s="1">
        <v>0</v>
      </c>
      <c r="AG1959" s="1">
        <v>0</v>
      </c>
      <c r="AH1959" s="2">
        <v>5780320</v>
      </c>
      <c r="AI1959" s="1">
        <v>945294</v>
      </c>
      <c r="AJ1959" s="1">
        <v>0</v>
      </c>
      <c r="AK1959" s="8">
        <f t="shared" si="123"/>
        <v>34</v>
      </c>
      <c r="AL1959" s="8">
        <f t="shared" si="122"/>
        <v>38</v>
      </c>
      <c r="AM1959">
        <f t="shared" si="120"/>
        <v>0</v>
      </c>
      <c r="AN1959">
        <f t="shared" si="121"/>
        <v>0</v>
      </c>
    </row>
    <row r="1960" spans="1:40" x14ac:dyDescent="0.35">
      <c r="A1960">
        <v>77.603999999999999</v>
      </c>
      <c r="B1960">
        <v>85.138999999999996</v>
      </c>
      <c r="C1960">
        <v>1.23977</v>
      </c>
      <c r="D1960">
        <v>0.01</v>
      </c>
      <c r="E1960">
        <v>0.04</v>
      </c>
      <c r="F1960">
        <v>2.87554</v>
      </c>
      <c r="G1960">
        <v>3.17794</v>
      </c>
      <c r="H1960">
        <v>0</v>
      </c>
      <c r="I1960">
        <v>0.53887600000000002</v>
      </c>
      <c r="J1960">
        <v>5.3222399999999999</v>
      </c>
      <c r="K1960" s="2">
        <v>210494000</v>
      </c>
      <c r="L1960" s="1">
        <v>0</v>
      </c>
      <c r="M1960" s="1">
        <v>0</v>
      </c>
      <c r="N1960" s="1">
        <v>0</v>
      </c>
      <c r="O1960" s="1">
        <v>0</v>
      </c>
      <c r="P1960" s="2">
        <v>4298860</v>
      </c>
      <c r="Q1960" s="1">
        <v>-81840.100000000006</v>
      </c>
      <c r="R1960" s="1">
        <v>408539</v>
      </c>
      <c r="S1960">
        <v>95.634299999999996</v>
      </c>
      <c r="T1960">
        <v>98.274000000000001</v>
      </c>
      <c r="U1960">
        <v>1.4060699999999999</v>
      </c>
      <c r="V1960">
        <v>0</v>
      </c>
      <c r="W1960">
        <v>0</v>
      </c>
      <c r="X1960">
        <v>2.2341700000000002</v>
      </c>
      <c r="Y1960">
        <v>1.93177</v>
      </c>
      <c r="Z1960">
        <v>0</v>
      </c>
      <c r="AA1960">
        <v>1.7261200000000001</v>
      </c>
      <c r="AB1960">
        <v>3.3868800000000001</v>
      </c>
      <c r="AC1960" s="2">
        <v>1046180000</v>
      </c>
      <c r="AD1960" s="1">
        <v>0</v>
      </c>
      <c r="AE1960" s="1">
        <v>0</v>
      </c>
      <c r="AF1960" s="1">
        <v>0</v>
      </c>
      <c r="AG1960" s="1">
        <v>0</v>
      </c>
      <c r="AH1960" s="2">
        <v>5780330</v>
      </c>
      <c r="AI1960" s="1">
        <v>945295</v>
      </c>
      <c r="AJ1960" s="1">
        <v>0</v>
      </c>
      <c r="AK1960" s="8">
        <f t="shared" si="123"/>
        <v>35</v>
      </c>
      <c r="AL1960" s="8">
        <f t="shared" si="122"/>
        <v>38</v>
      </c>
      <c r="AM1960">
        <f t="shared" si="120"/>
        <v>0</v>
      </c>
      <c r="AN1960">
        <f t="shared" si="121"/>
        <v>0</v>
      </c>
    </row>
    <row r="1961" spans="1:40" x14ac:dyDescent="0.35">
      <c r="A1961">
        <v>75.954599999999999</v>
      </c>
      <c r="B1961">
        <v>85.138999999999996</v>
      </c>
      <c r="C1961">
        <v>1.2785299999999999</v>
      </c>
      <c r="D1961">
        <v>0.02</v>
      </c>
      <c r="E1961">
        <v>0.04</v>
      </c>
      <c r="F1961">
        <v>2.87554</v>
      </c>
      <c r="G1961">
        <v>3.17794</v>
      </c>
      <c r="H1961">
        <v>0</v>
      </c>
      <c r="I1961">
        <v>0.53887600000000002</v>
      </c>
      <c r="J1961">
        <v>5.3222399999999999</v>
      </c>
      <c r="K1961" s="2">
        <v>210412000</v>
      </c>
      <c r="L1961" s="1">
        <v>0</v>
      </c>
      <c r="M1961" s="1">
        <v>0</v>
      </c>
      <c r="N1961" s="1">
        <v>0</v>
      </c>
      <c r="O1961" s="1">
        <v>0</v>
      </c>
      <c r="P1961" s="2">
        <v>4298870</v>
      </c>
      <c r="Q1961" s="1">
        <v>-81839.8</v>
      </c>
      <c r="R1961" s="1">
        <v>408539</v>
      </c>
      <c r="S1961">
        <v>94.892700000000005</v>
      </c>
      <c r="T1961">
        <v>98.274000000000001</v>
      </c>
      <c r="U1961">
        <v>1.4763200000000001</v>
      </c>
      <c r="V1961">
        <v>0</v>
      </c>
      <c r="W1961">
        <v>0</v>
      </c>
      <c r="X1961">
        <v>2.2341700000000002</v>
      </c>
      <c r="Y1961">
        <v>1.93177</v>
      </c>
      <c r="Z1961">
        <v>0</v>
      </c>
      <c r="AA1961">
        <v>1.7261200000000001</v>
      </c>
      <c r="AB1961">
        <v>3.3868800000000001</v>
      </c>
      <c r="AC1961" s="2">
        <v>1047130000</v>
      </c>
      <c r="AD1961" s="1">
        <v>0</v>
      </c>
      <c r="AE1961" s="1">
        <v>0</v>
      </c>
      <c r="AF1961" s="1">
        <v>0</v>
      </c>
      <c r="AG1961" s="1">
        <v>0</v>
      </c>
      <c r="AH1961" s="2">
        <v>5780330</v>
      </c>
      <c r="AI1961" s="1">
        <v>945295</v>
      </c>
      <c r="AJ1961" s="1">
        <v>0</v>
      </c>
      <c r="AK1961" s="8">
        <f t="shared" si="123"/>
        <v>36</v>
      </c>
      <c r="AL1961" s="8">
        <f t="shared" si="122"/>
        <v>38</v>
      </c>
      <c r="AM1961">
        <f t="shared" si="120"/>
        <v>0</v>
      </c>
      <c r="AN1961">
        <f t="shared" si="121"/>
        <v>0</v>
      </c>
    </row>
    <row r="1962" spans="1:40" x14ac:dyDescent="0.35">
      <c r="A1962">
        <v>74.367900000000006</v>
      </c>
      <c r="B1962">
        <v>85.138999999999996</v>
      </c>
      <c r="C1962">
        <v>1.3806700000000001</v>
      </c>
      <c r="D1962">
        <v>0.02</v>
      </c>
      <c r="E1962">
        <v>0.04</v>
      </c>
      <c r="F1962">
        <v>2.9497100000000001</v>
      </c>
      <c r="G1962">
        <v>3.2521100000000001</v>
      </c>
      <c r="H1962">
        <v>0</v>
      </c>
      <c r="I1962">
        <v>0.53887700000000005</v>
      </c>
      <c r="J1962">
        <v>5.3222399999999999</v>
      </c>
      <c r="K1962" s="2">
        <v>210338000</v>
      </c>
      <c r="L1962" s="1">
        <v>0</v>
      </c>
      <c r="M1962" s="1">
        <v>0</v>
      </c>
      <c r="N1962" s="1">
        <v>0</v>
      </c>
      <c r="O1962" s="1">
        <v>0</v>
      </c>
      <c r="P1962" s="2">
        <v>4409750</v>
      </c>
      <c r="Q1962" s="1">
        <v>-74215</v>
      </c>
      <c r="R1962" s="1">
        <v>408539</v>
      </c>
      <c r="S1962">
        <v>94.079700000000003</v>
      </c>
      <c r="T1962">
        <v>98.274000000000001</v>
      </c>
      <c r="U1962">
        <v>1.66164</v>
      </c>
      <c r="V1962">
        <v>0</v>
      </c>
      <c r="W1962">
        <v>0</v>
      </c>
      <c r="X1962">
        <v>2.28138</v>
      </c>
      <c r="Y1962">
        <v>1.97898</v>
      </c>
      <c r="Z1962">
        <v>0</v>
      </c>
      <c r="AA1962">
        <v>1.7261200000000001</v>
      </c>
      <c r="AB1962">
        <v>3.3868800000000001</v>
      </c>
      <c r="AC1962" s="2">
        <v>1048070000</v>
      </c>
      <c r="AD1962" s="1">
        <v>0</v>
      </c>
      <c r="AE1962" s="1">
        <v>0</v>
      </c>
      <c r="AF1962" s="1">
        <v>0</v>
      </c>
      <c r="AG1962" s="1">
        <v>0</v>
      </c>
      <c r="AH1962" s="2">
        <v>5902460</v>
      </c>
      <c r="AI1962" s="1">
        <v>949276</v>
      </c>
      <c r="AJ1962" s="1">
        <v>0</v>
      </c>
      <c r="AK1962" s="8">
        <f t="shared" si="123"/>
        <v>37</v>
      </c>
      <c r="AL1962" s="8">
        <f t="shared" si="122"/>
        <v>38</v>
      </c>
      <c r="AM1962">
        <f t="shared" si="120"/>
        <v>0</v>
      </c>
      <c r="AN1962">
        <f t="shared" si="121"/>
        <v>0</v>
      </c>
    </row>
    <row r="1963" spans="1:40" x14ac:dyDescent="0.35">
      <c r="A1963">
        <v>72.641800000000003</v>
      </c>
      <c r="B1963">
        <v>85.138999999999996</v>
      </c>
      <c r="C1963">
        <v>1.22584</v>
      </c>
      <c r="D1963">
        <v>0.02</v>
      </c>
      <c r="E1963">
        <v>0.04</v>
      </c>
      <c r="F1963">
        <v>2.9497200000000001</v>
      </c>
      <c r="G1963">
        <v>3.2521200000000001</v>
      </c>
      <c r="H1963">
        <v>0</v>
      </c>
      <c r="I1963">
        <v>0.55277600000000005</v>
      </c>
      <c r="J1963">
        <v>5.3222399999999999</v>
      </c>
      <c r="K1963" s="2">
        <v>210264000</v>
      </c>
      <c r="L1963" s="1">
        <v>0</v>
      </c>
      <c r="M1963" s="1">
        <v>0</v>
      </c>
      <c r="N1963" s="1">
        <v>0</v>
      </c>
      <c r="O1963" s="1">
        <v>0</v>
      </c>
      <c r="P1963" s="2">
        <v>4409750</v>
      </c>
      <c r="Q1963" s="1">
        <v>-74214.7</v>
      </c>
      <c r="R1963" s="1">
        <v>408539</v>
      </c>
      <c r="S1963">
        <v>93.223799999999997</v>
      </c>
      <c r="T1963">
        <v>98.274000000000001</v>
      </c>
      <c r="U1963">
        <v>1.58141</v>
      </c>
      <c r="V1963">
        <v>0</v>
      </c>
      <c r="W1963">
        <v>0</v>
      </c>
      <c r="X1963">
        <v>2.28138</v>
      </c>
      <c r="Y1963">
        <v>1.97898</v>
      </c>
      <c r="Z1963">
        <v>0</v>
      </c>
      <c r="AA1963">
        <v>1.7625900000000001</v>
      </c>
      <c r="AB1963">
        <v>3.3868800000000001</v>
      </c>
      <c r="AC1963" s="2">
        <v>1049020000</v>
      </c>
      <c r="AD1963" s="1">
        <v>0</v>
      </c>
      <c r="AE1963" s="1">
        <v>0</v>
      </c>
      <c r="AF1963" s="1">
        <v>0</v>
      </c>
      <c r="AG1963" s="1">
        <v>0</v>
      </c>
      <c r="AH1963" s="2">
        <v>5902470</v>
      </c>
      <c r="AI1963" s="1">
        <v>949276</v>
      </c>
      <c r="AJ1963" s="1">
        <v>0</v>
      </c>
      <c r="AK1963" s="8">
        <f t="shared" si="123"/>
        <v>38</v>
      </c>
      <c r="AL1963" s="8">
        <f t="shared" si="122"/>
        <v>38</v>
      </c>
      <c r="AM1963">
        <f t="shared" si="120"/>
        <v>0</v>
      </c>
      <c r="AN1963">
        <f t="shared" si="121"/>
        <v>0</v>
      </c>
    </row>
    <row r="1964" spans="1:40" x14ac:dyDescent="0.35">
      <c r="A1964">
        <v>70.8292</v>
      </c>
      <c r="B1964">
        <v>85.138999999999996</v>
      </c>
      <c r="C1964">
        <v>1.1222799999999999</v>
      </c>
      <c r="D1964">
        <v>0.02</v>
      </c>
      <c r="E1964">
        <v>0.04</v>
      </c>
      <c r="F1964">
        <v>2.9497200000000001</v>
      </c>
      <c r="G1964">
        <v>3.2521200000000001</v>
      </c>
      <c r="H1964">
        <v>0</v>
      </c>
      <c r="I1964">
        <v>0.55277699999999996</v>
      </c>
      <c r="J1964">
        <v>5.3222399999999999</v>
      </c>
      <c r="K1964" s="2">
        <v>210190000</v>
      </c>
      <c r="L1964" s="1">
        <v>0</v>
      </c>
      <c r="M1964" s="1">
        <v>0</v>
      </c>
      <c r="N1964" s="1">
        <v>0</v>
      </c>
      <c r="O1964" s="1">
        <v>0</v>
      </c>
      <c r="P1964" s="2">
        <v>4409760</v>
      </c>
      <c r="Q1964" s="1">
        <v>-74214.399999999994</v>
      </c>
      <c r="R1964" s="1">
        <v>408539</v>
      </c>
      <c r="S1964">
        <v>92.364699999999999</v>
      </c>
      <c r="T1964">
        <v>98.274000000000001</v>
      </c>
      <c r="U1964">
        <v>1.4856499999999999</v>
      </c>
      <c r="V1964">
        <v>0</v>
      </c>
      <c r="W1964">
        <v>0</v>
      </c>
      <c r="X1964">
        <v>2.28138</v>
      </c>
      <c r="Y1964">
        <v>1.97898</v>
      </c>
      <c r="Z1964">
        <v>0</v>
      </c>
      <c r="AA1964">
        <v>1.7625900000000001</v>
      </c>
      <c r="AB1964">
        <v>3.3868800000000001</v>
      </c>
      <c r="AC1964" s="2">
        <v>1049970000</v>
      </c>
      <c r="AD1964" s="1">
        <v>0</v>
      </c>
      <c r="AE1964" s="1">
        <v>0</v>
      </c>
      <c r="AF1964" s="1">
        <v>0</v>
      </c>
      <c r="AG1964" s="1">
        <v>0</v>
      </c>
      <c r="AH1964" s="2">
        <v>5902470</v>
      </c>
      <c r="AI1964" s="1">
        <v>949276</v>
      </c>
      <c r="AJ1964" s="1">
        <v>0</v>
      </c>
      <c r="AK1964" s="8">
        <f t="shared" si="123"/>
        <v>39</v>
      </c>
      <c r="AL1964" s="8">
        <f t="shared" si="122"/>
        <v>38</v>
      </c>
      <c r="AM1964">
        <f t="shared" si="120"/>
        <v>0</v>
      </c>
      <c r="AN1964">
        <f t="shared" si="121"/>
        <v>0</v>
      </c>
    </row>
    <row r="1965" spans="1:40" x14ac:dyDescent="0.35">
      <c r="A1965">
        <v>68.894900000000007</v>
      </c>
      <c r="B1965">
        <v>85.138999999999996</v>
      </c>
      <c r="C1965">
        <v>0.96850199999999997</v>
      </c>
      <c r="D1965">
        <v>0.02</v>
      </c>
      <c r="E1965">
        <v>0.04</v>
      </c>
      <c r="F1965">
        <v>2.9497200000000001</v>
      </c>
      <c r="G1965">
        <v>3.2521200000000001</v>
      </c>
      <c r="H1965">
        <v>0</v>
      </c>
      <c r="I1965">
        <v>0.55277699999999996</v>
      </c>
      <c r="J1965">
        <v>5.3222399999999999</v>
      </c>
      <c r="K1965" s="2">
        <v>210116000</v>
      </c>
      <c r="L1965" s="1">
        <v>0</v>
      </c>
      <c r="M1965" s="1">
        <v>0</v>
      </c>
      <c r="N1965" s="1">
        <v>0</v>
      </c>
      <c r="O1965" s="1">
        <v>0</v>
      </c>
      <c r="P1965" s="2">
        <v>4409760</v>
      </c>
      <c r="Q1965" s="1">
        <v>-74214.100000000006</v>
      </c>
      <c r="R1965" s="1">
        <v>408539</v>
      </c>
      <c r="S1965">
        <v>91.418199999999999</v>
      </c>
      <c r="T1965">
        <v>98.274000000000001</v>
      </c>
      <c r="U1965">
        <v>1.47451</v>
      </c>
      <c r="V1965">
        <v>0</v>
      </c>
      <c r="W1965">
        <v>0</v>
      </c>
      <c r="X1965">
        <v>2.28138</v>
      </c>
      <c r="Y1965">
        <v>1.97898</v>
      </c>
      <c r="Z1965">
        <v>0</v>
      </c>
      <c r="AA1965">
        <v>1.7625900000000001</v>
      </c>
      <c r="AB1965">
        <v>3.3868800000000001</v>
      </c>
      <c r="AC1965" s="2">
        <v>1050920000</v>
      </c>
      <c r="AD1965" s="1">
        <v>0</v>
      </c>
      <c r="AE1965" s="1">
        <v>0</v>
      </c>
      <c r="AF1965" s="1">
        <v>0</v>
      </c>
      <c r="AG1965" s="1">
        <v>0</v>
      </c>
      <c r="AH1965" s="2">
        <v>5902480</v>
      </c>
      <c r="AI1965" s="1">
        <v>949276</v>
      </c>
      <c r="AJ1965" s="1">
        <v>0</v>
      </c>
      <c r="AK1965" s="8">
        <f t="shared" si="123"/>
        <v>40</v>
      </c>
      <c r="AL1965" s="8">
        <f t="shared" si="122"/>
        <v>38</v>
      </c>
      <c r="AM1965">
        <f t="shared" si="120"/>
        <v>0</v>
      </c>
      <c r="AN1965">
        <f t="shared" si="121"/>
        <v>0</v>
      </c>
    </row>
    <row r="1966" spans="1:40" x14ac:dyDescent="0.35">
      <c r="A1966">
        <v>66.722700000000003</v>
      </c>
      <c r="B1966">
        <v>85.138999999999996</v>
      </c>
      <c r="C1966">
        <v>0.89608299999999996</v>
      </c>
      <c r="D1966">
        <v>0.02</v>
      </c>
      <c r="E1966">
        <v>0.04</v>
      </c>
      <c r="F1966">
        <v>3.1669200000000002</v>
      </c>
      <c r="G1966">
        <v>3.4693200000000002</v>
      </c>
      <c r="H1966">
        <v>0</v>
      </c>
      <c r="I1966">
        <v>0.55277799999999999</v>
      </c>
      <c r="J1966">
        <v>5.3222399999999999</v>
      </c>
      <c r="K1966" s="2">
        <v>210064000</v>
      </c>
      <c r="L1966" s="1">
        <v>0</v>
      </c>
      <c r="M1966" s="1">
        <v>0</v>
      </c>
      <c r="N1966" s="1">
        <v>0</v>
      </c>
      <c r="O1966" s="1">
        <v>0</v>
      </c>
      <c r="P1966" s="2">
        <v>4734470</v>
      </c>
      <c r="Q1966" s="1">
        <v>-51885.7</v>
      </c>
      <c r="R1966" s="1">
        <v>408539</v>
      </c>
      <c r="S1966">
        <v>90.375200000000007</v>
      </c>
      <c r="T1966">
        <v>98.274000000000001</v>
      </c>
      <c r="U1966">
        <v>1.34507</v>
      </c>
      <c r="V1966">
        <v>0</v>
      </c>
      <c r="W1966">
        <v>0</v>
      </c>
      <c r="X1966">
        <v>2.4517600000000002</v>
      </c>
      <c r="Y1966">
        <v>2.1493600000000002</v>
      </c>
      <c r="Z1966">
        <v>0</v>
      </c>
      <c r="AA1966">
        <v>1.7625999999999999</v>
      </c>
      <c r="AB1966">
        <v>3.3868800000000001</v>
      </c>
      <c r="AC1966" s="2">
        <v>1051890000</v>
      </c>
      <c r="AD1966" s="1">
        <v>0</v>
      </c>
      <c r="AE1966" s="1">
        <v>0</v>
      </c>
      <c r="AF1966" s="1">
        <v>0</v>
      </c>
      <c r="AG1966" s="1">
        <v>0</v>
      </c>
      <c r="AH1966" s="2">
        <v>6343300</v>
      </c>
      <c r="AI1966" s="1">
        <v>963645</v>
      </c>
      <c r="AJ1966" s="1">
        <v>0</v>
      </c>
      <c r="AK1966" s="8">
        <f t="shared" si="123"/>
        <v>41</v>
      </c>
      <c r="AL1966" s="8">
        <f t="shared" si="122"/>
        <v>38</v>
      </c>
      <c r="AM1966">
        <f t="shared" si="120"/>
        <v>0</v>
      </c>
      <c r="AN1966">
        <f t="shared" si="121"/>
        <v>0</v>
      </c>
    </row>
    <row r="1967" spans="1:40" x14ac:dyDescent="0.35">
      <c r="A1967">
        <v>64.484200000000001</v>
      </c>
      <c r="B1967">
        <v>85.138999999999996</v>
      </c>
      <c r="C1967">
        <v>0.80320100000000005</v>
      </c>
      <c r="D1967">
        <v>0.02</v>
      </c>
      <c r="E1967">
        <v>0.04</v>
      </c>
      <c r="F1967">
        <v>3.1669200000000002</v>
      </c>
      <c r="G1967">
        <v>3.4693200000000002</v>
      </c>
      <c r="H1967">
        <v>0</v>
      </c>
      <c r="I1967">
        <v>0.59348100000000004</v>
      </c>
      <c r="J1967">
        <v>5.3222399999999999</v>
      </c>
      <c r="K1967" s="2">
        <v>210012000</v>
      </c>
      <c r="L1967" s="1">
        <v>0</v>
      </c>
      <c r="M1967" s="1">
        <v>0</v>
      </c>
      <c r="N1967" s="1">
        <v>0</v>
      </c>
      <c r="O1967" s="1">
        <v>0</v>
      </c>
      <c r="P1967" s="2">
        <v>4734470</v>
      </c>
      <c r="Q1967" s="1">
        <v>-51885.3</v>
      </c>
      <c r="R1967" s="1">
        <v>408539</v>
      </c>
      <c r="S1967">
        <v>89.4</v>
      </c>
      <c r="T1967">
        <v>98.274000000000001</v>
      </c>
      <c r="U1967">
        <v>1.25149</v>
      </c>
      <c r="V1967">
        <v>0</v>
      </c>
      <c r="W1967">
        <v>0</v>
      </c>
      <c r="X1967">
        <v>2.4517699999999998</v>
      </c>
      <c r="Y1967">
        <v>2.1493699999999998</v>
      </c>
      <c r="Z1967">
        <v>0</v>
      </c>
      <c r="AA1967">
        <v>1.8942300000000001</v>
      </c>
      <c r="AB1967">
        <v>3.3868800000000001</v>
      </c>
      <c r="AC1967" s="2">
        <v>1052850000</v>
      </c>
      <c r="AD1967" s="1">
        <v>0</v>
      </c>
      <c r="AE1967" s="1">
        <v>0</v>
      </c>
      <c r="AF1967" s="1">
        <v>0</v>
      </c>
      <c r="AG1967" s="1">
        <v>0</v>
      </c>
      <c r="AH1967" s="2">
        <v>6343310</v>
      </c>
      <c r="AI1967" s="1">
        <v>963646</v>
      </c>
      <c r="AJ1967" s="1">
        <v>0</v>
      </c>
      <c r="AK1967" s="8">
        <f t="shared" si="123"/>
        <v>42</v>
      </c>
      <c r="AL1967" s="8">
        <f t="shared" si="122"/>
        <v>38</v>
      </c>
      <c r="AM1967">
        <f t="shared" si="120"/>
        <v>0</v>
      </c>
      <c r="AN1967">
        <f t="shared" si="121"/>
        <v>0</v>
      </c>
    </row>
    <row r="1968" spans="1:40" x14ac:dyDescent="0.35">
      <c r="A1968">
        <v>62.417200000000001</v>
      </c>
      <c r="B1968">
        <v>85.138999999999996</v>
      </c>
      <c r="C1968">
        <v>0.95359799999999995</v>
      </c>
      <c r="D1968">
        <v>0.02</v>
      </c>
      <c r="E1968">
        <v>0.04</v>
      </c>
      <c r="F1968">
        <v>3.1669299999999998</v>
      </c>
      <c r="G1968">
        <v>3.4693299999999998</v>
      </c>
      <c r="H1968">
        <v>0</v>
      </c>
      <c r="I1968">
        <v>0.59348100000000004</v>
      </c>
      <c r="J1968">
        <v>5.3222399999999999</v>
      </c>
      <c r="K1968" s="2">
        <v>209960000</v>
      </c>
      <c r="L1968" s="1">
        <v>0</v>
      </c>
      <c r="M1968" s="1">
        <v>0</v>
      </c>
      <c r="N1968" s="1">
        <v>0</v>
      </c>
      <c r="O1968" s="1">
        <v>0</v>
      </c>
      <c r="P1968" s="2">
        <v>4734480</v>
      </c>
      <c r="Q1968" s="1">
        <v>-51885</v>
      </c>
      <c r="R1968" s="1">
        <v>408539</v>
      </c>
      <c r="S1968">
        <v>88.554100000000005</v>
      </c>
      <c r="T1968">
        <v>98.274000000000001</v>
      </c>
      <c r="U1968">
        <v>1.35608</v>
      </c>
      <c r="V1968">
        <v>0</v>
      </c>
      <c r="W1968">
        <v>0</v>
      </c>
      <c r="X1968">
        <v>2.4517699999999998</v>
      </c>
      <c r="Y1968">
        <v>2.1493699999999998</v>
      </c>
      <c r="Z1968">
        <v>0</v>
      </c>
      <c r="AA1968">
        <v>1.8942399999999999</v>
      </c>
      <c r="AB1968">
        <v>3.3868800000000001</v>
      </c>
      <c r="AC1968" s="2">
        <v>1053810000</v>
      </c>
      <c r="AD1968" s="1">
        <v>0</v>
      </c>
      <c r="AE1968" s="1">
        <v>0</v>
      </c>
      <c r="AF1968" s="1">
        <v>0</v>
      </c>
      <c r="AG1968" s="1">
        <v>0</v>
      </c>
      <c r="AH1968" s="2">
        <v>6343310</v>
      </c>
      <c r="AI1968" s="1">
        <v>963646</v>
      </c>
      <c r="AJ1968" s="1">
        <v>0</v>
      </c>
      <c r="AK1968" s="8">
        <f t="shared" si="123"/>
        <v>43</v>
      </c>
      <c r="AL1968" s="8">
        <f t="shared" si="122"/>
        <v>38</v>
      </c>
      <c r="AM1968">
        <f t="shared" si="120"/>
        <v>0</v>
      </c>
      <c r="AN1968">
        <f t="shared" si="121"/>
        <v>0</v>
      </c>
    </row>
    <row r="1969" spans="1:40" x14ac:dyDescent="0.35">
      <c r="A1969">
        <v>60.993899999999996</v>
      </c>
      <c r="B1969">
        <v>85.138999999999996</v>
      </c>
      <c r="C1969">
        <v>1.6282000000000001</v>
      </c>
      <c r="D1969">
        <v>0.02</v>
      </c>
      <c r="E1969">
        <v>0.04</v>
      </c>
      <c r="F1969">
        <v>3.1669299999999998</v>
      </c>
      <c r="G1969">
        <v>3.4693299999999998</v>
      </c>
      <c r="H1969">
        <v>0</v>
      </c>
      <c r="I1969">
        <v>0.59348199999999995</v>
      </c>
      <c r="J1969">
        <v>5.3222399999999999</v>
      </c>
      <c r="K1969" s="2">
        <v>209908000</v>
      </c>
      <c r="L1969" s="1">
        <v>0</v>
      </c>
      <c r="M1969" s="1">
        <v>0</v>
      </c>
      <c r="N1969" s="1">
        <v>0</v>
      </c>
      <c r="O1969" s="1">
        <v>0</v>
      </c>
      <c r="P1969" s="2">
        <v>4734480</v>
      </c>
      <c r="Q1969" s="1">
        <v>-51884.7</v>
      </c>
      <c r="R1969" s="1">
        <v>408539</v>
      </c>
      <c r="S1969">
        <v>88.188000000000002</v>
      </c>
      <c r="T1969">
        <v>98.274000000000001</v>
      </c>
      <c r="U1969">
        <v>1.6223700000000001</v>
      </c>
      <c r="V1969">
        <v>0</v>
      </c>
      <c r="W1969">
        <v>0</v>
      </c>
      <c r="X1969">
        <v>2.4517699999999998</v>
      </c>
      <c r="Y1969">
        <v>2.1493699999999998</v>
      </c>
      <c r="Z1969">
        <v>0</v>
      </c>
      <c r="AA1969">
        <v>1.8942399999999999</v>
      </c>
      <c r="AB1969">
        <v>3.3868800000000001</v>
      </c>
      <c r="AC1969" s="2">
        <v>1054780000</v>
      </c>
      <c r="AD1969" s="1">
        <v>0</v>
      </c>
      <c r="AE1969" s="1">
        <v>0</v>
      </c>
      <c r="AF1969" s="1">
        <v>0</v>
      </c>
      <c r="AG1969" s="1">
        <v>0</v>
      </c>
      <c r="AH1969" s="2">
        <v>6343320</v>
      </c>
      <c r="AI1969" s="1">
        <v>963646</v>
      </c>
      <c r="AJ1969" s="1">
        <v>0</v>
      </c>
      <c r="AK1969" s="8">
        <f t="shared" si="123"/>
        <v>44</v>
      </c>
      <c r="AL1969" s="8">
        <f t="shared" si="122"/>
        <v>38</v>
      </c>
      <c r="AM1969">
        <f t="shared" si="120"/>
        <v>0</v>
      </c>
      <c r="AN1969">
        <f t="shared" si="121"/>
        <v>0</v>
      </c>
    </row>
    <row r="1970" spans="1:40" x14ac:dyDescent="0.35">
      <c r="A1970">
        <v>59.454599999999999</v>
      </c>
      <c r="B1970">
        <v>85.138999999999996</v>
      </c>
      <c r="C1970">
        <v>1.45905</v>
      </c>
      <c r="D1970">
        <v>0.02</v>
      </c>
      <c r="E1970">
        <v>0.04</v>
      </c>
      <c r="F1970">
        <v>3.1669299999999998</v>
      </c>
      <c r="G1970">
        <v>3.4693299999999998</v>
      </c>
      <c r="H1970">
        <v>0</v>
      </c>
      <c r="I1970">
        <v>0.59348299999999998</v>
      </c>
      <c r="J1970">
        <v>5.3222399999999999</v>
      </c>
      <c r="K1970" s="2">
        <v>209856000</v>
      </c>
      <c r="L1970" s="1">
        <v>0</v>
      </c>
      <c r="M1970" s="1">
        <v>0</v>
      </c>
      <c r="N1970" s="1">
        <v>0</v>
      </c>
      <c r="O1970" s="1">
        <v>0</v>
      </c>
      <c r="P1970" s="2">
        <v>4734480</v>
      </c>
      <c r="Q1970" s="1">
        <v>-51884.4</v>
      </c>
      <c r="R1970" s="1">
        <v>408539</v>
      </c>
      <c r="S1970">
        <v>87.747299999999996</v>
      </c>
      <c r="T1970">
        <v>98.274000000000001</v>
      </c>
      <c r="U1970">
        <v>2.6523599999999998</v>
      </c>
      <c r="V1970">
        <v>0</v>
      </c>
      <c r="W1970">
        <v>0</v>
      </c>
      <c r="X1970">
        <v>2.4517699999999998</v>
      </c>
      <c r="Y1970">
        <v>2.1493699999999998</v>
      </c>
      <c r="Z1970">
        <v>0</v>
      </c>
      <c r="AA1970">
        <v>1.8942399999999999</v>
      </c>
      <c r="AB1970">
        <v>3.3868800000000001</v>
      </c>
      <c r="AC1970" s="2">
        <v>1055740000</v>
      </c>
      <c r="AD1970" s="1">
        <v>0</v>
      </c>
      <c r="AE1970" s="1">
        <v>0</v>
      </c>
      <c r="AF1970" s="1">
        <v>0</v>
      </c>
      <c r="AG1970" s="1">
        <v>0</v>
      </c>
      <c r="AH1970" s="2">
        <v>6343320</v>
      </c>
      <c r="AI1970" s="1">
        <v>963646</v>
      </c>
      <c r="AJ1970" s="1">
        <v>0</v>
      </c>
      <c r="AK1970" s="8">
        <f t="shared" si="123"/>
        <v>45</v>
      </c>
      <c r="AL1970" s="8">
        <f t="shared" si="122"/>
        <v>38</v>
      </c>
      <c r="AM1970">
        <f t="shared" si="120"/>
        <v>0</v>
      </c>
      <c r="AN1970">
        <f t="shared" si="121"/>
        <v>0</v>
      </c>
    </row>
    <row r="1971" spans="1:40" x14ac:dyDescent="0.35">
      <c r="A1971">
        <v>57.545099999999998</v>
      </c>
      <c r="B1971">
        <v>85.138999999999996</v>
      </c>
      <c r="C1971">
        <v>0.97481600000000002</v>
      </c>
      <c r="D1971">
        <v>0.02</v>
      </c>
      <c r="E1971">
        <v>0.04</v>
      </c>
      <c r="F1971">
        <v>3.06108</v>
      </c>
      <c r="G1971">
        <v>3.36348</v>
      </c>
      <c r="H1971">
        <v>0</v>
      </c>
      <c r="I1971">
        <v>0.59348299999999998</v>
      </c>
      <c r="J1971">
        <v>5.3222399999999999</v>
      </c>
      <c r="K1971" s="2">
        <v>209793000</v>
      </c>
      <c r="L1971" s="1">
        <v>0</v>
      </c>
      <c r="M1971" s="1">
        <v>0</v>
      </c>
      <c r="N1971" s="1">
        <v>0</v>
      </c>
      <c r="O1971" s="1">
        <v>0</v>
      </c>
      <c r="P1971" s="2">
        <v>4576240</v>
      </c>
      <c r="Q1971" s="1">
        <v>-62766</v>
      </c>
      <c r="R1971" s="1">
        <v>408539</v>
      </c>
      <c r="S1971">
        <v>86.908100000000005</v>
      </c>
      <c r="T1971">
        <v>98.274000000000001</v>
      </c>
      <c r="U1971">
        <v>1.4771700000000001</v>
      </c>
      <c r="V1971">
        <v>0</v>
      </c>
      <c r="W1971">
        <v>0</v>
      </c>
      <c r="X1971">
        <v>2.34836</v>
      </c>
      <c r="Y1971">
        <v>2.04596</v>
      </c>
      <c r="Z1971">
        <v>0</v>
      </c>
      <c r="AA1971">
        <v>1.8942399999999999</v>
      </c>
      <c r="AB1971">
        <v>3.3868800000000001</v>
      </c>
      <c r="AC1971" s="2">
        <v>1056700000</v>
      </c>
      <c r="AD1971" s="1">
        <v>0</v>
      </c>
      <c r="AE1971" s="1">
        <v>0</v>
      </c>
      <c r="AF1971" s="1">
        <v>0</v>
      </c>
      <c r="AG1971" s="1">
        <v>0</v>
      </c>
      <c r="AH1971" s="2">
        <v>6075760</v>
      </c>
      <c r="AI1971" s="1">
        <v>954925</v>
      </c>
      <c r="AJ1971" s="1">
        <v>0</v>
      </c>
      <c r="AK1971" s="8">
        <f t="shared" si="123"/>
        <v>46</v>
      </c>
      <c r="AL1971" s="8">
        <f t="shared" si="122"/>
        <v>38</v>
      </c>
      <c r="AM1971">
        <f t="shared" si="120"/>
        <v>0</v>
      </c>
      <c r="AN1971">
        <f t="shared" si="121"/>
        <v>0</v>
      </c>
    </row>
    <row r="1972" spans="1:40" x14ac:dyDescent="0.35">
      <c r="A1972">
        <v>55.683799999999998</v>
      </c>
      <c r="B1972">
        <v>85.138999999999996</v>
      </c>
      <c r="C1972">
        <v>1.0126999999999999</v>
      </c>
      <c r="D1972">
        <v>0.04</v>
      </c>
      <c r="E1972">
        <v>0.04</v>
      </c>
      <c r="F1972">
        <v>3.0610900000000001</v>
      </c>
      <c r="G1972">
        <v>3.3634900000000001</v>
      </c>
      <c r="H1972">
        <v>0</v>
      </c>
      <c r="I1972">
        <v>0.57364700000000002</v>
      </c>
      <c r="J1972">
        <v>5.3222399999999999</v>
      </c>
      <c r="K1972" s="2">
        <v>209731000</v>
      </c>
      <c r="L1972" s="1">
        <v>0</v>
      </c>
      <c r="M1972" s="1">
        <v>0</v>
      </c>
      <c r="N1972" s="1">
        <v>0</v>
      </c>
      <c r="O1972" s="1">
        <v>0</v>
      </c>
      <c r="P1972" s="2">
        <v>4576250</v>
      </c>
      <c r="Q1972" s="1">
        <v>-62765.7</v>
      </c>
      <c r="R1972" s="1">
        <v>408539</v>
      </c>
      <c r="S1972">
        <v>86.526600000000002</v>
      </c>
      <c r="T1972">
        <v>98.274000000000001</v>
      </c>
      <c r="U1972">
        <v>1.43553</v>
      </c>
      <c r="V1972">
        <v>0</v>
      </c>
      <c r="W1972">
        <v>0</v>
      </c>
      <c r="X1972">
        <v>2.34836</v>
      </c>
      <c r="Y1972">
        <v>2.04596</v>
      </c>
      <c r="Z1972">
        <v>0</v>
      </c>
      <c r="AA1972">
        <v>1.8143400000000001</v>
      </c>
      <c r="AB1972">
        <v>3.3868800000000001</v>
      </c>
      <c r="AC1972" s="2">
        <v>1057650000</v>
      </c>
      <c r="AD1972" s="1">
        <v>0</v>
      </c>
      <c r="AE1972" s="1">
        <v>0</v>
      </c>
      <c r="AF1972" s="1">
        <v>0</v>
      </c>
      <c r="AG1972" s="1">
        <v>0</v>
      </c>
      <c r="AH1972" s="2">
        <v>6075770</v>
      </c>
      <c r="AI1972" s="1">
        <v>954925</v>
      </c>
      <c r="AJ1972" s="1">
        <v>0</v>
      </c>
      <c r="AK1972" s="8">
        <f t="shared" si="123"/>
        <v>47</v>
      </c>
      <c r="AL1972" s="8">
        <f t="shared" si="122"/>
        <v>38</v>
      </c>
      <c r="AM1972">
        <f t="shared" si="120"/>
        <v>0</v>
      </c>
      <c r="AN1972">
        <f t="shared" si="121"/>
        <v>0</v>
      </c>
    </row>
    <row r="1973" spans="1:40" x14ac:dyDescent="0.35">
      <c r="A1973">
        <v>55.586399999999998</v>
      </c>
      <c r="B1973">
        <v>85.138999999999996</v>
      </c>
      <c r="C1973">
        <v>2.9435699999999998</v>
      </c>
      <c r="D1973">
        <v>0.04</v>
      </c>
      <c r="E1973">
        <v>0.04</v>
      </c>
      <c r="F1973">
        <v>3.0610900000000001</v>
      </c>
      <c r="G1973">
        <v>3.3634900000000001</v>
      </c>
      <c r="H1973">
        <v>0</v>
      </c>
      <c r="I1973">
        <v>0.57364700000000002</v>
      </c>
      <c r="J1973">
        <v>5.3222399999999999</v>
      </c>
      <c r="K1973" s="2">
        <v>209668000</v>
      </c>
      <c r="L1973" s="1">
        <v>0</v>
      </c>
      <c r="M1973" s="1">
        <v>0</v>
      </c>
      <c r="N1973" s="1">
        <v>0</v>
      </c>
      <c r="O1973" s="1">
        <v>0</v>
      </c>
      <c r="P1973" s="2">
        <v>4576250</v>
      </c>
      <c r="Q1973" s="1">
        <v>-62765.4</v>
      </c>
      <c r="R1973" s="1">
        <v>408539</v>
      </c>
      <c r="S1973">
        <v>86.739800000000002</v>
      </c>
      <c r="T1973">
        <v>98.274000000000001</v>
      </c>
      <c r="U1973">
        <v>2.7743099999999998</v>
      </c>
      <c r="V1973">
        <v>0</v>
      </c>
      <c r="W1973">
        <v>0</v>
      </c>
      <c r="X1973">
        <v>2.34836</v>
      </c>
      <c r="Y1973">
        <v>2.04596</v>
      </c>
      <c r="Z1973">
        <v>0</v>
      </c>
      <c r="AA1973">
        <v>1.8143400000000001</v>
      </c>
      <c r="AB1973">
        <v>3.3868800000000001</v>
      </c>
      <c r="AC1973" s="2">
        <v>1058610000</v>
      </c>
      <c r="AD1973" s="1">
        <v>0</v>
      </c>
      <c r="AE1973" s="1">
        <v>0</v>
      </c>
      <c r="AF1973" s="1">
        <v>0</v>
      </c>
      <c r="AG1973" s="1">
        <v>0</v>
      </c>
      <c r="AH1973" s="2">
        <v>6075770</v>
      </c>
      <c r="AI1973" s="1">
        <v>954925</v>
      </c>
      <c r="AJ1973" s="1">
        <v>0</v>
      </c>
      <c r="AK1973" s="8">
        <f t="shared" si="123"/>
        <v>48</v>
      </c>
      <c r="AL1973" s="8">
        <f t="shared" si="122"/>
        <v>38</v>
      </c>
      <c r="AM1973">
        <f t="shared" si="120"/>
        <v>0</v>
      </c>
      <c r="AN1973">
        <f t="shared" si="121"/>
        <v>0</v>
      </c>
    </row>
    <row r="1974" spans="1:40" x14ac:dyDescent="0.35">
      <c r="A1974">
        <v>54.6629</v>
      </c>
      <c r="B1974">
        <v>85.138999999999996</v>
      </c>
      <c r="C1974">
        <v>2.1119599999999998</v>
      </c>
      <c r="D1974">
        <v>0.03</v>
      </c>
      <c r="E1974">
        <v>0.04</v>
      </c>
      <c r="F1974">
        <v>3.0610900000000001</v>
      </c>
      <c r="G1974">
        <v>3.3634900000000001</v>
      </c>
      <c r="H1974">
        <v>0</v>
      </c>
      <c r="I1974">
        <v>0.57364800000000005</v>
      </c>
      <c r="J1974">
        <v>5.3222399999999999</v>
      </c>
      <c r="K1974" s="2">
        <v>209605000</v>
      </c>
      <c r="L1974" s="1">
        <v>0</v>
      </c>
      <c r="M1974" s="1">
        <v>0</v>
      </c>
      <c r="N1974" s="1">
        <v>0</v>
      </c>
      <c r="O1974" s="1">
        <v>0</v>
      </c>
      <c r="P1974" s="2">
        <v>4576250</v>
      </c>
      <c r="Q1974" s="1">
        <v>-62765.1</v>
      </c>
      <c r="R1974" s="1">
        <v>408539</v>
      </c>
      <c r="S1974">
        <v>86.305599999999998</v>
      </c>
      <c r="T1974">
        <v>98.274000000000001</v>
      </c>
      <c r="U1974">
        <v>2.2337699999999998</v>
      </c>
      <c r="V1974">
        <v>0</v>
      </c>
      <c r="W1974">
        <v>0</v>
      </c>
      <c r="X1974">
        <v>2.34836</v>
      </c>
      <c r="Y1974">
        <v>2.04596</v>
      </c>
      <c r="Z1974">
        <v>0</v>
      </c>
      <c r="AA1974">
        <v>1.8143400000000001</v>
      </c>
      <c r="AB1974">
        <v>3.3868800000000001</v>
      </c>
      <c r="AC1974" s="2">
        <v>1059560000</v>
      </c>
      <c r="AD1974" s="1">
        <v>0</v>
      </c>
      <c r="AE1974" s="1">
        <v>0</v>
      </c>
      <c r="AF1974" s="1">
        <v>0</v>
      </c>
      <c r="AG1974" s="1">
        <v>0</v>
      </c>
      <c r="AH1974" s="2">
        <v>6075780</v>
      </c>
      <c r="AI1974" s="1">
        <v>954925</v>
      </c>
      <c r="AJ1974" s="1">
        <v>0</v>
      </c>
      <c r="AK1974" s="8">
        <f t="shared" si="123"/>
        <v>49</v>
      </c>
      <c r="AL1974" s="8">
        <f t="shared" si="122"/>
        <v>38</v>
      </c>
      <c r="AM1974">
        <f t="shared" si="120"/>
        <v>0</v>
      </c>
      <c r="AN1974">
        <f t="shared" si="121"/>
        <v>0</v>
      </c>
    </row>
    <row r="1975" spans="1:40" x14ac:dyDescent="0.35">
      <c r="A1975">
        <v>53.712200000000003</v>
      </c>
      <c r="B1975">
        <v>85.138999999999996</v>
      </c>
      <c r="C1975">
        <v>1.98648</v>
      </c>
      <c r="D1975">
        <v>0.03</v>
      </c>
      <c r="E1975">
        <v>0.04</v>
      </c>
      <c r="F1975">
        <v>2.9742099999999998</v>
      </c>
      <c r="G1975">
        <v>3.2766099999999998</v>
      </c>
      <c r="H1975">
        <v>0</v>
      </c>
      <c r="I1975">
        <v>0.57364899999999996</v>
      </c>
      <c r="J1975">
        <v>5.3222399999999999</v>
      </c>
      <c r="K1975" s="2">
        <v>209533000</v>
      </c>
      <c r="L1975" s="1">
        <v>0</v>
      </c>
      <c r="M1975" s="1">
        <v>0</v>
      </c>
      <c r="N1975" s="1">
        <v>0</v>
      </c>
      <c r="O1975" s="1">
        <v>0</v>
      </c>
      <c r="P1975" s="2">
        <v>4446360</v>
      </c>
      <c r="Q1975" s="1">
        <v>-71696.899999999994</v>
      </c>
      <c r="R1975" s="1">
        <v>408539</v>
      </c>
      <c r="S1975">
        <v>85.986000000000004</v>
      </c>
      <c r="T1975">
        <v>98.274000000000001</v>
      </c>
      <c r="U1975">
        <v>1.71065</v>
      </c>
      <c r="V1975">
        <v>0</v>
      </c>
      <c r="W1975">
        <v>0</v>
      </c>
      <c r="X1975">
        <v>2.2542300000000002</v>
      </c>
      <c r="Y1975">
        <v>1.95183</v>
      </c>
      <c r="Z1975">
        <v>0</v>
      </c>
      <c r="AA1975">
        <v>1.8143499999999999</v>
      </c>
      <c r="AB1975">
        <v>3.3868800000000001</v>
      </c>
      <c r="AC1975" s="2">
        <v>1060510000</v>
      </c>
      <c r="AD1975" s="1">
        <v>0</v>
      </c>
      <c r="AE1975" s="1">
        <v>0</v>
      </c>
      <c r="AF1975" s="1">
        <v>0</v>
      </c>
      <c r="AG1975" s="1">
        <v>0</v>
      </c>
      <c r="AH1975" s="2">
        <v>5832230</v>
      </c>
      <c r="AI1975" s="1">
        <v>946987</v>
      </c>
      <c r="AJ1975" s="1">
        <v>0</v>
      </c>
      <c r="AK1975" s="8">
        <f t="shared" si="123"/>
        <v>50</v>
      </c>
      <c r="AL1975" s="8">
        <f t="shared" si="122"/>
        <v>38</v>
      </c>
      <c r="AM1975">
        <f t="shared" si="120"/>
        <v>0</v>
      </c>
      <c r="AN1975">
        <f t="shared" si="121"/>
        <v>0</v>
      </c>
    </row>
    <row r="1976" spans="1:40" x14ac:dyDescent="0.35">
      <c r="A1976">
        <v>53.831299999999999</v>
      </c>
      <c r="B1976">
        <v>85.138999999999996</v>
      </c>
      <c r="C1976">
        <v>3.0775700000000001</v>
      </c>
      <c r="D1976">
        <v>0.05</v>
      </c>
      <c r="E1976">
        <v>0.04</v>
      </c>
      <c r="F1976">
        <v>2.9742099999999998</v>
      </c>
      <c r="G1976">
        <v>3.2766099999999998</v>
      </c>
      <c r="H1976">
        <v>0</v>
      </c>
      <c r="I1976">
        <v>0.55736600000000003</v>
      </c>
      <c r="J1976">
        <v>5.3222399999999999</v>
      </c>
      <c r="K1976" s="2">
        <v>209462000</v>
      </c>
      <c r="L1976" s="1">
        <v>0</v>
      </c>
      <c r="M1976" s="1">
        <v>0</v>
      </c>
      <c r="N1976" s="1">
        <v>0</v>
      </c>
      <c r="O1976" s="1">
        <v>0</v>
      </c>
      <c r="P1976" s="2">
        <v>4446370</v>
      </c>
      <c r="Q1976" s="1">
        <v>-71696.600000000006</v>
      </c>
      <c r="R1976" s="1">
        <v>408539</v>
      </c>
      <c r="S1976">
        <v>85.7316</v>
      </c>
      <c r="T1976">
        <v>98.274000000000001</v>
      </c>
      <c r="U1976">
        <v>2.1032799999999998</v>
      </c>
      <c r="V1976">
        <v>0</v>
      </c>
      <c r="W1976">
        <v>0</v>
      </c>
      <c r="X1976">
        <v>2.2542300000000002</v>
      </c>
      <c r="Y1976">
        <v>1.95183</v>
      </c>
      <c r="Z1976">
        <v>0</v>
      </c>
      <c r="AA1976">
        <v>1.7416199999999999</v>
      </c>
      <c r="AB1976">
        <v>3.3868800000000001</v>
      </c>
      <c r="AC1976" s="2">
        <v>1061450000</v>
      </c>
      <c r="AD1976" s="1">
        <v>0</v>
      </c>
      <c r="AE1976" s="1">
        <v>0</v>
      </c>
      <c r="AF1976" s="1">
        <v>0</v>
      </c>
      <c r="AG1976" s="1">
        <v>0</v>
      </c>
      <c r="AH1976" s="2">
        <v>5832240</v>
      </c>
      <c r="AI1976" s="1">
        <v>946987</v>
      </c>
      <c r="AJ1976" s="1">
        <v>0</v>
      </c>
      <c r="AK1976" s="8">
        <f t="shared" si="123"/>
        <v>51</v>
      </c>
      <c r="AL1976" s="8">
        <f t="shared" si="122"/>
        <v>38</v>
      </c>
      <c r="AM1976">
        <f t="shared" si="120"/>
        <v>0</v>
      </c>
      <c r="AN1976">
        <f t="shared" si="121"/>
        <v>0</v>
      </c>
    </row>
    <row r="1977" spans="1:40" x14ac:dyDescent="0.35">
      <c r="A1977">
        <v>58.133000000000003</v>
      </c>
      <c r="B1977">
        <v>85.138999999999996</v>
      </c>
      <c r="C1977">
        <v>7.4435399999999996</v>
      </c>
      <c r="D1977">
        <v>0.04</v>
      </c>
      <c r="E1977">
        <v>0.04</v>
      </c>
      <c r="F1977">
        <v>2.9742099999999998</v>
      </c>
      <c r="G1977">
        <v>3.2766099999999998</v>
      </c>
      <c r="H1977">
        <v>0</v>
      </c>
      <c r="I1977">
        <v>0.55736699999999995</v>
      </c>
      <c r="J1977">
        <v>5.3222399999999999</v>
      </c>
      <c r="K1977" s="2">
        <v>209390000</v>
      </c>
      <c r="L1977" s="1">
        <v>0</v>
      </c>
      <c r="M1977" s="1">
        <v>0</v>
      </c>
      <c r="N1977" s="1">
        <v>0</v>
      </c>
      <c r="O1977" s="1">
        <v>0</v>
      </c>
      <c r="P1977" s="2">
        <v>4446370</v>
      </c>
      <c r="Q1977" s="1">
        <v>-71696.3</v>
      </c>
      <c r="R1977" s="1">
        <v>408539</v>
      </c>
      <c r="S1977">
        <v>86.381699999999995</v>
      </c>
      <c r="T1977">
        <v>98.274000000000001</v>
      </c>
      <c r="U1977">
        <v>5.1004800000000001</v>
      </c>
      <c r="V1977">
        <v>0</v>
      </c>
      <c r="W1977">
        <v>0</v>
      </c>
      <c r="X1977">
        <v>2.2542300000000002</v>
      </c>
      <c r="Y1977">
        <v>1.95183</v>
      </c>
      <c r="Z1977">
        <v>0</v>
      </c>
      <c r="AA1977">
        <v>1.7416199999999999</v>
      </c>
      <c r="AB1977">
        <v>3.3868800000000001</v>
      </c>
      <c r="AC1977" s="2">
        <v>1062400000</v>
      </c>
      <c r="AD1977" s="1">
        <v>0</v>
      </c>
      <c r="AE1977" s="1">
        <v>0</v>
      </c>
      <c r="AF1977" s="1">
        <v>0</v>
      </c>
      <c r="AG1977" s="1">
        <v>0</v>
      </c>
      <c r="AH1977" s="2">
        <v>5832240</v>
      </c>
      <c r="AI1977" s="1">
        <v>946987</v>
      </c>
      <c r="AJ1977" s="1">
        <v>0</v>
      </c>
      <c r="AK1977" s="8">
        <f t="shared" si="123"/>
        <v>52</v>
      </c>
      <c r="AL1977" s="8">
        <f t="shared" si="122"/>
        <v>38</v>
      </c>
      <c r="AM1977">
        <f t="shared" si="120"/>
        <v>1062400000</v>
      </c>
      <c r="AN1977">
        <f t="shared" si="121"/>
        <v>209390000</v>
      </c>
    </row>
    <row r="1978" spans="1:40" x14ac:dyDescent="0.35">
      <c r="A1978">
        <v>60.782499999999999</v>
      </c>
      <c r="B1978">
        <v>85.138999999999996</v>
      </c>
      <c r="C1978">
        <v>5.7323399999999998</v>
      </c>
      <c r="D1978">
        <v>0.03</v>
      </c>
      <c r="E1978">
        <v>0.04</v>
      </c>
      <c r="F1978">
        <v>2.9742199999999999</v>
      </c>
      <c r="G1978">
        <v>3.2766199999999999</v>
      </c>
      <c r="H1978">
        <v>0</v>
      </c>
      <c r="I1978">
        <v>0.55736799999999997</v>
      </c>
      <c r="J1978">
        <v>5.3222399999999999</v>
      </c>
      <c r="K1978" s="2">
        <v>209318000</v>
      </c>
      <c r="L1978" s="1">
        <v>0</v>
      </c>
      <c r="M1978" s="1">
        <v>0</v>
      </c>
      <c r="N1978" s="1">
        <v>0</v>
      </c>
      <c r="O1978" s="1">
        <v>0</v>
      </c>
      <c r="P1978" s="2">
        <v>4446380</v>
      </c>
      <c r="Q1978" s="1">
        <v>-71696</v>
      </c>
      <c r="R1978" s="1">
        <v>408539</v>
      </c>
      <c r="S1978">
        <v>86.610600000000005</v>
      </c>
      <c r="T1978">
        <v>98.274000000000001</v>
      </c>
      <c r="U1978">
        <v>3.4685199999999998</v>
      </c>
      <c r="V1978">
        <v>0</v>
      </c>
      <c r="W1978">
        <v>0</v>
      </c>
      <c r="X1978">
        <v>2.2542399999999998</v>
      </c>
      <c r="Y1978">
        <v>1.95184</v>
      </c>
      <c r="Z1978">
        <v>0</v>
      </c>
      <c r="AA1978">
        <v>1.7416199999999999</v>
      </c>
      <c r="AB1978">
        <v>3.3868800000000001</v>
      </c>
      <c r="AC1978" s="2">
        <v>1063350000</v>
      </c>
      <c r="AD1978" s="1">
        <v>0</v>
      </c>
      <c r="AE1978" s="1">
        <v>0</v>
      </c>
      <c r="AF1978" s="1">
        <v>0</v>
      </c>
      <c r="AG1978" s="1">
        <v>0</v>
      </c>
      <c r="AH1978" s="2">
        <v>5832250</v>
      </c>
      <c r="AI1978" s="1">
        <v>946987</v>
      </c>
      <c r="AJ1978" s="1">
        <v>0</v>
      </c>
      <c r="AK1978" s="8">
        <f t="shared" si="123"/>
        <v>1</v>
      </c>
      <c r="AL1978" s="8">
        <f t="shared" si="122"/>
        <v>39</v>
      </c>
      <c r="AM1978">
        <f t="shared" si="120"/>
        <v>0</v>
      </c>
      <c r="AN1978">
        <f t="shared" si="121"/>
        <v>0</v>
      </c>
    </row>
    <row r="1979" spans="1:40" x14ac:dyDescent="0.35">
      <c r="A1979">
        <v>63.732700000000001</v>
      </c>
      <c r="B1979">
        <v>85.138999999999996</v>
      </c>
      <c r="C1979">
        <v>6.1767399999999997</v>
      </c>
      <c r="D1979">
        <v>0.02</v>
      </c>
      <c r="E1979">
        <v>0.04</v>
      </c>
      <c r="F1979">
        <v>2.7274500000000002</v>
      </c>
      <c r="G1979">
        <v>3.0298500000000002</v>
      </c>
      <c r="H1979">
        <v>0</v>
      </c>
      <c r="I1979">
        <v>0.55736799999999997</v>
      </c>
      <c r="J1979">
        <v>5.3222399999999999</v>
      </c>
      <c r="K1979" s="2">
        <v>209221000</v>
      </c>
      <c r="L1979" s="1">
        <v>0</v>
      </c>
      <c r="M1979" s="1">
        <v>0</v>
      </c>
      <c r="N1979" s="1">
        <v>0</v>
      </c>
      <c r="O1979" s="1">
        <v>0</v>
      </c>
      <c r="P1979" s="2">
        <v>4077470</v>
      </c>
      <c r="Q1979" s="1">
        <v>-97063.9</v>
      </c>
      <c r="R1979" s="1">
        <v>408539</v>
      </c>
      <c r="S1979">
        <v>87.522400000000005</v>
      </c>
      <c r="T1979">
        <v>98.274000000000001</v>
      </c>
      <c r="U1979">
        <v>5.3789800000000003</v>
      </c>
      <c r="V1979">
        <v>0</v>
      </c>
      <c r="W1979">
        <v>0</v>
      </c>
      <c r="X1979">
        <v>2.0581800000000001</v>
      </c>
      <c r="Y1979">
        <v>1.7557799999999999</v>
      </c>
      <c r="Z1979">
        <v>0</v>
      </c>
      <c r="AA1979">
        <v>1.7416199999999999</v>
      </c>
      <c r="AB1979">
        <v>3.3868800000000001</v>
      </c>
      <c r="AC1979" s="2">
        <v>1064280000</v>
      </c>
      <c r="AD1979" s="1">
        <v>0</v>
      </c>
      <c r="AE1979" s="1">
        <v>0</v>
      </c>
      <c r="AF1979" s="1">
        <v>0</v>
      </c>
      <c r="AG1979" s="1">
        <v>0</v>
      </c>
      <c r="AH1979" s="2">
        <v>5325010</v>
      </c>
      <c r="AI1979" s="1">
        <v>930453</v>
      </c>
      <c r="AJ1979" s="1">
        <v>0</v>
      </c>
      <c r="AK1979" s="8">
        <f t="shared" si="123"/>
        <v>2</v>
      </c>
      <c r="AL1979" s="8">
        <f t="shared" si="122"/>
        <v>39</v>
      </c>
      <c r="AM1979">
        <f t="shared" si="120"/>
        <v>0</v>
      </c>
      <c r="AN1979">
        <f t="shared" si="121"/>
        <v>0</v>
      </c>
    </row>
    <row r="1980" spans="1:40" x14ac:dyDescent="0.35">
      <c r="A1980">
        <v>67.837299999999999</v>
      </c>
      <c r="B1980">
        <v>85.138999999999996</v>
      </c>
      <c r="C1980">
        <v>7.2350500000000002</v>
      </c>
      <c r="D1980">
        <v>0.03</v>
      </c>
      <c r="E1980">
        <v>0.04</v>
      </c>
      <c r="F1980">
        <v>2.7274600000000002</v>
      </c>
      <c r="G1980">
        <v>3.0298600000000002</v>
      </c>
      <c r="H1980">
        <v>0</v>
      </c>
      <c r="I1980">
        <v>0.51112500000000005</v>
      </c>
      <c r="J1980">
        <v>5.3222399999999999</v>
      </c>
      <c r="K1980" s="2">
        <v>209124000</v>
      </c>
      <c r="L1980" s="1">
        <v>0</v>
      </c>
      <c r="M1980" s="1">
        <v>0</v>
      </c>
      <c r="N1980" s="1">
        <v>0</v>
      </c>
      <c r="O1980" s="1">
        <v>0</v>
      </c>
      <c r="P1980" s="2">
        <v>4077480</v>
      </c>
      <c r="Q1980" s="1">
        <v>-97063.6</v>
      </c>
      <c r="R1980" s="1">
        <v>408539</v>
      </c>
      <c r="S1980">
        <v>88.434299999999993</v>
      </c>
      <c r="T1980">
        <v>98.274000000000001</v>
      </c>
      <c r="U1980">
        <v>5.2346300000000001</v>
      </c>
      <c r="V1980">
        <v>0</v>
      </c>
      <c r="W1980">
        <v>0</v>
      </c>
      <c r="X1980">
        <v>2.0581800000000001</v>
      </c>
      <c r="Y1980">
        <v>1.7557799999999999</v>
      </c>
      <c r="Z1980">
        <v>0</v>
      </c>
      <c r="AA1980">
        <v>1.59015</v>
      </c>
      <c r="AB1980">
        <v>3.3868800000000001</v>
      </c>
      <c r="AC1980" s="2">
        <v>1065210000</v>
      </c>
      <c r="AD1980" s="1">
        <v>0</v>
      </c>
      <c r="AE1980" s="1">
        <v>0</v>
      </c>
      <c r="AF1980" s="1">
        <v>0</v>
      </c>
      <c r="AG1980" s="1">
        <v>0</v>
      </c>
      <c r="AH1980" s="2">
        <v>5325010</v>
      </c>
      <c r="AI1980" s="1">
        <v>930453</v>
      </c>
      <c r="AJ1980" s="1">
        <v>0</v>
      </c>
      <c r="AK1980" s="8">
        <f t="shared" si="123"/>
        <v>3</v>
      </c>
      <c r="AL1980" s="8">
        <f t="shared" si="122"/>
        <v>39</v>
      </c>
      <c r="AM1980">
        <f t="shared" si="120"/>
        <v>0</v>
      </c>
      <c r="AN1980">
        <f t="shared" si="121"/>
        <v>0</v>
      </c>
    </row>
    <row r="1981" spans="1:40" x14ac:dyDescent="0.35">
      <c r="A1981">
        <v>72.171199999999999</v>
      </c>
      <c r="B1981">
        <v>85.138999999999996</v>
      </c>
      <c r="C1981">
        <v>7.52522</v>
      </c>
      <c r="D1981">
        <v>0.04</v>
      </c>
      <c r="E1981">
        <v>0.04</v>
      </c>
      <c r="F1981">
        <v>2.7274600000000002</v>
      </c>
      <c r="G1981">
        <v>3.0298600000000002</v>
      </c>
      <c r="H1981">
        <v>0</v>
      </c>
      <c r="I1981">
        <v>0.51112500000000005</v>
      </c>
      <c r="J1981">
        <v>5.3222399999999999</v>
      </c>
      <c r="K1981" s="2">
        <v>209027000</v>
      </c>
      <c r="L1981" s="1">
        <v>0</v>
      </c>
      <c r="M1981" s="1">
        <v>0</v>
      </c>
      <c r="N1981" s="1">
        <v>0</v>
      </c>
      <c r="O1981" s="1">
        <v>0</v>
      </c>
      <c r="P1981" s="2">
        <v>4077480</v>
      </c>
      <c r="Q1981" s="1">
        <v>-97063.3</v>
      </c>
      <c r="R1981" s="1">
        <v>408539</v>
      </c>
      <c r="S1981">
        <v>90.122900000000001</v>
      </c>
      <c r="T1981">
        <v>98.274000000000001</v>
      </c>
      <c r="U1981">
        <v>6.38049</v>
      </c>
      <c r="V1981">
        <v>0</v>
      </c>
      <c r="W1981">
        <v>0</v>
      </c>
      <c r="X1981">
        <v>2.0581900000000002</v>
      </c>
      <c r="Y1981">
        <v>1.75579</v>
      </c>
      <c r="Z1981">
        <v>0</v>
      </c>
      <c r="AA1981">
        <v>1.59015</v>
      </c>
      <c r="AB1981">
        <v>3.3868800000000001</v>
      </c>
      <c r="AC1981" s="2">
        <v>1066140000</v>
      </c>
      <c r="AD1981" s="1">
        <v>0</v>
      </c>
      <c r="AE1981" s="1">
        <v>0</v>
      </c>
      <c r="AF1981" s="1">
        <v>0</v>
      </c>
      <c r="AG1981" s="1">
        <v>0</v>
      </c>
      <c r="AH1981" s="2">
        <v>5325020</v>
      </c>
      <c r="AI1981" s="1">
        <v>930453</v>
      </c>
      <c r="AJ1981" s="1">
        <v>0</v>
      </c>
      <c r="AK1981" s="8">
        <f t="shared" si="123"/>
        <v>4</v>
      </c>
      <c r="AL1981" s="8">
        <f t="shared" si="122"/>
        <v>39</v>
      </c>
      <c r="AM1981">
        <f t="shared" si="120"/>
        <v>0</v>
      </c>
      <c r="AN1981">
        <f t="shared" si="121"/>
        <v>0</v>
      </c>
    </row>
    <row r="1982" spans="1:40" x14ac:dyDescent="0.35">
      <c r="A1982">
        <v>79.761099999999999</v>
      </c>
      <c r="B1982">
        <v>85.138999999999996</v>
      </c>
      <c r="C1982">
        <v>11.1487</v>
      </c>
      <c r="D1982">
        <v>0.03</v>
      </c>
      <c r="E1982">
        <v>0.04</v>
      </c>
      <c r="F1982">
        <v>2.7274600000000002</v>
      </c>
      <c r="G1982">
        <v>3.0298600000000002</v>
      </c>
      <c r="H1982">
        <v>0</v>
      </c>
      <c r="I1982">
        <v>0.51112599999999997</v>
      </c>
      <c r="J1982">
        <v>5.3222399999999999</v>
      </c>
      <c r="K1982" s="2">
        <v>208930000</v>
      </c>
      <c r="L1982" s="1">
        <v>0</v>
      </c>
      <c r="M1982" s="1">
        <v>0</v>
      </c>
      <c r="N1982" s="1">
        <v>0</v>
      </c>
      <c r="O1982" s="1">
        <v>0</v>
      </c>
      <c r="P1982" s="2">
        <v>4077480</v>
      </c>
      <c r="Q1982" s="1">
        <v>-97063</v>
      </c>
      <c r="R1982" s="1">
        <v>408539</v>
      </c>
      <c r="S1982">
        <v>91.9238</v>
      </c>
      <c r="T1982">
        <v>98.274000000000001</v>
      </c>
      <c r="U1982">
        <v>6.9077599999999997</v>
      </c>
      <c r="V1982">
        <v>0</v>
      </c>
      <c r="W1982">
        <v>0</v>
      </c>
      <c r="X1982">
        <v>2.0581900000000002</v>
      </c>
      <c r="Y1982">
        <v>1.75579</v>
      </c>
      <c r="Z1982">
        <v>0</v>
      </c>
      <c r="AA1982">
        <v>1.59015</v>
      </c>
      <c r="AB1982">
        <v>3.3868800000000001</v>
      </c>
      <c r="AC1982" s="2">
        <v>1067070000</v>
      </c>
      <c r="AD1982" s="1">
        <v>0</v>
      </c>
      <c r="AE1982" s="1">
        <v>0</v>
      </c>
      <c r="AF1982" s="1">
        <v>0</v>
      </c>
      <c r="AG1982" s="1">
        <v>0</v>
      </c>
      <c r="AH1982" s="2">
        <v>5325020</v>
      </c>
      <c r="AI1982" s="1">
        <v>930453</v>
      </c>
      <c r="AJ1982" s="1">
        <v>0</v>
      </c>
      <c r="AK1982" s="8">
        <f t="shared" si="123"/>
        <v>5</v>
      </c>
      <c r="AL1982" s="8">
        <f t="shared" si="122"/>
        <v>39</v>
      </c>
      <c r="AM1982">
        <f t="shared" si="120"/>
        <v>0</v>
      </c>
      <c r="AN1982">
        <f t="shared" si="121"/>
        <v>0</v>
      </c>
    </row>
    <row r="1983" spans="1:40" x14ac:dyDescent="0.35">
      <c r="A1983">
        <v>85.138999999999996</v>
      </c>
      <c r="B1983">
        <v>85.138999999999996</v>
      </c>
      <c r="C1983">
        <v>9.8928200000000004</v>
      </c>
      <c r="D1983">
        <v>0</v>
      </c>
      <c r="E1983">
        <v>0.04</v>
      </c>
      <c r="F1983">
        <v>3.0298600000000002</v>
      </c>
      <c r="G1983">
        <v>3.0298600000000002</v>
      </c>
      <c r="H1983">
        <v>0</v>
      </c>
      <c r="I1983">
        <v>0.51112599999999997</v>
      </c>
      <c r="J1983">
        <v>5.3222399999999999</v>
      </c>
      <c r="K1983" s="2">
        <v>209241000</v>
      </c>
      <c r="L1983" s="1">
        <v>0</v>
      </c>
      <c r="M1983" s="1">
        <v>0</v>
      </c>
      <c r="N1983" s="1">
        <v>0</v>
      </c>
      <c r="O1983" s="1">
        <v>0</v>
      </c>
      <c r="P1983" s="2">
        <v>4529570</v>
      </c>
      <c r="Q1983" s="1">
        <v>311476</v>
      </c>
      <c r="R1983" s="1">
        <v>0</v>
      </c>
      <c r="S1983">
        <v>94.362200000000001</v>
      </c>
      <c r="T1983">
        <v>98.274000000000001</v>
      </c>
      <c r="U1983">
        <v>8.6553599999999999</v>
      </c>
      <c r="V1983">
        <v>0</v>
      </c>
      <c r="W1983">
        <v>0</v>
      </c>
      <c r="X1983">
        <v>1.75579</v>
      </c>
      <c r="Y1983">
        <v>1.75579</v>
      </c>
      <c r="Z1983">
        <v>0</v>
      </c>
      <c r="AA1983">
        <v>1.59016</v>
      </c>
      <c r="AB1983">
        <v>3.3868800000000001</v>
      </c>
      <c r="AC1983" s="2">
        <v>1067220000</v>
      </c>
      <c r="AD1983" s="1">
        <v>0</v>
      </c>
      <c r="AE1983" s="1">
        <v>0</v>
      </c>
      <c r="AF1983" s="1">
        <v>0</v>
      </c>
      <c r="AG1983" s="1">
        <v>0</v>
      </c>
      <c r="AH1983" s="2">
        <v>4542640</v>
      </c>
      <c r="AI1983" s="1">
        <v>148073</v>
      </c>
      <c r="AJ1983" s="1">
        <v>0</v>
      </c>
      <c r="AK1983" s="8">
        <f t="shared" si="123"/>
        <v>6</v>
      </c>
      <c r="AL1983" s="8">
        <f t="shared" si="122"/>
        <v>39</v>
      </c>
      <c r="AM1983">
        <f t="shared" si="120"/>
        <v>0</v>
      </c>
      <c r="AN1983">
        <f t="shared" si="121"/>
        <v>0</v>
      </c>
    </row>
    <row r="1984" spans="1:40" x14ac:dyDescent="0.35">
      <c r="A1984">
        <v>85.138999999999996</v>
      </c>
      <c r="B1984">
        <v>85.138999999999996</v>
      </c>
      <c r="C1984">
        <v>4.3196000000000003</v>
      </c>
      <c r="D1984">
        <v>0</v>
      </c>
      <c r="E1984">
        <v>0.04</v>
      </c>
      <c r="F1984">
        <v>3.1247799999999999</v>
      </c>
      <c r="G1984">
        <v>3.1247799999999999</v>
      </c>
      <c r="H1984">
        <v>0</v>
      </c>
      <c r="I1984">
        <v>0.56779599999999997</v>
      </c>
      <c r="J1984">
        <v>5.3222399999999999</v>
      </c>
      <c r="K1984" s="2">
        <v>209563000</v>
      </c>
      <c r="L1984" s="1">
        <v>0</v>
      </c>
      <c r="M1984" s="1">
        <v>0</v>
      </c>
      <c r="N1984" s="1">
        <v>0</v>
      </c>
      <c r="O1984" s="1">
        <v>0</v>
      </c>
      <c r="P1984" s="2">
        <v>4671460</v>
      </c>
      <c r="Q1984" s="1">
        <v>321233</v>
      </c>
      <c r="R1984" s="1">
        <v>0</v>
      </c>
      <c r="S1984">
        <v>95.102199999999996</v>
      </c>
      <c r="T1984">
        <v>98.274000000000001</v>
      </c>
      <c r="U1984">
        <v>5.03139</v>
      </c>
      <c r="V1984">
        <v>0</v>
      </c>
      <c r="W1984">
        <v>0</v>
      </c>
      <c r="X1984">
        <v>1.8125599999999999</v>
      </c>
      <c r="Y1984">
        <v>1.8125599999999999</v>
      </c>
      <c r="Z1984">
        <v>0</v>
      </c>
      <c r="AA1984">
        <v>1.3565199999999999</v>
      </c>
      <c r="AB1984">
        <v>3.3868800000000001</v>
      </c>
      <c r="AC1984" s="2">
        <v>1067370000</v>
      </c>
      <c r="AD1984" s="1">
        <v>0</v>
      </c>
      <c r="AE1984" s="1">
        <v>0</v>
      </c>
      <c r="AF1984" s="1">
        <v>0</v>
      </c>
      <c r="AG1984" s="2">
        <v>7883220</v>
      </c>
      <c r="AH1984" s="2">
        <v>4689520</v>
      </c>
      <c r="AI1984" s="1">
        <v>152860</v>
      </c>
      <c r="AJ1984" s="1">
        <v>0</v>
      </c>
      <c r="AK1984" s="8">
        <f t="shared" si="123"/>
        <v>7</v>
      </c>
      <c r="AL1984" s="8">
        <f t="shared" si="122"/>
        <v>39</v>
      </c>
      <c r="AM1984">
        <f t="shared" si="120"/>
        <v>0</v>
      </c>
      <c r="AN1984">
        <f t="shared" si="121"/>
        <v>0</v>
      </c>
    </row>
    <row r="1985" spans="1:40" x14ac:dyDescent="0.35">
      <c r="A1985">
        <v>85.138999999999996</v>
      </c>
      <c r="B1985">
        <v>85.138999999999996</v>
      </c>
      <c r="C1985">
        <v>3.5015299999999998</v>
      </c>
      <c r="D1985">
        <v>0</v>
      </c>
      <c r="E1985">
        <v>0.04</v>
      </c>
      <c r="F1985">
        <v>3.1247600000000002</v>
      </c>
      <c r="G1985">
        <v>3.1247600000000002</v>
      </c>
      <c r="H1985">
        <v>0</v>
      </c>
      <c r="I1985">
        <v>0.58558299999999996</v>
      </c>
      <c r="J1985">
        <v>5.3222399999999999</v>
      </c>
      <c r="K1985" s="2">
        <v>209884000</v>
      </c>
      <c r="L1985" s="1">
        <v>0</v>
      </c>
      <c r="M1985" s="1">
        <v>0</v>
      </c>
      <c r="N1985" s="1">
        <v>0</v>
      </c>
      <c r="O1985" s="1">
        <v>0</v>
      </c>
      <c r="P1985" s="2">
        <v>4671440</v>
      </c>
      <c r="Q1985" s="1">
        <v>321232</v>
      </c>
      <c r="R1985" s="1">
        <v>0</v>
      </c>
      <c r="S1985">
        <v>95.663499999999999</v>
      </c>
      <c r="T1985">
        <v>98.274000000000001</v>
      </c>
      <c r="U1985">
        <v>4.3002500000000001</v>
      </c>
      <c r="V1985">
        <v>0</v>
      </c>
      <c r="W1985">
        <v>0</v>
      </c>
      <c r="X1985">
        <v>1.8125500000000001</v>
      </c>
      <c r="Y1985">
        <v>1.8125500000000001</v>
      </c>
      <c r="Z1985">
        <v>0</v>
      </c>
      <c r="AA1985">
        <v>1.40038</v>
      </c>
      <c r="AB1985">
        <v>3.3868800000000001</v>
      </c>
      <c r="AC1985" s="2">
        <v>1067520000</v>
      </c>
      <c r="AD1985" s="1">
        <v>0</v>
      </c>
      <c r="AE1985" s="1">
        <v>0</v>
      </c>
      <c r="AF1985" s="1">
        <v>0</v>
      </c>
      <c r="AG1985" s="1">
        <v>0</v>
      </c>
      <c r="AH1985" s="2">
        <v>4689500</v>
      </c>
      <c r="AI1985" s="1">
        <v>152860</v>
      </c>
      <c r="AJ1985" s="1">
        <v>0</v>
      </c>
      <c r="AK1985" s="8">
        <f t="shared" si="123"/>
        <v>8</v>
      </c>
      <c r="AL1985" s="8">
        <f t="shared" si="122"/>
        <v>39</v>
      </c>
      <c r="AM1985">
        <f t="shared" si="120"/>
        <v>0</v>
      </c>
      <c r="AN1985">
        <f t="shared" si="121"/>
        <v>0</v>
      </c>
    </row>
    <row r="1986" spans="1:40" x14ac:dyDescent="0.35">
      <c r="A1986">
        <v>85.138999999999996</v>
      </c>
      <c r="B1986">
        <v>85.138999999999996</v>
      </c>
      <c r="C1986">
        <v>3.9805299999999999</v>
      </c>
      <c r="D1986">
        <v>0</v>
      </c>
      <c r="E1986">
        <v>0.04</v>
      </c>
      <c r="F1986">
        <v>3.1247500000000001</v>
      </c>
      <c r="G1986">
        <v>3.1247500000000001</v>
      </c>
      <c r="H1986">
        <v>0</v>
      </c>
      <c r="I1986">
        <v>0.58558100000000002</v>
      </c>
      <c r="J1986">
        <v>5.3222399999999999</v>
      </c>
      <c r="K1986" s="2">
        <v>210205000</v>
      </c>
      <c r="L1986" s="1">
        <v>0</v>
      </c>
      <c r="M1986" s="1">
        <v>0</v>
      </c>
      <c r="N1986" s="1">
        <v>0</v>
      </c>
      <c r="O1986" s="1">
        <v>0</v>
      </c>
      <c r="P1986" s="2">
        <v>4671420</v>
      </c>
      <c r="Q1986" s="1">
        <v>321230</v>
      </c>
      <c r="R1986" s="1">
        <v>0</v>
      </c>
      <c r="S1986">
        <v>96.626800000000003</v>
      </c>
      <c r="T1986">
        <v>98.274000000000001</v>
      </c>
      <c r="U1986">
        <v>5.1370800000000001</v>
      </c>
      <c r="V1986">
        <v>0</v>
      </c>
      <c r="W1986">
        <v>0</v>
      </c>
      <c r="X1986">
        <v>1.81254</v>
      </c>
      <c r="Y1986">
        <v>1.81254</v>
      </c>
      <c r="Z1986">
        <v>0</v>
      </c>
      <c r="AA1986">
        <v>1.40038</v>
      </c>
      <c r="AB1986">
        <v>3.3868800000000001</v>
      </c>
      <c r="AC1986" s="2">
        <v>1067680000</v>
      </c>
      <c r="AD1986" s="1">
        <v>0</v>
      </c>
      <c r="AE1986" s="1">
        <v>0</v>
      </c>
      <c r="AF1986" s="1">
        <v>0</v>
      </c>
      <c r="AG1986" s="1">
        <v>0</v>
      </c>
      <c r="AH1986" s="2">
        <v>4689480</v>
      </c>
      <c r="AI1986" s="1">
        <v>152859</v>
      </c>
      <c r="AJ1986" s="1">
        <v>0</v>
      </c>
      <c r="AK1986" s="8">
        <f t="shared" si="123"/>
        <v>9</v>
      </c>
      <c r="AL1986" s="8">
        <f t="shared" si="122"/>
        <v>39</v>
      </c>
      <c r="AM1986">
        <f t="shared" si="120"/>
        <v>0</v>
      </c>
      <c r="AN1986">
        <f t="shared" si="121"/>
        <v>0</v>
      </c>
    </row>
    <row r="1987" spans="1:40" x14ac:dyDescent="0.35">
      <c r="A1987">
        <v>85.138999999999996</v>
      </c>
      <c r="B1987">
        <v>85.138999999999996</v>
      </c>
      <c r="C1987">
        <v>4.1320600000000001</v>
      </c>
      <c r="D1987">
        <v>0</v>
      </c>
      <c r="E1987">
        <v>0.04</v>
      </c>
      <c r="F1987">
        <v>3.12473</v>
      </c>
      <c r="G1987">
        <v>3.12473</v>
      </c>
      <c r="H1987">
        <v>0</v>
      </c>
      <c r="I1987">
        <v>0.58557800000000004</v>
      </c>
      <c r="J1987">
        <v>5.3222399999999999</v>
      </c>
      <c r="K1987" s="2">
        <v>210526000</v>
      </c>
      <c r="L1987" s="1">
        <v>0</v>
      </c>
      <c r="M1987" s="1">
        <v>0</v>
      </c>
      <c r="N1987" s="1">
        <v>0</v>
      </c>
      <c r="O1987" s="1">
        <v>0</v>
      </c>
      <c r="P1987" s="2">
        <v>4671400</v>
      </c>
      <c r="Q1987" s="1">
        <v>321229</v>
      </c>
      <c r="R1987" s="1">
        <v>0</v>
      </c>
      <c r="S1987">
        <v>97.193799999999996</v>
      </c>
      <c r="T1987">
        <v>98.274000000000001</v>
      </c>
      <c r="U1987">
        <v>5.0522299999999998</v>
      </c>
      <c r="V1987">
        <v>0</v>
      </c>
      <c r="W1987">
        <v>0</v>
      </c>
      <c r="X1987">
        <v>1.81253</v>
      </c>
      <c r="Y1987">
        <v>1.81253</v>
      </c>
      <c r="Z1987">
        <v>0</v>
      </c>
      <c r="AA1987">
        <v>1.4003699999999999</v>
      </c>
      <c r="AB1987">
        <v>3.3868800000000001</v>
      </c>
      <c r="AC1987" s="2">
        <v>1067830000</v>
      </c>
      <c r="AD1987" s="1">
        <v>0</v>
      </c>
      <c r="AE1987" s="1">
        <v>0</v>
      </c>
      <c r="AF1987" s="1">
        <v>0</v>
      </c>
      <c r="AG1987" s="1">
        <v>0</v>
      </c>
      <c r="AH1987" s="2">
        <v>4689450</v>
      </c>
      <c r="AI1987" s="1">
        <v>152858</v>
      </c>
      <c r="AJ1987" s="1">
        <v>0</v>
      </c>
      <c r="AK1987" s="8">
        <f t="shared" si="123"/>
        <v>10</v>
      </c>
      <c r="AL1987" s="8">
        <f t="shared" si="122"/>
        <v>39</v>
      </c>
      <c r="AM1987">
        <f t="shared" ref="AM1987:AM2050" si="124">IF(AK1987=52,AC1987,0)</f>
        <v>0</v>
      </c>
      <c r="AN1987">
        <f t="shared" ref="AN1987:AN2050" si="125">IF(AK1987=52,K1987,0)</f>
        <v>0</v>
      </c>
    </row>
    <row r="1988" spans="1:40" x14ac:dyDescent="0.35">
      <c r="A1988">
        <v>85.138999999999996</v>
      </c>
      <c r="B1988">
        <v>85.138999999999996</v>
      </c>
      <c r="C1988">
        <v>3.8989699999999998</v>
      </c>
      <c r="D1988">
        <v>0</v>
      </c>
      <c r="E1988">
        <v>0.04</v>
      </c>
      <c r="F1988">
        <v>3.4295</v>
      </c>
      <c r="G1988">
        <v>3.4295</v>
      </c>
      <c r="H1988">
        <v>0</v>
      </c>
      <c r="I1988">
        <v>0.58557499999999996</v>
      </c>
      <c r="J1988">
        <v>5.3222399999999999</v>
      </c>
      <c r="K1988" s="2">
        <v>210879000</v>
      </c>
      <c r="L1988" s="1">
        <v>0</v>
      </c>
      <c r="M1988" s="1">
        <v>0</v>
      </c>
      <c r="N1988" s="1">
        <v>0</v>
      </c>
      <c r="O1988" s="1">
        <v>0</v>
      </c>
      <c r="P1988" s="2">
        <v>5127010</v>
      </c>
      <c r="Q1988" s="1">
        <v>352559</v>
      </c>
      <c r="R1988" s="1">
        <v>0</v>
      </c>
      <c r="S1988">
        <v>97.478300000000004</v>
      </c>
      <c r="T1988">
        <v>98.274000000000001</v>
      </c>
      <c r="U1988">
        <v>4.1485900000000004</v>
      </c>
      <c r="V1988">
        <v>0</v>
      </c>
      <c r="W1988">
        <v>0</v>
      </c>
      <c r="X1988">
        <v>2.0256400000000001</v>
      </c>
      <c r="Y1988">
        <v>2.0256400000000001</v>
      </c>
      <c r="Z1988">
        <v>0</v>
      </c>
      <c r="AA1988">
        <v>1.40036</v>
      </c>
      <c r="AB1988">
        <v>3.3868800000000001</v>
      </c>
      <c r="AC1988" s="2">
        <v>1068000000</v>
      </c>
      <c r="AD1988" s="1">
        <v>0</v>
      </c>
      <c r="AE1988" s="1">
        <v>0</v>
      </c>
      <c r="AF1988" s="1">
        <v>0</v>
      </c>
      <c r="AG1988" s="1">
        <v>0</v>
      </c>
      <c r="AH1988" s="2">
        <v>5240810</v>
      </c>
      <c r="AI1988" s="1">
        <v>170830</v>
      </c>
      <c r="AJ1988" s="1">
        <v>0</v>
      </c>
      <c r="AK1988" s="8">
        <f t="shared" si="123"/>
        <v>11</v>
      </c>
      <c r="AL1988" s="8">
        <f t="shared" ref="AL1988:AL2051" si="126">IF(AK1987=52,AL1987+1,AL1987)</f>
        <v>39</v>
      </c>
      <c r="AM1988">
        <f t="shared" si="124"/>
        <v>0</v>
      </c>
      <c r="AN1988">
        <f t="shared" si="125"/>
        <v>0</v>
      </c>
    </row>
    <row r="1989" spans="1:40" x14ac:dyDescent="0.35">
      <c r="A1989">
        <v>85.114500000000007</v>
      </c>
      <c r="B1989">
        <v>85.138999999999996</v>
      </c>
      <c r="C1989">
        <v>3.83934</v>
      </c>
      <c r="D1989">
        <v>0</v>
      </c>
      <c r="E1989">
        <v>0.04</v>
      </c>
      <c r="F1989">
        <v>3.4294799999999999</v>
      </c>
      <c r="G1989">
        <v>3.4294799999999999</v>
      </c>
      <c r="H1989">
        <v>0</v>
      </c>
      <c r="I1989">
        <v>0.64268700000000001</v>
      </c>
      <c r="J1989">
        <v>5.3222399999999999</v>
      </c>
      <c r="K1989" s="2">
        <v>211232000</v>
      </c>
      <c r="L1989" s="1">
        <v>0</v>
      </c>
      <c r="M1989" s="1">
        <v>0</v>
      </c>
      <c r="N1989" s="1">
        <v>0</v>
      </c>
      <c r="O1989" s="1">
        <v>0</v>
      </c>
      <c r="P1989" s="2">
        <v>5126980</v>
      </c>
      <c r="Q1989" s="1">
        <v>352557</v>
      </c>
      <c r="R1989" s="1">
        <v>0</v>
      </c>
      <c r="S1989">
        <v>97.663499999999999</v>
      </c>
      <c r="T1989">
        <v>98.274000000000001</v>
      </c>
      <c r="U1989">
        <v>4.1639799999999996</v>
      </c>
      <c r="V1989">
        <v>0</v>
      </c>
      <c r="W1989">
        <v>0</v>
      </c>
      <c r="X1989">
        <v>2.02563</v>
      </c>
      <c r="Y1989">
        <v>2.02563</v>
      </c>
      <c r="Z1989">
        <v>0</v>
      </c>
      <c r="AA1989">
        <v>1.56501</v>
      </c>
      <c r="AB1989">
        <v>3.3868800000000001</v>
      </c>
      <c r="AC1989" s="2">
        <v>1068170000</v>
      </c>
      <c r="AD1989" s="1">
        <v>0</v>
      </c>
      <c r="AE1989" s="1">
        <v>0</v>
      </c>
      <c r="AF1989" s="1">
        <v>0</v>
      </c>
      <c r="AG1989" s="1">
        <v>0</v>
      </c>
      <c r="AH1989" s="2">
        <v>5240780</v>
      </c>
      <c r="AI1989" s="1">
        <v>170829</v>
      </c>
      <c r="AJ1989" s="1">
        <v>0</v>
      </c>
      <c r="AK1989" s="8">
        <f t="shared" si="123"/>
        <v>12</v>
      </c>
      <c r="AL1989" s="8">
        <f t="shared" si="126"/>
        <v>39</v>
      </c>
      <c r="AM1989">
        <f t="shared" si="124"/>
        <v>0</v>
      </c>
      <c r="AN1989">
        <f t="shared" si="125"/>
        <v>0</v>
      </c>
    </row>
    <row r="1990" spans="1:40" x14ac:dyDescent="0.35">
      <c r="A1990">
        <v>84.492599999999996</v>
      </c>
      <c r="B1990">
        <v>85.138999999999996</v>
      </c>
      <c r="C1990">
        <v>3.1182599999999998</v>
      </c>
      <c r="D1990">
        <v>0</v>
      </c>
      <c r="E1990">
        <v>0.04</v>
      </c>
      <c r="F1990">
        <v>3.4294600000000002</v>
      </c>
      <c r="G1990">
        <v>3.4294600000000002</v>
      </c>
      <c r="H1990">
        <v>0</v>
      </c>
      <c r="I1990">
        <v>0.64268400000000003</v>
      </c>
      <c r="J1990">
        <v>5.3222399999999999</v>
      </c>
      <c r="K1990" s="2">
        <v>211584000</v>
      </c>
      <c r="L1990" s="1">
        <v>0</v>
      </c>
      <c r="M1990" s="1">
        <v>0</v>
      </c>
      <c r="N1990" s="1">
        <v>0</v>
      </c>
      <c r="O1990" s="1">
        <v>0</v>
      </c>
      <c r="P1990" s="2">
        <v>5126960</v>
      </c>
      <c r="Q1990" s="1">
        <v>352555</v>
      </c>
      <c r="R1990" s="1">
        <v>0</v>
      </c>
      <c r="S1990">
        <v>97.622600000000006</v>
      </c>
      <c r="T1990">
        <v>98.274000000000001</v>
      </c>
      <c r="U1990">
        <v>3.03878</v>
      </c>
      <c r="V1990">
        <v>0</v>
      </c>
      <c r="W1990">
        <v>0</v>
      </c>
      <c r="X1990">
        <v>2.02562</v>
      </c>
      <c r="Y1990">
        <v>2.02562</v>
      </c>
      <c r="Z1990">
        <v>0</v>
      </c>
      <c r="AA1990">
        <v>1.5649999999999999</v>
      </c>
      <c r="AB1990">
        <v>3.3868800000000001</v>
      </c>
      <c r="AC1990" s="2">
        <v>1068340000</v>
      </c>
      <c r="AD1990" s="1">
        <v>0</v>
      </c>
      <c r="AE1990" s="1">
        <v>0</v>
      </c>
      <c r="AF1990" s="1">
        <v>0</v>
      </c>
      <c r="AG1990" s="1">
        <v>0</v>
      </c>
      <c r="AH1990" s="2">
        <v>5240760</v>
      </c>
      <c r="AI1990" s="1">
        <v>170828</v>
      </c>
      <c r="AJ1990" s="1">
        <v>0</v>
      </c>
      <c r="AK1990" s="8">
        <f t="shared" si="123"/>
        <v>13</v>
      </c>
      <c r="AL1990" s="8">
        <f t="shared" si="126"/>
        <v>39</v>
      </c>
      <c r="AM1990">
        <f t="shared" si="124"/>
        <v>0</v>
      </c>
      <c r="AN1990">
        <f t="shared" si="125"/>
        <v>0</v>
      </c>
    </row>
    <row r="1991" spans="1:40" x14ac:dyDescent="0.35">
      <c r="A1991">
        <v>85.138999999999996</v>
      </c>
      <c r="B1991">
        <v>85.138999999999996</v>
      </c>
      <c r="C1991">
        <v>5.2712300000000001</v>
      </c>
      <c r="D1991">
        <v>0</v>
      </c>
      <c r="E1991">
        <v>0.04</v>
      </c>
      <c r="F1991">
        <v>3.4294500000000001</v>
      </c>
      <c r="G1991">
        <v>3.4294500000000001</v>
      </c>
      <c r="H1991">
        <v>0</v>
      </c>
      <c r="I1991">
        <v>0.64268099999999995</v>
      </c>
      <c r="J1991">
        <v>5.3222399999999999</v>
      </c>
      <c r="K1991" s="2">
        <v>211937000</v>
      </c>
      <c r="L1991" s="1">
        <v>0</v>
      </c>
      <c r="M1991" s="1">
        <v>0</v>
      </c>
      <c r="N1991" s="1">
        <v>0</v>
      </c>
      <c r="O1991" s="1">
        <v>0</v>
      </c>
      <c r="P1991" s="2">
        <v>5126930</v>
      </c>
      <c r="Q1991" s="1">
        <v>352554</v>
      </c>
      <c r="R1991" s="1">
        <v>0</v>
      </c>
      <c r="S1991">
        <v>98.136200000000002</v>
      </c>
      <c r="T1991">
        <v>98.274000000000001</v>
      </c>
      <c r="U1991">
        <v>5.5385600000000004</v>
      </c>
      <c r="V1991">
        <v>0</v>
      </c>
      <c r="W1991">
        <v>0</v>
      </c>
      <c r="X1991">
        <v>2.0256099999999999</v>
      </c>
      <c r="Y1991">
        <v>2.0256099999999999</v>
      </c>
      <c r="Z1991">
        <v>0</v>
      </c>
      <c r="AA1991">
        <v>1.5649900000000001</v>
      </c>
      <c r="AB1991">
        <v>3.3868800000000001</v>
      </c>
      <c r="AC1991" s="2">
        <v>1068510000</v>
      </c>
      <c r="AD1991" s="1">
        <v>0</v>
      </c>
      <c r="AE1991" s="1">
        <v>0</v>
      </c>
      <c r="AF1991" s="1">
        <v>0</v>
      </c>
      <c r="AG1991" s="1">
        <v>0</v>
      </c>
      <c r="AH1991" s="2">
        <v>5240730</v>
      </c>
      <c r="AI1991" s="1">
        <v>170828</v>
      </c>
      <c r="AJ1991" s="1">
        <v>0</v>
      </c>
      <c r="AK1991" s="8">
        <f t="shared" si="123"/>
        <v>14</v>
      </c>
      <c r="AL1991" s="8">
        <f t="shared" si="126"/>
        <v>39</v>
      </c>
      <c r="AM1991">
        <f t="shared" si="124"/>
        <v>0</v>
      </c>
      <c r="AN1991">
        <f t="shared" si="125"/>
        <v>0</v>
      </c>
    </row>
    <row r="1992" spans="1:40" x14ac:dyDescent="0.35">
      <c r="A1992">
        <v>85.138999999999996</v>
      </c>
      <c r="B1992">
        <v>85.138999999999996</v>
      </c>
      <c r="C1992">
        <v>4.9092000000000002</v>
      </c>
      <c r="D1992">
        <v>0</v>
      </c>
      <c r="E1992">
        <v>0.04</v>
      </c>
      <c r="F1992">
        <v>2.9947300000000001</v>
      </c>
      <c r="G1992">
        <v>2.9947300000000001</v>
      </c>
      <c r="H1992">
        <v>0</v>
      </c>
      <c r="I1992">
        <v>0.64267799999999997</v>
      </c>
      <c r="J1992">
        <v>5.3222399999999999</v>
      </c>
      <c r="K1992" s="2">
        <v>212244000</v>
      </c>
      <c r="L1992" s="1">
        <v>0</v>
      </c>
      <c r="M1992" s="1">
        <v>0</v>
      </c>
      <c r="N1992" s="1">
        <v>0</v>
      </c>
      <c r="O1992" s="1">
        <v>0</v>
      </c>
      <c r="P1992" s="2">
        <v>4477040</v>
      </c>
      <c r="Q1992" s="1">
        <v>307864</v>
      </c>
      <c r="R1992" s="1">
        <v>0</v>
      </c>
      <c r="S1992">
        <v>99.032799999999995</v>
      </c>
      <c r="T1992">
        <v>98.274000000000001</v>
      </c>
      <c r="U1992">
        <v>5.3466899999999997</v>
      </c>
      <c r="V1992">
        <v>0</v>
      </c>
      <c r="W1992">
        <v>0</v>
      </c>
      <c r="X1992">
        <v>1.7396</v>
      </c>
      <c r="Y1992">
        <v>1.7396</v>
      </c>
      <c r="Z1992">
        <v>0</v>
      </c>
      <c r="AA1992">
        <v>1.5649900000000001</v>
      </c>
      <c r="AB1992">
        <v>3.3868800000000001</v>
      </c>
      <c r="AC1992" s="2">
        <v>1068660000</v>
      </c>
      <c r="AD1992" s="1">
        <v>0</v>
      </c>
      <c r="AE1992" s="1">
        <v>0</v>
      </c>
      <c r="AF1992" s="1">
        <v>0</v>
      </c>
      <c r="AG1992" s="1">
        <v>0</v>
      </c>
      <c r="AH1992" s="2">
        <v>4500770</v>
      </c>
      <c r="AI1992" s="1">
        <v>146708</v>
      </c>
      <c r="AJ1992" s="1">
        <v>0</v>
      </c>
      <c r="AK1992" s="8">
        <f t="shared" ref="AK1992:AK2055" si="127">IF(AK1991=52, 1, AK1991+1)</f>
        <v>15</v>
      </c>
      <c r="AL1992" s="8">
        <f t="shared" si="126"/>
        <v>39</v>
      </c>
      <c r="AM1992">
        <f t="shared" si="124"/>
        <v>0</v>
      </c>
      <c r="AN1992">
        <f t="shared" si="125"/>
        <v>0</v>
      </c>
    </row>
    <row r="1993" spans="1:40" x14ac:dyDescent="0.35">
      <c r="A1993">
        <v>85.138999999999996</v>
      </c>
      <c r="B1993">
        <v>85.138999999999996</v>
      </c>
      <c r="C1993">
        <v>5.0303300000000002</v>
      </c>
      <c r="D1993">
        <v>0</v>
      </c>
      <c r="E1993">
        <v>0.04</v>
      </c>
      <c r="F1993">
        <v>2.99471</v>
      </c>
      <c r="G1993">
        <v>2.99471</v>
      </c>
      <c r="H1993">
        <v>0</v>
      </c>
      <c r="I1993">
        <v>0.56121200000000004</v>
      </c>
      <c r="J1993">
        <v>5.3222399999999999</v>
      </c>
      <c r="K1993" s="2">
        <v>212552000</v>
      </c>
      <c r="L1993" s="1">
        <v>0</v>
      </c>
      <c r="M1993" s="1">
        <v>0</v>
      </c>
      <c r="N1993" s="1">
        <v>0</v>
      </c>
      <c r="O1993" s="1">
        <v>0</v>
      </c>
      <c r="P1993" s="2">
        <v>4477020</v>
      </c>
      <c r="Q1993" s="1">
        <v>307862</v>
      </c>
      <c r="R1993" s="1">
        <v>0</v>
      </c>
      <c r="S1993">
        <v>99.302199999999999</v>
      </c>
      <c r="T1993">
        <v>98.274000000000001</v>
      </c>
      <c r="U1993">
        <v>5.0109599999999999</v>
      </c>
      <c r="V1993">
        <v>0</v>
      </c>
      <c r="W1993">
        <v>0</v>
      </c>
      <c r="X1993">
        <v>1.73959</v>
      </c>
      <c r="Y1993">
        <v>1.73959</v>
      </c>
      <c r="Z1993">
        <v>0</v>
      </c>
      <c r="AA1993">
        <v>1.34402</v>
      </c>
      <c r="AB1993">
        <v>3.3868800000000001</v>
      </c>
      <c r="AC1993" s="2">
        <v>1068810000</v>
      </c>
      <c r="AD1993" s="1">
        <v>0</v>
      </c>
      <c r="AE1993" s="1">
        <v>0</v>
      </c>
      <c r="AF1993" s="1">
        <v>0</v>
      </c>
      <c r="AG1993" s="1">
        <v>0</v>
      </c>
      <c r="AH1993" s="2">
        <v>4500750</v>
      </c>
      <c r="AI1993" s="1">
        <v>146707</v>
      </c>
      <c r="AJ1993" s="1">
        <v>0</v>
      </c>
      <c r="AK1993" s="8">
        <f t="shared" si="127"/>
        <v>16</v>
      </c>
      <c r="AL1993" s="8">
        <f t="shared" si="126"/>
        <v>39</v>
      </c>
      <c r="AM1993">
        <f t="shared" si="124"/>
        <v>0</v>
      </c>
      <c r="AN1993">
        <f t="shared" si="125"/>
        <v>0</v>
      </c>
    </row>
    <row r="1994" spans="1:40" x14ac:dyDescent="0.35">
      <c r="A1994">
        <v>85.138999999999996</v>
      </c>
      <c r="B1994">
        <v>85.138999999999996</v>
      </c>
      <c r="C1994">
        <v>3.7736499999999999</v>
      </c>
      <c r="D1994">
        <v>0</v>
      </c>
      <c r="E1994">
        <v>0.04</v>
      </c>
      <c r="F1994">
        <v>2.9946999999999999</v>
      </c>
      <c r="G1994">
        <v>2.9946999999999999</v>
      </c>
      <c r="H1994">
        <v>0</v>
      </c>
      <c r="I1994">
        <v>0.56120899999999996</v>
      </c>
      <c r="J1994">
        <v>5.3222399999999999</v>
      </c>
      <c r="K1994" s="2">
        <v>212860000</v>
      </c>
      <c r="L1994" s="1">
        <v>0</v>
      </c>
      <c r="M1994" s="1">
        <v>0</v>
      </c>
      <c r="N1994" s="1">
        <v>0</v>
      </c>
      <c r="O1994" s="1">
        <v>0</v>
      </c>
      <c r="P1994" s="2">
        <v>4477000</v>
      </c>
      <c r="Q1994" s="1">
        <v>307861</v>
      </c>
      <c r="R1994" s="1">
        <v>0</v>
      </c>
      <c r="S1994">
        <v>99.302199999999999</v>
      </c>
      <c r="T1994">
        <v>98.274000000000001</v>
      </c>
      <c r="U1994">
        <v>3.9066999999999998</v>
      </c>
      <c r="V1994">
        <v>0</v>
      </c>
      <c r="W1994">
        <v>0</v>
      </c>
      <c r="X1994">
        <v>1.73959</v>
      </c>
      <c r="Y1994">
        <v>1.73959</v>
      </c>
      <c r="Z1994">
        <v>0</v>
      </c>
      <c r="AA1994">
        <v>1.3440099999999999</v>
      </c>
      <c r="AB1994">
        <v>3.3868800000000001</v>
      </c>
      <c r="AC1994" s="2">
        <v>1068950000</v>
      </c>
      <c r="AD1994" s="1">
        <v>0</v>
      </c>
      <c r="AE1994" s="1">
        <v>0</v>
      </c>
      <c r="AF1994" s="1">
        <v>0</v>
      </c>
      <c r="AG1994" s="1">
        <v>0</v>
      </c>
      <c r="AH1994" s="2">
        <v>4500720</v>
      </c>
      <c r="AI1994" s="1">
        <v>146706</v>
      </c>
      <c r="AJ1994" s="1">
        <v>0</v>
      </c>
      <c r="AK1994" s="8">
        <f t="shared" si="127"/>
        <v>17</v>
      </c>
      <c r="AL1994" s="8">
        <f t="shared" si="126"/>
        <v>39</v>
      </c>
      <c r="AM1994">
        <f t="shared" si="124"/>
        <v>0</v>
      </c>
      <c r="AN1994">
        <f t="shared" si="125"/>
        <v>0</v>
      </c>
    </row>
    <row r="1995" spans="1:40" x14ac:dyDescent="0.35">
      <c r="A1995">
        <v>85.138999999999996</v>
      </c>
      <c r="B1995">
        <v>85.138999999999996</v>
      </c>
      <c r="C1995">
        <v>4.4904900000000003</v>
      </c>
      <c r="D1995">
        <v>0</v>
      </c>
      <c r="E1995">
        <v>0.04</v>
      </c>
      <c r="F1995">
        <v>2.9946799999999998</v>
      </c>
      <c r="G1995">
        <v>2.9946799999999998</v>
      </c>
      <c r="H1995">
        <v>0</v>
      </c>
      <c r="I1995">
        <v>0.56120599999999998</v>
      </c>
      <c r="J1995">
        <v>5.3222399999999999</v>
      </c>
      <c r="K1995" s="2">
        <v>213168000</v>
      </c>
      <c r="L1995" s="1">
        <v>0</v>
      </c>
      <c r="M1995" s="1">
        <v>0</v>
      </c>
      <c r="N1995" s="1">
        <v>0</v>
      </c>
      <c r="O1995" s="1">
        <v>0</v>
      </c>
      <c r="P1995" s="2">
        <v>4476980</v>
      </c>
      <c r="Q1995" s="1">
        <v>307859</v>
      </c>
      <c r="R1995" s="1">
        <v>0</v>
      </c>
      <c r="S1995">
        <v>99.302199999999999</v>
      </c>
      <c r="T1995">
        <v>98.274000000000001</v>
      </c>
      <c r="U1995">
        <v>4.11165</v>
      </c>
      <c r="V1995">
        <v>0</v>
      </c>
      <c r="W1995">
        <v>0</v>
      </c>
      <c r="X1995">
        <v>1.7395799999999999</v>
      </c>
      <c r="Y1995">
        <v>1.7395799999999999</v>
      </c>
      <c r="Z1995">
        <v>0</v>
      </c>
      <c r="AA1995">
        <v>1.3440000000000001</v>
      </c>
      <c r="AB1995">
        <v>3.3868800000000001</v>
      </c>
      <c r="AC1995" s="2">
        <v>1069100000</v>
      </c>
      <c r="AD1995" s="1">
        <v>0</v>
      </c>
      <c r="AE1995" s="1">
        <v>0</v>
      </c>
      <c r="AF1995" s="1">
        <v>0</v>
      </c>
      <c r="AG1995" s="1">
        <v>0</v>
      </c>
      <c r="AH1995" s="2">
        <v>4500700</v>
      </c>
      <c r="AI1995" s="1">
        <v>146705</v>
      </c>
      <c r="AJ1995" s="1">
        <v>0</v>
      </c>
      <c r="AK1995" s="8">
        <f t="shared" si="127"/>
        <v>18</v>
      </c>
      <c r="AL1995" s="8">
        <f t="shared" si="126"/>
        <v>39</v>
      </c>
      <c r="AM1995">
        <f t="shared" si="124"/>
        <v>0</v>
      </c>
      <c r="AN1995">
        <f t="shared" si="125"/>
        <v>0</v>
      </c>
    </row>
    <row r="1996" spans="1:40" x14ac:dyDescent="0.35">
      <c r="A1996">
        <v>85.138999999999996</v>
      </c>
      <c r="B1996">
        <v>85.138999999999996</v>
      </c>
      <c r="C1996">
        <v>3.8137400000000001</v>
      </c>
      <c r="D1996">
        <v>0</v>
      </c>
      <c r="E1996">
        <v>0.04</v>
      </c>
      <c r="F1996">
        <v>2.9946700000000002</v>
      </c>
      <c r="G1996">
        <v>2.9946700000000002</v>
      </c>
      <c r="H1996">
        <v>0</v>
      </c>
      <c r="I1996">
        <v>0.56120400000000004</v>
      </c>
      <c r="J1996">
        <v>5.3222399999999999</v>
      </c>
      <c r="K1996" s="2">
        <v>213476000</v>
      </c>
      <c r="L1996" s="1">
        <v>0</v>
      </c>
      <c r="M1996" s="1">
        <v>0</v>
      </c>
      <c r="N1996" s="1">
        <v>0</v>
      </c>
      <c r="O1996" s="1">
        <v>0</v>
      </c>
      <c r="P1996" s="2">
        <v>4476950</v>
      </c>
      <c r="Q1996" s="1">
        <v>307858</v>
      </c>
      <c r="R1996" s="1">
        <v>0</v>
      </c>
      <c r="S1996">
        <v>99.302199999999999</v>
      </c>
      <c r="T1996">
        <v>98.274000000000001</v>
      </c>
      <c r="U1996">
        <v>5.3421200000000004</v>
      </c>
      <c r="V1996">
        <v>0</v>
      </c>
      <c r="W1996">
        <v>0</v>
      </c>
      <c r="X1996">
        <v>1.7395700000000001</v>
      </c>
      <c r="Y1996">
        <v>1.7395700000000001</v>
      </c>
      <c r="Z1996">
        <v>0</v>
      </c>
      <c r="AA1996">
        <v>1.3440000000000001</v>
      </c>
      <c r="AB1996">
        <v>3.3868800000000001</v>
      </c>
      <c r="AC1996" s="2">
        <v>1069250000</v>
      </c>
      <c r="AD1996" s="1">
        <v>0</v>
      </c>
      <c r="AE1996" s="1">
        <v>0</v>
      </c>
      <c r="AF1996" s="1">
        <v>0</v>
      </c>
      <c r="AG1996" s="1">
        <v>0</v>
      </c>
      <c r="AH1996" s="2">
        <v>4500680</v>
      </c>
      <c r="AI1996" s="1">
        <v>146705</v>
      </c>
      <c r="AJ1996" s="1">
        <v>0</v>
      </c>
      <c r="AK1996" s="8">
        <f t="shared" si="127"/>
        <v>19</v>
      </c>
      <c r="AL1996" s="8">
        <f t="shared" si="126"/>
        <v>39</v>
      </c>
      <c r="AM1996">
        <f t="shared" si="124"/>
        <v>0</v>
      </c>
      <c r="AN1996">
        <f t="shared" si="125"/>
        <v>0</v>
      </c>
    </row>
    <row r="1997" spans="1:40" x14ac:dyDescent="0.35">
      <c r="A1997">
        <v>85.138999999999996</v>
      </c>
      <c r="B1997">
        <v>85.138999999999996</v>
      </c>
      <c r="C1997">
        <v>4.3895099999999996</v>
      </c>
      <c r="D1997">
        <v>0</v>
      </c>
      <c r="E1997">
        <v>0.04</v>
      </c>
      <c r="F1997">
        <v>3.1040700000000001</v>
      </c>
      <c r="G1997">
        <v>3.1040700000000001</v>
      </c>
      <c r="H1997">
        <v>0</v>
      </c>
      <c r="I1997">
        <v>0.56120099999999995</v>
      </c>
      <c r="J1997">
        <v>5.3222399999999999</v>
      </c>
      <c r="K1997" s="2">
        <v>213795000</v>
      </c>
      <c r="L1997" s="1">
        <v>0</v>
      </c>
      <c r="M1997" s="1">
        <v>0</v>
      </c>
      <c r="N1997" s="1">
        <v>0</v>
      </c>
      <c r="O1997" s="1">
        <v>0</v>
      </c>
      <c r="P1997" s="2">
        <v>4640510</v>
      </c>
      <c r="Q1997" s="1">
        <v>319105</v>
      </c>
      <c r="R1997" s="1">
        <v>0</v>
      </c>
      <c r="S1997">
        <v>99.302199999999999</v>
      </c>
      <c r="T1997">
        <v>98.274000000000001</v>
      </c>
      <c r="U1997">
        <v>5.2490500000000004</v>
      </c>
      <c r="V1997">
        <v>0</v>
      </c>
      <c r="W1997">
        <v>0</v>
      </c>
      <c r="X1997">
        <v>1.80952</v>
      </c>
      <c r="Y1997">
        <v>1.80952</v>
      </c>
      <c r="Z1997">
        <v>0</v>
      </c>
      <c r="AA1997">
        <v>1.34399</v>
      </c>
      <c r="AB1997">
        <v>3.3868800000000001</v>
      </c>
      <c r="AC1997" s="2">
        <v>1069400000</v>
      </c>
      <c r="AD1997" s="1">
        <v>0</v>
      </c>
      <c r="AE1997" s="1">
        <v>0</v>
      </c>
      <c r="AF1997" s="1">
        <v>0</v>
      </c>
      <c r="AG1997" s="1">
        <v>0</v>
      </c>
      <c r="AH1997" s="2">
        <v>4681670</v>
      </c>
      <c r="AI1997" s="1">
        <v>152604</v>
      </c>
      <c r="AJ1997" s="1">
        <v>0</v>
      </c>
      <c r="AK1997" s="8">
        <f t="shared" si="127"/>
        <v>20</v>
      </c>
      <c r="AL1997" s="8">
        <f t="shared" si="126"/>
        <v>39</v>
      </c>
      <c r="AM1997">
        <f t="shared" si="124"/>
        <v>0</v>
      </c>
      <c r="AN1997">
        <f t="shared" si="125"/>
        <v>0</v>
      </c>
    </row>
    <row r="1998" spans="1:40" x14ac:dyDescent="0.35">
      <c r="A1998">
        <v>85.138999999999996</v>
      </c>
      <c r="B1998">
        <v>85.138999999999996</v>
      </c>
      <c r="C1998">
        <v>4.4378799999999998</v>
      </c>
      <c r="D1998">
        <v>0</v>
      </c>
      <c r="E1998">
        <v>0.04</v>
      </c>
      <c r="F1998">
        <v>3.10406</v>
      </c>
      <c r="G1998">
        <v>3.10406</v>
      </c>
      <c r="H1998">
        <v>0</v>
      </c>
      <c r="I1998">
        <v>0.58170299999999997</v>
      </c>
      <c r="J1998">
        <v>5.3222399999999999</v>
      </c>
      <c r="K1998" s="2">
        <v>214114000</v>
      </c>
      <c r="L1998" s="1">
        <v>0</v>
      </c>
      <c r="M1998" s="1">
        <v>0</v>
      </c>
      <c r="N1998" s="1">
        <v>0</v>
      </c>
      <c r="O1998" s="1">
        <v>0</v>
      </c>
      <c r="P1998" s="2">
        <v>4640490</v>
      </c>
      <c r="Q1998" s="1">
        <v>319103</v>
      </c>
      <c r="R1998" s="1">
        <v>0</v>
      </c>
      <c r="S1998">
        <v>99.302199999999999</v>
      </c>
      <c r="T1998">
        <v>98.274000000000001</v>
      </c>
      <c r="U1998">
        <v>5.7391100000000002</v>
      </c>
      <c r="V1998">
        <v>0</v>
      </c>
      <c r="W1998">
        <v>0</v>
      </c>
      <c r="X1998">
        <v>1.80952</v>
      </c>
      <c r="Y1998">
        <v>1.80952</v>
      </c>
      <c r="Z1998">
        <v>0</v>
      </c>
      <c r="AA1998">
        <v>1.3980399999999999</v>
      </c>
      <c r="AB1998">
        <v>3.3868800000000001</v>
      </c>
      <c r="AC1998" s="2">
        <v>1069550000</v>
      </c>
      <c r="AD1998" s="1">
        <v>0</v>
      </c>
      <c r="AE1998" s="1">
        <v>0</v>
      </c>
      <c r="AF1998" s="1">
        <v>0</v>
      </c>
      <c r="AG1998" s="1">
        <v>0</v>
      </c>
      <c r="AH1998" s="2">
        <v>4681650</v>
      </c>
      <c r="AI1998" s="1">
        <v>152604</v>
      </c>
      <c r="AJ1998" s="1">
        <v>0</v>
      </c>
      <c r="AK1998" s="8">
        <f t="shared" si="127"/>
        <v>21</v>
      </c>
      <c r="AL1998" s="8">
        <f t="shared" si="126"/>
        <v>39</v>
      </c>
      <c r="AM1998">
        <f t="shared" si="124"/>
        <v>0</v>
      </c>
      <c r="AN1998">
        <f t="shared" si="125"/>
        <v>0</v>
      </c>
    </row>
    <row r="1999" spans="1:40" x14ac:dyDescent="0.35">
      <c r="A1999">
        <v>85.138999999999996</v>
      </c>
      <c r="B1999">
        <v>85.138999999999996</v>
      </c>
      <c r="C1999">
        <v>5.2922799999999999</v>
      </c>
      <c r="D1999">
        <v>0</v>
      </c>
      <c r="E1999">
        <v>0.04</v>
      </c>
      <c r="F1999">
        <v>3.1040399999999999</v>
      </c>
      <c r="G1999">
        <v>3.1040399999999999</v>
      </c>
      <c r="H1999">
        <v>0</v>
      </c>
      <c r="I1999">
        <v>0.58169999999999999</v>
      </c>
      <c r="J1999">
        <v>5.3222399999999999</v>
      </c>
      <c r="K1999" s="2">
        <v>214433000</v>
      </c>
      <c r="L1999" s="1">
        <v>0</v>
      </c>
      <c r="M1999" s="1">
        <v>0</v>
      </c>
      <c r="N1999" s="1">
        <v>0</v>
      </c>
      <c r="O1999" s="1">
        <v>0</v>
      </c>
      <c r="P1999" s="2">
        <v>4640470</v>
      </c>
      <c r="Q1999" s="1">
        <v>319102</v>
      </c>
      <c r="R1999" s="1">
        <v>0</v>
      </c>
      <c r="S1999">
        <v>99.302199999999999</v>
      </c>
      <c r="T1999">
        <v>98.274000000000001</v>
      </c>
      <c r="U1999">
        <v>6.5838400000000004</v>
      </c>
      <c r="V1999">
        <v>0</v>
      </c>
      <c r="W1999">
        <v>0</v>
      </c>
      <c r="X1999">
        <v>1.80951</v>
      </c>
      <c r="Y1999">
        <v>1.80951</v>
      </c>
      <c r="Z1999">
        <v>0</v>
      </c>
      <c r="AA1999">
        <v>1.3980300000000001</v>
      </c>
      <c r="AB1999">
        <v>3.3868800000000001</v>
      </c>
      <c r="AC1999" s="2">
        <v>1069700000</v>
      </c>
      <c r="AD1999" s="1">
        <v>0</v>
      </c>
      <c r="AE1999" s="1">
        <v>0</v>
      </c>
      <c r="AF1999" s="1">
        <v>0</v>
      </c>
      <c r="AG1999" s="1">
        <v>0</v>
      </c>
      <c r="AH1999" s="2">
        <v>4681630</v>
      </c>
      <c r="AI1999" s="1">
        <v>152603</v>
      </c>
      <c r="AJ1999" s="1">
        <v>0</v>
      </c>
      <c r="AK1999" s="8">
        <f t="shared" si="127"/>
        <v>22</v>
      </c>
      <c r="AL1999" s="8">
        <f t="shared" si="126"/>
        <v>39</v>
      </c>
      <c r="AM1999">
        <f t="shared" si="124"/>
        <v>0</v>
      </c>
      <c r="AN1999">
        <f t="shared" si="125"/>
        <v>0</v>
      </c>
    </row>
    <row r="2000" spans="1:40" x14ac:dyDescent="0.35">
      <c r="A2000">
        <v>85.138999999999996</v>
      </c>
      <c r="B2000">
        <v>85.138999999999996</v>
      </c>
      <c r="C2000">
        <v>5.3784200000000002</v>
      </c>
      <c r="D2000">
        <v>0</v>
      </c>
      <c r="E2000">
        <v>0.04</v>
      </c>
      <c r="F2000">
        <v>3.1040299999999998</v>
      </c>
      <c r="G2000">
        <v>3.1040299999999998</v>
      </c>
      <c r="H2000">
        <v>0</v>
      </c>
      <c r="I2000">
        <v>0.58169800000000005</v>
      </c>
      <c r="J2000">
        <v>5.3222399999999999</v>
      </c>
      <c r="K2000" s="2">
        <v>214752000</v>
      </c>
      <c r="L2000" s="1">
        <v>0</v>
      </c>
      <c r="M2000" s="1">
        <v>0</v>
      </c>
      <c r="N2000" s="1">
        <v>0</v>
      </c>
      <c r="O2000" s="1">
        <v>0</v>
      </c>
      <c r="P2000" s="2">
        <v>4640440</v>
      </c>
      <c r="Q2000" s="1">
        <v>319100</v>
      </c>
      <c r="R2000" s="1">
        <v>0</v>
      </c>
      <c r="S2000">
        <v>99.302199999999999</v>
      </c>
      <c r="T2000">
        <v>98.274000000000001</v>
      </c>
      <c r="U2000">
        <v>8.0749600000000008</v>
      </c>
      <c r="V2000">
        <v>0</v>
      </c>
      <c r="W2000">
        <v>0</v>
      </c>
      <c r="X2000">
        <v>1.8095000000000001</v>
      </c>
      <c r="Y2000">
        <v>1.8095000000000001</v>
      </c>
      <c r="Z2000">
        <v>0</v>
      </c>
      <c r="AA2000">
        <v>1.3980300000000001</v>
      </c>
      <c r="AB2000">
        <v>3.3868800000000001</v>
      </c>
      <c r="AC2000" s="2">
        <v>1069860000</v>
      </c>
      <c r="AD2000" s="1">
        <v>0</v>
      </c>
      <c r="AE2000" s="1">
        <v>0</v>
      </c>
      <c r="AF2000" s="1">
        <v>0</v>
      </c>
      <c r="AG2000" s="1">
        <v>0</v>
      </c>
      <c r="AH2000" s="2">
        <v>4681600</v>
      </c>
      <c r="AI2000" s="1">
        <v>152602</v>
      </c>
      <c r="AJ2000" s="1">
        <v>0</v>
      </c>
      <c r="AK2000" s="8">
        <f t="shared" si="127"/>
        <v>23</v>
      </c>
      <c r="AL2000" s="8">
        <f t="shared" si="126"/>
        <v>39</v>
      </c>
      <c r="AM2000">
        <f t="shared" si="124"/>
        <v>0</v>
      </c>
      <c r="AN2000">
        <f t="shared" si="125"/>
        <v>0</v>
      </c>
    </row>
    <row r="2001" spans="1:40" x14ac:dyDescent="0.35">
      <c r="A2001">
        <v>85.107399999999998</v>
      </c>
      <c r="B2001">
        <v>85.138999999999996</v>
      </c>
      <c r="C2001">
        <v>3.4216199999999999</v>
      </c>
      <c r="D2001">
        <v>0</v>
      </c>
      <c r="E2001">
        <v>0.04</v>
      </c>
      <c r="F2001">
        <v>3.0612300000000001</v>
      </c>
      <c r="G2001">
        <v>3.0612300000000001</v>
      </c>
      <c r="H2001">
        <v>0</v>
      </c>
      <c r="I2001">
        <v>0.58169499999999996</v>
      </c>
      <c r="J2001">
        <v>5.3222399999999999</v>
      </c>
      <c r="K2001" s="2">
        <v>215067000</v>
      </c>
      <c r="L2001" s="1">
        <v>0</v>
      </c>
      <c r="M2001" s="1">
        <v>0</v>
      </c>
      <c r="N2001" s="1">
        <v>0</v>
      </c>
      <c r="O2001" s="1">
        <v>0</v>
      </c>
      <c r="P2001" s="2">
        <v>4576460</v>
      </c>
      <c r="Q2001" s="1">
        <v>314701</v>
      </c>
      <c r="R2001" s="1">
        <v>0</v>
      </c>
      <c r="S2001">
        <v>99.302199999999999</v>
      </c>
      <c r="T2001">
        <v>98.274000000000001</v>
      </c>
      <c r="U2001">
        <v>5.8077699999999997</v>
      </c>
      <c r="V2001">
        <v>0</v>
      </c>
      <c r="W2001">
        <v>0</v>
      </c>
      <c r="X2001">
        <v>1.7823199999999999</v>
      </c>
      <c r="Y2001">
        <v>1.7823199999999999</v>
      </c>
      <c r="Z2001">
        <v>0</v>
      </c>
      <c r="AA2001">
        <v>1.39802</v>
      </c>
      <c r="AB2001">
        <v>3.3868800000000001</v>
      </c>
      <c r="AC2001" s="2">
        <v>1070010000</v>
      </c>
      <c r="AD2001" s="1">
        <v>0</v>
      </c>
      <c r="AE2001" s="1">
        <v>0</v>
      </c>
      <c r="AF2001" s="1">
        <v>0</v>
      </c>
      <c r="AG2001" s="1">
        <v>0</v>
      </c>
      <c r="AH2001" s="2">
        <v>4611280</v>
      </c>
      <c r="AI2001" s="1">
        <v>150310</v>
      </c>
      <c r="AJ2001" s="1">
        <v>0</v>
      </c>
      <c r="AK2001" s="8">
        <f t="shared" si="127"/>
        <v>24</v>
      </c>
      <c r="AL2001" s="8">
        <f t="shared" si="126"/>
        <v>39</v>
      </c>
      <c r="AM2001">
        <f t="shared" si="124"/>
        <v>0</v>
      </c>
      <c r="AN2001">
        <f t="shared" si="125"/>
        <v>0</v>
      </c>
    </row>
    <row r="2002" spans="1:40" x14ac:dyDescent="0.35">
      <c r="A2002">
        <v>84.528099999999995</v>
      </c>
      <c r="B2002">
        <v>85.138999999999996</v>
      </c>
      <c r="C2002">
        <v>2.8423799999999999</v>
      </c>
      <c r="D2002">
        <v>0</v>
      </c>
      <c r="E2002">
        <v>0.04</v>
      </c>
      <c r="F2002">
        <v>3.0612200000000001</v>
      </c>
      <c r="G2002">
        <v>3.0612200000000001</v>
      </c>
      <c r="H2002">
        <v>0</v>
      </c>
      <c r="I2002">
        <v>0.57367500000000005</v>
      </c>
      <c r="J2002">
        <v>5.3222399999999999</v>
      </c>
      <c r="K2002" s="2">
        <v>215382000</v>
      </c>
      <c r="L2002" s="1">
        <v>0</v>
      </c>
      <c r="M2002" s="1">
        <v>0</v>
      </c>
      <c r="N2002" s="1">
        <v>0</v>
      </c>
      <c r="O2002" s="1">
        <v>0</v>
      </c>
      <c r="P2002" s="2">
        <v>4576440</v>
      </c>
      <c r="Q2002" s="1">
        <v>314699</v>
      </c>
      <c r="R2002" s="1">
        <v>0</v>
      </c>
      <c r="S2002">
        <v>99.302199999999999</v>
      </c>
      <c r="T2002">
        <v>98.274000000000001</v>
      </c>
      <c r="U2002">
        <v>5.2975099999999999</v>
      </c>
      <c r="V2002">
        <v>0</v>
      </c>
      <c r="W2002">
        <v>0</v>
      </c>
      <c r="X2002">
        <v>1.7823100000000001</v>
      </c>
      <c r="Y2002">
        <v>1.7823100000000001</v>
      </c>
      <c r="Z2002">
        <v>0</v>
      </c>
      <c r="AA2002">
        <v>1.3770199999999999</v>
      </c>
      <c r="AB2002">
        <v>3.3868800000000001</v>
      </c>
      <c r="AC2002" s="2">
        <v>1070160000</v>
      </c>
      <c r="AD2002" s="1">
        <v>0</v>
      </c>
      <c r="AE2002" s="1">
        <v>0</v>
      </c>
      <c r="AF2002" s="1">
        <v>0</v>
      </c>
      <c r="AG2002" s="1">
        <v>0</v>
      </c>
      <c r="AH2002" s="2">
        <v>4611260</v>
      </c>
      <c r="AI2002" s="1">
        <v>150309</v>
      </c>
      <c r="AJ2002" s="1">
        <v>0</v>
      </c>
      <c r="AK2002" s="8">
        <f t="shared" si="127"/>
        <v>25</v>
      </c>
      <c r="AL2002" s="8">
        <f t="shared" si="126"/>
        <v>39</v>
      </c>
      <c r="AM2002">
        <f t="shared" si="124"/>
        <v>0</v>
      </c>
      <c r="AN2002">
        <f t="shared" si="125"/>
        <v>0</v>
      </c>
    </row>
    <row r="2003" spans="1:40" x14ac:dyDescent="0.35">
      <c r="A2003">
        <v>83.694500000000005</v>
      </c>
      <c r="B2003">
        <v>85.138999999999996</v>
      </c>
      <c r="C2003">
        <v>2.5782699999999998</v>
      </c>
      <c r="D2003">
        <v>0</v>
      </c>
      <c r="E2003">
        <v>0.04</v>
      </c>
      <c r="F2003">
        <v>3.0611999999999999</v>
      </c>
      <c r="G2003">
        <v>3.0611999999999999</v>
      </c>
      <c r="H2003">
        <v>0</v>
      </c>
      <c r="I2003">
        <v>0.57367199999999996</v>
      </c>
      <c r="J2003">
        <v>5.3222399999999999</v>
      </c>
      <c r="K2003" s="2">
        <v>215696000</v>
      </c>
      <c r="L2003" s="1">
        <v>0</v>
      </c>
      <c r="M2003" s="1">
        <v>0</v>
      </c>
      <c r="N2003" s="1">
        <v>0</v>
      </c>
      <c r="O2003" s="1">
        <v>0</v>
      </c>
      <c r="P2003" s="2">
        <v>4576420</v>
      </c>
      <c r="Q2003" s="1">
        <v>314698</v>
      </c>
      <c r="R2003" s="1">
        <v>0</v>
      </c>
      <c r="S2003">
        <v>99.302199999999999</v>
      </c>
      <c r="T2003">
        <v>98.274000000000001</v>
      </c>
      <c r="U2003">
        <v>4.2655500000000002</v>
      </c>
      <c r="V2003">
        <v>0</v>
      </c>
      <c r="W2003">
        <v>0</v>
      </c>
      <c r="X2003">
        <v>1.7823</v>
      </c>
      <c r="Y2003">
        <v>1.7823</v>
      </c>
      <c r="Z2003">
        <v>0</v>
      </c>
      <c r="AA2003">
        <v>1.3770100000000001</v>
      </c>
      <c r="AB2003">
        <v>3.3868800000000001</v>
      </c>
      <c r="AC2003" s="2">
        <v>1070310000</v>
      </c>
      <c r="AD2003" s="1">
        <v>0</v>
      </c>
      <c r="AE2003" s="1">
        <v>0</v>
      </c>
      <c r="AF2003" s="1">
        <v>0</v>
      </c>
      <c r="AG2003" s="1">
        <v>0</v>
      </c>
      <c r="AH2003" s="2">
        <v>4611230</v>
      </c>
      <c r="AI2003" s="1">
        <v>150308</v>
      </c>
      <c r="AJ2003" s="1">
        <v>0</v>
      </c>
      <c r="AK2003" s="8">
        <f t="shared" si="127"/>
        <v>26</v>
      </c>
      <c r="AL2003" s="8">
        <f t="shared" si="126"/>
        <v>39</v>
      </c>
      <c r="AM2003">
        <f t="shared" si="124"/>
        <v>0</v>
      </c>
      <c r="AN2003">
        <f t="shared" si="125"/>
        <v>0</v>
      </c>
    </row>
    <row r="2004" spans="1:40" x14ac:dyDescent="0.35">
      <c r="A2004">
        <v>83.461699999999993</v>
      </c>
      <c r="B2004">
        <v>85.138999999999996</v>
      </c>
      <c r="C2004">
        <v>3.1673900000000001</v>
      </c>
      <c r="D2004">
        <v>0</v>
      </c>
      <c r="E2004">
        <v>0.04</v>
      </c>
      <c r="F2004">
        <v>3.0611899999999999</v>
      </c>
      <c r="G2004">
        <v>3.0611899999999999</v>
      </c>
      <c r="H2004">
        <v>0</v>
      </c>
      <c r="I2004">
        <v>0.57366899999999998</v>
      </c>
      <c r="J2004">
        <v>5.3222399999999999</v>
      </c>
      <c r="K2004" s="2">
        <v>216011000</v>
      </c>
      <c r="L2004" s="1">
        <v>0</v>
      </c>
      <c r="M2004" s="1">
        <v>0</v>
      </c>
      <c r="N2004" s="1">
        <v>0</v>
      </c>
      <c r="O2004" s="1">
        <v>0</v>
      </c>
      <c r="P2004" s="2">
        <v>4576400</v>
      </c>
      <c r="Q2004" s="1">
        <v>314696</v>
      </c>
      <c r="R2004" s="1">
        <v>0</v>
      </c>
      <c r="S2004">
        <v>99.302199999999999</v>
      </c>
      <c r="T2004">
        <v>98.274000000000001</v>
      </c>
      <c r="U2004">
        <v>4.7471899999999998</v>
      </c>
      <c r="V2004">
        <v>0</v>
      </c>
      <c r="W2004">
        <v>0</v>
      </c>
      <c r="X2004">
        <v>1.7822899999999999</v>
      </c>
      <c r="Y2004">
        <v>1.7822899999999999</v>
      </c>
      <c r="Z2004">
        <v>0</v>
      </c>
      <c r="AA2004">
        <v>1.377</v>
      </c>
      <c r="AB2004">
        <v>3.3868800000000001</v>
      </c>
      <c r="AC2004" s="2">
        <v>1070460000</v>
      </c>
      <c r="AD2004" s="1">
        <v>0</v>
      </c>
      <c r="AE2004" s="1">
        <v>0</v>
      </c>
      <c r="AF2004" s="1">
        <v>0</v>
      </c>
      <c r="AG2004" s="1">
        <v>0</v>
      </c>
      <c r="AH2004" s="2">
        <v>4611210</v>
      </c>
      <c r="AI2004" s="1">
        <v>150308</v>
      </c>
      <c r="AJ2004" s="1">
        <v>0</v>
      </c>
      <c r="AK2004" s="8">
        <f t="shared" si="127"/>
        <v>27</v>
      </c>
      <c r="AL2004" s="8">
        <f t="shared" si="126"/>
        <v>39</v>
      </c>
      <c r="AM2004">
        <f t="shared" si="124"/>
        <v>0</v>
      </c>
      <c r="AN2004">
        <f t="shared" si="125"/>
        <v>0</v>
      </c>
    </row>
    <row r="2005" spans="1:40" x14ac:dyDescent="0.35">
      <c r="A2005">
        <v>82.139600000000002</v>
      </c>
      <c r="B2005">
        <v>85.138999999999996</v>
      </c>
      <c r="C2005">
        <v>2.0597799999999999</v>
      </c>
      <c r="D2005">
        <v>0</v>
      </c>
      <c r="E2005">
        <v>0.04</v>
      </c>
      <c r="F2005">
        <v>3.2063799999999998</v>
      </c>
      <c r="G2005">
        <v>3.2063799999999998</v>
      </c>
      <c r="H2005">
        <v>0</v>
      </c>
      <c r="I2005">
        <v>0.57366600000000001</v>
      </c>
      <c r="J2005">
        <v>5.3222399999999999</v>
      </c>
      <c r="K2005" s="2">
        <v>216341000</v>
      </c>
      <c r="L2005" s="1">
        <v>0</v>
      </c>
      <c r="M2005" s="1">
        <v>0</v>
      </c>
      <c r="N2005" s="1">
        <v>0</v>
      </c>
      <c r="O2005" s="1">
        <v>0</v>
      </c>
      <c r="P2005" s="2">
        <v>4793460</v>
      </c>
      <c r="Q2005" s="1">
        <v>329623</v>
      </c>
      <c r="R2005" s="1">
        <v>0</v>
      </c>
      <c r="S2005">
        <v>99.302199999999999</v>
      </c>
      <c r="T2005">
        <v>98.274000000000001</v>
      </c>
      <c r="U2005">
        <v>3.69339</v>
      </c>
      <c r="V2005">
        <v>0</v>
      </c>
      <c r="W2005">
        <v>0</v>
      </c>
      <c r="X2005">
        <v>1.8786400000000001</v>
      </c>
      <c r="Y2005">
        <v>1.8786400000000001</v>
      </c>
      <c r="Z2005">
        <v>0</v>
      </c>
      <c r="AA2005">
        <v>1.377</v>
      </c>
      <c r="AB2005">
        <v>3.3868800000000001</v>
      </c>
      <c r="AC2005" s="2">
        <v>1070620000</v>
      </c>
      <c r="AD2005" s="1">
        <v>0</v>
      </c>
      <c r="AE2005" s="1">
        <v>0</v>
      </c>
      <c r="AF2005" s="1">
        <v>0</v>
      </c>
      <c r="AG2005" s="1">
        <v>0</v>
      </c>
      <c r="AH2005" s="2">
        <v>4860490</v>
      </c>
      <c r="AI2005" s="1">
        <v>158433</v>
      </c>
      <c r="AJ2005" s="1">
        <v>0</v>
      </c>
      <c r="AK2005" s="8">
        <f t="shared" si="127"/>
        <v>28</v>
      </c>
      <c r="AL2005" s="8">
        <f t="shared" si="126"/>
        <v>39</v>
      </c>
      <c r="AM2005">
        <f t="shared" si="124"/>
        <v>0</v>
      </c>
      <c r="AN2005">
        <f t="shared" si="125"/>
        <v>0</v>
      </c>
    </row>
    <row r="2006" spans="1:40" x14ac:dyDescent="0.35">
      <c r="A2006">
        <v>81.0261</v>
      </c>
      <c r="B2006">
        <v>85.138999999999996</v>
      </c>
      <c r="C2006">
        <v>1.99491</v>
      </c>
      <c r="D2006">
        <v>0.01</v>
      </c>
      <c r="E2006">
        <v>0.04</v>
      </c>
      <c r="F2006">
        <v>2.9039700000000002</v>
      </c>
      <c r="G2006">
        <v>3.2063700000000002</v>
      </c>
      <c r="H2006">
        <v>0</v>
      </c>
      <c r="I2006">
        <v>0.60087699999999999</v>
      </c>
      <c r="J2006">
        <v>5.3222399999999999</v>
      </c>
      <c r="K2006" s="2">
        <v>216262000</v>
      </c>
      <c r="L2006" s="1">
        <v>0</v>
      </c>
      <c r="M2006" s="1">
        <v>0</v>
      </c>
      <c r="N2006" s="1">
        <v>0</v>
      </c>
      <c r="O2006" s="1">
        <v>0</v>
      </c>
      <c r="P2006" s="2">
        <v>4341360</v>
      </c>
      <c r="Q2006" s="1">
        <v>-78917.5</v>
      </c>
      <c r="R2006" s="1">
        <v>408539</v>
      </c>
      <c r="S2006">
        <v>99.302199999999999</v>
      </c>
      <c r="T2006">
        <v>98.274000000000001</v>
      </c>
      <c r="U2006">
        <v>3.3406699999999998</v>
      </c>
      <c r="V2006">
        <v>0</v>
      </c>
      <c r="W2006">
        <v>0</v>
      </c>
      <c r="X2006">
        <v>2.1810299999999998</v>
      </c>
      <c r="Y2006">
        <v>1.87863</v>
      </c>
      <c r="Z2006">
        <v>0</v>
      </c>
      <c r="AA2006">
        <v>1.4514400000000001</v>
      </c>
      <c r="AB2006">
        <v>3.3868800000000001</v>
      </c>
      <c r="AC2006" s="2">
        <v>1071560000</v>
      </c>
      <c r="AD2006" s="1">
        <v>0</v>
      </c>
      <c r="AE2006" s="1">
        <v>0</v>
      </c>
      <c r="AF2006" s="1">
        <v>0</v>
      </c>
      <c r="AG2006" s="1">
        <v>0</v>
      </c>
      <c r="AH2006" s="2">
        <v>5642850</v>
      </c>
      <c r="AI2006" s="1">
        <v>940813</v>
      </c>
      <c r="AJ2006" s="1">
        <v>0</v>
      </c>
      <c r="AK2006" s="8">
        <f t="shared" si="127"/>
        <v>29</v>
      </c>
      <c r="AL2006" s="8">
        <f t="shared" si="126"/>
        <v>39</v>
      </c>
      <c r="AM2006">
        <f t="shared" si="124"/>
        <v>0</v>
      </c>
      <c r="AN2006">
        <f t="shared" si="125"/>
        <v>0</v>
      </c>
    </row>
    <row r="2007" spans="1:40" x14ac:dyDescent="0.35">
      <c r="A2007">
        <v>79.724800000000002</v>
      </c>
      <c r="B2007">
        <v>85.138999999999996</v>
      </c>
      <c r="C2007">
        <v>1.76468</v>
      </c>
      <c r="D2007">
        <v>0.01</v>
      </c>
      <c r="E2007">
        <v>0.04</v>
      </c>
      <c r="F2007">
        <v>2.90395</v>
      </c>
      <c r="G2007">
        <v>3.20635</v>
      </c>
      <c r="H2007">
        <v>0</v>
      </c>
      <c r="I2007">
        <v>0.54420400000000002</v>
      </c>
      <c r="J2007">
        <v>5.3222399999999999</v>
      </c>
      <c r="K2007" s="2">
        <v>216183000</v>
      </c>
      <c r="L2007" s="1">
        <v>0</v>
      </c>
      <c r="M2007" s="1">
        <v>0</v>
      </c>
      <c r="N2007" s="1">
        <v>0</v>
      </c>
      <c r="O2007" s="1">
        <v>0</v>
      </c>
      <c r="P2007" s="2">
        <v>4341340</v>
      </c>
      <c r="Q2007" s="1">
        <v>-78919.100000000006</v>
      </c>
      <c r="R2007" s="1">
        <v>408539</v>
      </c>
      <c r="S2007">
        <v>99.280100000000004</v>
      </c>
      <c r="T2007">
        <v>98.274000000000001</v>
      </c>
      <c r="U2007">
        <v>3.1583000000000001</v>
      </c>
      <c r="V2007">
        <v>0</v>
      </c>
      <c r="W2007">
        <v>0</v>
      </c>
      <c r="X2007">
        <v>2.1810200000000002</v>
      </c>
      <c r="Y2007">
        <v>1.87862</v>
      </c>
      <c r="Z2007">
        <v>0</v>
      </c>
      <c r="AA2007">
        <v>1.6850700000000001</v>
      </c>
      <c r="AB2007">
        <v>3.3868800000000001</v>
      </c>
      <c r="AC2007" s="2">
        <v>1072500000</v>
      </c>
      <c r="AD2007" s="1">
        <v>0</v>
      </c>
      <c r="AE2007" s="1">
        <v>0</v>
      </c>
      <c r="AF2007" s="1">
        <v>0</v>
      </c>
      <c r="AG2007" s="1">
        <v>0</v>
      </c>
      <c r="AH2007" s="2">
        <v>5642830</v>
      </c>
      <c r="AI2007" s="1">
        <v>940813</v>
      </c>
      <c r="AJ2007" s="1">
        <v>0</v>
      </c>
      <c r="AK2007" s="8">
        <f t="shared" si="127"/>
        <v>30</v>
      </c>
      <c r="AL2007" s="8">
        <f t="shared" si="126"/>
        <v>39</v>
      </c>
      <c r="AM2007">
        <f t="shared" si="124"/>
        <v>0</v>
      </c>
      <c r="AN2007">
        <f t="shared" si="125"/>
        <v>0</v>
      </c>
    </row>
    <row r="2008" spans="1:40" x14ac:dyDescent="0.35">
      <c r="A2008">
        <v>78.371899999999997</v>
      </c>
      <c r="B2008">
        <v>85.138999999999996</v>
      </c>
      <c r="C2008">
        <v>1.6679999999999999</v>
      </c>
      <c r="D2008">
        <v>0.01</v>
      </c>
      <c r="E2008">
        <v>0.04</v>
      </c>
      <c r="F2008">
        <v>2.90394</v>
      </c>
      <c r="G2008">
        <v>3.20634</v>
      </c>
      <c r="H2008">
        <v>0</v>
      </c>
      <c r="I2008">
        <v>0.54420100000000005</v>
      </c>
      <c r="J2008">
        <v>5.3222399999999999</v>
      </c>
      <c r="K2008" s="2">
        <v>216104000</v>
      </c>
      <c r="L2008" s="1">
        <v>0</v>
      </c>
      <c r="M2008" s="1">
        <v>0</v>
      </c>
      <c r="N2008" s="1">
        <v>0</v>
      </c>
      <c r="O2008" s="1">
        <v>0</v>
      </c>
      <c r="P2008" s="2">
        <v>4341310</v>
      </c>
      <c r="Q2008" s="1">
        <v>-78920.7</v>
      </c>
      <c r="R2008" s="1">
        <v>408539</v>
      </c>
      <c r="S2008">
        <v>99.203699999999998</v>
      </c>
      <c r="T2008">
        <v>98.274000000000001</v>
      </c>
      <c r="U2008">
        <v>3.01037</v>
      </c>
      <c r="V2008">
        <v>0</v>
      </c>
      <c r="W2008">
        <v>0</v>
      </c>
      <c r="X2008">
        <v>2.1810100000000001</v>
      </c>
      <c r="Y2008">
        <v>1.8786099999999999</v>
      </c>
      <c r="Z2008">
        <v>0</v>
      </c>
      <c r="AA2008">
        <v>1.68506</v>
      </c>
      <c r="AB2008">
        <v>3.3868800000000001</v>
      </c>
      <c r="AC2008" s="2">
        <v>1073440000</v>
      </c>
      <c r="AD2008" s="1">
        <v>0</v>
      </c>
      <c r="AE2008" s="1">
        <v>0</v>
      </c>
      <c r="AF2008" s="1">
        <v>0</v>
      </c>
      <c r="AG2008" s="1">
        <v>0</v>
      </c>
      <c r="AH2008" s="2">
        <v>5642800</v>
      </c>
      <c r="AI2008" s="1">
        <v>940812</v>
      </c>
      <c r="AJ2008" s="1">
        <v>0</v>
      </c>
      <c r="AK2008" s="8">
        <f t="shared" si="127"/>
        <v>31</v>
      </c>
      <c r="AL2008" s="8">
        <f t="shared" si="126"/>
        <v>39</v>
      </c>
      <c r="AM2008">
        <f t="shared" si="124"/>
        <v>0</v>
      </c>
      <c r="AN2008">
        <f t="shared" si="125"/>
        <v>0</v>
      </c>
    </row>
    <row r="2009" spans="1:40" x14ac:dyDescent="0.35">
      <c r="A2009">
        <v>77.112099999999998</v>
      </c>
      <c r="B2009">
        <v>85.138999999999996</v>
      </c>
      <c r="C2009">
        <v>1.77281</v>
      </c>
      <c r="D2009">
        <v>0.02</v>
      </c>
      <c r="E2009">
        <v>0.04</v>
      </c>
      <c r="F2009">
        <v>2.9039199999999998</v>
      </c>
      <c r="G2009">
        <v>3.2063199999999998</v>
      </c>
      <c r="H2009">
        <v>0</v>
      </c>
      <c r="I2009">
        <v>0.54419799999999996</v>
      </c>
      <c r="J2009">
        <v>5.3222399999999999</v>
      </c>
      <c r="K2009" s="2">
        <v>216025000</v>
      </c>
      <c r="L2009" s="1">
        <v>0</v>
      </c>
      <c r="M2009" s="1">
        <v>0</v>
      </c>
      <c r="N2009" s="1">
        <v>0</v>
      </c>
      <c r="O2009" s="1">
        <v>0</v>
      </c>
      <c r="P2009" s="2">
        <v>4341290</v>
      </c>
      <c r="Q2009" s="1">
        <v>-78922.399999999994</v>
      </c>
      <c r="R2009" s="1">
        <v>408539</v>
      </c>
      <c r="S2009">
        <v>99.1096</v>
      </c>
      <c r="T2009">
        <v>98.274000000000001</v>
      </c>
      <c r="U2009">
        <v>2.6641699999999999</v>
      </c>
      <c r="V2009">
        <v>0</v>
      </c>
      <c r="W2009">
        <v>0</v>
      </c>
      <c r="X2009">
        <v>2.1810100000000001</v>
      </c>
      <c r="Y2009">
        <v>1.8786099999999999</v>
      </c>
      <c r="Z2009">
        <v>0</v>
      </c>
      <c r="AA2009">
        <v>1.6850499999999999</v>
      </c>
      <c r="AB2009">
        <v>3.3868800000000001</v>
      </c>
      <c r="AC2009" s="2">
        <v>1074380000</v>
      </c>
      <c r="AD2009" s="1">
        <v>0</v>
      </c>
      <c r="AE2009" s="1">
        <v>0</v>
      </c>
      <c r="AF2009" s="1">
        <v>0</v>
      </c>
      <c r="AG2009" s="1">
        <v>0</v>
      </c>
      <c r="AH2009" s="2">
        <v>5642780</v>
      </c>
      <c r="AI2009" s="1">
        <v>940811</v>
      </c>
      <c r="AJ2009" s="1">
        <v>0</v>
      </c>
      <c r="AK2009" s="8">
        <f t="shared" si="127"/>
        <v>32</v>
      </c>
      <c r="AL2009" s="8">
        <f t="shared" si="126"/>
        <v>39</v>
      </c>
      <c r="AM2009">
        <f t="shared" si="124"/>
        <v>0</v>
      </c>
      <c r="AN2009">
        <f t="shared" si="125"/>
        <v>0</v>
      </c>
    </row>
    <row r="2010" spans="1:40" x14ac:dyDescent="0.35">
      <c r="A2010">
        <v>75.909700000000001</v>
      </c>
      <c r="B2010">
        <v>85.138999999999996</v>
      </c>
      <c r="C2010">
        <v>1.7999099999999999</v>
      </c>
      <c r="D2010">
        <v>0.02</v>
      </c>
      <c r="E2010">
        <v>0.04</v>
      </c>
      <c r="F2010">
        <v>2.8751899999999999</v>
      </c>
      <c r="G2010">
        <v>3.1775899999999999</v>
      </c>
      <c r="H2010">
        <v>0</v>
      </c>
      <c r="I2010">
        <v>0.54419499999999998</v>
      </c>
      <c r="J2010">
        <v>5.3222399999999999</v>
      </c>
      <c r="K2010" s="2">
        <v>215943000</v>
      </c>
      <c r="L2010" s="1">
        <v>0</v>
      </c>
      <c r="M2010" s="1">
        <v>0</v>
      </c>
      <c r="N2010" s="1">
        <v>0</v>
      </c>
      <c r="O2010" s="1">
        <v>0</v>
      </c>
      <c r="P2010" s="2">
        <v>4298340</v>
      </c>
      <c r="Q2010" s="1">
        <v>-81876.100000000006</v>
      </c>
      <c r="R2010" s="1">
        <v>408539</v>
      </c>
      <c r="S2010">
        <v>98.962900000000005</v>
      </c>
      <c r="T2010">
        <v>98.274000000000001</v>
      </c>
      <c r="U2010">
        <v>2.4817200000000001</v>
      </c>
      <c r="V2010">
        <v>0</v>
      </c>
      <c r="W2010">
        <v>0</v>
      </c>
      <c r="X2010">
        <v>2.2339600000000002</v>
      </c>
      <c r="Y2010">
        <v>1.9315599999999999</v>
      </c>
      <c r="Z2010">
        <v>0</v>
      </c>
      <c r="AA2010">
        <v>1.6850400000000001</v>
      </c>
      <c r="AB2010">
        <v>3.3868800000000001</v>
      </c>
      <c r="AC2010" s="2">
        <v>1075330000</v>
      </c>
      <c r="AD2010" s="1">
        <v>0</v>
      </c>
      <c r="AE2010" s="1">
        <v>0</v>
      </c>
      <c r="AF2010" s="1">
        <v>0</v>
      </c>
      <c r="AG2010" s="1">
        <v>0</v>
      </c>
      <c r="AH2010" s="2">
        <v>5779780</v>
      </c>
      <c r="AI2010" s="1">
        <v>945277</v>
      </c>
      <c r="AJ2010" s="1">
        <v>0</v>
      </c>
      <c r="AK2010" s="8">
        <f t="shared" si="127"/>
        <v>33</v>
      </c>
      <c r="AL2010" s="8">
        <f t="shared" si="126"/>
        <v>39</v>
      </c>
      <c r="AM2010">
        <f t="shared" si="124"/>
        <v>0</v>
      </c>
      <c r="AN2010">
        <f t="shared" si="125"/>
        <v>0</v>
      </c>
    </row>
    <row r="2011" spans="1:40" x14ac:dyDescent="0.35">
      <c r="A2011">
        <v>74.622399999999999</v>
      </c>
      <c r="B2011">
        <v>85.138999999999996</v>
      </c>
      <c r="C2011">
        <v>1.6782300000000001</v>
      </c>
      <c r="D2011">
        <v>0.02</v>
      </c>
      <c r="E2011">
        <v>0.04</v>
      </c>
      <c r="F2011">
        <v>2.8751799999999998</v>
      </c>
      <c r="G2011">
        <v>3.1775799999999998</v>
      </c>
      <c r="H2011">
        <v>0</v>
      </c>
      <c r="I2011">
        <v>0.53881100000000004</v>
      </c>
      <c r="J2011">
        <v>5.3222399999999999</v>
      </c>
      <c r="K2011" s="2">
        <v>215861000</v>
      </c>
      <c r="L2011" s="1">
        <v>0</v>
      </c>
      <c r="M2011" s="1">
        <v>0</v>
      </c>
      <c r="N2011" s="1">
        <v>0</v>
      </c>
      <c r="O2011" s="1">
        <v>0</v>
      </c>
      <c r="P2011" s="2">
        <v>4298310</v>
      </c>
      <c r="Q2011" s="1">
        <v>-81877.7</v>
      </c>
      <c r="R2011" s="1">
        <v>408539</v>
      </c>
      <c r="S2011">
        <v>98.762299999999996</v>
      </c>
      <c r="T2011">
        <v>98.274000000000001</v>
      </c>
      <c r="U2011">
        <v>2.3746700000000001</v>
      </c>
      <c r="V2011">
        <v>0</v>
      </c>
      <c r="W2011">
        <v>0</v>
      </c>
      <c r="X2011">
        <v>2.2339500000000001</v>
      </c>
      <c r="Y2011">
        <v>1.9315500000000001</v>
      </c>
      <c r="Z2011">
        <v>0</v>
      </c>
      <c r="AA2011">
        <v>1.7259500000000001</v>
      </c>
      <c r="AB2011">
        <v>3.3868800000000001</v>
      </c>
      <c r="AC2011" s="2">
        <v>1076270000</v>
      </c>
      <c r="AD2011" s="1">
        <v>0</v>
      </c>
      <c r="AE2011" s="1">
        <v>0</v>
      </c>
      <c r="AF2011" s="1">
        <v>0</v>
      </c>
      <c r="AG2011" s="1">
        <v>0</v>
      </c>
      <c r="AH2011" s="2">
        <v>5779750</v>
      </c>
      <c r="AI2011" s="1">
        <v>945276</v>
      </c>
      <c r="AJ2011" s="1">
        <v>0</v>
      </c>
      <c r="AK2011" s="8">
        <f t="shared" si="127"/>
        <v>34</v>
      </c>
      <c r="AL2011" s="8">
        <f t="shared" si="126"/>
        <v>39</v>
      </c>
      <c r="AM2011">
        <f t="shared" si="124"/>
        <v>0</v>
      </c>
      <c r="AN2011">
        <f t="shared" si="125"/>
        <v>0</v>
      </c>
    </row>
    <row r="2012" spans="1:40" x14ac:dyDescent="0.35">
      <c r="A2012">
        <v>73.166300000000007</v>
      </c>
      <c r="B2012">
        <v>85.138999999999996</v>
      </c>
      <c r="C2012">
        <v>1.4829300000000001</v>
      </c>
      <c r="D2012">
        <v>0.02</v>
      </c>
      <c r="E2012">
        <v>0.04</v>
      </c>
      <c r="F2012">
        <v>2.8751600000000002</v>
      </c>
      <c r="G2012">
        <v>3.1775600000000002</v>
      </c>
      <c r="H2012">
        <v>0</v>
      </c>
      <c r="I2012">
        <v>0.53880799999999995</v>
      </c>
      <c r="J2012">
        <v>5.3222399999999999</v>
      </c>
      <c r="K2012" s="2">
        <v>215779000</v>
      </c>
      <c r="L2012" s="1">
        <v>0</v>
      </c>
      <c r="M2012" s="1">
        <v>0</v>
      </c>
      <c r="N2012" s="1">
        <v>0</v>
      </c>
      <c r="O2012" s="1">
        <v>0</v>
      </c>
      <c r="P2012" s="2">
        <v>4298290</v>
      </c>
      <c r="Q2012" s="1">
        <v>-81879.199999999997</v>
      </c>
      <c r="R2012" s="1">
        <v>408539</v>
      </c>
      <c r="S2012">
        <v>98.513400000000004</v>
      </c>
      <c r="T2012">
        <v>98.274000000000001</v>
      </c>
      <c r="U2012">
        <v>2.3307500000000001</v>
      </c>
      <c r="V2012">
        <v>0</v>
      </c>
      <c r="W2012">
        <v>0</v>
      </c>
      <c r="X2012">
        <v>2.23394</v>
      </c>
      <c r="Y2012">
        <v>1.93154</v>
      </c>
      <c r="Z2012">
        <v>0</v>
      </c>
      <c r="AA2012">
        <v>1.7259500000000001</v>
      </c>
      <c r="AB2012">
        <v>3.3868800000000001</v>
      </c>
      <c r="AC2012" s="2">
        <v>1077220000</v>
      </c>
      <c r="AD2012" s="1">
        <v>0</v>
      </c>
      <c r="AE2012" s="1">
        <v>0</v>
      </c>
      <c r="AF2012" s="1">
        <v>0</v>
      </c>
      <c r="AG2012" s="1">
        <v>0</v>
      </c>
      <c r="AH2012" s="2">
        <v>5779730</v>
      </c>
      <c r="AI2012" s="1">
        <v>945275</v>
      </c>
      <c r="AJ2012" s="1">
        <v>0</v>
      </c>
      <c r="AK2012" s="8">
        <f t="shared" si="127"/>
        <v>35</v>
      </c>
      <c r="AL2012" s="8">
        <f t="shared" si="126"/>
        <v>39</v>
      </c>
      <c r="AM2012">
        <f t="shared" si="124"/>
        <v>0</v>
      </c>
      <c r="AN2012">
        <f t="shared" si="125"/>
        <v>0</v>
      </c>
    </row>
    <row r="2013" spans="1:40" x14ac:dyDescent="0.35">
      <c r="A2013">
        <v>71.653300000000002</v>
      </c>
      <c r="B2013">
        <v>85.138999999999996</v>
      </c>
      <c r="C2013">
        <v>1.4069700000000001</v>
      </c>
      <c r="D2013">
        <v>0.02</v>
      </c>
      <c r="E2013">
        <v>0.04</v>
      </c>
      <c r="F2013">
        <v>2.87514</v>
      </c>
      <c r="G2013">
        <v>3.17754</v>
      </c>
      <c r="H2013">
        <v>0</v>
      </c>
      <c r="I2013">
        <v>0.53880499999999998</v>
      </c>
      <c r="J2013">
        <v>5.3222399999999999</v>
      </c>
      <c r="K2013" s="2">
        <v>215698000</v>
      </c>
      <c r="L2013" s="1">
        <v>0</v>
      </c>
      <c r="M2013" s="1">
        <v>0</v>
      </c>
      <c r="N2013" s="1">
        <v>0</v>
      </c>
      <c r="O2013" s="1">
        <v>0</v>
      </c>
      <c r="P2013" s="2">
        <v>4298270</v>
      </c>
      <c r="Q2013" s="1">
        <v>-81880.800000000003</v>
      </c>
      <c r="R2013" s="1">
        <v>408539</v>
      </c>
      <c r="S2013">
        <v>98.195999999999998</v>
      </c>
      <c r="T2013">
        <v>98.274000000000001</v>
      </c>
      <c r="U2013">
        <v>2.2533799999999999</v>
      </c>
      <c r="V2013">
        <v>0</v>
      </c>
      <c r="W2013">
        <v>0</v>
      </c>
      <c r="X2013">
        <v>2.23393</v>
      </c>
      <c r="Y2013">
        <v>1.93153</v>
      </c>
      <c r="Z2013">
        <v>0</v>
      </c>
      <c r="AA2013">
        <v>1.72594</v>
      </c>
      <c r="AB2013">
        <v>3.3868800000000001</v>
      </c>
      <c r="AC2013" s="2">
        <v>1078160000</v>
      </c>
      <c r="AD2013" s="1">
        <v>0</v>
      </c>
      <c r="AE2013" s="1">
        <v>0</v>
      </c>
      <c r="AF2013" s="1">
        <v>0</v>
      </c>
      <c r="AG2013" s="1">
        <v>0</v>
      </c>
      <c r="AH2013" s="2">
        <v>5779700</v>
      </c>
      <c r="AI2013" s="1">
        <v>945274</v>
      </c>
      <c r="AJ2013" s="1">
        <v>0</v>
      </c>
      <c r="AK2013" s="8">
        <f t="shared" si="127"/>
        <v>36</v>
      </c>
      <c r="AL2013" s="8">
        <f t="shared" si="126"/>
        <v>39</v>
      </c>
      <c r="AM2013">
        <f t="shared" si="124"/>
        <v>0</v>
      </c>
      <c r="AN2013">
        <f t="shared" si="125"/>
        <v>0</v>
      </c>
    </row>
    <row r="2014" spans="1:40" x14ac:dyDescent="0.35">
      <c r="A2014">
        <v>70.049700000000001</v>
      </c>
      <c r="B2014">
        <v>85.138999999999996</v>
      </c>
      <c r="C2014">
        <v>1.3621700000000001</v>
      </c>
      <c r="D2014">
        <v>0.02</v>
      </c>
      <c r="E2014">
        <v>0.04</v>
      </c>
      <c r="F2014">
        <v>2.94929</v>
      </c>
      <c r="G2014">
        <v>3.25169</v>
      </c>
      <c r="H2014">
        <v>0</v>
      </c>
      <c r="I2014">
        <v>0.538802</v>
      </c>
      <c r="J2014">
        <v>5.3222399999999999</v>
      </c>
      <c r="K2014" s="2">
        <v>215623000</v>
      </c>
      <c r="L2014" s="1">
        <v>0</v>
      </c>
      <c r="M2014" s="1">
        <v>0</v>
      </c>
      <c r="N2014" s="1">
        <v>0</v>
      </c>
      <c r="O2014" s="1">
        <v>0</v>
      </c>
      <c r="P2014" s="2">
        <v>4409110</v>
      </c>
      <c r="Q2014" s="1">
        <v>-74258.899999999994</v>
      </c>
      <c r="R2014" s="1">
        <v>408539</v>
      </c>
      <c r="S2014">
        <v>97.998699999999999</v>
      </c>
      <c r="T2014">
        <v>98.274000000000001</v>
      </c>
      <c r="U2014">
        <v>2.2601499999999999</v>
      </c>
      <c r="V2014">
        <v>0</v>
      </c>
      <c r="W2014">
        <v>0</v>
      </c>
      <c r="X2014">
        <v>2.28112</v>
      </c>
      <c r="Y2014">
        <v>1.97872</v>
      </c>
      <c r="Z2014">
        <v>0</v>
      </c>
      <c r="AA2014">
        <v>1.72593</v>
      </c>
      <c r="AB2014">
        <v>3.3868800000000001</v>
      </c>
      <c r="AC2014" s="2">
        <v>1079110000</v>
      </c>
      <c r="AD2014" s="1">
        <v>0</v>
      </c>
      <c r="AE2014" s="1">
        <v>0</v>
      </c>
      <c r="AF2014" s="1">
        <v>0</v>
      </c>
      <c r="AG2014" s="1">
        <v>0</v>
      </c>
      <c r="AH2014" s="2">
        <v>5901790</v>
      </c>
      <c r="AI2014" s="1">
        <v>949254</v>
      </c>
      <c r="AJ2014" s="1">
        <v>0</v>
      </c>
      <c r="AK2014" s="8">
        <f t="shared" si="127"/>
        <v>37</v>
      </c>
      <c r="AL2014" s="8">
        <f t="shared" si="126"/>
        <v>39</v>
      </c>
      <c r="AM2014">
        <f t="shared" si="124"/>
        <v>0</v>
      </c>
      <c r="AN2014">
        <f t="shared" si="125"/>
        <v>0</v>
      </c>
    </row>
    <row r="2015" spans="1:40" x14ac:dyDescent="0.35">
      <c r="A2015">
        <v>68.393600000000006</v>
      </c>
      <c r="B2015">
        <v>85.138999999999996</v>
      </c>
      <c r="C2015">
        <v>1.2845200000000001</v>
      </c>
      <c r="D2015">
        <v>0.02</v>
      </c>
      <c r="E2015">
        <v>0.04</v>
      </c>
      <c r="F2015">
        <v>2.9492699999999998</v>
      </c>
      <c r="G2015">
        <v>3.2516699999999998</v>
      </c>
      <c r="H2015">
        <v>0</v>
      </c>
      <c r="I2015">
        <v>0.55269599999999997</v>
      </c>
      <c r="J2015">
        <v>5.3222399999999999</v>
      </c>
      <c r="K2015" s="2">
        <v>215549000</v>
      </c>
      <c r="L2015" s="1">
        <v>0</v>
      </c>
      <c r="M2015" s="1">
        <v>0</v>
      </c>
      <c r="N2015" s="1">
        <v>0</v>
      </c>
      <c r="O2015" s="1">
        <v>0</v>
      </c>
      <c r="P2015" s="2">
        <v>4409080</v>
      </c>
      <c r="Q2015" s="1">
        <v>-74260.5</v>
      </c>
      <c r="R2015" s="1">
        <v>408539</v>
      </c>
      <c r="S2015">
        <v>97.713200000000001</v>
      </c>
      <c r="T2015">
        <v>98.274000000000001</v>
      </c>
      <c r="U2015">
        <v>2.30646</v>
      </c>
      <c r="V2015">
        <v>0</v>
      </c>
      <c r="W2015">
        <v>0</v>
      </c>
      <c r="X2015">
        <v>2.28111</v>
      </c>
      <c r="Y2015">
        <v>1.97871</v>
      </c>
      <c r="Z2015">
        <v>0</v>
      </c>
      <c r="AA2015">
        <v>1.7623899999999999</v>
      </c>
      <c r="AB2015">
        <v>3.3868800000000001</v>
      </c>
      <c r="AC2015" s="2">
        <v>1080060000</v>
      </c>
      <c r="AD2015" s="1">
        <v>0</v>
      </c>
      <c r="AE2015" s="1">
        <v>0</v>
      </c>
      <c r="AF2015" s="1">
        <v>0</v>
      </c>
      <c r="AG2015" s="1">
        <v>0</v>
      </c>
      <c r="AH2015" s="2">
        <v>5901770</v>
      </c>
      <c r="AI2015" s="1">
        <v>949253</v>
      </c>
      <c r="AJ2015" s="1">
        <v>0</v>
      </c>
      <c r="AK2015" s="8">
        <f t="shared" si="127"/>
        <v>38</v>
      </c>
      <c r="AL2015" s="8">
        <f t="shared" si="126"/>
        <v>39</v>
      </c>
      <c r="AM2015">
        <f t="shared" si="124"/>
        <v>0</v>
      </c>
      <c r="AN2015">
        <f t="shared" si="125"/>
        <v>0</v>
      </c>
    </row>
    <row r="2016" spans="1:40" x14ac:dyDescent="0.35">
      <c r="A2016">
        <v>66.674000000000007</v>
      </c>
      <c r="B2016">
        <v>85.138999999999996</v>
      </c>
      <c r="C2016">
        <v>1.2022299999999999</v>
      </c>
      <c r="D2016">
        <v>0.02</v>
      </c>
      <c r="E2016">
        <v>0.04</v>
      </c>
      <c r="F2016">
        <v>2.9492500000000001</v>
      </c>
      <c r="G2016">
        <v>3.2516500000000002</v>
      </c>
      <c r="H2016">
        <v>0</v>
      </c>
      <c r="I2016">
        <v>0.55269299999999999</v>
      </c>
      <c r="J2016">
        <v>5.3222399999999999</v>
      </c>
      <c r="K2016" s="2">
        <v>215475000</v>
      </c>
      <c r="L2016" s="1">
        <v>0</v>
      </c>
      <c r="M2016" s="1">
        <v>0</v>
      </c>
      <c r="N2016" s="1">
        <v>0</v>
      </c>
      <c r="O2016" s="1">
        <v>0</v>
      </c>
      <c r="P2016" s="2">
        <v>4409060</v>
      </c>
      <c r="Q2016" s="1">
        <v>-74262.2</v>
      </c>
      <c r="R2016" s="1">
        <v>408539</v>
      </c>
      <c r="S2016">
        <v>97.378600000000006</v>
      </c>
      <c r="T2016">
        <v>98.274000000000001</v>
      </c>
      <c r="U2016">
        <v>2.10812</v>
      </c>
      <c r="V2016">
        <v>0</v>
      </c>
      <c r="W2016">
        <v>0</v>
      </c>
      <c r="X2016">
        <v>2.2810999999999999</v>
      </c>
      <c r="Y2016">
        <v>1.9786999999999999</v>
      </c>
      <c r="Z2016">
        <v>0</v>
      </c>
      <c r="AA2016">
        <v>1.7623800000000001</v>
      </c>
      <c r="AB2016">
        <v>3.3868800000000001</v>
      </c>
      <c r="AC2016" s="2">
        <v>1081010000</v>
      </c>
      <c r="AD2016" s="1">
        <v>0</v>
      </c>
      <c r="AE2016" s="1">
        <v>0</v>
      </c>
      <c r="AF2016" s="1">
        <v>0</v>
      </c>
      <c r="AG2016" s="1">
        <v>0</v>
      </c>
      <c r="AH2016" s="2">
        <v>5901740</v>
      </c>
      <c r="AI2016" s="1">
        <v>949252</v>
      </c>
      <c r="AJ2016" s="1">
        <v>0</v>
      </c>
      <c r="AK2016" s="8">
        <f t="shared" si="127"/>
        <v>39</v>
      </c>
      <c r="AL2016" s="8">
        <f t="shared" si="126"/>
        <v>39</v>
      </c>
      <c r="AM2016">
        <f t="shared" si="124"/>
        <v>0</v>
      </c>
      <c r="AN2016">
        <f t="shared" si="125"/>
        <v>0</v>
      </c>
    </row>
    <row r="2017" spans="1:40" x14ac:dyDescent="0.35">
      <c r="A2017">
        <v>64.954999999999998</v>
      </c>
      <c r="B2017">
        <v>85.138999999999996</v>
      </c>
      <c r="C2017">
        <v>1.1810700000000001</v>
      </c>
      <c r="D2017">
        <v>0.02</v>
      </c>
      <c r="E2017">
        <v>0.04</v>
      </c>
      <c r="F2017">
        <v>2.9492400000000001</v>
      </c>
      <c r="G2017">
        <v>3.2516400000000001</v>
      </c>
      <c r="H2017">
        <v>0</v>
      </c>
      <c r="I2017">
        <v>0.55269000000000001</v>
      </c>
      <c r="J2017">
        <v>5.3222399999999999</v>
      </c>
      <c r="K2017" s="2">
        <v>215401000</v>
      </c>
      <c r="L2017" s="1">
        <v>0</v>
      </c>
      <c r="M2017" s="1">
        <v>0</v>
      </c>
      <c r="N2017" s="1">
        <v>0</v>
      </c>
      <c r="O2017" s="1">
        <v>0</v>
      </c>
      <c r="P2017" s="2">
        <v>4409040</v>
      </c>
      <c r="Q2017" s="1">
        <v>-74263.8</v>
      </c>
      <c r="R2017" s="1">
        <v>408539</v>
      </c>
      <c r="S2017">
        <v>96.857399999999998</v>
      </c>
      <c r="T2017">
        <v>98.274000000000001</v>
      </c>
      <c r="U2017">
        <v>2.27203</v>
      </c>
      <c r="V2017">
        <v>0</v>
      </c>
      <c r="W2017">
        <v>0</v>
      </c>
      <c r="X2017">
        <v>2.2810899999999998</v>
      </c>
      <c r="Y2017">
        <v>1.9786900000000001</v>
      </c>
      <c r="Z2017">
        <v>0</v>
      </c>
      <c r="AA2017">
        <v>1.7623800000000001</v>
      </c>
      <c r="AB2017">
        <v>3.3868800000000001</v>
      </c>
      <c r="AC2017" s="2">
        <v>1081960000</v>
      </c>
      <c r="AD2017" s="1">
        <v>0</v>
      </c>
      <c r="AE2017" s="1">
        <v>0</v>
      </c>
      <c r="AF2017" s="1">
        <v>0</v>
      </c>
      <c r="AG2017" s="1">
        <v>0</v>
      </c>
      <c r="AH2017" s="2">
        <v>5901720</v>
      </c>
      <c r="AI2017" s="1">
        <v>949251</v>
      </c>
      <c r="AJ2017" s="1">
        <v>0</v>
      </c>
      <c r="AK2017" s="8">
        <f t="shared" si="127"/>
        <v>40</v>
      </c>
      <c r="AL2017" s="8">
        <f t="shared" si="126"/>
        <v>39</v>
      </c>
      <c r="AM2017">
        <f t="shared" si="124"/>
        <v>0</v>
      </c>
      <c r="AN2017">
        <f t="shared" si="125"/>
        <v>0</v>
      </c>
    </row>
    <row r="2018" spans="1:40" x14ac:dyDescent="0.35">
      <c r="A2018">
        <v>62.926299999999998</v>
      </c>
      <c r="B2018">
        <v>85.138999999999996</v>
      </c>
      <c r="C2018">
        <v>1.01589</v>
      </c>
      <c r="D2018">
        <v>0.02</v>
      </c>
      <c r="E2018">
        <v>0.04</v>
      </c>
      <c r="F2018">
        <v>3.1663899999999998</v>
      </c>
      <c r="G2018">
        <v>3.4687899999999998</v>
      </c>
      <c r="H2018">
        <v>0</v>
      </c>
      <c r="I2018">
        <v>0.55268700000000004</v>
      </c>
      <c r="J2018">
        <v>5.3222399999999999</v>
      </c>
      <c r="K2018" s="2">
        <v>215349000</v>
      </c>
      <c r="L2018" s="1">
        <v>0</v>
      </c>
      <c r="M2018" s="1">
        <v>0</v>
      </c>
      <c r="N2018" s="1">
        <v>0</v>
      </c>
      <c r="O2018" s="1">
        <v>0</v>
      </c>
      <c r="P2018" s="2">
        <v>4733670</v>
      </c>
      <c r="Q2018" s="1">
        <v>-51940.7</v>
      </c>
      <c r="R2018" s="1">
        <v>408539</v>
      </c>
      <c r="S2018">
        <v>96.283100000000005</v>
      </c>
      <c r="T2018">
        <v>98.274000000000001</v>
      </c>
      <c r="U2018">
        <v>1.7471000000000001</v>
      </c>
      <c r="V2018">
        <v>0</v>
      </c>
      <c r="W2018">
        <v>0</v>
      </c>
      <c r="X2018">
        <v>2.4514300000000002</v>
      </c>
      <c r="Y2018">
        <v>2.1490300000000002</v>
      </c>
      <c r="Z2018">
        <v>0</v>
      </c>
      <c r="AA2018">
        <v>1.76237</v>
      </c>
      <c r="AB2018">
        <v>3.3868800000000001</v>
      </c>
      <c r="AC2018" s="2">
        <v>1082920000</v>
      </c>
      <c r="AD2018" s="1">
        <v>0</v>
      </c>
      <c r="AE2018" s="1">
        <v>0</v>
      </c>
      <c r="AF2018" s="1">
        <v>0</v>
      </c>
      <c r="AG2018" s="1">
        <v>0</v>
      </c>
      <c r="AH2018" s="2">
        <v>6342440</v>
      </c>
      <c r="AI2018" s="1">
        <v>963617</v>
      </c>
      <c r="AJ2018" s="1">
        <v>0</v>
      </c>
      <c r="AK2018" s="8">
        <f t="shared" si="127"/>
        <v>41</v>
      </c>
      <c r="AL2018" s="8">
        <f t="shared" si="126"/>
        <v>39</v>
      </c>
      <c r="AM2018">
        <f t="shared" si="124"/>
        <v>0</v>
      </c>
      <c r="AN2018">
        <f t="shared" si="125"/>
        <v>0</v>
      </c>
    </row>
    <row r="2019" spans="1:40" x14ac:dyDescent="0.35">
      <c r="A2019">
        <v>60.985399999999998</v>
      </c>
      <c r="B2019">
        <v>85.138999999999996</v>
      </c>
      <c r="C2019">
        <v>1.09104</v>
      </c>
      <c r="D2019">
        <v>0.02</v>
      </c>
      <c r="E2019">
        <v>0.04</v>
      </c>
      <c r="F2019">
        <v>3.1663700000000001</v>
      </c>
      <c r="G2019">
        <v>3.4687700000000001</v>
      </c>
      <c r="H2019">
        <v>0</v>
      </c>
      <c r="I2019">
        <v>0.59338100000000005</v>
      </c>
      <c r="J2019">
        <v>5.3222399999999999</v>
      </c>
      <c r="K2019" s="2">
        <v>215297000</v>
      </c>
      <c r="L2019" s="1">
        <v>0</v>
      </c>
      <c r="M2019" s="1">
        <v>0</v>
      </c>
      <c r="N2019" s="1">
        <v>0</v>
      </c>
      <c r="O2019" s="1">
        <v>0</v>
      </c>
      <c r="P2019" s="2">
        <v>4733640</v>
      </c>
      <c r="Q2019" s="1">
        <v>-51942.400000000001</v>
      </c>
      <c r="R2019" s="1">
        <v>408539</v>
      </c>
      <c r="S2019">
        <v>95.508600000000001</v>
      </c>
      <c r="T2019">
        <v>98.274000000000001</v>
      </c>
      <c r="U2019">
        <v>1.9477800000000001</v>
      </c>
      <c r="V2019">
        <v>0</v>
      </c>
      <c r="W2019">
        <v>0</v>
      </c>
      <c r="X2019">
        <v>2.4514200000000002</v>
      </c>
      <c r="Y2019">
        <v>2.1490200000000002</v>
      </c>
      <c r="Z2019">
        <v>0</v>
      </c>
      <c r="AA2019">
        <v>1.89398</v>
      </c>
      <c r="AB2019">
        <v>3.3868800000000001</v>
      </c>
      <c r="AC2019" s="2">
        <v>1083890000</v>
      </c>
      <c r="AD2019" s="1">
        <v>0</v>
      </c>
      <c r="AE2019" s="1">
        <v>0</v>
      </c>
      <c r="AF2019" s="1">
        <v>0</v>
      </c>
      <c r="AG2019" s="1">
        <v>0</v>
      </c>
      <c r="AH2019" s="2">
        <v>6342410</v>
      </c>
      <c r="AI2019" s="1">
        <v>963616</v>
      </c>
      <c r="AJ2019" s="1">
        <v>0</v>
      </c>
      <c r="AK2019" s="8">
        <f t="shared" si="127"/>
        <v>42</v>
      </c>
      <c r="AL2019" s="8">
        <f t="shared" si="126"/>
        <v>39</v>
      </c>
      <c r="AM2019">
        <f t="shared" si="124"/>
        <v>0</v>
      </c>
      <c r="AN2019">
        <f t="shared" si="125"/>
        <v>0</v>
      </c>
    </row>
    <row r="2020" spans="1:40" x14ac:dyDescent="0.35">
      <c r="A2020">
        <v>58.855800000000002</v>
      </c>
      <c r="B2020">
        <v>85.138999999999996</v>
      </c>
      <c r="C2020">
        <v>0.88734199999999996</v>
      </c>
      <c r="D2020">
        <v>0.02</v>
      </c>
      <c r="E2020">
        <v>0.04</v>
      </c>
      <c r="F2020">
        <v>3.16635</v>
      </c>
      <c r="G2020">
        <v>3.46875</v>
      </c>
      <c r="H2020">
        <v>0</v>
      </c>
      <c r="I2020">
        <v>0.59337700000000004</v>
      </c>
      <c r="J2020">
        <v>5.3222399999999999</v>
      </c>
      <c r="K2020" s="2">
        <v>215245000</v>
      </c>
      <c r="L2020" s="1">
        <v>0</v>
      </c>
      <c r="M2020" s="1">
        <v>0</v>
      </c>
      <c r="N2020" s="1">
        <v>0</v>
      </c>
      <c r="O2020" s="1">
        <v>0</v>
      </c>
      <c r="P2020" s="2">
        <v>4733620</v>
      </c>
      <c r="Q2020" s="1">
        <v>-51944.2</v>
      </c>
      <c r="R2020" s="1">
        <v>408539</v>
      </c>
      <c r="S2020">
        <v>94.945700000000002</v>
      </c>
      <c r="T2020">
        <v>98.274000000000001</v>
      </c>
      <c r="U2020">
        <v>1.4721599999999999</v>
      </c>
      <c r="V2020">
        <v>0</v>
      </c>
      <c r="W2020">
        <v>0</v>
      </c>
      <c r="X2020">
        <v>2.4514100000000001</v>
      </c>
      <c r="Y2020">
        <v>2.1490100000000001</v>
      </c>
      <c r="Z2020">
        <v>0</v>
      </c>
      <c r="AA2020">
        <v>1.8939699999999999</v>
      </c>
      <c r="AB2020">
        <v>3.3868800000000001</v>
      </c>
      <c r="AC2020" s="2">
        <v>1084850000</v>
      </c>
      <c r="AD2020" s="1">
        <v>0</v>
      </c>
      <c r="AE2020" s="1">
        <v>0</v>
      </c>
      <c r="AF2020" s="1">
        <v>0</v>
      </c>
      <c r="AG2020" s="1">
        <v>0</v>
      </c>
      <c r="AH2020" s="2">
        <v>6342390</v>
      </c>
      <c r="AI2020" s="1">
        <v>963616</v>
      </c>
      <c r="AJ2020" s="1">
        <v>0</v>
      </c>
      <c r="AK2020" s="8">
        <f t="shared" si="127"/>
        <v>43</v>
      </c>
      <c r="AL2020" s="8">
        <f t="shared" si="126"/>
        <v>39</v>
      </c>
      <c r="AM2020">
        <f t="shared" si="124"/>
        <v>0</v>
      </c>
      <c r="AN2020">
        <f t="shared" si="125"/>
        <v>0</v>
      </c>
    </row>
    <row r="2021" spans="1:40" x14ac:dyDescent="0.35">
      <c r="A2021">
        <v>56.926000000000002</v>
      </c>
      <c r="B2021">
        <v>85.138999999999996</v>
      </c>
      <c r="C2021">
        <v>1.0509900000000001</v>
      </c>
      <c r="D2021">
        <v>0.04</v>
      </c>
      <c r="E2021">
        <v>0.04</v>
      </c>
      <c r="F2021">
        <v>3.1663299999999999</v>
      </c>
      <c r="G2021">
        <v>3.4687299999999999</v>
      </c>
      <c r="H2021">
        <v>0</v>
      </c>
      <c r="I2021">
        <v>0.59337399999999996</v>
      </c>
      <c r="J2021">
        <v>5.3222399999999999</v>
      </c>
      <c r="K2021" s="2">
        <v>215193000</v>
      </c>
      <c r="L2021" s="1">
        <v>0</v>
      </c>
      <c r="M2021" s="1">
        <v>0</v>
      </c>
      <c r="N2021" s="1">
        <v>0</v>
      </c>
      <c r="O2021" s="1">
        <v>0</v>
      </c>
      <c r="P2021" s="2">
        <v>4733590</v>
      </c>
      <c r="Q2021" s="1">
        <v>-51945.9</v>
      </c>
      <c r="R2021" s="1">
        <v>408539</v>
      </c>
      <c r="S2021">
        <v>94.66</v>
      </c>
      <c r="T2021">
        <v>98.274000000000001</v>
      </c>
      <c r="U2021">
        <v>2.3859300000000001</v>
      </c>
      <c r="V2021">
        <v>0</v>
      </c>
      <c r="W2021">
        <v>0</v>
      </c>
      <c r="X2021">
        <v>2.4514</v>
      </c>
      <c r="Y2021">
        <v>2.149</v>
      </c>
      <c r="Z2021">
        <v>0</v>
      </c>
      <c r="AA2021">
        <v>1.8939600000000001</v>
      </c>
      <c r="AB2021">
        <v>3.3868800000000001</v>
      </c>
      <c r="AC2021" s="2">
        <v>1085810000</v>
      </c>
      <c r="AD2021" s="1">
        <v>0</v>
      </c>
      <c r="AE2021" s="1">
        <v>0</v>
      </c>
      <c r="AF2021" s="1">
        <v>0</v>
      </c>
      <c r="AG2021" s="1">
        <v>0</v>
      </c>
      <c r="AH2021" s="2">
        <v>6342360</v>
      </c>
      <c r="AI2021" s="1">
        <v>963615</v>
      </c>
      <c r="AJ2021" s="1">
        <v>0</v>
      </c>
      <c r="AK2021" s="8">
        <f t="shared" si="127"/>
        <v>44</v>
      </c>
      <c r="AL2021" s="8">
        <f t="shared" si="126"/>
        <v>39</v>
      </c>
      <c r="AM2021">
        <f t="shared" si="124"/>
        <v>0</v>
      </c>
      <c r="AN2021">
        <f t="shared" si="125"/>
        <v>0</v>
      </c>
    </row>
    <row r="2022" spans="1:40" x14ac:dyDescent="0.35">
      <c r="A2022">
        <v>55.067599999999999</v>
      </c>
      <c r="B2022">
        <v>85.138999999999996</v>
      </c>
      <c r="C2022">
        <v>1.15934</v>
      </c>
      <c r="D2022">
        <v>0.04</v>
      </c>
      <c r="E2022">
        <v>0.04</v>
      </c>
      <c r="F2022">
        <v>3.1663199999999998</v>
      </c>
      <c r="G2022">
        <v>3.4687199999999998</v>
      </c>
      <c r="H2022">
        <v>0</v>
      </c>
      <c r="I2022">
        <v>0.59337099999999998</v>
      </c>
      <c r="J2022">
        <v>5.3222399999999999</v>
      </c>
      <c r="K2022" s="2">
        <v>215141000</v>
      </c>
      <c r="L2022" s="1">
        <v>0</v>
      </c>
      <c r="M2022" s="1">
        <v>0</v>
      </c>
      <c r="N2022" s="1">
        <v>0</v>
      </c>
      <c r="O2022" s="1">
        <v>0</v>
      </c>
      <c r="P2022" s="2">
        <v>4733570</v>
      </c>
      <c r="Q2022" s="1">
        <v>-51947.6</v>
      </c>
      <c r="R2022" s="1">
        <v>408539</v>
      </c>
      <c r="S2022">
        <v>94.513499999999993</v>
      </c>
      <c r="T2022">
        <v>98.274000000000001</v>
      </c>
      <c r="U2022">
        <v>2.8371400000000002</v>
      </c>
      <c r="V2022">
        <v>0</v>
      </c>
      <c r="W2022">
        <v>0</v>
      </c>
      <c r="X2022">
        <v>2.45139</v>
      </c>
      <c r="Y2022">
        <v>2.14899</v>
      </c>
      <c r="Z2022">
        <v>0</v>
      </c>
      <c r="AA2022">
        <v>1.89395</v>
      </c>
      <c r="AB2022">
        <v>3.3868800000000001</v>
      </c>
      <c r="AC2022" s="2">
        <v>1086780000</v>
      </c>
      <c r="AD2022" s="1">
        <v>0</v>
      </c>
      <c r="AE2022" s="1">
        <v>0</v>
      </c>
      <c r="AF2022" s="1">
        <v>0</v>
      </c>
      <c r="AG2022" s="1">
        <v>0</v>
      </c>
      <c r="AH2022" s="2">
        <v>6342330</v>
      </c>
      <c r="AI2022" s="1">
        <v>963614</v>
      </c>
      <c r="AJ2022" s="1">
        <v>0</v>
      </c>
      <c r="AK2022" s="8">
        <f t="shared" si="127"/>
        <v>45</v>
      </c>
      <c r="AL2022" s="8">
        <f t="shared" si="126"/>
        <v>39</v>
      </c>
      <c r="AM2022">
        <f t="shared" si="124"/>
        <v>0</v>
      </c>
      <c r="AN2022">
        <f t="shared" si="125"/>
        <v>0</v>
      </c>
    </row>
    <row r="2023" spans="1:40" x14ac:dyDescent="0.35">
      <c r="A2023">
        <v>53.2136</v>
      </c>
      <c r="B2023">
        <v>85.138999999999996</v>
      </c>
      <c r="C2023">
        <v>1.0888800000000001</v>
      </c>
      <c r="D2023">
        <v>0.04</v>
      </c>
      <c r="E2023">
        <v>0.04</v>
      </c>
      <c r="F2023">
        <v>3.06047</v>
      </c>
      <c r="G2023">
        <v>3.36287</v>
      </c>
      <c r="H2023">
        <v>0</v>
      </c>
      <c r="I2023">
        <v>0.59336800000000001</v>
      </c>
      <c r="J2023">
        <v>5.3222399999999999</v>
      </c>
      <c r="K2023" s="2">
        <v>215078000</v>
      </c>
      <c r="L2023" s="1">
        <v>0</v>
      </c>
      <c r="M2023" s="1">
        <v>0</v>
      </c>
      <c r="N2023" s="1">
        <v>0</v>
      </c>
      <c r="O2023" s="1">
        <v>0</v>
      </c>
      <c r="P2023" s="2">
        <v>4575320</v>
      </c>
      <c r="Q2023" s="1">
        <v>-62829.3</v>
      </c>
      <c r="R2023" s="1">
        <v>408539</v>
      </c>
      <c r="S2023">
        <v>95.025400000000005</v>
      </c>
      <c r="T2023">
        <v>98.274000000000001</v>
      </c>
      <c r="U2023">
        <v>5.4254600000000002</v>
      </c>
      <c r="V2023">
        <v>0</v>
      </c>
      <c r="W2023">
        <v>0</v>
      </c>
      <c r="X2023">
        <v>2.3479800000000002</v>
      </c>
      <c r="Y2023">
        <v>2.0455800000000002</v>
      </c>
      <c r="Z2023">
        <v>0</v>
      </c>
      <c r="AA2023">
        <v>1.89395</v>
      </c>
      <c r="AB2023">
        <v>3.3868800000000001</v>
      </c>
      <c r="AC2023" s="2">
        <v>1087730000</v>
      </c>
      <c r="AD2023" s="1">
        <v>0</v>
      </c>
      <c r="AE2023" s="1">
        <v>0</v>
      </c>
      <c r="AF2023" s="1">
        <v>0</v>
      </c>
      <c r="AG2023" s="1">
        <v>0</v>
      </c>
      <c r="AH2023" s="2">
        <v>6074790</v>
      </c>
      <c r="AI2023" s="1">
        <v>954893</v>
      </c>
      <c r="AJ2023" s="1">
        <v>0</v>
      </c>
      <c r="AK2023" s="8">
        <f t="shared" si="127"/>
        <v>46</v>
      </c>
      <c r="AL2023" s="8">
        <f t="shared" si="126"/>
        <v>39</v>
      </c>
      <c r="AM2023">
        <f t="shared" si="124"/>
        <v>0</v>
      </c>
      <c r="AN2023">
        <f t="shared" si="125"/>
        <v>0</v>
      </c>
    </row>
    <row r="2024" spans="1:40" x14ac:dyDescent="0.35">
      <c r="A2024">
        <v>51.256900000000002</v>
      </c>
      <c r="B2024">
        <v>85.138999999999996</v>
      </c>
      <c r="C2024">
        <v>0.96126800000000001</v>
      </c>
      <c r="D2024">
        <v>0.06</v>
      </c>
      <c r="E2024">
        <v>0.04</v>
      </c>
      <c r="F2024">
        <v>3.0604499999999999</v>
      </c>
      <c r="G2024">
        <v>3.3628499999999999</v>
      </c>
      <c r="H2024">
        <v>0</v>
      </c>
      <c r="I2024">
        <v>0.57353100000000001</v>
      </c>
      <c r="J2024">
        <v>5.3222399999999999</v>
      </c>
      <c r="K2024" s="2">
        <v>215015000</v>
      </c>
      <c r="L2024" s="1">
        <v>0</v>
      </c>
      <c r="M2024" s="1">
        <v>0</v>
      </c>
      <c r="N2024" s="1">
        <v>0</v>
      </c>
      <c r="O2024" s="1">
        <v>0</v>
      </c>
      <c r="P2024" s="2">
        <v>4575300</v>
      </c>
      <c r="Q2024" s="1">
        <v>-62831</v>
      </c>
      <c r="R2024" s="1">
        <v>408539</v>
      </c>
      <c r="S2024">
        <v>94.887699999999995</v>
      </c>
      <c r="T2024">
        <v>98.274000000000001</v>
      </c>
      <c r="U2024">
        <v>3.1772999999999998</v>
      </c>
      <c r="V2024">
        <v>0</v>
      </c>
      <c r="W2024">
        <v>0</v>
      </c>
      <c r="X2024">
        <v>2.3479700000000001</v>
      </c>
      <c r="Y2024">
        <v>2.0455700000000001</v>
      </c>
      <c r="Z2024">
        <v>0</v>
      </c>
      <c r="AA2024">
        <v>1.8140499999999999</v>
      </c>
      <c r="AB2024">
        <v>3.3868800000000001</v>
      </c>
      <c r="AC2024" s="2">
        <v>1088690000</v>
      </c>
      <c r="AD2024" s="1">
        <v>0</v>
      </c>
      <c r="AE2024" s="1">
        <v>0</v>
      </c>
      <c r="AF2024" s="1">
        <v>0</v>
      </c>
      <c r="AG2024" s="1">
        <v>0</v>
      </c>
      <c r="AH2024" s="2">
        <v>6074770</v>
      </c>
      <c r="AI2024" s="1">
        <v>954892</v>
      </c>
      <c r="AJ2024" s="1">
        <v>0</v>
      </c>
      <c r="AK2024" s="8">
        <f t="shared" si="127"/>
        <v>47</v>
      </c>
      <c r="AL2024" s="8">
        <f t="shared" si="126"/>
        <v>39</v>
      </c>
      <c r="AM2024">
        <f t="shared" si="124"/>
        <v>0</v>
      </c>
      <c r="AN2024">
        <f t="shared" si="125"/>
        <v>0</v>
      </c>
    </row>
    <row r="2025" spans="1:40" x14ac:dyDescent="0.35">
      <c r="A2025">
        <v>49.308100000000003</v>
      </c>
      <c r="B2025">
        <v>85.138999999999996</v>
      </c>
      <c r="C2025">
        <v>0.92883599999999999</v>
      </c>
      <c r="D2025">
        <v>0.04</v>
      </c>
      <c r="E2025">
        <v>0.04</v>
      </c>
      <c r="F2025">
        <v>3.0604300000000002</v>
      </c>
      <c r="G2025">
        <v>3.3628300000000002</v>
      </c>
      <c r="H2025">
        <v>0</v>
      </c>
      <c r="I2025">
        <v>0.57352800000000004</v>
      </c>
      <c r="J2025">
        <v>5.3222399999999999</v>
      </c>
      <c r="K2025" s="2">
        <v>214952000</v>
      </c>
      <c r="L2025" s="1">
        <v>0</v>
      </c>
      <c r="M2025" s="1">
        <v>0</v>
      </c>
      <c r="N2025" s="1">
        <v>0</v>
      </c>
      <c r="O2025" s="1">
        <v>0</v>
      </c>
      <c r="P2025" s="2">
        <v>4575270</v>
      </c>
      <c r="Q2025" s="1">
        <v>-62832.7</v>
      </c>
      <c r="R2025" s="1">
        <v>408539</v>
      </c>
      <c r="S2025">
        <v>94.690200000000004</v>
      </c>
      <c r="T2025">
        <v>98.274000000000001</v>
      </c>
      <c r="U2025">
        <v>2.9327800000000002</v>
      </c>
      <c r="V2025">
        <v>0</v>
      </c>
      <c r="W2025">
        <v>0</v>
      </c>
      <c r="X2025">
        <v>2.34796</v>
      </c>
      <c r="Y2025">
        <v>2.04556</v>
      </c>
      <c r="Z2025">
        <v>0</v>
      </c>
      <c r="AA2025">
        <v>1.8140400000000001</v>
      </c>
      <c r="AB2025">
        <v>3.3868800000000001</v>
      </c>
      <c r="AC2025" s="2">
        <v>1089640000</v>
      </c>
      <c r="AD2025" s="1">
        <v>0</v>
      </c>
      <c r="AE2025" s="1">
        <v>0</v>
      </c>
      <c r="AF2025" s="1">
        <v>0</v>
      </c>
      <c r="AG2025" s="1">
        <v>0</v>
      </c>
      <c r="AH2025" s="2">
        <v>6074740</v>
      </c>
      <c r="AI2025" s="1">
        <v>954891</v>
      </c>
      <c r="AJ2025" s="1">
        <v>0</v>
      </c>
      <c r="AK2025" s="8">
        <f t="shared" si="127"/>
        <v>48</v>
      </c>
      <c r="AL2025" s="8">
        <f t="shared" si="126"/>
        <v>39</v>
      </c>
      <c r="AM2025">
        <f t="shared" si="124"/>
        <v>0</v>
      </c>
      <c r="AN2025">
        <f t="shared" si="125"/>
        <v>0</v>
      </c>
    </row>
    <row r="2026" spans="1:40" x14ac:dyDescent="0.35">
      <c r="A2026">
        <v>48.002899999999997</v>
      </c>
      <c r="B2026">
        <v>85.138999999999996</v>
      </c>
      <c r="C2026">
        <v>1.7454400000000001</v>
      </c>
      <c r="D2026">
        <v>0.06</v>
      </c>
      <c r="E2026">
        <v>0.04</v>
      </c>
      <c r="F2026">
        <v>3.0604200000000001</v>
      </c>
      <c r="G2026">
        <v>3.3628200000000001</v>
      </c>
      <c r="H2026">
        <v>0</v>
      </c>
      <c r="I2026">
        <v>0.57352499999999995</v>
      </c>
      <c r="J2026">
        <v>5.3222399999999999</v>
      </c>
      <c r="K2026" s="2">
        <v>214889000</v>
      </c>
      <c r="L2026" s="1">
        <v>0</v>
      </c>
      <c r="M2026" s="1">
        <v>0</v>
      </c>
      <c r="N2026" s="1">
        <v>0</v>
      </c>
      <c r="O2026" s="1">
        <v>0</v>
      </c>
      <c r="P2026" s="2">
        <v>4575250</v>
      </c>
      <c r="Q2026" s="1">
        <v>-62834.3</v>
      </c>
      <c r="R2026" s="1">
        <v>408539</v>
      </c>
      <c r="S2026">
        <v>95.258300000000006</v>
      </c>
      <c r="T2026">
        <v>98.274000000000001</v>
      </c>
      <c r="U2026">
        <v>4.4314299999999998</v>
      </c>
      <c r="V2026">
        <v>0</v>
      </c>
      <c r="W2026">
        <v>0</v>
      </c>
      <c r="X2026">
        <v>2.34795</v>
      </c>
      <c r="Y2026">
        <v>2.04555</v>
      </c>
      <c r="Z2026">
        <v>0</v>
      </c>
      <c r="AA2026">
        <v>1.8140400000000001</v>
      </c>
      <c r="AB2026">
        <v>3.3868800000000001</v>
      </c>
      <c r="AC2026" s="2">
        <v>1090600000</v>
      </c>
      <c r="AD2026" s="1">
        <v>0</v>
      </c>
      <c r="AE2026" s="1">
        <v>0</v>
      </c>
      <c r="AF2026" s="1">
        <v>0</v>
      </c>
      <c r="AG2026" s="1">
        <v>0</v>
      </c>
      <c r="AH2026" s="2">
        <v>6074720</v>
      </c>
      <c r="AI2026" s="1">
        <v>954891</v>
      </c>
      <c r="AJ2026" s="1">
        <v>0</v>
      </c>
      <c r="AK2026" s="8">
        <f t="shared" si="127"/>
        <v>49</v>
      </c>
      <c r="AL2026" s="8">
        <f t="shared" si="126"/>
        <v>39</v>
      </c>
      <c r="AM2026">
        <f t="shared" si="124"/>
        <v>0</v>
      </c>
      <c r="AN2026">
        <f t="shared" si="125"/>
        <v>0</v>
      </c>
    </row>
    <row r="2027" spans="1:40" x14ac:dyDescent="0.35">
      <c r="A2027">
        <v>47.042999999999999</v>
      </c>
      <c r="B2027">
        <v>85.138999999999996</v>
      </c>
      <c r="C2027">
        <v>1.9063000000000001</v>
      </c>
      <c r="D2027">
        <v>0.04</v>
      </c>
      <c r="E2027">
        <v>0.04</v>
      </c>
      <c r="F2027">
        <v>2.9735299999999998</v>
      </c>
      <c r="G2027">
        <v>3.2759299999999998</v>
      </c>
      <c r="H2027">
        <v>0</v>
      </c>
      <c r="I2027">
        <v>0.57352199999999998</v>
      </c>
      <c r="J2027">
        <v>5.3222399999999999</v>
      </c>
      <c r="K2027" s="2">
        <v>214818000</v>
      </c>
      <c r="L2027" s="1">
        <v>0</v>
      </c>
      <c r="M2027" s="1">
        <v>0</v>
      </c>
      <c r="N2027" s="1">
        <v>0</v>
      </c>
      <c r="O2027" s="1">
        <v>0</v>
      </c>
      <c r="P2027" s="2">
        <v>4445360</v>
      </c>
      <c r="Q2027" s="1">
        <v>-71766.3</v>
      </c>
      <c r="R2027" s="1">
        <v>408539</v>
      </c>
      <c r="S2027">
        <v>95.988200000000006</v>
      </c>
      <c r="T2027">
        <v>98.274000000000001</v>
      </c>
      <c r="U2027">
        <v>4.4610700000000003</v>
      </c>
      <c r="V2027">
        <v>0</v>
      </c>
      <c r="W2027">
        <v>0</v>
      </c>
      <c r="X2027">
        <v>2.2538299999999998</v>
      </c>
      <c r="Y2027">
        <v>1.95143</v>
      </c>
      <c r="Z2027">
        <v>0</v>
      </c>
      <c r="AA2027">
        <v>1.81403</v>
      </c>
      <c r="AB2027">
        <v>3.3868800000000001</v>
      </c>
      <c r="AC2027" s="2">
        <v>1091540000</v>
      </c>
      <c r="AD2027" s="1">
        <v>0</v>
      </c>
      <c r="AE2027" s="1">
        <v>0</v>
      </c>
      <c r="AF2027" s="1">
        <v>0</v>
      </c>
      <c r="AG2027" s="1">
        <v>0</v>
      </c>
      <c r="AH2027" s="2">
        <v>5831190</v>
      </c>
      <c r="AI2027" s="1">
        <v>946953</v>
      </c>
      <c r="AJ2027" s="1">
        <v>0</v>
      </c>
      <c r="AK2027" s="8">
        <f t="shared" si="127"/>
        <v>50</v>
      </c>
      <c r="AL2027" s="8">
        <f t="shared" si="126"/>
        <v>39</v>
      </c>
      <c r="AM2027">
        <f t="shared" si="124"/>
        <v>0</v>
      </c>
      <c r="AN2027">
        <f t="shared" si="125"/>
        <v>0</v>
      </c>
    </row>
    <row r="2028" spans="1:40" x14ac:dyDescent="0.35">
      <c r="A2028">
        <v>45.509799999999998</v>
      </c>
      <c r="B2028">
        <v>85.138999999999996</v>
      </c>
      <c r="C2028">
        <v>1.25901</v>
      </c>
      <c r="D2028">
        <v>0.03</v>
      </c>
      <c r="E2028">
        <v>0.04</v>
      </c>
      <c r="F2028">
        <v>2.9735200000000002</v>
      </c>
      <c r="G2028">
        <v>3.2759200000000002</v>
      </c>
      <c r="H2028">
        <v>0</v>
      </c>
      <c r="I2028">
        <v>0.55723999999999996</v>
      </c>
      <c r="J2028">
        <v>5.3222399999999999</v>
      </c>
      <c r="K2028" s="2">
        <v>214746000</v>
      </c>
      <c r="L2028" s="1">
        <v>0</v>
      </c>
      <c r="M2028" s="1">
        <v>0</v>
      </c>
      <c r="N2028" s="1">
        <v>0</v>
      </c>
      <c r="O2028" s="1">
        <v>0</v>
      </c>
      <c r="P2028" s="2">
        <v>4445330</v>
      </c>
      <c r="Q2028" s="1">
        <v>-71768</v>
      </c>
      <c r="R2028" s="1">
        <v>408539</v>
      </c>
      <c r="S2028">
        <v>96.663899999999998</v>
      </c>
      <c r="T2028">
        <v>98.274000000000001</v>
      </c>
      <c r="U2028">
        <v>4.3502799999999997</v>
      </c>
      <c r="V2028">
        <v>0</v>
      </c>
      <c r="W2028">
        <v>0</v>
      </c>
      <c r="X2028">
        <v>2.2538200000000002</v>
      </c>
      <c r="Y2028">
        <v>1.9514199999999999</v>
      </c>
      <c r="Z2028">
        <v>0</v>
      </c>
      <c r="AA2028">
        <v>1.7413099999999999</v>
      </c>
      <c r="AB2028">
        <v>3.3868800000000001</v>
      </c>
      <c r="AC2028" s="2">
        <v>1092490000</v>
      </c>
      <c r="AD2028" s="1">
        <v>0</v>
      </c>
      <c r="AE2028" s="1">
        <v>0</v>
      </c>
      <c r="AF2028" s="1">
        <v>0</v>
      </c>
      <c r="AG2028" s="1">
        <v>0</v>
      </c>
      <c r="AH2028" s="2">
        <v>5831170</v>
      </c>
      <c r="AI2028" s="1">
        <v>946952</v>
      </c>
      <c r="AJ2028" s="1">
        <v>0</v>
      </c>
      <c r="AK2028" s="8">
        <f t="shared" si="127"/>
        <v>51</v>
      </c>
      <c r="AL2028" s="8">
        <f t="shared" si="126"/>
        <v>39</v>
      </c>
      <c r="AM2028">
        <f t="shared" si="124"/>
        <v>0</v>
      </c>
      <c r="AN2028">
        <f t="shared" si="125"/>
        <v>0</v>
      </c>
    </row>
    <row r="2029" spans="1:40" x14ac:dyDescent="0.35">
      <c r="A2029">
        <v>44.514699999999998</v>
      </c>
      <c r="B2029">
        <v>85.138999999999996</v>
      </c>
      <c r="C2029">
        <v>1.8869</v>
      </c>
      <c r="D2029">
        <v>0.01</v>
      </c>
      <c r="E2029">
        <v>0.04</v>
      </c>
      <c r="F2029">
        <v>2.9735</v>
      </c>
      <c r="G2029">
        <v>3.2759</v>
      </c>
      <c r="H2029">
        <v>0</v>
      </c>
      <c r="I2029">
        <v>0.55723699999999998</v>
      </c>
      <c r="J2029">
        <v>5.3222399999999999</v>
      </c>
      <c r="K2029" s="2">
        <v>214674000</v>
      </c>
      <c r="L2029" s="1">
        <v>0</v>
      </c>
      <c r="M2029" s="1">
        <v>0</v>
      </c>
      <c r="N2029" s="1">
        <v>0</v>
      </c>
      <c r="O2029" s="1">
        <v>0</v>
      </c>
      <c r="P2029" s="2">
        <v>4445310</v>
      </c>
      <c r="Q2029" s="1">
        <v>-71769.600000000006</v>
      </c>
      <c r="R2029" s="1">
        <v>408539</v>
      </c>
      <c r="S2029">
        <v>97.006799999999998</v>
      </c>
      <c r="T2029">
        <v>98.274000000000001</v>
      </c>
      <c r="U2029">
        <v>3.7811300000000001</v>
      </c>
      <c r="V2029">
        <v>0</v>
      </c>
      <c r="W2029">
        <v>0</v>
      </c>
      <c r="X2029">
        <v>2.2538100000000001</v>
      </c>
      <c r="Y2029">
        <v>1.9514100000000001</v>
      </c>
      <c r="Z2029">
        <v>0</v>
      </c>
      <c r="AA2029">
        <v>1.7413000000000001</v>
      </c>
      <c r="AB2029">
        <v>3.3868800000000001</v>
      </c>
      <c r="AC2029" s="2">
        <v>1093440000</v>
      </c>
      <c r="AD2029" s="1">
        <v>0</v>
      </c>
      <c r="AE2029" s="1">
        <v>0</v>
      </c>
      <c r="AF2029" s="1">
        <v>0</v>
      </c>
      <c r="AG2029" s="1">
        <v>0</v>
      </c>
      <c r="AH2029" s="2">
        <v>5831140</v>
      </c>
      <c r="AI2029" s="1">
        <v>946951</v>
      </c>
      <c r="AJ2029" s="1">
        <v>0</v>
      </c>
      <c r="AK2029" s="8">
        <f t="shared" si="127"/>
        <v>52</v>
      </c>
      <c r="AL2029" s="8">
        <f t="shared" si="126"/>
        <v>39</v>
      </c>
      <c r="AM2029">
        <f t="shared" si="124"/>
        <v>1093440000</v>
      </c>
      <c r="AN2029">
        <f t="shared" si="125"/>
        <v>214674000</v>
      </c>
    </row>
    <row r="2030" spans="1:40" x14ac:dyDescent="0.35">
      <c r="A2030">
        <v>45.433900000000001</v>
      </c>
      <c r="B2030">
        <v>85.138999999999996</v>
      </c>
      <c r="C2030">
        <v>3.9625900000000001</v>
      </c>
      <c r="D2030">
        <v>0.05</v>
      </c>
      <c r="E2030">
        <v>0.04</v>
      </c>
      <c r="F2030">
        <v>2.9734799999999999</v>
      </c>
      <c r="G2030">
        <v>3.2758799999999999</v>
      </c>
      <c r="H2030">
        <v>0</v>
      </c>
      <c r="I2030">
        <v>0.55723400000000001</v>
      </c>
      <c r="J2030">
        <v>5.3222399999999999</v>
      </c>
      <c r="K2030" s="2">
        <v>214602000</v>
      </c>
      <c r="L2030" s="1">
        <v>0</v>
      </c>
      <c r="M2030" s="1">
        <v>0</v>
      </c>
      <c r="N2030" s="1">
        <v>0</v>
      </c>
      <c r="O2030" s="1">
        <v>0</v>
      </c>
      <c r="P2030" s="2">
        <v>4445280</v>
      </c>
      <c r="Q2030" s="1">
        <v>-71771.199999999997</v>
      </c>
      <c r="R2030" s="1">
        <v>408539</v>
      </c>
      <c r="S2030">
        <v>97.674700000000001</v>
      </c>
      <c r="T2030">
        <v>98.274000000000001</v>
      </c>
      <c r="U2030">
        <v>5.3816600000000001</v>
      </c>
      <c r="V2030">
        <v>0</v>
      </c>
      <c r="W2030">
        <v>0</v>
      </c>
      <c r="X2030">
        <v>2.2538</v>
      </c>
      <c r="Y2030">
        <v>1.9514</v>
      </c>
      <c r="Z2030">
        <v>0</v>
      </c>
      <c r="AA2030">
        <v>1.74129</v>
      </c>
      <c r="AB2030">
        <v>3.3868800000000001</v>
      </c>
      <c r="AC2030" s="2">
        <v>1094380000</v>
      </c>
      <c r="AD2030" s="1">
        <v>0</v>
      </c>
      <c r="AE2030" s="1">
        <v>0</v>
      </c>
      <c r="AF2030" s="1">
        <v>0</v>
      </c>
      <c r="AG2030" s="1">
        <v>0</v>
      </c>
      <c r="AH2030" s="2">
        <v>5831120</v>
      </c>
      <c r="AI2030" s="1">
        <v>946950</v>
      </c>
      <c r="AJ2030" s="1">
        <v>0</v>
      </c>
      <c r="AK2030" s="8">
        <f t="shared" si="127"/>
        <v>1</v>
      </c>
      <c r="AL2030" s="8">
        <f t="shared" si="126"/>
        <v>40</v>
      </c>
      <c r="AM2030">
        <f t="shared" si="124"/>
        <v>0</v>
      </c>
      <c r="AN2030">
        <f t="shared" si="125"/>
        <v>0</v>
      </c>
    </row>
    <row r="2031" spans="1:40" x14ac:dyDescent="0.35">
      <c r="A2031">
        <v>45.1404</v>
      </c>
      <c r="B2031">
        <v>85.138999999999996</v>
      </c>
      <c r="C2031">
        <v>2.60981</v>
      </c>
      <c r="D2031">
        <v>0</v>
      </c>
      <c r="E2031">
        <v>0.04</v>
      </c>
      <c r="F2031">
        <v>3.0291600000000001</v>
      </c>
      <c r="G2031">
        <v>3.0291600000000001</v>
      </c>
      <c r="H2031">
        <v>0</v>
      </c>
      <c r="I2031">
        <v>0.55723100000000003</v>
      </c>
      <c r="J2031">
        <v>5.3222399999999999</v>
      </c>
      <c r="K2031" s="2">
        <v>214914000</v>
      </c>
      <c r="L2031" s="1">
        <v>0</v>
      </c>
      <c r="M2031" s="1">
        <v>0</v>
      </c>
      <c r="N2031" s="1">
        <v>0</v>
      </c>
      <c r="O2031" s="1">
        <v>0</v>
      </c>
      <c r="P2031" s="2">
        <v>4528520</v>
      </c>
      <c r="Q2031" s="1">
        <v>311403</v>
      </c>
      <c r="R2031" s="1">
        <v>0</v>
      </c>
      <c r="S2031">
        <v>98.026300000000006</v>
      </c>
      <c r="T2031">
        <v>98.274000000000001</v>
      </c>
      <c r="U2031">
        <v>3.9862000000000002</v>
      </c>
      <c r="V2031">
        <v>0</v>
      </c>
      <c r="W2031">
        <v>0</v>
      </c>
      <c r="X2031">
        <v>1.7553799999999999</v>
      </c>
      <c r="Y2031">
        <v>1.7553799999999999</v>
      </c>
      <c r="Z2031">
        <v>0</v>
      </c>
      <c r="AA2031">
        <v>1.74129</v>
      </c>
      <c r="AB2031">
        <v>3.3868800000000001</v>
      </c>
      <c r="AC2031" s="2">
        <v>1094530000</v>
      </c>
      <c r="AD2031" s="1">
        <v>0</v>
      </c>
      <c r="AE2031" s="1">
        <v>0</v>
      </c>
      <c r="AF2031" s="1">
        <v>0</v>
      </c>
      <c r="AG2031" s="1">
        <v>0</v>
      </c>
      <c r="AH2031" s="2">
        <v>4541590</v>
      </c>
      <c r="AI2031" s="1">
        <v>148038</v>
      </c>
      <c r="AJ2031" s="1">
        <v>0</v>
      </c>
      <c r="AK2031" s="8">
        <f t="shared" si="127"/>
        <v>2</v>
      </c>
      <c r="AL2031" s="8">
        <f t="shared" si="126"/>
        <v>40</v>
      </c>
      <c r="AM2031">
        <f t="shared" si="124"/>
        <v>0</v>
      </c>
      <c r="AN2031">
        <f t="shared" si="125"/>
        <v>0</v>
      </c>
    </row>
    <row r="2032" spans="1:40" x14ac:dyDescent="0.35">
      <c r="A2032">
        <v>45.743699999999997</v>
      </c>
      <c r="B2032">
        <v>85.138999999999996</v>
      </c>
      <c r="C2032">
        <v>3.62052</v>
      </c>
      <c r="D2032">
        <v>0</v>
      </c>
      <c r="E2032">
        <v>0.04</v>
      </c>
      <c r="F2032">
        <v>3.0291399999999999</v>
      </c>
      <c r="G2032">
        <v>3.0291399999999999</v>
      </c>
      <c r="H2032">
        <v>0</v>
      </c>
      <c r="I2032">
        <v>0.56766399999999995</v>
      </c>
      <c r="J2032">
        <v>5.3222399999999999</v>
      </c>
      <c r="K2032" s="2">
        <v>215225000</v>
      </c>
      <c r="L2032" s="1">
        <v>0</v>
      </c>
      <c r="M2032" s="1">
        <v>0</v>
      </c>
      <c r="N2032" s="1">
        <v>0</v>
      </c>
      <c r="O2032" s="1">
        <v>0</v>
      </c>
      <c r="P2032" s="2">
        <v>4528490</v>
      </c>
      <c r="Q2032" s="1">
        <v>311402</v>
      </c>
      <c r="R2032" s="1">
        <v>0</v>
      </c>
      <c r="S2032">
        <v>98.8125</v>
      </c>
      <c r="T2032">
        <v>98.274000000000001</v>
      </c>
      <c r="U2032">
        <v>4.8891499999999999</v>
      </c>
      <c r="V2032">
        <v>0</v>
      </c>
      <c r="W2032">
        <v>0</v>
      </c>
      <c r="X2032">
        <v>1.7553700000000001</v>
      </c>
      <c r="Y2032">
        <v>1.7553700000000001</v>
      </c>
      <c r="Z2032">
        <v>0</v>
      </c>
      <c r="AA2032">
        <v>1.3562099999999999</v>
      </c>
      <c r="AB2032">
        <v>3.3868800000000001</v>
      </c>
      <c r="AC2032" s="2">
        <v>1094680000</v>
      </c>
      <c r="AD2032" s="1">
        <v>0</v>
      </c>
      <c r="AE2032" s="1">
        <v>0</v>
      </c>
      <c r="AF2032" s="1">
        <v>0</v>
      </c>
      <c r="AG2032" s="1">
        <v>0</v>
      </c>
      <c r="AH2032" s="2">
        <v>4541570</v>
      </c>
      <c r="AI2032" s="1">
        <v>148038</v>
      </c>
      <c r="AJ2032" s="1">
        <v>0</v>
      </c>
      <c r="AK2032" s="8">
        <f t="shared" si="127"/>
        <v>3</v>
      </c>
      <c r="AL2032" s="8">
        <f t="shared" si="126"/>
        <v>40</v>
      </c>
      <c r="AM2032">
        <f t="shared" si="124"/>
        <v>0</v>
      </c>
      <c r="AN2032">
        <f t="shared" si="125"/>
        <v>0</v>
      </c>
    </row>
    <row r="2033" spans="1:40" x14ac:dyDescent="0.35">
      <c r="A2033">
        <v>46.569299999999998</v>
      </c>
      <c r="B2033">
        <v>85.138999999999996</v>
      </c>
      <c r="C2033">
        <v>3.8095500000000002</v>
      </c>
      <c r="D2033">
        <v>0</v>
      </c>
      <c r="E2033">
        <v>0.04</v>
      </c>
      <c r="F2033">
        <v>3.0291299999999999</v>
      </c>
      <c r="G2033">
        <v>3.0291299999999999</v>
      </c>
      <c r="H2033">
        <v>0</v>
      </c>
      <c r="I2033">
        <v>0.567662</v>
      </c>
      <c r="J2033">
        <v>5.3222399999999999</v>
      </c>
      <c r="K2033" s="2">
        <v>215537000</v>
      </c>
      <c r="L2033" s="1">
        <v>0</v>
      </c>
      <c r="M2033" s="1">
        <v>0</v>
      </c>
      <c r="N2033" s="1">
        <v>0</v>
      </c>
      <c r="O2033" s="1">
        <v>0</v>
      </c>
      <c r="P2033" s="2">
        <v>4528470</v>
      </c>
      <c r="Q2033" s="1">
        <v>311400</v>
      </c>
      <c r="R2033" s="1">
        <v>0</v>
      </c>
      <c r="S2033">
        <v>99.302199999999999</v>
      </c>
      <c r="T2033">
        <v>98.274000000000001</v>
      </c>
      <c r="U2033">
        <v>5.5217700000000001</v>
      </c>
      <c r="V2033">
        <v>0</v>
      </c>
      <c r="W2033">
        <v>0</v>
      </c>
      <c r="X2033">
        <v>1.75536</v>
      </c>
      <c r="Y2033">
        <v>1.75536</v>
      </c>
      <c r="Z2033">
        <v>0</v>
      </c>
      <c r="AA2033">
        <v>1.3562000000000001</v>
      </c>
      <c r="AB2033">
        <v>3.3868800000000001</v>
      </c>
      <c r="AC2033" s="2">
        <v>1094830000</v>
      </c>
      <c r="AD2033" s="1">
        <v>0</v>
      </c>
      <c r="AE2033" s="1">
        <v>0</v>
      </c>
      <c r="AF2033" s="1">
        <v>0</v>
      </c>
      <c r="AG2033" s="1">
        <v>0</v>
      </c>
      <c r="AH2033" s="2">
        <v>4541540</v>
      </c>
      <c r="AI2033" s="1">
        <v>148037</v>
      </c>
      <c r="AJ2033" s="1">
        <v>0</v>
      </c>
      <c r="AK2033" s="8">
        <f t="shared" si="127"/>
        <v>4</v>
      </c>
      <c r="AL2033" s="8">
        <f t="shared" si="126"/>
        <v>40</v>
      </c>
      <c r="AM2033">
        <f t="shared" si="124"/>
        <v>0</v>
      </c>
      <c r="AN2033">
        <f t="shared" si="125"/>
        <v>0</v>
      </c>
    </row>
    <row r="2034" spans="1:40" x14ac:dyDescent="0.35">
      <c r="A2034">
        <v>48.482599999999998</v>
      </c>
      <c r="B2034">
        <v>85.138999999999996</v>
      </c>
      <c r="C2034">
        <v>5.19313</v>
      </c>
      <c r="D2034">
        <v>0</v>
      </c>
      <c r="E2034">
        <v>0.04</v>
      </c>
      <c r="F2034">
        <v>3.0291100000000002</v>
      </c>
      <c r="G2034">
        <v>3.0291100000000002</v>
      </c>
      <c r="H2034">
        <v>0</v>
      </c>
      <c r="I2034">
        <v>0.56765900000000002</v>
      </c>
      <c r="J2034">
        <v>5.3222399999999999</v>
      </c>
      <c r="K2034" s="2">
        <v>215848000</v>
      </c>
      <c r="L2034" s="1">
        <v>0</v>
      </c>
      <c r="M2034" s="1">
        <v>0</v>
      </c>
      <c r="N2034" s="1">
        <v>0</v>
      </c>
      <c r="O2034" s="1">
        <v>0</v>
      </c>
      <c r="P2034" s="2">
        <v>4528450</v>
      </c>
      <c r="Q2034" s="1">
        <v>311399</v>
      </c>
      <c r="R2034" s="1">
        <v>0</v>
      </c>
      <c r="S2034">
        <v>99.302199999999999</v>
      </c>
      <c r="T2034">
        <v>98.274000000000001</v>
      </c>
      <c r="U2034">
        <v>8.2474100000000004</v>
      </c>
      <c r="V2034">
        <v>0</v>
      </c>
      <c r="W2034">
        <v>0</v>
      </c>
      <c r="X2034">
        <v>1.75536</v>
      </c>
      <c r="Y2034">
        <v>1.75536</v>
      </c>
      <c r="Z2034">
        <v>0</v>
      </c>
      <c r="AA2034">
        <v>1.35619</v>
      </c>
      <c r="AB2034">
        <v>3.3868800000000001</v>
      </c>
      <c r="AC2034" s="2">
        <v>1094980000</v>
      </c>
      <c r="AD2034" s="1">
        <v>0</v>
      </c>
      <c r="AE2034" s="1">
        <v>0</v>
      </c>
      <c r="AF2034" s="1">
        <v>0</v>
      </c>
      <c r="AG2034" s="1">
        <v>0</v>
      </c>
      <c r="AH2034" s="2">
        <v>4541520</v>
      </c>
      <c r="AI2034" s="1">
        <v>148036</v>
      </c>
      <c r="AJ2034" s="1">
        <v>0</v>
      </c>
      <c r="AK2034" s="8">
        <f t="shared" si="127"/>
        <v>5</v>
      </c>
      <c r="AL2034" s="8">
        <f t="shared" si="126"/>
        <v>40</v>
      </c>
      <c r="AM2034">
        <f t="shared" si="124"/>
        <v>0</v>
      </c>
      <c r="AN2034">
        <f t="shared" si="125"/>
        <v>0</v>
      </c>
    </row>
    <row r="2035" spans="1:40" x14ac:dyDescent="0.35">
      <c r="A2035">
        <v>50.666400000000003</v>
      </c>
      <c r="B2035">
        <v>85.138999999999996</v>
      </c>
      <c r="C2035">
        <v>5.4413400000000003</v>
      </c>
      <c r="D2035">
        <v>0</v>
      </c>
      <c r="E2035">
        <v>0.04</v>
      </c>
      <c r="F2035">
        <v>3.0291000000000001</v>
      </c>
      <c r="G2035">
        <v>3.0291000000000001</v>
      </c>
      <c r="H2035">
        <v>0</v>
      </c>
      <c r="I2035">
        <v>0.56765600000000005</v>
      </c>
      <c r="J2035">
        <v>5.3222399999999999</v>
      </c>
      <c r="K2035" s="2">
        <v>216159000</v>
      </c>
      <c r="L2035" s="1">
        <v>0</v>
      </c>
      <c r="M2035" s="1">
        <v>0</v>
      </c>
      <c r="N2035" s="1">
        <v>0</v>
      </c>
      <c r="O2035" s="1">
        <v>0</v>
      </c>
      <c r="P2035" s="2">
        <v>4528430</v>
      </c>
      <c r="Q2035" s="1">
        <v>311397</v>
      </c>
      <c r="R2035" s="1">
        <v>0</v>
      </c>
      <c r="S2035">
        <v>99.302199999999999</v>
      </c>
      <c r="T2035">
        <v>98.274000000000001</v>
      </c>
      <c r="U2035">
        <v>9.2418999999999993</v>
      </c>
      <c r="V2035">
        <v>0</v>
      </c>
      <c r="W2035">
        <v>0</v>
      </c>
      <c r="X2035">
        <v>1.75535</v>
      </c>
      <c r="Y2035">
        <v>1.75535</v>
      </c>
      <c r="Z2035">
        <v>0</v>
      </c>
      <c r="AA2035">
        <v>1.35619</v>
      </c>
      <c r="AB2035">
        <v>3.3868800000000001</v>
      </c>
      <c r="AC2035" s="2">
        <v>1095120000</v>
      </c>
      <c r="AD2035" s="1">
        <v>0</v>
      </c>
      <c r="AE2035" s="1">
        <v>0</v>
      </c>
      <c r="AF2035" s="1">
        <v>0</v>
      </c>
      <c r="AG2035" s="1">
        <v>0</v>
      </c>
      <c r="AH2035" s="2">
        <v>4541500</v>
      </c>
      <c r="AI2035" s="1">
        <v>148035</v>
      </c>
      <c r="AJ2035" s="1">
        <v>0</v>
      </c>
      <c r="AK2035" s="8">
        <f t="shared" si="127"/>
        <v>6</v>
      </c>
      <c r="AL2035" s="8">
        <f t="shared" si="126"/>
        <v>40</v>
      </c>
      <c r="AM2035">
        <f t="shared" si="124"/>
        <v>0</v>
      </c>
      <c r="AN2035">
        <f t="shared" si="125"/>
        <v>0</v>
      </c>
    </row>
    <row r="2036" spans="1:40" x14ac:dyDescent="0.35">
      <c r="A2036">
        <v>53.2151</v>
      </c>
      <c r="B2036">
        <v>85.138999999999996</v>
      </c>
      <c r="C2036">
        <v>5.9854200000000004</v>
      </c>
      <c r="D2036">
        <v>0</v>
      </c>
      <c r="E2036">
        <v>0.04</v>
      </c>
      <c r="F2036">
        <v>3.1239699999999999</v>
      </c>
      <c r="G2036">
        <v>3.1239699999999999</v>
      </c>
      <c r="H2036">
        <v>0</v>
      </c>
      <c r="I2036">
        <v>0.56765299999999996</v>
      </c>
      <c r="J2036">
        <v>5.3222399999999999</v>
      </c>
      <c r="K2036" s="2">
        <v>216481000</v>
      </c>
      <c r="L2036" s="1">
        <v>0</v>
      </c>
      <c r="M2036" s="1">
        <v>0</v>
      </c>
      <c r="N2036" s="1">
        <v>0</v>
      </c>
      <c r="O2036" s="1">
        <v>0</v>
      </c>
      <c r="P2036" s="2">
        <v>4670260</v>
      </c>
      <c r="Q2036" s="1">
        <v>321151</v>
      </c>
      <c r="R2036" s="1">
        <v>0</v>
      </c>
      <c r="S2036">
        <v>99.302199999999999</v>
      </c>
      <c r="T2036">
        <v>98.274000000000001</v>
      </c>
      <c r="U2036">
        <v>7.6334799999999996</v>
      </c>
      <c r="V2036">
        <v>0</v>
      </c>
      <c r="W2036">
        <v>0</v>
      </c>
      <c r="X2036">
        <v>1.81209</v>
      </c>
      <c r="Y2036">
        <v>1.81209</v>
      </c>
      <c r="Z2036">
        <v>0</v>
      </c>
      <c r="AA2036">
        <v>1.3561799999999999</v>
      </c>
      <c r="AB2036">
        <v>3.3868800000000001</v>
      </c>
      <c r="AC2036" s="2">
        <v>1095280000</v>
      </c>
      <c r="AD2036" s="1">
        <v>0</v>
      </c>
      <c r="AE2036" s="1">
        <v>0</v>
      </c>
      <c r="AF2036" s="1">
        <v>0</v>
      </c>
      <c r="AG2036" s="1">
        <v>0</v>
      </c>
      <c r="AH2036" s="2">
        <v>4688310</v>
      </c>
      <c r="AI2036" s="1">
        <v>152821</v>
      </c>
      <c r="AJ2036" s="1">
        <v>0</v>
      </c>
      <c r="AK2036" s="8">
        <f t="shared" si="127"/>
        <v>7</v>
      </c>
      <c r="AL2036" s="8">
        <f t="shared" si="126"/>
        <v>40</v>
      </c>
      <c r="AM2036">
        <f t="shared" si="124"/>
        <v>0</v>
      </c>
      <c r="AN2036">
        <f t="shared" si="125"/>
        <v>0</v>
      </c>
    </row>
    <row r="2037" spans="1:40" x14ac:dyDescent="0.35">
      <c r="A2037">
        <v>56.500500000000002</v>
      </c>
      <c r="B2037">
        <v>85.138999999999996</v>
      </c>
      <c r="C2037">
        <v>6.7636200000000004</v>
      </c>
      <c r="D2037">
        <v>0</v>
      </c>
      <c r="E2037">
        <v>0.04</v>
      </c>
      <c r="F2037">
        <v>3.1239400000000002</v>
      </c>
      <c r="G2037">
        <v>3.1239400000000002</v>
      </c>
      <c r="H2037">
        <v>0</v>
      </c>
      <c r="I2037">
        <v>0.58543299999999998</v>
      </c>
      <c r="J2037">
        <v>5.3222399999999999</v>
      </c>
      <c r="K2037" s="2">
        <v>216802000</v>
      </c>
      <c r="L2037" s="1">
        <v>0</v>
      </c>
      <c r="M2037" s="1">
        <v>0</v>
      </c>
      <c r="N2037" s="1">
        <v>0</v>
      </c>
      <c r="O2037" s="1">
        <v>0</v>
      </c>
      <c r="P2037" s="2">
        <v>4670210</v>
      </c>
      <c r="Q2037" s="1">
        <v>321147</v>
      </c>
      <c r="R2037" s="1">
        <v>0</v>
      </c>
      <c r="S2037">
        <v>99.302199999999999</v>
      </c>
      <c r="T2037">
        <v>98.274000000000001</v>
      </c>
      <c r="U2037">
        <v>7.3771899999999997</v>
      </c>
      <c r="V2037">
        <v>0</v>
      </c>
      <c r="W2037">
        <v>0</v>
      </c>
      <c r="X2037">
        <v>1.8120700000000001</v>
      </c>
      <c r="Y2037">
        <v>1.8120700000000001</v>
      </c>
      <c r="Z2037">
        <v>0</v>
      </c>
      <c r="AA2037">
        <v>1.40002</v>
      </c>
      <c r="AB2037">
        <v>3.3868800000000001</v>
      </c>
      <c r="AC2037" s="2">
        <v>1095430000</v>
      </c>
      <c r="AD2037" s="1">
        <v>0</v>
      </c>
      <c r="AE2037" s="1">
        <v>0</v>
      </c>
      <c r="AF2037" s="1">
        <v>0</v>
      </c>
      <c r="AG2037" s="2">
        <v>7883220</v>
      </c>
      <c r="AH2037" s="2">
        <v>4688270</v>
      </c>
      <c r="AI2037" s="1">
        <v>152819</v>
      </c>
      <c r="AJ2037" s="1">
        <v>0</v>
      </c>
      <c r="AK2037" s="8">
        <f t="shared" si="127"/>
        <v>8</v>
      </c>
      <c r="AL2037" s="8">
        <f t="shared" si="126"/>
        <v>40</v>
      </c>
      <c r="AM2037">
        <f t="shared" si="124"/>
        <v>0</v>
      </c>
      <c r="AN2037">
        <f t="shared" si="125"/>
        <v>0</v>
      </c>
    </row>
    <row r="2038" spans="1:40" x14ac:dyDescent="0.35">
      <c r="A2038">
        <v>58.127499999999998</v>
      </c>
      <c r="B2038">
        <v>85.138999999999996</v>
      </c>
      <c r="C2038">
        <v>5.0091599999999996</v>
      </c>
      <c r="D2038">
        <v>0</v>
      </c>
      <c r="E2038">
        <v>0.04</v>
      </c>
      <c r="F2038">
        <v>3.12391</v>
      </c>
      <c r="G2038">
        <v>3.12391</v>
      </c>
      <c r="H2038">
        <v>0</v>
      </c>
      <c r="I2038">
        <v>0.585426</v>
      </c>
      <c r="J2038">
        <v>5.3222399999999999</v>
      </c>
      <c r="K2038" s="2">
        <v>217123000</v>
      </c>
      <c r="L2038" s="1">
        <v>0</v>
      </c>
      <c r="M2038" s="1">
        <v>0</v>
      </c>
      <c r="N2038" s="1">
        <v>0</v>
      </c>
      <c r="O2038" s="1">
        <v>0</v>
      </c>
      <c r="P2038" s="2">
        <v>4670160</v>
      </c>
      <c r="Q2038" s="1">
        <v>321144</v>
      </c>
      <c r="R2038" s="1">
        <v>0</v>
      </c>
      <c r="S2038">
        <v>99.302199999999999</v>
      </c>
      <c r="T2038">
        <v>98.274000000000001</v>
      </c>
      <c r="U2038">
        <v>6.5453000000000001</v>
      </c>
      <c r="V2038">
        <v>0</v>
      </c>
      <c r="W2038">
        <v>0</v>
      </c>
      <c r="X2038">
        <v>1.8120499999999999</v>
      </c>
      <c r="Y2038">
        <v>1.8120499999999999</v>
      </c>
      <c r="Z2038">
        <v>0</v>
      </c>
      <c r="AA2038">
        <v>1.40001</v>
      </c>
      <c r="AB2038">
        <v>3.3868800000000001</v>
      </c>
      <c r="AC2038" s="2">
        <v>1095580000</v>
      </c>
      <c r="AD2038" s="1">
        <v>0</v>
      </c>
      <c r="AE2038" s="1">
        <v>0</v>
      </c>
      <c r="AF2038" s="1">
        <v>0</v>
      </c>
      <c r="AG2038" s="1">
        <v>0</v>
      </c>
      <c r="AH2038" s="2">
        <v>4688220</v>
      </c>
      <c r="AI2038" s="1">
        <v>152818</v>
      </c>
      <c r="AJ2038" s="1">
        <v>0</v>
      </c>
      <c r="AK2038" s="8">
        <f t="shared" si="127"/>
        <v>9</v>
      </c>
      <c r="AL2038" s="8">
        <f t="shared" si="126"/>
        <v>40</v>
      </c>
      <c r="AM2038">
        <f t="shared" si="124"/>
        <v>0</v>
      </c>
      <c r="AN2038">
        <f t="shared" si="125"/>
        <v>0</v>
      </c>
    </row>
    <row r="2039" spans="1:40" x14ac:dyDescent="0.35">
      <c r="A2039">
        <v>62.779699999999998</v>
      </c>
      <c r="B2039">
        <v>85.138999999999996</v>
      </c>
      <c r="C2039">
        <v>8.1985899999999994</v>
      </c>
      <c r="D2039">
        <v>0</v>
      </c>
      <c r="E2039">
        <v>0.04</v>
      </c>
      <c r="F2039">
        <v>3.1238700000000001</v>
      </c>
      <c r="G2039">
        <v>3.1238700000000001</v>
      </c>
      <c r="H2039">
        <v>0</v>
      </c>
      <c r="I2039">
        <v>0.58542000000000005</v>
      </c>
      <c r="J2039">
        <v>5.3222399999999999</v>
      </c>
      <c r="K2039" s="2">
        <v>217444000</v>
      </c>
      <c r="L2039" s="1">
        <v>0</v>
      </c>
      <c r="M2039" s="1">
        <v>0</v>
      </c>
      <c r="N2039" s="1">
        <v>0</v>
      </c>
      <c r="O2039" s="1">
        <v>0</v>
      </c>
      <c r="P2039" s="2">
        <v>4670110</v>
      </c>
      <c r="Q2039" s="1">
        <v>321140</v>
      </c>
      <c r="R2039" s="1">
        <v>0</v>
      </c>
      <c r="S2039">
        <v>99.302199999999999</v>
      </c>
      <c r="T2039">
        <v>98.274000000000001</v>
      </c>
      <c r="U2039">
        <v>8.6684300000000007</v>
      </c>
      <c r="V2039">
        <v>0</v>
      </c>
      <c r="W2039">
        <v>0</v>
      </c>
      <c r="X2039">
        <v>1.81203</v>
      </c>
      <c r="Y2039">
        <v>1.81203</v>
      </c>
      <c r="Z2039">
        <v>0</v>
      </c>
      <c r="AA2039">
        <v>1.3999900000000001</v>
      </c>
      <c r="AB2039">
        <v>3.3868800000000001</v>
      </c>
      <c r="AC2039" s="2">
        <v>1095730000</v>
      </c>
      <c r="AD2039" s="1">
        <v>0</v>
      </c>
      <c r="AE2039" s="1">
        <v>0</v>
      </c>
      <c r="AF2039" s="1">
        <v>0</v>
      </c>
      <c r="AG2039" s="1">
        <v>0</v>
      </c>
      <c r="AH2039" s="2">
        <v>4688170</v>
      </c>
      <c r="AI2039" s="1">
        <v>152816</v>
      </c>
      <c r="AJ2039" s="1">
        <v>0</v>
      </c>
      <c r="AK2039" s="8">
        <f t="shared" si="127"/>
        <v>10</v>
      </c>
      <c r="AL2039" s="8">
        <f t="shared" si="126"/>
        <v>40</v>
      </c>
      <c r="AM2039">
        <f t="shared" si="124"/>
        <v>0</v>
      </c>
      <c r="AN2039">
        <f t="shared" si="125"/>
        <v>0</v>
      </c>
    </row>
    <row r="2040" spans="1:40" x14ac:dyDescent="0.35">
      <c r="A2040">
        <v>63.464799999999997</v>
      </c>
      <c r="B2040">
        <v>85.138999999999996</v>
      </c>
      <c r="C2040">
        <v>4.4208999999999996</v>
      </c>
      <c r="D2040">
        <v>0</v>
      </c>
      <c r="E2040">
        <v>0.04</v>
      </c>
      <c r="F2040">
        <v>3.4285299999999999</v>
      </c>
      <c r="G2040">
        <v>3.4285299999999999</v>
      </c>
      <c r="H2040">
        <v>0</v>
      </c>
      <c r="I2040">
        <v>0.58541399999999999</v>
      </c>
      <c r="J2040">
        <v>5.3222399999999999</v>
      </c>
      <c r="K2040" s="2">
        <v>217796000</v>
      </c>
      <c r="L2040" s="1">
        <v>0</v>
      </c>
      <c r="M2040" s="1">
        <v>0</v>
      </c>
      <c r="N2040" s="1">
        <v>0</v>
      </c>
      <c r="O2040" s="1">
        <v>0</v>
      </c>
      <c r="P2040" s="2">
        <v>5125570</v>
      </c>
      <c r="Q2040" s="1">
        <v>352460</v>
      </c>
      <c r="R2040" s="1">
        <v>0</v>
      </c>
      <c r="S2040">
        <v>99.302199999999999</v>
      </c>
      <c r="T2040">
        <v>98.274000000000001</v>
      </c>
      <c r="U2040">
        <v>4.7431799999999997</v>
      </c>
      <c r="V2040">
        <v>0</v>
      </c>
      <c r="W2040">
        <v>0</v>
      </c>
      <c r="X2040">
        <v>2.0250699999999999</v>
      </c>
      <c r="Y2040">
        <v>2.0250699999999999</v>
      </c>
      <c r="Z2040">
        <v>0</v>
      </c>
      <c r="AA2040">
        <v>1.39998</v>
      </c>
      <c r="AB2040">
        <v>3.3868800000000001</v>
      </c>
      <c r="AC2040" s="2">
        <v>1095910000</v>
      </c>
      <c r="AD2040" s="1">
        <v>0</v>
      </c>
      <c r="AE2040" s="1">
        <v>0</v>
      </c>
      <c r="AF2040" s="1">
        <v>0</v>
      </c>
      <c r="AG2040" s="1">
        <v>0</v>
      </c>
      <c r="AH2040" s="2">
        <v>5239340</v>
      </c>
      <c r="AI2040" s="1">
        <v>170782</v>
      </c>
      <c r="AJ2040" s="1">
        <v>0</v>
      </c>
      <c r="AK2040" s="8">
        <f t="shared" si="127"/>
        <v>11</v>
      </c>
      <c r="AL2040" s="8">
        <f t="shared" si="126"/>
        <v>40</v>
      </c>
      <c r="AM2040">
        <f t="shared" si="124"/>
        <v>0</v>
      </c>
      <c r="AN2040">
        <f t="shared" si="125"/>
        <v>0</v>
      </c>
    </row>
    <row r="2041" spans="1:40" x14ac:dyDescent="0.35">
      <c r="A2041">
        <v>63.402099999999997</v>
      </c>
      <c r="B2041">
        <v>85.138999999999996</v>
      </c>
      <c r="C2041">
        <v>3.7262599999999999</v>
      </c>
      <c r="D2041">
        <v>0</v>
      </c>
      <c r="E2041">
        <v>0.04</v>
      </c>
      <c r="F2041">
        <v>3.4285000000000001</v>
      </c>
      <c r="G2041">
        <v>3.4285000000000001</v>
      </c>
      <c r="H2041">
        <v>0</v>
      </c>
      <c r="I2041">
        <v>0.64250700000000005</v>
      </c>
      <c r="J2041">
        <v>5.3222399999999999</v>
      </c>
      <c r="K2041" s="2">
        <v>218149000</v>
      </c>
      <c r="L2041" s="1">
        <v>0</v>
      </c>
      <c r="M2041" s="1">
        <v>0</v>
      </c>
      <c r="N2041" s="1">
        <v>0</v>
      </c>
      <c r="O2041" s="1">
        <v>0</v>
      </c>
      <c r="P2041" s="2">
        <v>5125520</v>
      </c>
      <c r="Q2041" s="1">
        <v>352456</v>
      </c>
      <c r="R2041" s="1">
        <v>0</v>
      </c>
      <c r="S2041">
        <v>99.302199999999999</v>
      </c>
      <c r="T2041">
        <v>98.274000000000001</v>
      </c>
      <c r="U2041">
        <v>5.1753900000000002</v>
      </c>
      <c r="V2041">
        <v>0</v>
      </c>
      <c r="W2041">
        <v>0</v>
      </c>
      <c r="X2041">
        <v>2.0250499999999998</v>
      </c>
      <c r="Y2041">
        <v>2.0250499999999998</v>
      </c>
      <c r="Z2041">
        <v>0</v>
      </c>
      <c r="AA2041">
        <v>1.56457</v>
      </c>
      <c r="AB2041">
        <v>3.3868800000000001</v>
      </c>
      <c r="AC2041" s="2">
        <v>1096080000</v>
      </c>
      <c r="AD2041" s="1">
        <v>0</v>
      </c>
      <c r="AE2041" s="1">
        <v>0</v>
      </c>
      <c r="AF2041" s="1">
        <v>0</v>
      </c>
      <c r="AG2041" s="1">
        <v>0</v>
      </c>
      <c r="AH2041" s="2">
        <v>5239280</v>
      </c>
      <c r="AI2041" s="1">
        <v>170780</v>
      </c>
      <c r="AJ2041" s="1">
        <v>0</v>
      </c>
      <c r="AK2041" s="8">
        <f t="shared" si="127"/>
        <v>12</v>
      </c>
      <c r="AL2041" s="8">
        <f t="shared" si="126"/>
        <v>40</v>
      </c>
      <c r="AM2041">
        <f t="shared" si="124"/>
        <v>0</v>
      </c>
      <c r="AN2041">
        <f t="shared" si="125"/>
        <v>0</v>
      </c>
    </row>
    <row r="2042" spans="1:40" x14ac:dyDescent="0.35">
      <c r="A2042">
        <v>66.580399999999997</v>
      </c>
      <c r="B2042">
        <v>85.138999999999996</v>
      </c>
      <c r="C2042">
        <v>7.0651599999999997</v>
      </c>
      <c r="D2042">
        <v>0</v>
      </c>
      <c r="E2042">
        <v>0.04</v>
      </c>
      <c r="F2042">
        <v>3.4284599999999998</v>
      </c>
      <c r="G2042">
        <v>3.4284599999999998</v>
      </c>
      <c r="H2042">
        <v>0</v>
      </c>
      <c r="I2042">
        <v>0.64249999999999996</v>
      </c>
      <c r="J2042">
        <v>5.3222399999999999</v>
      </c>
      <c r="K2042" s="2">
        <v>218501000</v>
      </c>
      <c r="L2042" s="1">
        <v>0</v>
      </c>
      <c r="M2042" s="1">
        <v>0</v>
      </c>
      <c r="N2042" s="1">
        <v>0</v>
      </c>
      <c r="O2042" s="1">
        <v>0</v>
      </c>
      <c r="P2042" s="2">
        <v>5125460</v>
      </c>
      <c r="Q2042" s="1">
        <v>352453</v>
      </c>
      <c r="R2042" s="1">
        <v>0</v>
      </c>
      <c r="S2042">
        <v>99.302199999999999</v>
      </c>
      <c r="T2042">
        <v>98.274000000000001</v>
      </c>
      <c r="U2042">
        <v>9.4293899999999997</v>
      </c>
      <c r="V2042">
        <v>0</v>
      </c>
      <c r="W2042">
        <v>0</v>
      </c>
      <c r="X2042">
        <v>2.0250300000000001</v>
      </c>
      <c r="Y2042">
        <v>2.0250300000000001</v>
      </c>
      <c r="Z2042">
        <v>0</v>
      </c>
      <c r="AA2042">
        <v>1.5645500000000001</v>
      </c>
      <c r="AB2042">
        <v>3.3868800000000001</v>
      </c>
      <c r="AC2042" s="2">
        <v>1096250000</v>
      </c>
      <c r="AD2042" s="1">
        <v>0</v>
      </c>
      <c r="AE2042" s="1">
        <v>0</v>
      </c>
      <c r="AF2042" s="1">
        <v>0</v>
      </c>
      <c r="AG2042" s="1">
        <v>0</v>
      </c>
      <c r="AH2042" s="2">
        <v>5239230</v>
      </c>
      <c r="AI2042" s="1">
        <v>170779</v>
      </c>
      <c r="AJ2042" s="1">
        <v>0</v>
      </c>
      <c r="AK2042" s="8">
        <f t="shared" si="127"/>
        <v>13</v>
      </c>
      <c r="AL2042" s="8">
        <f t="shared" si="126"/>
        <v>40</v>
      </c>
      <c r="AM2042">
        <f t="shared" si="124"/>
        <v>0</v>
      </c>
      <c r="AN2042">
        <f t="shared" si="125"/>
        <v>0</v>
      </c>
    </row>
    <row r="2043" spans="1:40" x14ac:dyDescent="0.35">
      <c r="A2043">
        <v>71.630799999999994</v>
      </c>
      <c r="B2043">
        <v>85.138999999999996</v>
      </c>
      <c r="C2043">
        <v>9.0563599999999997</v>
      </c>
      <c r="D2043">
        <v>0</v>
      </c>
      <c r="E2043">
        <v>0.04</v>
      </c>
      <c r="F2043">
        <v>3.4284300000000001</v>
      </c>
      <c r="G2043">
        <v>3.4284300000000001</v>
      </c>
      <c r="H2043">
        <v>0</v>
      </c>
      <c r="I2043">
        <v>0.64249400000000001</v>
      </c>
      <c r="J2043">
        <v>5.3222399999999999</v>
      </c>
      <c r="K2043" s="2">
        <v>218854000</v>
      </c>
      <c r="L2043" s="1">
        <v>0</v>
      </c>
      <c r="M2043" s="1">
        <v>0</v>
      </c>
      <c r="N2043" s="1">
        <v>0</v>
      </c>
      <c r="O2043" s="1">
        <v>0</v>
      </c>
      <c r="P2043" s="2">
        <v>5125410</v>
      </c>
      <c r="Q2043" s="1">
        <v>352449</v>
      </c>
      <c r="R2043" s="1">
        <v>0</v>
      </c>
      <c r="S2043">
        <v>99.302199999999999</v>
      </c>
      <c r="T2043">
        <v>98.274000000000001</v>
      </c>
      <c r="U2043">
        <v>13.59</v>
      </c>
      <c r="V2043">
        <v>0</v>
      </c>
      <c r="W2043">
        <v>0</v>
      </c>
      <c r="X2043">
        <v>2.02501</v>
      </c>
      <c r="Y2043">
        <v>2.02501</v>
      </c>
      <c r="Z2043">
        <v>0</v>
      </c>
      <c r="AA2043">
        <v>1.56454</v>
      </c>
      <c r="AB2043">
        <v>3.3868800000000001</v>
      </c>
      <c r="AC2043" s="2">
        <v>1096420000</v>
      </c>
      <c r="AD2043" s="1">
        <v>0</v>
      </c>
      <c r="AE2043" s="1">
        <v>0</v>
      </c>
      <c r="AF2043" s="1">
        <v>0</v>
      </c>
      <c r="AG2043" s="1">
        <v>0</v>
      </c>
      <c r="AH2043" s="2">
        <v>5239170</v>
      </c>
      <c r="AI2043" s="1">
        <v>170777</v>
      </c>
      <c r="AJ2043" s="1">
        <v>0</v>
      </c>
      <c r="AK2043" s="8">
        <f t="shared" si="127"/>
        <v>14</v>
      </c>
      <c r="AL2043" s="8">
        <f t="shared" si="126"/>
        <v>40</v>
      </c>
      <c r="AM2043">
        <f t="shared" si="124"/>
        <v>0</v>
      </c>
      <c r="AN2043">
        <f t="shared" si="125"/>
        <v>0</v>
      </c>
    </row>
    <row r="2044" spans="1:40" x14ac:dyDescent="0.35">
      <c r="A2044">
        <v>71.652100000000004</v>
      </c>
      <c r="B2044">
        <v>85.138999999999996</v>
      </c>
      <c r="C2044">
        <v>3.30674</v>
      </c>
      <c r="D2044">
        <v>0</v>
      </c>
      <c r="E2044">
        <v>0.04</v>
      </c>
      <c r="F2044">
        <v>2.9938199999999999</v>
      </c>
      <c r="G2044">
        <v>2.9938199999999999</v>
      </c>
      <c r="H2044">
        <v>0</v>
      </c>
      <c r="I2044">
        <v>0.64248700000000003</v>
      </c>
      <c r="J2044">
        <v>5.3222399999999999</v>
      </c>
      <c r="K2044" s="2">
        <v>219162000</v>
      </c>
      <c r="L2044" s="1">
        <v>0</v>
      </c>
      <c r="M2044" s="1">
        <v>0</v>
      </c>
      <c r="N2044" s="1">
        <v>0</v>
      </c>
      <c r="O2044" s="1">
        <v>0</v>
      </c>
      <c r="P2044" s="2">
        <v>4475680</v>
      </c>
      <c r="Q2044" s="1">
        <v>307770</v>
      </c>
      <c r="R2044" s="1">
        <v>0</v>
      </c>
      <c r="S2044">
        <v>99.15</v>
      </c>
      <c r="T2044">
        <v>98.274000000000001</v>
      </c>
      <c r="U2044">
        <v>4.1899600000000001</v>
      </c>
      <c r="V2044">
        <v>0</v>
      </c>
      <c r="W2044">
        <v>0</v>
      </c>
      <c r="X2044">
        <v>1.73908</v>
      </c>
      <c r="Y2044">
        <v>1.73908</v>
      </c>
      <c r="Z2044">
        <v>0</v>
      </c>
      <c r="AA2044">
        <v>1.5645199999999999</v>
      </c>
      <c r="AB2044">
        <v>3.3868800000000001</v>
      </c>
      <c r="AC2044" s="2">
        <v>1096560000</v>
      </c>
      <c r="AD2044" s="1">
        <v>0</v>
      </c>
      <c r="AE2044" s="1">
        <v>0</v>
      </c>
      <c r="AF2044" s="1">
        <v>0</v>
      </c>
      <c r="AG2044" s="1">
        <v>0</v>
      </c>
      <c r="AH2044" s="2">
        <v>4499400</v>
      </c>
      <c r="AI2044" s="1">
        <v>146663</v>
      </c>
      <c r="AJ2044" s="1">
        <v>0</v>
      </c>
      <c r="AK2044" s="8">
        <f t="shared" si="127"/>
        <v>15</v>
      </c>
      <c r="AL2044" s="8">
        <f t="shared" si="126"/>
        <v>40</v>
      </c>
      <c r="AM2044">
        <f t="shared" si="124"/>
        <v>0</v>
      </c>
      <c r="AN2044">
        <f t="shared" si="125"/>
        <v>0</v>
      </c>
    </row>
    <row r="2045" spans="1:40" x14ac:dyDescent="0.35">
      <c r="A2045">
        <v>73.941400000000002</v>
      </c>
      <c r="B2045">
        <v>85.138999999999996</v>
      </c>
      <c r="C2045">
        <v>5.7141400000000004</v>
      </c>
      <c r="D2045">
        <v>0</v>
      </c>
      <c r="E2045">
        <v>0.04</v>
      </c>
      <c r="F2045">
        <v>2.9937900000000002</v>
      </c>
      <c r="G2045">
        <v>2.9937900000000002</v>
      </c>
      <c r="H2045">
        <v>0</v>
      </c>
      <c r="I2045">
        <v>0.56104200000000004</v>
      </c>
      <c r="J2045">
        <v>5.3222399999999999</v>
      </c>
      <c r="K2045" s="2">
        <v>219469000</v>
      </c>
      <c r="L2045" s="1">
        <v>0</v>
      </c>
      <c r="M2045" s="1">
        <v>0</v>
      </c>
      <c r="N2045" s="1">
        <v>0</v>
      </c>
      <c r="O2045" s="1">
        <v>0</v>
      </c>
      <c r="P2045" s="2">
        <v>4475640</v>
      </c>
      <c r="Q2045" s="1">
        <v>307767</v>
      </c>
      <c r="R2045" s="1">
        <v>0</v>
      </c>
      <c r="S2045">
        <v>99.302199999999999</v>
      </c>
      <c r="T2045">
        <v>98.274000000000001</v>
      </c>
      <c r="U2045">
        <v>5.4541199999999996</v>
      </c>
      <c r="V2045">
        <v>0</v>
      </c>
      <c r="W2045">
        <v>0</v>
      </c>
      <c r="X2045">
        <v>1.7390600000000001</v>
      </c>
      <c r="Y2045">
        <v>1.7390600000000001</v>
      </c>
      <c r="Z2045">
        <v>0</v>
      </c>
      <c r="AA2045">
        <v>1.34361</v>
      </c>
      <c r="AB2045">
        <v>3.3868800000000001</v>
      </c>
      <c r="AC2045" s="2">
        <v>1096710000</v>
      </c>
      <c r="AD2045" s="1">
        <v>0</v>
      </c>
      <c r="AE2045" s="1">
        <v>0</v>
      </c>
      <c r="AF2045" s="1">
        <v>0</v>
      </c>
      <c r="AG2045" s="1">
        <v>0</v>
      </c>
      <c r="AH2045" s="2">
        <v>4499350</v>
      </c>
      <c r="AI2045" s="1">
        <v>146662</v>
      </c>
      <c r="AJ2045" s="1">
        <v>0</v>
      </c>
      <c r="AK2045" s="8">
        <f t="shared" si="127"/>
        <v>16</v>
      </c>
      <c r="AL2045" s="8">
        <f t="shared" si="126"/>
        <v>40</v>
      </c>
      <c r="AM2045">
        <f t="shared" si="124"/>
        <v>0</v>
      </c>
      <c r="AN2045">
        <f t="shared" si="125"/>
        <v>0</v>
      </c>
    </row>
    <row r="2046" spans="1:40" x14ac:dyDescent="0.35">
      <c r="A2046">
        <v>74.431600000000003</v>
      </c>
      <c r="B2046">
        <v>85.138999999999996</v>
      </c>
      <c r="C2046">
        <v>3.9380199999999999</v>
      </c>
      <c r="D2046">
        <v>0</v>
      </c>
      <c r="E2046">
        <v>0.04</v>
      </c>
      <c r="F2046">
        <v>2.99376</v>
      </c>
      <c r="G2046">
        <v>2.99376</v>
      </c>
      <c r="H2046">
        <v>0</v>
      </c>
      <c r="I2046">
        <v>0.56103599999999998</v>
      </c>
      <c r="J2046">
        <v>5.3222399999999999</v>
      </c>
      <c r="K2046" s="2">
        <v>219777000</v>
      </c>
      <c r="L2046" s="1">
        <v>0</v>
      </c>
      <c r="M2046" s="1">
        <v>0</v>
      </c>
      <c r="N2046" s="1">
        <v>0</v>
      </c>
      <c r="O2046" s="1">
        <v>0</v>
      </c>
      <c r="P2046" s="2">
        <v>4475590</v>
      </c>
      <c r="Q2046" s="1">
        <v>307764</v>
      </c>
      <c r="R2046" s="1">
        <v>0</v>
      </c>
      <c r="S2046">
        <v>99.302199999999999</v>
      </c>
      <c r="T2046">
        <v>98.274000000000001</v>
      </c>
      <c r="U2046">
        <v>4.5239799999999999</v>
      </c>
      <c r="V2046">
        <v>0</v>
      </c>
      <c r="W2046">
        <v>0</v>
      </c>
      <c r="X2046">
        <v>1.7390399999999999</v>
      </c>
      <c r="Y2046">
        <v>1.7390399999999999</v>
      </c>
      <c r="Z2046">
        <v>0</v>
      </c>
      <c r="AA2046">
        <v>1.3435999999999999</v>
      </c>
      <c r="AB2046">
        <v>3.3868800000000001</v>
      </c>
      <c r="AC2046" s="2">
        <v>1096860000</v>
      </c>
      <c r="AD2046" s="1">
        <v>0</v>
      </c>
      <c r="AE2046" s="1">
        <v>0</v>
      </c>
      <c r="AF2046" s="1">
        <v>0</v>
      </c>
      <c r="AG2046" s="1">
        <v>0</v>
      </c>
      <c r="AH2046" s="2">
        <v>4499310</v>
      </c>
      <c r="AI2046" s="1">
        <v>146660</v>
      </c>
      <c r="AJ2046" s="1">
        <v>0</v>
      </c>
      <c r="AK2046" s="8">
        <f t="shared" si="127"/>
        <v>17</v>
      </c>
      <c r="AL2046" s="8">
        <f t="shared" si="126"/>
        <v>40</v>
      </c>
      <c r="AM2046">
        <f t="shared" si="124"/>
        <v>0</v>
      </c>
      <c r="AN2046">
        <f t="shared" si="125"/>
        <v>0</v>
      </c>
    </row>
    <row r="2047" spans="1:40" x14ac:dyDescent="0.35">
      <c r="A2047">
        <v>75.324100000000001</v>
      </c>
      <c r="B2047">
        <v>85.138999999999996</v>
      </c>
      <c r="C2047">
        <v>4.4123400000000004</v>
      </c>
      <c r="D2047">
        <v>0</v>
      </c>
      <c r="E2047">
        <v>0.04</v>
      </c>
      <c r="F2047">
        <v>2.9937200000000002</v>
      </c>
      <c r="G2047">
        <v>2.9937200000000002</v>
      </c>
      <c r="H2047">
        <v>0</v>
      </c>
      <c r="I2047">
        <v>0.56103000000000003</v>
      </c>
      <c r="J2047">
        <v>5.3222399999999999</v>
      </c>
      <c r="K2047" s="2">
        <v>220085000</v>
      </c>
      <c r="L2047" s="1">
        <v>0</v>
      </c>
      <c r="M2047" s="1">
        <v>0</v>
      </c>
      <c r="N2047" s="1">
        <v>0</v>
      </c>
      <c r="O2047" s="1">
        <v>0</v>
      </c>
      <c r="P2047" s="2">
        <v>4475540</v>
      </c>
      <c r="Q2047" s="1">
        <v>307761</v>
      </c>
      <c r="R2047" s="1">
        <v>0</v>
      </c>
      <c r="S2047">
        <v>99.302199999999999</v>
      </c>
      <c r="T2047">
        <v>98.274000000000001</v>
      </c>
      <c r="U2047">
        <v>6.5731400000000004</v>
      </c>
      <c r="V2047">
        <v>0</v>
      </c>
      <c r="W2047">
        <v>0</v>
      </c>
      <c r="X2047">
        <v>1.73902</v>
      </c>
      <c r="Y2047">
        <v>1.73902</v>
      </c>
      <c r="Z2047">
        <v>0</v>
      </c>
      <c r="AA2047">
        <v>1.34358</v>
      </c>
      <c r="AB2047">
        <v>3.3868800000000001</v>
      </c>
      <c r="AC2047" s="2">
        <v>1097000000</v>
      </c>
      <c r="AD2047" s="1">
        <v>0</v>
      </c>
      <c r="AE2047" s="1">
        <v>0</v>
      </c>
      <c r="AF2047" s="1">
        <v>0</v>
      </c>
      <c r="AG2047" s="1">
        <v>0</v>
      </c>
      <c r="AH2047" s="2">
        <v>4499260</v>
      </c>
      <c r="AI2047" s="1">
        <v>146659</v>
      </c>
      <c r="AJ2047" s="1">
        <v>0</v>
      </c>
      <c r="AK2047" s="8">
        <f t="shared" si="127"/>
        <v>18</v>
      </c>
      <c r="AL2047" s="8">
        <f t="shared" si="126"/>
        <v>40</v>
      </c>
      <c r="AM2047">
        <f t="shared" si="124"/>
        <v>0</v>
      </c>
      <c r="AN2047">
        <f t="shared" si="125"/>
        <v>0</v>
      </c>
    </row>
    <row r="2048" spans="1:40" x14ac:dyDescent="0.35">
      <c r="A2048">
        <v>77.128200000000007</v>
      </c>
      <c r="B2048">
        <v>85.138999999999996</v>
      </c>
      <c r="C2048">
        <v>5.4151600000000002</v>
      </c>
      <c r="D2048">
        <v>0</v>
      </c>
      <c r="E2048">
        <v>0.04</v>
      </c>
      <c r="F2048">
        <v>2.99369</v>
      </c>
      <c r="G2048">
        <v>2.99369</v>
      </c>
      <c r="H2048">
        <v>0</v>
      </c>
      <c r="I2048">
        <v>0.56102399999999997</v>
      </c>
      <c r="J2048">
        <v>5.3222399999999999</v>
      </c>
      <c r="K2048" s="2">
        <v>220393000</v>
      </c>
      <c r="L2048" s="1">
        <v>0</v>
      </c>
      <c r="M2048" s="1">
        <v>0</v>
      </c>
      <c r="N2048" s="1">
        <v>0</v>
      </c>
      <c r="O2048" s="1">
        <v>0</v>
      </c>
      <c r="P2048" s="2">
        <v>4475490</v>
      </c>
      <c r="Q2048" s="1">
        <v>307757</v>
      </c>
      <c r="R2048" s="1">
        <v>0</v>
      </c>
      <c r="S2048">
        <v>99.302199999999999</v>
      </c>
      <c r="T2048">
        <v>98.274000000000001</v>
      </c>
      <c r="U2048">
        <v>6.5734700000000004</v>
      </c>
      <c r="V2048">
        <v>0</v>
      </c>
      <c r="W2048">
        <v>0</v>
      </c>
      <c r="X2048">
        <v>1.7390000000000001</v>
      </c>
      <c r="Y2048">
        <v>1.7390000000000001</v>
      </c>
      <c r="Z2048">
        <v>0</v>
      </c>
      <c r="AA2048">
        <v>1.3435699999999999</v>
      </c>
      <c r="AB2048">
        <v>3.3868800000000001</v>
      </c>
      <c r="AC2048" s="2">
        <v>1097150000</v>
      </c>
      <c r="AD2048" s="1">
        <v>0</v>
      </c>
      <c r="AE2048" s="1">
        <v>0</v>
      </c>
      <c r="AF2048" s="1">
        <v>0</v>
      </c>
      <c r="AG2048" s="1">
        <v>0</v>
      </c>
      <c r="AH2048" s="2">
        <v>4499210</v>
      </c>
      <c r="AI2048" s="1">
        <v>146657</v>
      </c>
      <c r="AJ2048" s="1">
        <v>0</v>
      </c>
      <c r="AK2048" s="8">
        <f t="shared" si="127"/>
        <v>19</v>
      </c>
      <c r="AL2048" s="8">
        <f t="shared" si="126"/>
        <v>40</v>
      </c>
      <c r="AM2048">
        <f t="shared" si="124"/>
        <v>0</v>
      </c>
      <c r="AN2048">
        <f t="shared" si="125"/>
        <v>0</v>
      </c>
    </row>
    <row r="2049" spans="1:40" x14ac:dyDescent="0.35">
      <c r="A2049">
        <v>79.054699999999997</v>
      </c>
      <c r="B2049">
        <v>85.138999999999996</v>
      </c>
      <c r="C2049">
        <v>5.5759699999999999</v>
      </c>
      <c r="D2049">
        <v>0</v>
      </c>
      <c r="E2049">
        <v>0.04</v>
      </c>
      <c r="F2049">
        <v>3.10304</v>
      </c>
      <c r="G2049">
        <v>3.10304</v>
      </c>
      <c r="H2049">
        <v>0</v>
      </c>
      <c r="I2049">
        <v>0.56101800000000002</v>
      </c>
      <c r="J2049">
        <v>5.3222399999999999</v>
      </c>
      <c r="K2049" s="2">
        <v>220712000</v>
      </c>
      <c r="L2049" s="1">
        <v>0</v>
      </c>
      <c r="M2049" s="1">
        <v>0</v>
      </c>
      <c r="N2049" s="1">
        <v>0</v>
      </c>
      <c r="O2049" s="1">
        <v>0</v>
      </c>
      <c r="P2049" s="2">
        <v>4638970</v>
      </c>
      <c r="Q2049" s="1">
        <v>318999</v>
      </c>
      <c r="R2049" s="1">
        <v>0</v>
      </c>
      <c r="S2049">
        <v>99.302199999999999</v>
      </c>
      <c r="T2049">
        <v>98.274000000000001</v>
      </c>
      <c r="U2049">
        <v>6.4151100000000003</v>
      </c>
      <c r="V2049">
        <v>0</v>
      </c>
      <c r="W2049">
        <v>0</v>
      </c>
      <c r="X2049">
        <v>1.8089200000000001</v>
      </c>
      <c r="Y2049">
        <v>1.8089200000000001</v>
      </c>
      <c r="Z2049">
        <v>0</v>
      </c>
      <c r="AA2049">
        <v>1.34355</v>
      </c>
      <c r="AB2049">
        <v>3.3868800000000001</v>
      </c>
      <c r="AC2049" s="2">
        <v>1097300000</v>
      </c>
      <c r="AD2049" s="1">
        <v>0</v>
      </c>
      <c r="AE2049" s="1">
        <v>0</v>
      </c>
      <c r="AF2049" s="1">
        <v>0</v>
      </c>
      <c r="AG2049" s="1">
        <v>0</v>
      </c>
      <c r="AH2049" s="2">
        <v>4680120</v>
      </c>
      <c r="AI2049" s="1">
        <v>152554</v>
      </c>
      <c r="AJ2049" s="1">
        <v>0</v>
      </c>
      <c r="AK2049" s="8">
        <f t="shared" si="127"/>
        <v>20</v>
      </c>
      <c r="AL2049" s="8">
        <f t="shared" si="126"/>
        <v>40</v>
      </c>
      <c r="AM2049">
        <f t="shared" si="124"/>
        <v>0</v>
      </c>
      <c r="AN2049">
        <f t="shared" si="125"/>
        <v>0</v>
      </c>
    </row>
    <row r="2050" spans="1:40" x14ac:dyDescent="0.35">
      <c r="A2050">
        <v>80.267899999999997</v>
      </c>
      <c r="B2050">
        <v>85.138999999999996</v>
      </c>
      <c r="C2050">
        <v>4.8205600000000004</v>
      </c>
      <c r="D2050">
        <v>0</v>
      </c>
      <c r="E2050">
        <v>0.04</v>
      </c>
      <c r="F2050">
        <v>3.1030099999999998</v>
      </c>
      <c r="G2050">
        <v>3.1030099999999998</v>
      </c>
      <c r="H2050">
        <v>0</v>
      </c>
      <c r="I2050">
        <v>0.58150999999999997</v>
      </c>
      <c r="J2050">
        <v>5.3222399999999999</v>
      </c>
      <c r="K2050" s="2">
        <v>221031000</v>
      </c>
      <c r="L2050" s="1">
        <v>0</v>
      </c>
      <c r="M2050" s="1">
        <v>0</v>
      </c>
      <c r="N2050" s="1">
        <v>0</v>
      </c>
      <c r="O2050" s="1">
        <v>0</v>
      </c>
      <c r="P2050" s="2">
        <v>4638920</v>
      </c>
      <c r="Q2050" s="1">
        <v>318996</v>
      </c>
      <c r="R2050" s="1">
        <v>0</v>
      </c>
      <c r="S2050">
        <v>99.302199999999999</v>
      </c>
      <c r="T2050">
        <v>98.274000000000001</v>
      </c>
      <c r="U2050">
        <v>6.06107</v>
      </c>
      <c r="V2050">
        <v>0</v>
      </c>
      <c r="W2050">
        <v>0</v>
      </c>
      <c r="X2050">
        <v>1.80891</v>
      </c>
      <c r="Y2050">
        <v>1.80891</v>
      </c>
      <c r="Z2050">
        <v>0</v>
      </c>
      <c r="AA2050">
        <v>1.39757</v>
      </c>
      <c r="AB2050">
        <v>3.3868800000000001</v>
      </c>
      <c r="AC2050" s="2">
        <v>1097460000</v>
      </c>
      <c r="AD2050" s="1">
        <v>0</v>
      </c>
      <c r="AE2050" s="1">
        <v>0</v>
      </c>
      <c r="AF2050" s="1">
        <v>0</v>
      </c>
      <c r="AG2050" s="1">
        <v>0</v>
      </c>
      <c r="AH2050" s="2">
        <v>4680070</v>
      </c>
      <c r="AI2050" s="1">
        <v>152552</v>
      </c>
      <c r="AJ2050" s="1">
        <v>0</v>
      </c>
      <c r="AK2050" s="8">
        <f t="shared" si="127"/>
        <v>21</v>
      </c>
      <c r="AL2050" s="8">
        <f t="shared" si="126"/>
        <v>40</v>
      </c>
      <c r="AM2050">
        <f t="shared" si="124"/>
        <v>0</v>
      </c>
      <c r="AN2050">
        <f t="shared" si="125"/>
        <v>0</v>
      </c>
    </row>
    <row r="2051" spans="1:40" x14ac:dyDescent="0.35">
      <c r="A2051">
        <v>81.617199999999997</v>
      </c>
      <c r="B2051">
        <v>85.138999999999996</v>
      </c>
      <c r="C2051">
        <v>4.9056100000000002</v>
      </c>
      <c r="D2051">
        <v>0</v>
      </c>
      <c r="E2051">
        <v>0.04</v>
      </c>
      <c r="F2051">
        <v>3.1029800000000001</v>
      </c>
      <c r="G2051">
        <v>3.1029800000000001</v>
      </c>
      <c r="H2051">
        <v>0</v>
      </c>
      <c r="I2051">
        <v>0.58150400000000002</v>
      </c>
      <c r="J2051">
        <v>5.3222399999999999</v>
      </c>
      <c r="K2051" s="2">
        <v>221350000</v>
      </c>
      <c r="L2051" s="1">
        <v>0</v>
      </c>
      <c r="M2051" s="1">
        <v>0</v>
      </c>
      <c r="N2051" s="1">
        <v>0</v>
      </c>
      <c r="O2051" s="1">
        <v>0</v>
      </c>
      <c r="P2051" s="2">
        <v>4638870</v>
      </c>
      <c r="Q2051" s="1">
        <v>318992</v>
      </c>
      <c r="R2051" s="1">
        <v>0</v>
      </c>
      <c r="S2051">
        <v>99.302199999999999</v>
      </c>
      <c r="T2051">
        <v>98.274000000000001</v>
      </c>
      <c r="U2051">
        <v>5.6692299999999998</v>
      </c>
      <c r="V2051">
        <v>0</v>
      </c>
      <c r="W2051">
        <v>0</v>
      </c>
      <c r="X2051">
        <v>1.8088900000000001</v>
      </c>
      <c r="Y2051">
        <v>1.8088900000000001</v>
      </c>
      <c r="Z2051">
        <v>0</v>
      </c>
      <c r="AA2051">
        <v>1.3975599999999999</v>
      </c>
      <c r="AB2051">
        <v>3.3868800000000001</v>
      </c>
      <c r="AC2051" s="2">
        <v>1097610000</v>
      </c>
      <c r="AD2051" s="1">
        <v>0</v>
      </c>
      <c r="AE2051" s="1">
        <v>0</v>
      </c>
      <c r="AF2051" s="1">
        <v>0</v>
      </c>
      <c r="AG2051" s="1">
        <v>0</v>
      </c>
      <c r="AH2051" s="2">
        <v>4680020</v>
      </c>
      <c r="AI2051" s="1">
        <v>152551</v>
      </c>
      <c r="AJ2051" s="1">
        <v>0</v>
      </c>
      <c r="AK2051" s="8">
        <f t="shared" si="127"/>
        <v>22</v>
      </c>
      <c r="AL2051" s="8">
        <f t="shared" si="126"/>
        <v>40</v>
      </c>
      <c r="AM2051">
        <f t="shared" ref="AM2051:AM2081" si="128">IF(AK2051=52,AC2051,0)</f>
        <v>0</v>
      </c>
      <c r="AN2051">
        <f t="shared" ref="AN2051:AN2081" si="129">IF(AK2051=52,K2051,0)</f>
        <v>0</v>
      </c>
    </row>
    <row r="2052" spans="1:40" x14ac:dyDescent="0.35">
      <c r="A2052">
        <v>82.834800000000001</v>
      </c>
      <c r="B2052">
        <v>85.138999999999996</v>
      </c>
      <c r="C2052">
        <v>4.7856500000000004</v>
      </c>
      <c r="D2052">
        <v>0</v>
      </c>
      <c r="E2052">
        <v>0.04</v>
      </c>
      <c r="F2052">
        <v>3.1029499999999999</v>
      </c>
      <c r="G2052">
        <v>3.1029499999999999</v>
      </c>
      <c r="H2052">
        <v>0</v>
      </c>
      <c r="I2052">
        <v>0.58149799999999996</v>
      </c>
      <c r="J2052">
        <v>5.3222399999999999</v>
      </c>
      <c r="K2052" s="2">
        <v>221669000</v>
      </c>
      <c r="L2052" s="1">
        <v>0</v>
      </c>
      <c r="M2052" s="1">
        <v>0</v>
      </c>
      <c r="N2052" s="1">
        <v>0</v>
      </c>
      <c r="O2052" s="1">
        <v>0</v>
      </c>
      <c r="P2052" s="2">
        <v>4638820</v>
      </c>
      <c r="Q2052" s="1">
        <v>318989</v>
      </c>
      <c r="R2052" s="1">
        <v>0</v>
      </c>
      <c r="S2052">
        <v>99.302199999999999</v>
      </c>
      <c r="T2052">
        <v>98.274000000000001</v>
      </c>
      <c r="U2052">
        <v>5.6454899999999997</v>
      </c>
      <c r="V2052">
        <v>0</v>
      </c>
      <c r="W2052">
        <v>0</v>
      </c>
      <c r="X2052">
        <v>1.80887</v>
      </c>
      <c r="Y2052">
        <v>1.80887</v>
      </c>
      <c r="Z2052">
        <v>0</v>
      </c>
      <c r="AA2052">
        <v>1.3975500000000001</v>
      </c>
      <c r="AB2052">
        <v>3.3868800000000001</v>
      </c>
      <c r="AC2052" s="2">
        <v>1097760000</v>
      </c>
      <c r="AD2052" s="1">
        <v>0</v>
      </c>
      <c r="AE2052" s="1">
        <v>0</v>
      </c>
      <c r="AF2052" s="1">
        <v>0</v>
      </c>
      <c r="AG2052" s="1">
        <v>0</v>
      </c>
      <c r="AH2052" s="2">
        <v>4679970</v>
      </c>
      <c r="AI2052" s="1">
        <v>152549</v>
      </c>
      <c r="AJ2052" s="1">
        <v>0</v>
      </c>
      <c r="AK2052" s="8">
        <f t="shared" si="127"/>
        <v>23</v>
      </c>
      <c r="AL2052" s="8">
        <f t="shared" ref="AL2052:AL2081" si="130">IF(AK2051=52,AL2051+1,AL2051)</f>
        <v>40</v>
      </c>
      <c r="AM2052">
        <f t="shared" si="128"/>
        <v>0</v>
      </c>
      <c r="AN2052">
        <f t="shared" si="129"/>
        <v>0</v>
      </c>
    </row>
    <row r="2053" spans="1:40" x14ac:dyDescent="0.35">
      <c r="A2053">
        <v>83.029799999999994</v>
      </c>
      <c r="B2053">
        <v>85.138999999999996</v>
      </c>
      <c r="C2053">
        <v>3.6090100000000001</v>
      </c>
      <c r="D2053">
        <v>0</v>
      </c>
      <c r="E2053">
        <v>0.04</v>
      </c>
      <c r="F2053">
        <v>3.0601500000000001</v>
      </c>
      <c r="G2053">
        <v>3.0601500000000001</v>
      </c>
      <c r="H2053">
        <v>0</v>
      </c>
      <c r="I2053">
        <v>0.58149200000000001</v>
      </c>
      <c r="J2053">
        <v>5.3222399999999999</v>
      </c>
      <c r="K2053" s="2">
        <v>221983000</v>
      </c>
      <c r="L2053" s="1">
        <v>0</v>
      </c>
      <c r="M2053" s="1">
        <v>0</v>
      </c>
      <c r="N2053" s="1">
        <v>0</v>
      </c>
      <c r="O2053" s="1">
        <v>0</v>
      </c>
      <c r="P2053" s="2">
        <v>4574840</v>
      </c>
      <c r="Q2053" s="1">
        <v>314589</v>
      </c>
      <c r="R2053" s="1">
        <v>0</v>
      </c>
      <c r="S2053">
        <v>99.302199999999999</v>
      </c>
      <c r="T2053">
        <v>98.274000000000001</v>
      </c>
      <c r="U2053">
        <v>4.6986400000000001</v>
      </c>
      <c r="V2053">
        <v>0</v>
      </c>
      <c r="W2053">
        <v>0</v>
      </c>
      <c r="X2053">
        <v>1.7816799999999999</v>
      </c>
      <c r="Y2053">
        <v>1.7816799999999999</v>
      </c>
      <c r="Z2053">
        <v>0</v>
      </c>
      <c r="AA2053">
        <v>1.3975299999999999</v>
      </c>
      <c r="AB2053">
        <v>3.3868800000000001</v>
      </c>
      <c r="AC2053" s="2">
        <v>1097910000</v>
      </c>
      <c r="AD2053" s="1">
        <v>0</v>
      </c>
      <c r="AE2053" s="1">
        <v>0</v>
      </c>
      <c r="AF2053" s="1">
        <v>0</v>
      </c>
      <c r="AG2053" s="1">
        <v>0</v>
      </c>
      <c r="AH2053" s="2">
        <v>4609640</v>
      </c>
      <c r="AI2053" s="1">
        <v>150257</v>
      </c>
      <c r="AJ2053" s="1">
        <v>0</v>
      </c>
      <c r="AK2053" s="8">
        <f t="shared" si="127"/>
        <v>24</v>
      </c>
      <c r="AL2053" s="8">
        <f t="shared" si="130"/>
        <v>40</v>
      </c>
      <c r="AM2053">
        <f t="shared" si="128"/>
        <v>0</v>
      </c>
      <c r="AN2053">
        <f t="shared" si="129"/>
        <v>0</v>
      </c>
    </row>
    <row r="2054" spans="1:40" x14ac:dyDescent="0.35">
      <c r="A2054">
        <v>82.898200000000003</v>
      </c>
      <c r="B2054">
        <v>85.138999999999996</v>
      </c>
      <c r="C2054">
        <v>3.2622200000000001</v>
      </c>
      <c r="D2054">
        <v>0</v>
      </c>
      <c r="E2054">
        <v>0.04</v>
      </c>
      <c r="F2054">
        <v>3.0601099999999999</v>
      </c>
      <c r="G2054">
        <v>3.0601099999999999</v>
      </c>
      <c r="H2054">
        <v>0</v>
      </c>
      <c r="I2054">
        <v>0.57347099999999995</v>
      </c>
      <c r="J2054">
        <v>5.3222399999999999</v>
      </c>
      <c r="K2054" s="2">
        <v>222298000</v>
      </c>
      <c r="L2054" s="1">
        <v>0</v>
      </c>
      <c r="M2054" s="1">
        <v>0</v>
      </c>
      <c r="N2054" s="1">
        <v>0</v>
      </c>
      <c r="O2054" s="1">
        <v>0</v>
      </c>
      <c r="P2054" s="2">
        <v>4574790</v>
      </c>
      <c r="Q2054" s="1">
        <v>314586</v>
      </c>
      <c r="R2054" s="1">
        <v>0</v>
      </c>
      <c r="S2054">
        <v>99.302199999999999</v>
      </c>
      <c r="T2054">
        <v>98.274000000000001</v>
      </c>
      <c r="U2054">
        <v>4.0890300000000002</v>
      </c>
      <c r="V2054">
        <v>0</v>
      </c>
      <c r="W2054">
        <v>0</v>
      </c>
      <c r="X2054">
        <v>1.7816700000000001</v>
      </c>
      <c r="Y2054">
        <v>1.7816700000000001</v>
      </c>
      <c r="Z2054">
        <v>0</v>
      </c>
      <c r="AA2054">
        <v>1.37653</v>
      </c>
      <c r="AB2054">
        <v>3.3868800000000001</v>
      </c>
      <c r="AC2054" s="2">
        <v>1098060000</v>
      </c>
      <c r="AD2054" s="1">
        <v>0</v>
      </c>
      <c r="AE2054" s="1">
        <v>0</v>
      </c>
      <c r="AF2054" s="1">
        <v>0</v>
      </c>
      <c r="AG2054" s="1">
        <v>0</v>
      </c>
      <c r="AH2054" s="2">
        <v>4609590</v>
      </c>
      <c r="AI2054" s="1">
        <v>150255</v>
      </c>
      <c r="AJ2054" s="1">
        <v>0</v>
      </c>
      <c r="AK2054" s="8">
        <f t="shared" si="127"/>
        <v>25</v>
      </c>
      <c r="AL2054" s="8">
        <f t="shared" si="130"/>
        <v>40</v>
      </c>
      <c r="AM2054">
        <f t="shared" si="128"/>
        <v>0</v>
      </c>
      <c r="AN2054">
        <f t="shared" si="129"/>
        <v>0</v>
      </c>
    </row>
    <row r="2055" spans="1:40" x14ac:dyDescent="0.35">
      <c r="A2055">
        <v>83.296300000000002</v>
      </c>
      <c r="B2055">
        <v>85.138999999999996</v>
      </c>
      <c r="C2055">
        <v>3.8012199999999998</v>
      </c>
      <c r="D2055">
        <v>0</v>
      </c>
      <c r="E2055">
        <v>0.04</v>
      </c>
      <c r="F2055">
        <v>3.0600800000000001</v>
      </c>
      <c r="G2055">
        <v>3.0600800000000001</v>
      </c>
      <c r="H2055">
        <v>0</v>
      </c>
      <c r="I2055">
        <v>0.573465</v>
      </c>
      <c r="J2055">
        <v>5.3222399999999999</v>
      </c>
      <c r="K2055" s="2">
        <v>222612000</v>
      </c>
      <c r="L2055" s="1">
        <v>0</v>
      </c>
      <c r="M2055" s="1">
        <v>0</v>
      </c>
      <c r="N2055" s="1">
        <v>0</v>
      </c>
      <c r="O2055" s="1">
        <v>0</v>
      </c>
      <c r="P2055" s="2">
        <v>4574750</v>
      </c>
      <c r="Q2055" s="1">
        <v>314582</v>
      </c>
      <c r="R2055" s="1">
        <v>0</v>
      </c>
      <c r="S2055">
        <v>99.302199999999999</v>
      </c>
      <c r="T2055">
        <v>98.274000000000001</v>
      </c>
      <c r="U2055">
        <v>4.1298899999999996</v>
      </c>
      <c r="V2055">
        <v>0</v>
      </c>
      <c r="W2055">
        <v>0</v>
      </c>
      <c r="X2055">
        <v>1.78165</v>
      </c>
      <c r="Y2055">
        <v>1.78165</v>
      </c>
      <c r="Z2055">
        <v>0</v>
      </c>
      <c r="AA2055">
        <v>1.37652</v>
      </c>
      <c r="AB2055">
        <v>3.3868800000000001</v>
      </c>
      <c r="AC2055" s="2">
        <v>1098210000</v>
      </c>
      <c r="AD2055" s="1">
        <v>0</v>
      </c>
      <c r="AE2055" s="1">
        <v>0</v>
      </c>
      <c r="AF2055" s="1">
        <v>0</v>
      </c>
      <c r="AG2055" s="1">
        <v>0</v>
      </c>
      <c r="AH2055" s="2">
        <v>4609550</v>
      </c>
      <c r="AI2055" s="1">
        <v>150253</v>
      </c>
      <c r="AJ2055" s="1">
        <v>0</v>
      </c>
      <c r="AK2055" s="8">
        <f t="shared" si="127"/>
        <v>26</v>
      </c>
      <c r="AL2055" s="8">
        <f t="shared" si="130"/>
        <v>40</v>
      </c>
      <c r="AM2055">
        <f t="shared" si="128"/>
        <v>0</v>
      </c>
      <c r="AN2055">
        <f t="shared" si="129"/>
        <v>0</v>
      </c>
    </row>
    <row r="2056" spans="1:40" x14ac:dyDescent="0.35">
      <c r="A2056">
        <v>83.032799999999995</v>
      </c>
      <c r="B2056">
        <v>85.138999999999996</v>
      </c>
      <c r="C2056">
        <v>3.0322200000000001</v>
      </c>
      <c r="D2056">
        <v>0</v>
      </c>
      <c r="E2056">
        <v>0.04</v>
      </c>
      <c r="F2056">
        <v>3.0600499999999999</v>
      </c>
      <c r="G2056">
        <v>3.0600499999999999</v>
      </c>
      <c r="H2056">
        <v>0</v>
      </c>
      <c r="I2056">
        <v>0.57345900000000005</v>
      </c>
      <c r="J2056">
        <v>5.3222399999999999</v>
      </c>
      <c r="K2056" s="2">
        <v>222927000</v>
      </c>
      <c r="L2056" s="1">
        <v>0</v>
      </c>
      <c r="M2056" s="1">
        <v>0</v>
      </c>
      <c r="N2056" s="1">
        <v>0</v>
      </c>
      <c r="O2056" s="1">
        <v>0</v>
      </c>
      <c r="P2056" s="2">
        <v>4574700</v>
      </c>
      <c r="Q2056" s="1">
        <v>314579</v>
      </c>
      <c r="R2056" s="1">
        <v>0</v>
      </c>
      <c r="S2056">
        <v>99.302199999999999</v>
      </c>
      <c r="T2056">
        <v>98.274000000000001</v>
      </c>
      <c r="U2056">
        <v>3.9998300000000002</v>
      </c>
      <c r="V2056">
        <v>0</v>
      </c>
      <c r="W2056">
        <v>0</v>
      </c>
      <c r="X2056">
        <v>1.78163</v>
      </c>
      <c r="Y2056">
        <v>1.78163</v>
      </c>
      <c r="Z2056">
        <v>0</v>
      </c>
      <c r="AA2056">
        <v>1.3765000000000001</v>
      </c>
      <c r="AB2056">
        <v>3.3868800000000001</v>
      </c>
      <c r="AC2056" s="2">
        <v>1098360000</v>
      </c>
      <c r="AD2056" s="1">
        <v>0</v>
      </c>
      <c r="AE2056" s="1">
        <v>0</v>
      </c>
      <c r="AF2056" s="1">
        <v>0</v>
      </c>
      <c r="AG2056" s="1">
        <v>0</v>
      </c>
      <c r="AH2056" s="2">
        <v>4609500</v>
      </c>
      <c r="AI2056" s="1">
        <v>150252</v>
      </c>
      <c r="AJ2056" s="1">
        <v>0</v>
      </c>
      <c r="AK2056" s="8">
        <f t="shared" ref="AK2056:AK2081" si="131">IF(AK2055=52, 1, AK2055+1)</f>
        <v>27</v>
      </c>
      <c r="AL2056" s="8">
        <f t="shared" si="130"/>
        <v>40</v>
      </c>
      <c r="AM2056">
        <f t="shared" si="128"/>
        <v>0</v>
      </c>
      <c r="AN2056">
        <f t="shared" si="129"/>
        <v>0</v>
      </c>
    </row>
    <row r="2057" spans="1:40" x14ac:dyDescent="0.35">
      <c r="A2057">
        <v>82.357699999999994</v>
      </c>
      <c r="B2057">
        <v>85.138999999999996</v>
      </c>
      <c r="C2057">
        <v>2.6932499999999999</v>
      </c>
      <c r="D2057">
        <v>0</v>
      </c>
      <c r="E2057">
        <v>0.04</v>
      </c>
      <c r="F2057">
        <v>3.2051799999999999</v>
      </c>
      <c r="G2057">
        <v>3.2051799999999999</v>
      </c>
      <c r="H2057">
        <v>0</v>
      </c>
      <c r="I2057">
        <v>0.57345299999999999</v>
      </c>
      <c r="J2057">
        <v>5.3222399999999999</v>
      </c>
      <c r="K2057" s="2">
        <v>223256000</v>
      </c>
      <c r="L2057" s="1">
        <v>0</v>
      </c>
      <c r="M2057" s="1">
        <v>0</v>
      </c>
      <c r="N2057" s="1">
        <v>0</v>
      </c>
      <c r="O2057" s="1">
        <v>0</v>
      </c>
      <c r="P2057" s="2">
        <v>4791660</v>
      </c>
      <c r="Q2057" s="1">
        <v>329498</v>
      </c>
      <c r="R2057" s="1">
        <v>0</v>
      </c>
      <c r="S2057">
        <v>99.302199999999999</v>
      </c>
      <c r="T2057">
        <v>98.274000000000001</v>
      </c>
      <c r="U2057">
        <v>3.3086099999999998</v>
      </c>
      <c r="V2057">
        <v>0</v>
      </c>
      <c r="W2057">
        <v>0</v>
      </c>
      <c r="X2057">
        <v>1.8779300000000001</v>
      </c>
      <c r="Y2057">
        <v>1.8779300000000001</v>
      </c>
      <c r="Z2057">
        <v>0</v>
      </c>
      <c r="AA2057">
        <v>1.37649</v>
      </c>
      <c r="AB2057">
        <v>3.3868800000000001</v>
      </c>
      <c r="AC2057" s="2">
        <v>1098520000</v>
      </c>
      <c r="AD2057" s="1">
        <v>0</v>
      </c>
      <c r="AE2057" s="1">
        <v>0</v>
      </c>
      <c r="AF2057" s="1">
        <v>0</v>
      </c>
      <c r="AG2057" s="1">
        <v>0</v>
      </c>
      <c r="AH2057" s="2">
        <v>4858660</v>
      </c>
      <c r="AI2057" s="1">
        <v>158374</v>
      </c>
      <c r="AJ2057" s="1">
        <v>0</v>
      </c>
      <c r="AK2057" s="8">
        <f t="shared" si="131"/>
        <v>28</v>
      </c>
      <c r="AL2057" s="8">
        <f t="shared" si="130"/>
        <v>40</v>
      </c>
      <c r="AM2057">
        <f t="shared" si="128"/>
        <v>0</v>
      </c>
      <c r="AN2057">
        <f t="shared" si="129"/>
        <v>0</v>
      </c>
    </row>
    <row r="2058" spans="1:40" x14ac:dyDescent="0.35">
      <c r="A2058">
        <v>81.623199999999997</v>
      </c>
      <c r="B2058">
        <v>85.138999999999996</v>
      </c>
      <c r="C2058">
        <v>2.6309900000000002</v>
      </c>
      <c r="D2058">
        <v>0</v>
      </c>
      <c r="E2058">
        <v>0.04</v>
      </c>
      <c r="F2058">
        <v>3.2051400000000001</v>
      </c>
      <c r="G2058">
        <v>3.2051400000000001</v>
      </c>
      <c r="H2058">
        <v>0</v>
      </c>
      <c r="I2058">
        <v>0.60065000000000002</v>
      </c>
      <c r="J2058">
        <v>5.3222399999999999</v>
      </c>
      <c r="K2058" s="2">
        <v>223586000</v>
      </c>
      <c r="L2058" s="1">
        <v>0</v>
      </c>
      <c r="M2058" s="1">
        <v>0</v>
      </c>
      <c r="N2058" s="1">
        <v>0</v>
      </c>
      <c r="O2058" s="1">
        <v>0</v>
      </c>
      <c r="P2058" s="2">
        <v>4791610</v>
      </c>
      <c r="Q2058" s="1">
        <v>329495</v>
      </c>
      <c r="R2058" s="1">
        <v>0</v>
      </c>
      <c r="S2058">
        <v>99.302199999999999</v>
      </c>
      <c r="T2058">
        <v>98.274000000000001</v>
      </c>
      <c r="U2058">
        <v>3.3290500000000001</v>
      </c>
      <c r="V2058">
        <v>0</v>
      </c>
      <c r="W2058">
        <v>0</v>
      </c>
      <c r="X2058">
        <v>1.87791</v>
      </c>
      <c r="Y2058">
        <v>1.87791</v>
      </c>
      <c r="Z2058">
        <v>0</v>
      </c>
      <c r="AA2058">
        <v>1.45089</v>
      </c>
      <c r="AB2058">
        <v>3.3868800000000001</v>
      </c>
      <c r="AC2058" s="2">
        <v>1098680000</v>
      </c>
      <c r="AD2058" s="1">
        <v>0</v>
      </c>
      <c r="AE2058" s="1">
        <v>0</v>
      </c>
      <c r="AF2058" s="1">
        <v>0</v>
      </c>
      <c r="AG2058" s="1">
        <v>0</v>
      </c>
      <c r="AH2058" s="2">
        <v>4858610</v>
      </c>
      <c r="AI2058" s="1">
        <v>158372</v>
      </c>
      <c r="AJ2058" s="1">
        <v>0</v>
      </c>
      <c r="AK2058" s="8">
        <f t="shared" si="131"/>
        <v>29</v>
      </c>
      <c r="AL2058" s="8">
        <f t="shared" si="130"/>
        <v>40</v>
      </c>
      <c r="AM2058">
        <f t="shared" si="128"/>
        <v>0</v>
      </c>
      <c r="AN2058">
        <f t="shared" si="129"/>
        <v>0</v>
      </c>
    </row>
    <row r="2059" spans="1:40" x14ac:dyDescent="0.35">
      <c r="A2059">
        <v>80.627300000000005</v>
      </c>
      <c r="B2059">
        <v>85.138999999999996</v>
      </c>
      <c r="C2059">
        <v>2.36863</v>
      </c>
      <c r="D2059">
        <v>0</v>
      </c>
      <c r="E2059">
        <v>0.04</v>
      </c>
      <c r="F2059">
        <v>3.2051099999999999</v>
      </c>
      <c r="G2059">
        <v>3.2051099999999999</v>
      </c>
      <c r="H2059">
        <v>0</v>
      </c>
      <c r="I2059">
        <v>0.60064399999999996</v>
      </c>
      <c r="J2059">
        <v>5.3222399999999999</v>
      </c>
      <c r="K2059" s="2">
        <v>223915000</v>
      </c>
      <c r="L2059" s="1">
        <v>0</v>
      </c>
      <c r="M2059" s="1">
        <v>0</v>
      </c>
      <c r="N2059" s="1">
        <v>0</v>
      </c>
      <c r="O2059" s="1">
        <v>0</v>
      </c>
      <c r="P2059" s="2">
        <v>4791560</v>
      </c>
      <c r="Q2059" s="1">
        <v>329491</v>
      </c>
      <c r="R2059" s="1">
        <v>0</v>
      </c>
      <c r="S2059">
        <v>99.302199999999999</v>
      </c>
      <c r="T2059">
        <v>98.274000000000001</v>
      </c>
      <c r="U2059">
        <v>3.2798500000000002</v>
      </c>
      <c r="V2059">
        <v>0</v>
      </c>
      <c r="W2059">
        <v>0</v>
      </c>
      <c r="X2059">
        <v>1.8778900000000001</v>
      </c>
      <c r="Y2059">
        <v>1.8778900000000001</v>
      </c>
      <c r="Z2059">
        <v>0</v>
      </c>
      <c r="AA2059">
        <v>1.4508799999999999</v>
      </c>
      <c r="AB2059">
        <v>3.3868800000000001</v>
      </c>
      <c r="AC2059" s="2">
        <v>1098840000</v>
      </c>
      <c r="AD2059" s="1">
        <v>0</v>
      </c>
      <c r="AE2059" s="1">
        <v>0</v>
      </c>
      <c r="AF2059" s="1">
        <v>0</v>
      </c>
      <c r="AG2059" s="1">
        <v>0</v>
      </c>
      <c r="AH2059" s="2">
        <v>4858560</v>
      </c>
      <c r="AI2059" s="1">
        <v>158370</v>
      </c>
      <c r="AJ2059" s="1">
        <v>0</v>
      </c>
      <c r="AK2059" s="8">
        <f t="shared" si="131"/>
        <v>30</v>
      </c>
      <c r="AL2059" s="8">
        <f t="shared" si="130"/>
        <v>40</v>
      </c>
      <c r="AM2059">
        <f t="shared" si="128"/>
        <v>0</v>
      </c>
      <c r="AN2059">
        <f t="shared" si="129"/>
        <v>0</v>
      </c>
    </row>
    <row r="2060" spans="1:40" x14ac:dyDescent="0.35">
      <c r="A2060">
        <v>79.552000000000007</v>
      </c>
      <c r="B2060">
        <v>85.138999999999996</v>
      </c>
      <c r="C2060">
        <v>2.2565300000000001</v>
      </c>
      <c r="D2060">
        <v>0</v>
      </c>
      <c r="E2060">
        <v>0.04</v>
      </c>
      <c r="F2060">
        <v>3.2050700000000001</v>
      </c>
      <c r="G2060">
        <v>3.2050700000000001</v>
      </c>
      <c r="H2060">
        <v>0</v>
      </c>
      <c r="I2060">
        <v>0.60063699999999998</v>
      </c>
      <c r="J2060">
        <v>5.3222399999999999</v>
      </c>
      <c r="K2060" s="2">
        <v>224245000</v>
      </c>
      <c r="L2060" s="1">
        <v>0</v>
      </c>
      <c r="M2060" s="1">
        <v>0</v>
      </c>
      <c r="N2060" s="1">
        <v>0</v>
      </c>
      <c r="O2060" s="1">
        <v>0</v>
      </c>
      <c r="P2060" s="2">
        <v>4791500</v>
      </c>
      <c r="Q2060" s="1">
        <v>329488</v>
      </c>
      <c r="R2060" s="1">
        <v>0</v>
      </c>
      <c r="S2060">
        <v>99.302199999999999</v>
      </c>
      <c r="T2060">
        <v>98.274000000000001</v>
      </c>
      <c r="U2060">
        <v>3.2985000000000002</v>
      </c>
      <c r="V2060">
        <v>0</v>
      </c>
      <c r="W2060">
        <v>0</v>
      </c>
      <c r="X2060">
        <v>1.8778699999999999</v>
      </c>
      <c r="Y2060">
        <v>1.8778699999999999</v>
      </c>
      <c r="Z2060">
        <v>0</v>
      </c>
      <c r="AA2060">
        <v>1.45086</v>
      </c>
      <c r="AB2060">
        <v>3.3868800000000001</v>
      </c>
      <c r="AC2060" s="2">
        <v>1099000000</v>
      </c>
      <c r="AD2060" s="1">
        <v>0</v>
      </c>
      <c r="AE2060" s="1">
        <v>0</v>
      </c>
      <c r="AF2060" s="1">
        <v>0</v>
      </c>
      <c r="AG2060" s="1">
        <v>0</v>
      </c>
      <c r="AH2060" s="2">
        <v>4858510</v>
      </c>
      <c r="AI2060" s="1">
        <v>158369</v>
      </c>
      <c r="AJ2060" s="1">
        <v>0</v>
      </c>
      <c r="AK2060" s="8">
        <f t="shared" si="131"/>
        <v>31</v>
      </c>
      <c r="AL2060" s="8">
        <f t="shared" si="130"/>
        <v>40</v>
      </c>
      <c r="AM2060">
        <f t="shared" si="128"/>
        <v>0</v>
      </c>
      <c r="AN2060">
        <f t="shared" si="129"/>
        <v>0</v>
      </c>
    </row>
    <row r="2061" spans="1:40" x14ac:dyDescent="0.35">
      <c r="A2061">
        <v>78.540599999999998</v>
      </c>
      <c r="B2061">
        <v>85.138999999999996</v>
      </c>
      <c r="C2061">
        <v>2.2811599999999999</v>
      </c>
      <c r="D2061">
        <v>0</v>
      </c>
      <c r="E2061">
        <v>0.04</v>
      </c>
      <c r="F2061">
        <v>3.2050399999999999</v>
      </c>
      <c r="G2061">
        <v>3.2050399999999999</v>
      </c>
      <c r="H2061">
        <v>0</v>
      </c>
      <c r="I2061">
        <v>0.60063100000000003</v>
      </c>
      <c r="J2061">
        <v>5.3222399999999999</v>
      </c>
      <c r="K2061" s="2">
        <v>224574000</v>
      </c>
      <c r="L2061" s="1">
        <v>0</v>
      </c>
      <c r="M2061" s="1">
        <v>0</v>
      </c>
      <c r="N2061" s="1">
        <v>0</v>
      </c>
      <c r="O2061" s="1">
        <v>0</v>
      </c>
      <c r="P2061" s="2">
        <v>4791450</v>
      </c>
      <c r="Q2061" s="1">
        <v>329484</v>
      </c>
      <c r="R2061" s="1">
        <v>0</v>
      </c>
      <c r="S2061">
        <v>99.302199999999999</v>
      </c>
      <c r="T2061">
        <v>98.274000000000001</v>
      </c>
      <c r="U2061">
        <v>3.07342</v>
      </c>
      <c r="V2061">
        <v>0</v>
      </c>
      <c r="W2061">
        <v>0</v>
      </c>
      <c r="X2061">
        <v>1.87785</v>
      </c>
      <c r="Y2061">
        <v>1.87785</v>
      </c>
      <c r="Z2061">
        <v>0</v>
      </c>
      <c r="AA2061">
        <v>1.45085</v>
      </c>
      <c r="AB2061">
        <v>3.3868800000000001</v>
      </c>
      <c r="AC2061" s="2">
        <v>1099150000</v>
      </c>
      <c r="AD2061" s="1">
        <v>0</v>
      </c>
      <c r="AE2061" s="1">
        <v>0</v>
      </c>
      <c r="AF2061" s="1">
        <v>0</v>
      </c>
      <c r="AG2061" s="1">
        <v>0</v>
      </c>
      <c r="AH2061" s="2">
        <v>4858460</v>
      </c>
      <c r="AI2061" s="1">
        <v>158367</v>
      </c>
      <c r="AJ2061" s="1">
        <v>0</v>
      </c>
      <c r="AK2061" s="8">
        <f t="shared" si="131"/>
        <v>32</v>
      </c>
      <c r="AL2061" s="8">
        <f t="shared" si="130"/>
        <v>40</v>
      </c>
      <c r="AM2061">
        <f t="shared" si="128"/>
        <v>0</v>
      </c>
      <c r="AN2061">
        <f t="shared" si="129"/>
        <v>0</v>
      </c>
    </row>
    <row r="2062" spans="1:40" x14ac:dyDescent="0.35">
      <c r="A2062">
        <v>77.491799999999998</v>
      </c>
      <c r="B2062">
        <v>85.138999999999996</v>
      </c>
      <c r="C2062">
        <v>2.2147600000000001</v>
      </c>
      <c r="D2062">
        <v>0</v>
      </c>
      <c r="E2062">
        <v>0.04</v>
      </c>
      <c r="F2062">
        <v>3.1762999999999999</v>
      </c>
      <c r="G2062">
        <v>3.1762999999999999</v>
      </c>
      <c r="H2062">
        <v>0</v>
      </c>
      <c r="I2062">
        <v>0.60062499999999996</v>
      </c>
      <c r="J2062">
        <v>5.3222399999999999</v>
      </c>
      <c r="K2062" s="2">
        <v>224901000</v>
      </c>
      <c r="L2062" s="1">
        <v>0</v>
      </c>
      <c r="M2062" s="1">
        <v>0</v>
      </c>
      <c r="N2062" s="1">
        <v>0</v>
      </c>
      <c r="O2062" s="1">
        <v>0</v>
      </c>
      <c r="P2062" s="2">
        <v>4748490</v>
      </c>
      <c r="Q2062" s="1">
        <v>326530</v>
      </c>
      <c r="R2062" s="1">
        <v>0</v>
      </c>
      <c r="S2062">
        <v>99.294799999999995</v>
      </c>
      <c r="T2062">
        <v>98.274000000000001</v>
      </c>
      <c r="U2062">
        <v>2.8578600000000001</v>
      </c>
      <c r="V2062">
        <v>0</v>
      </c>
      <c r="W2062">
        <v>0</v>
      </c>
      <c r="X2062">
        <v>1.9307700000000001</v>
      </c>
      <c r="Y2062">
        <v>1.9307700000000001</v>
      </c>
      <c r="Z2062">
        <v>0</v>
      </c>
      <c r="AA2062">
        <v>1.4508300000000001</v>
      </c>
      <c r="AB2062">
        <v>3.3868800000000001</v>
      </c>
      <c r="AC2062" s="2">
        <v>1099320000</v>
      </c>
      <c r="AD2062" s="1">
        <v>0</v>
      </c>
      <c r="AE2062" s="1">
        <v>0</v>
      </c>
      <c r="AF2062" s="1">
        <v>0</v>
      </c>
      <c r="AG2062" s="1">
        <v>0</v>
      </c>
      <c r="AH2062" s="2">
        <v>4995370</v>
      </c>
      <c r="AI2062" s="1">
        <v>162830</v>
      </c>
      <c r="AJ2062" s="1">
        <v>0</v>
      </c>
      <c r="AK2062" s="8">
        <f t="shared" si="131"/>
        <v>33</v>
      </c>
      <c r="AL2062" s="8">
        <f t="shared" si="130"/>
        <v>40</v>
      </c>
      <c r="AM2062">
        <f t="shared" si="128"/>
        <v>0</v>
      </c>
      <c r="AN2062">
        <f t="shared" si="129"/>
        <v>0</v>
      </c>
    </row>
    <row r="2063" spans="1:40" x14ac:dyDescent="0.35">
      <c r="A2063">
        <v>76.3</v>
      </c>
      <c r="B2063">
        <v>85.138999999999996</v>
      </c>
      <c r="C2063">
        <v>2.0500600000000002</v>
      </c>
      <c r="D2063">
        <v>0</v>
      </c>
      <c r="E2063">
        <v>0.04</v>
      </c>
      <c r="F2063">
        <v>3.1762700000000001</v>
      </c>
      <c r="G2063">
        <v>3.1762700000000001</v>
      </c>
      <c r="H2063">
        <v>0</v>
      </c>
      <c r="I2063">
        <v>0.59523899999999996</v>
      </c>
      <c r="J2063">
        <v>5.3222399999999999</v>
      </c>
      <c r="K2063" s="2">
        <v>225227000</v>
      </c>
      <c r="L2063" s="1">
        <v>0</v>
      </c>
      <c r="M2063" s="1">
        <v>0</v>
      </c>
      <c r="N2063" s="1">
        <v>0</v>
      </c>
      <c r="O2063" s="1">
        <v>0</v>
      </c>
      <c r="P2063" s="2">
        <v>4748440</v>
      </c>
      <c r="Q2063" s="1">
        <v>326527</v>
      </c>
      <c r="R2063" s="1">
        <v>0</v>
      </c>
      <c r="S2063">
        <v>99.240300000000005</v>
      </c>
      <c r="T2063">
        <v>98.274000000000001</v>
      </c>
      <c r="U2063">
        <v>2.6795499999999999</v>
      </c>
      <c r="V2063">
        <v>0</v>
      </c>
      <c r="W2063">
        <v>0</v>
      </c>
      <c r="X2063">
        <v>1.93075</v>
      </c>
      <c r="Y2063">
        <v>1.93075</v>
      </c>
      <c r="Z2063">
        <v>0</v>
      </c>
      <c r="AA2063">
        <v>1.4917100000000001</v>
      </c>
      <c r="AB2063">
        <v>3.3868800000000001</v>
      </c>
      <c r="AC2063" s="2">
        <v>1099480000</v>
      </c>
      <c r="AD2063" s="1">
        <v>0</v>
      </c>
      <c r="AE2063" s="1">
        <v>0</v>
      </c>
      <c r="AF2063" s="1">
        <v>0</v>
      </c>
      <c r="AG2063" s="1">
        <v>0</v>
      </c>
      <c r="AH2063" s="2">
        <v>4995310</v>
      </c>
      <c r="AI2063" s="1">
        <v>162828</v>
      </c>
      <c r="AJ2063" s="1">
        <v>0</v>
      </c>
      <c r="AK2063" s="8">
        <f t="shared" si="131"/>
        <v>34</v>
      </c>
      <c r="AL2063" s="8">
        <f t="shared" si="130"/>
        <v>40</v>
      </c>
      <c r="AM2063">
        <f t="shared" si="128"/>
        <v>0</v>
      </c>
      <c r="AN2063">
        <f t="shared" si="129"/>
        <v>0</v>
      </c>
    </row>
    <row r="2064" spans="1:40" x14ac:dyDescent="0.35">
      <c r="A2064">
        <v>75.063800000000001</v>
      </c>
      <c r="B2064">
        <v>85.138999999999996</v>
      </c>
      <c r="C2064">
        <v>1.9826600000000001</v>
      </c>
      <c r="D2064">
        <v>0</v>
      </c>
      <c r="E2064">
        <v>0.04</v>
      </c>
      <c r="F2064">
        <v>3.1762299999999999</v>
      </c>
      <c r="G2064">
        <v>3.1762299999999999</v>
      </c>
      <c r="H2064">
        <v>0</v>
      </c>
      <c r="I2064">
        <v>0.59523300000000001</v>
      </c>
      <c r="J2064">
        <v>5.3222399999999999</v>
      </c>
      <c r="K2064" s="2">
        <v>225554000</v>
      </c>
      <c r="L2064" s="1">
        <v>0</v>
      </c>
      <c r="M2064" s="1">
        <v>0</v>
      </c>
      <c r="N2064" s="1">
        <v>0</v>
      </c>
      <c r="O2064" s="1">
        <v>0</v>
      </c>
      <c r="P2064" s="2">
        <v>4748390</v>
      </c>
      <c r="Q2064" s="1">
        <v>326523</v>
      </c>
      <c r="R2064" s="1">
        <v>0</v>
      </c>
      <c r="S2064">
        <v>99.142799999999994</v>
      </c>
      <c r="T2064">
        <v>98.274000000000001</v>
      </c>
      <c r="U2064">
        <v>2.48692</v>
      </c>
      <c r="V2064">
        <v>0</v>
      </c>
      <c r="W2064">
        <v>0</v>
      </c>
      <c r="X2064">
        <v>1.9307300000000001</v>
      </c>
      <c r="Y2064">
        <v>1.9307300000000001</v>
      </c>
      <c r="Z2064">
        <v>0</v>
      </c>
      <c r="AA2064">
        <v>1.4917</v>
      </c>
      <c r="AB2064">
        <v>3.3868800000000001</v>
      </c>
      <c r="AC2064" s="2">
        <v>1099640000</v>
      </c>
      <c r="AD2064" s="1">
        <v>0</v>
      </c>
      <c r="AE2064" s="1">
        <v>0</v>
      </c>
      <c r="AF2064" s="1">
        <v>0</v>
      </c>
      <c r="AG2064" s="1">
        <v>0</v>
      </c>
      <c r="AH2064" s="2">
        <v>4995260</v>
      </c>
      <c r="AI2064" s="1">
        <v>162826</v>
      </c>
      <c r="AJ2064" s="1">
        <v>0</v>
      </c>
      <c r="AK2064" s="8">
        <f t="shared" si="131"/>
        <v>35</v>
      </c>
      <c r="AL2064" s="8">
        <f t="shared" si="130"/>
        <v>40</v>
      </c>
      <c r="AM2064">
        <f t="shared" si="128"/>
        <v>0</v>
      </c>
      <c r="AN2064">
        <f t="shared" si="129"/>
        <v>0</v>
      </c>
    </row>
    <row r="2065" spans="1:40" x14ac:dyDescent="0.35">
      <c r="A2065">
        <v>73.749300000000005</v>
      </c>
      <c r="B2065">
        <v>85.138999999999996</v>
      </c>
      <c r="C2065">
        <v>1.8666199999999999</v>
      </c>
      <c r="D2065">
        <v>0</v>
      </c>
      <c r="E2065">
        <v>0.04</v>
      </c>
      <c r="F2065">
        <v>3.1762000000000001</v>
      </c>
      <c r="G2065">
        <v>3.1762000000000001</v>
      </c>
      <c r="H2065">
        <v>0</v>
      </c>
      <c r="I2065">
        <v>0.59522600000000003</v>
      </c>
      <c r="J2065">
        <v>5.3222399999999999</v>
      </c>
      <c r="K2065" s="2">
        <v>225880000</v>
      </c>
      <c r="L2065" s="1">
        <v>0</v>
      </c>
      <c r="M2065" s="1">
        <v>0</v>
      </c>
      <c r="N2065" s="1">
        <v>0</v>
      </c>
      <c r="O2065" s="1">
        <v>0</v>
      </c>
      <c r="P2065" s="2">
        <v>4748340</v>
      </c>
      <c r="Q2065" s="1">
        <v>326520</v>
      </c>
      <c r="R2065" s="1">
        <v>0</v>
      </c>
      <c r="S2065">
        <v>98.978899999999996</v>
      </c>
      <c r="T2065">
        <v>98.274000000000001</v>
      </c>
      <c r="U2065">
        <v>2.2897599999999998</v>
      </c>
      <c r="V2065">
        <v>0</v>
      </c>
      <c r="W2065">
        <v>0</v>
      </c>
      <c r="X2065">
        <v>1.9307099999999999</v>
      </c>
      <c r="Y2065">
        <v>1.9307099999999999</v>
      </c>
      <c r="Z2065">
        <v>0</v>
      </c>
      <c r="AA2065">
        <v>1.4916799999999999</v>
      </c>
      <c r="AB2065">
        <v>3.3868800000000001</v>
      </c>
      <c r="AC2065" s="2">
        <v>1099810000</v>
      </c>
      <c r="AD2065" s="1">
        <v>0</v>
      </c>
      <c r="AE2065" s="1">
        <v>0</v>
      </c>
      <c r="AF2065" s="1">
        <v>0</v>
      </c>
      <c r="AG2065" s="1">
        <v>0</v>
      </c>
      <c r="AH2065" s="2">
        <v>4995210</v>
      </c>
      <c r="AI2065" s="1">
        <v>162825</v>
      </c>
      <c r="AJ2065" s="1">
        <v>0</v>
      </c>
      <c r="AK2065" s="8">
        <f t="shared" si="131"/>
        <v>36</v>
      </c>
      <c r="AL2065" s="8">
        <f t="shared" si="130"/>
        <v>40</v>
      </c>
      <c r="AM2065">
        <f t="shared" si="128"/>
        <v>0</v>
      </c>
      <c r="AN2065">
        <f t="shared" si="129"/>
        <v>0</v>
      </c>
    </row>
    <row r="2066" spans="1:40" x14ac:dyDescent="0.35">
      <c r="A2066">
        <v>72.464399999999998</v>
      </c>
      <c r="B2066">
        <v>85.138999999999996</v>
      </c>
      <c r="C2066">
        <v>1.96516</v>
      </c>
      <c r="D2066">
        <v>0</v>
      </c>
      <c r="E2066">
        <v>0.04</v>
      </c>
      <c r="F2066">
        <v>3.2502900000000001</v>
      </c>
      <c r="G2066">
        <v>3.2502900000000001</v>
      </c>
      <c r="H2066">
        <v>0</v>
      </c>
      <c r="I2066">
        <v>0.59521999999999997</v>
      </c>
      <c r="J2066">
        <v>5.3222399999999999</v>
      </c>
      <c r="K2066" s="2">
        <v>226215000</v>
      </c>
      <c r="L2066" s="1">
        <v>0</v>
      </c>
      <c r="M2066" s="1">
        <v>0</v>
      </c>
      <c r="N2066" s="1">
        <v>0</v>
      </c>
      <c r="O2066" s="1">
        <v>0</v>
      </c>
      <c r="P2066" s="2">
        <v>4859110</v>
      </c>
      <c r="Q2066" s="1">
        <v>334136</v>
      </c>
      <c r="R2066" s="1">
        <v>0</v>
      </c>
      <c r="S2066">
        <v>98.863299999999995</v>
      </c>
      <c r="T2066">
        <v>98.274000000000001</v>
      </c>
      <c r="U2066">
        <v>2.3681399999999999</v>
      </c>
      <c r="V2066">
        <v>0</v>
      </c>
      <c r="W2066">
        <v>0</v>
      </c>
      <c r="X2066">
        <v>1.97787</v>
      </c>
      <c r="Y2066">
        <v>1.97787</v>
      </c>
      <c r="Z2066">
        <v>0</v>
      </c>
      <c r="AA2066">
        <v>1.4916700000000001</v>
      </c>
      <c r="AB2066">
        <v>3.3868800000000001</v>
      </c>
      <c r="AC2066" s="2">
        <v>1099970000</v>
      </c>
      <c r="AD2066" s="1">
        <v>0</v>
      </c>
      <c r="AE2066" s="1">
        <v>0</v>
      </c>
      <c r="AF2066" s="1">
        <v>0</v>
      </c>
      <c r="AG2066" s="1">
        <v>0</v>
      </c>
      <c r="AH2066" s="2">
        <v>5117220</v>
      </c>
      <c r="AI2066" s="1">
        <v>166801</v>
      </c>
      <c r="AJ2066" s="1">
        <v>0</v>
      </c>
      <c r="AK2066" s="8">
        <f t="shared" si="131"/>
        <v>37</v>
      </c>
      <c r="AL2066" s="8">
        <f t="shared" si="130"/>
        <v>40</v>
      </c>
      <c r="AM2066">
        <f t="shared" si="128"/>
        <v>0</v>
      </c>
      <c r="AN2066">
        <f t="shared" si="129"/>
        <v>0</v>
      </c>
    </row>
    <row r="2067" spans="1:40" x14ac:dyDescent="0.35">
      <c r="A2067">
        <v>71.064300000000003</v>
      </c>
      <c r="B2067">
        <v>85.138999999999996</v>
      </c>
      <c r="C2067">
        <v>1.81836</v>
      </c>
      <c r="D2067">
        <v>0</v>
      </c>
      <c r="E2067">
        <v>0.04</v>
      </c>
      <c r="F2067">
        <v>3.2502599999999999</v>
      </c>
      <c r="G2067">
        <v>3.2502599999999999</v>
      </c>
      <c r="H2067">
        <v>0</v>
      </c>
      <c r="I2067">
        <v>0.60910500000000001</v>
      </c>
      <c r="J2067">
        <v>5.3222399999999999</v>
      </c>
      <c r="K2067" s="2">
        <v>226549000</v>
      </c>
      <c r="L2067" s="1">
        <v>0</v>
      </c>
      <c r="M2067" s="1">
        <v>0</v>
      </c>
      <c r="N2067" s="1">
        <v>0</v>
      </c>
      <c r="O2067" s="1">
        <v>0</v>
      </c>
      <c r="P2067" s="2">
        <v>4859050</v>
      </c>
      <c r="Q2067" s="1">
        <v>334133</v>
      </c>
      <c r="R2067" s="1">
        <v>0</v>
      </c>
      <c r="S2067">
        <v>98.5899</v>
      </c>
      <c r="T2067">
        <v>98.274000000000001</v>
      </c>
      <c r="U2067">
        <v>2.3675000000000002</v>
      </c>
      <c r="V2067">
        <v>0</v>
      </c>
      <c r="W2067">
        <v>0</v>
      </c>
      <c r="X2067">
        <v>1.9778500000000001</v>
      </c>
      <c r="Y2067">
        <v>1.9778500000000001</v>
      </c>
      <c r="Z2067">
        <v>0</v>
      </c>
      <c r="AA2067">
        <v>1.5281</v>
      </c>
      <c r="AB2067">
        <v>3.3868800000000001</v>
      </c>
      <c r="AC2067" s="2">
        <v>1100140000</v>
      </c>
      <c r="AD2067" s="1">
        <v>0</v>
      </c>
      <c r="AE2067" s="1">
        <v>0</v>
      </c>
      <c r="AF2067" s="1">
        <v>0</v>
      </c>
      <c r="AG2067" s="1">
        <v>0</v>
      </c>
      <c r="AH2067" s="2">
        <v>5117160</v>
      </c>
      <c r="AI2067" s="1">
        <v>166800</v>
      </c>
      <c r="AJ2067" s="1">
        <v>0</v>
      </c>
      <c r="AK2067" s="8">
        <f t="shared" si="131"/>
        <v>38</v>
      </c>
      <c r="AL2067" s="8">
        <f t="shared" si="130"/>
        <v>40</v>
      </c>
      <c r="AM2067">
        <f t="shared" si="128"/>
        <v>0</v>
      </c>
      <c r="AN2067">
        <f t="shared" si="129"/>
        <v>0</v>
      </c>
    </row>
    <row r="2068" spans="1:40" x14ac:dyDescent="0.35">
      <c r="A2068">
        <v>69.547899999999998</v>
      </c>
      <c r="B2068">
        <v>85.138999999999996</v>
      </c>
      <c r="C2068">
        <v>1.68513</v>
      </c>
      <c r="D2068">
        <v>0</v>
      </c>
      <c r="E2068">
        <v>0.04</v>
      </c>
      <c r="F2068">
        <v>3.2502200000000001</v>
      </c>
      <c r="G2068">
        <v>3.2502200000000001</v>
      </c>
      <c r="H2068">
        <v>0</v>
      </c>
      <c r="I2068">
        <v>0.60909800000000003</v>
      </c>
      <c r="J2068">
        <v>5.3222399999999999</v>
      </c>
      <c r="K2068" s="2">
        <v>226883000</v>
      </c>
      <c r="L2068" s="1">
        <v>0</v>
      </c>
      <c r="M2068" s="1">
        <v>0</v>
      </c>
      <c r="N2068" s="1">
        <v>0</v>
      </c>
      <c r="O2068" s="1">
        <v>0</v>
      </c>
      <c r="P2068" s="2">
        <v>4859000</v>
      </c>
      <c r="Q2068" s="1">
        <v>334129</v>
      </c>
      <c r="R2068" s="1">
        <v>0</v>
      </c>
      <c r="S2068">
        <v>98.334900000000005</v>
      </c>
      <c r="T2068">
        <v>98.274000000000001</v>
      </c>
      <c r="U2068">
        <v>2.1121099999999999</v>
      </c>
      <c r="V2068">
        <v>0</v>
      </c>
      <c r="W2068">
        <v>0</v>
      </c>
      <c r="X2068">
        <v>1.97783</v>
      </c>
      <c r="Y2068">
        <v>1.97783</v>
      </c>
      <c r="Z2068">
        <v>0</v>
      </c>
      <c r="AA2068">
        <v>1.5280800000000001</v>
      </c>
      <c r="AB2068">
        <v>3.3868800000000001</v>
      </c>
      <c r="AC2068" s="2">
        <v>1100310000</v>
      </c>
      <c r="AD2068" s="1">
        <v>0</v>
      </c>
      <c r="AE2068" s="1">
        <v>0</v>
      </c>
      <c r="AF2068" s="1">
        <v>0</v>
      </c>
      <c r="AG2068" s="1">
        <v>0</v>
      </c>
      <c r="AH2068" s="2">
        <v>5117110</v>
      </c>
      <c r="AI2068" s="1">
        <v>166798</v>
      </c>
      <c r="AJ2068" s="1">
        <v>0</v>
      </c>
      <c r="AK2068" s="8">
        <f t="shared" si="131"/>
        <v>39</v>
      </c>
      <c r="AL2068" s="8">
        <f t="shared" si="130"/>
        <v>40</v>
      </c>
      <c r="AM2068">
        <f t="shared" si="128"/>
        <v>0</v>
      </c>
      <c r="AN2068">
        <f t="shared" si="129"/>
        <v>0</v>
      </c>
    </row>
    <row r="2069" spans="1:40" x14ac:dyDescent="0.35">
      <c r="A2069">
        <v>68.084699999999998</v>
      </c>
      <c r="B2069">
        <v>85.138999999999996</v>
      </c>
      <c r="C2069">
        <v>1.71472</v>
      </c>
      <c r="D2069">
        <v>0</v>
      </c>
      <c r="E2069">
        <v>0.04</v>
      </c>
      <c r="F2069">
        <v>3.2501899999999999</v>
      </c>
      <c r="G2069">
        <v>3.2501899999999999</v>
      </c>
      <c r="H2069">
        <v>0</v>
      </c>
      <c r="I2069">
        <v>0.60909199999999997</v>
      </c>
      <c r="J2069">
        <v>5.3222399999999999</v>
      </c>
      <c r="K2069" s="2">
        <v>227217000</v>
      </c>
      <c r="L2069" s="1">
        <v>0</v>
      </c>
      <c r="M2069" s="1">
        <v>0</v>
      </c>
      <c r="N2069" s="1">
        <v>0</v>
      </c>
      <c r="O2069" s="1">
        <v>0</v>
      </c>
      <c r="P2069" s="2">
        <v>4858950</v>
      </c>
      <c r="Q2069" s="1">
        <v>334126</v>
      </c>
      <c r="R2069" s="1">
        <v>0</v>
      </c>
      <c r="S2069">
        <v>98.133200000000002</v>
      </c>
      <c r="T2069">
        <v>98.274000000000001</v>
      </c>
      <c r="U2069">
        <v>2.4027500000000002</v>
      </c>
      <c r="V2069">
        <v>0</v>
      </c>
      <c r="W2069">
        <v>0</v>
      </c>
      <c r="X2069">
        <v>1.9778100000000001</v>
      </c>
      <c r="Y2069">
        <v>1.9778100000000001</v>
      </c>
      <c r="Z2069">
        <v>0</v>
      </c>
      <c r="AA2069">
        <v>1.52807</v>
      </c>
      <c r="AB2069">
        <v>3.3868800000000001</v>
      </c>
      <c r="AC2069" s="2">
        <v>1100470000</v>
      </c>
      <c r="AD2069" s="1">
        <v>0</v>
      </c>
      <c r="AE2069" s="1">
        <v>0</v>
      </c>
      <c r="AF2069" s="1">
        <v>0</v>
      </c>
      <c r="AG2069" s="1">
        <v>0</v>
      </c>
      <c r="AH2069" s="2">
        <v>5117050</v>
      </c>
      <c r="AI2069" s="1">
        <v>166796</v>
      </c>
      <c r="AJ2069" s="1">
        <v>0</v>
      </c>
      <c r="AK2069" s="8">
        <f t="shared" si="131"/>
        <v>40</v>
      </c>
      <c r="AL2069" s="8">
        <f t="shared" si="130"/>
        <v>40</v>
      </c>
      <c r="AM2069">
        <f t="shared" si="128"/>
        <v>0</v>
      </c>
      <c r="AN2069">
        <f t="shared" si="129"/>
        <v>0</v>
      </c>
    </row>
    <row r="2070" spans="1:40" x14ac:dyDescent="0.35">
      <c r="A2070">
        <v>66.648600000000002</v>
      </c>
      <c r="B2070">
        <v>85.138999999999996</v>
      </c>
      <c r="C2070">
        <v>1.89872</v>
      </c>
      <c r="D2070">
        <v>0</v>
      </c>
      <c r="E2070">
        <v>0.04</v>
      </c>
      <c r="F2070">
        <v>3.4672200000000002</v>
      </c>
      <c r="G2070">
        <v>3.4672200000000002</v>
      </c>
      <c r="H2070">
        <v>0</v>
      </c>
      <c r="I2070">
        <v>0.60908600000000002</v>
      </c>
      <c r="J2070">
        <v>5.3222399999999999</v>
      </c>
      <c r="K2070" s="2">
        <v>227573000</v>
      </c>
      <c r="L2070" s="1">
        <v>0</v>
      </c>
      <c r="M2070" s="1">
        <v>0</v>
      </c>
      <c r="N2070" s="1">
        <v>0</v>
      </c>
      <c r="O2070" s="1">
        <v>0</v>
      </c>
      <c r="P2070" s="2">
        <v>5183410</v>
      </c>
      <c r="Q2070" s="1">
        <v>356437</v>
      </c>
      <c r="R2070" s="1">
        <v>0</v>
      </c>
      <c r="S2070">
        <v>97.743700000000004</v>
      </c>
      <c r="T2070">
        <v>98.274000000000001</v>
      </c>
      <c r="U2070">
        <v>2.25115</v>
      </c>
      <c r="V2070">
        <v>0</v>
      </c>
      <c r="W2070">
        <v>0</v>
      </c>
      <c r="X2070">
        <v>2.1480600000000001</v>
      </c>
      <c r="Y2070">
        <v>2.1480600000000001</v>
      </c>
      <c r="Z2070">
        <v>0</v>
      </c>
      <c r="AA2070">
        <v>1.5280499999999999</v>
      </c>
      <c r="AB2070">
        <v>3.3868800000000001</v>
      </c>
      <c r="AC2070" s="2">
        <v>1100650000</v>
      </c>
      <c r="AD2070" s="1">
        <v>0</v>
      </c>
      <c r="AE2070" s="1">
        <v>0</v>
      </c>
      <c r="AF2070" s="1">
        <v>0</v>
      </c>
      <c r="AG2070" s="1">
        <v>0</v>
      </c>
      <c r="AH2070" s="2">
        <v>5557550</v>
      </c>
      <c r="AI2070" s="1">
        <v>181155</v>
      </c>
      <c r="AJ2070" s="1">
        <v>0</v>
      </c>
      <c r="AK2070" s="8">
        <f t="shared" si="131"/>
        <v>41</v>
      </c>
      <c r="AL2070" s="8">
        <f t="shared" si="130"/>
        <v>40</v>
      </c>
      <c r="AM2070">
        <f t="shared" si="128"/>
        <v>0</v>
      </c>
      <c r="AN2070">
        <f t="shared" si="129"/>
        <v>0</v>
      </c>
    </row>
    <row r="2071" spans="1:40" x14ac:dyDescent="0.35">
      <c r="A2071">
        <v>64.9816</v>
      </c>
      <c r="B2071">
        <v>85.138999999999996</v>
      </c>
      <c r="C2071">
        <v>1.67608</v>
      </c>
      <c r="D2071">
        <v>0</v>
      </c>
      <c r="E2071">
        <v>0.04</v>
      </c>
      <c r="F2071">
        <v>3.4671799999999999</v>
      </c>
      <c r="G2071">
        <v>3.4671799999999999</v>
      </c>
      <c r="H2071">
        <v>0</v>
      </c>
      <c r="I2071">
        <v>0.64975700000000003</v>
      </c>
      <c r="J2071">
        <v>5.3222399999999999</v>
      </c>
      <c r="K2071" s="2">
        <v>227930000</v>
      </c>
      <c r="L2071" s="1">
        <v>0</v>
      </c>
      <c r="M2071" s="1">
        <v>0</v>
      </c>
      <c r="N2071" s="1">
        <v>0</v>
      </c>
      <c r="O2071" s="1">
        <v>0</v>
      </c>
      <c r="P2071" s="2">
        <v>5183350</v>
      </c>
      <c r="Q2071" s="1">
        <v>356433</v>
      </c>
      <c r="R2071" s="1">
        <v>0</v>
      </c>
      <c r="S2071">
        <v>97.281800000000004</v>
      </c>
      <c r="T2071">
        <v>98.274000000000001</v>
      </c>
      <c r="U2071">
        <v>1.98776</v>
      </c>
      <c r="V2071">
        <v>0</v>
      </c>
      <c r="W2071">
        <v>0</v>
      </c>
      <c r="X2071">
        <v>2.1480399999999999</v>
      </c>
      <c r="Y2071">
        <v>2.1480399999999999</v>
      </c>
      <c r="Z2071">
        <v>0</v>
      </c>
      <c r="AA2071">
        <v>1.6595899999999999</v>
      </c>
      <c r="AB2071">
        <v>3.3868800000000001</v>
      </c>
      <c r="AC2071" s="2">
        <v>1100840000</v>
      </c>
      <c r="AD2071" s="1">
        <v>0</v>
      </c>
      <c r="AE2071" s="1">
        <v>0</v>
      </c>
      <c r="AF2071" s="1">
        <v>0</v>
      </c>
      <c r="AG2071" s="1">
        <v>0</v>
      </c>
      <c r="AH2071" s="2">
        <v>5557490</v>
      </c>
      <c r="AI2071" s="1">
        <v>181153</v>
      </c>
      <c r="AJ2071" s="1">
        <v>0</v>
      </c>
      <c r="AK2071" s="8">
        <f t="shared" si="131"/>
        <v>42</v>
      </c>
      <c r="AL2071" s="8">
        <f t="shared" si="130"/>
        <v>40</v>
      </c>
      <c r="AM2071">
        <f t="shared" si="128"/>
        <v>0</v>
      </c>
      <c r="AN2071">
        <f t="shared" si="129"/>
        <v>0</v>
      </c>
    </row>
    <row r="2072" spans="1:40" x14ac:dyDescent="0.35">
      <c r="A2072">
        <v>63.365699999999997</v>
      </c>
      <c r="B2072">
        <v>85.138999999999996</v>
      </c>
      <c r="C2072">
        <v>1.69249</v>
      </c>
      <c r="D2072">
        <v>0</v>
      </c>
      <c r="E2072">
        <v>0.04</v>
      </c>
      <c r="F2072">
        <v>3.4671500000000002</v>
      </c>
      <c r="G2072">
        <v>3.4671500000000002</v>
      </c>
      <c r="H2072">
        <v>0</v>
      </c>
      <c r="I2072">
        <v>0.64975000000000005</v>
      </c>
      <c r="J2072">
        <v>5.3222399999999999</v>
      </c>
      <c r="K2072" s="2">
        <v>228286000</v>
      </c>
      <c r="L2072" s="1">
        <v>0</v>
      </c>
      <c r="M2072" s="1">
        <v>0</v>
      </c>
      <c r="N2072" s="1">
        <v>0</v>
      </c>
      <c r="O2072" s="1">
        <v>0</v>
      </c>
      <c r="P2072" s="2">
        <v>5183300</v>
      </c>
      <c r="Q2072" s="1">
        <v>356429</v>
      </c>
      <c r="R2072" s="1">
        <v>0</v>
      </c>
      <c r="S2072">
        <v>96.898300000000006</v>
      </c>
      <c r="T2072">
        <v>98.274000000000001</v>
      </c>
      <c r="U2072">
        <v>2.1437900000000001</v>
      </c>
      <c r="V2072">
        <v>0</v>
      </c>
      <c r="W2072">
        <v>0</v>
      </c>
      <c r="X2072">
        <v>2.1480199999999998</v>
      </c>
      <c r="Y2072">
        <v>2.1480199999999998</v>
      </c>
      <c r="Z2072">
        <v>0</v>
      </c>
      <c r="AA2072">
        <v>1.6595800000000001</v>
      </c>
      <c r="AB2072">
        <v>3.3868800000000001</v>
      </c>
      <c r="AC2072" s="2">
        <v>1101020000</v>
      </c>
      <c r="AD2072" s="1">
        <v>0</v>
      </c>
      <c r="AE2072" s="1">
        <v>0</v>
      </c>
      <c r="AF2072" s="1">
        <v>0</v>
      </c>
      <c r="AG2072" s="1">
        <v>0</v>
      </c>
      <c r="AH2072" s="2">
        <v>5557430</v>
      </c>
      <c r="AI2072" s="1">
        <v>181151</v>
      </c>
      <c r="AJ2072" s="1">
        <v>0</v>
      </c>
      <c r="AK2072" s="8">
        <f t="shared" si="131"/>
        <v>43</v>
      </c>
      <c r="AL2072" s="8">
        <f t="shared" si="130"/>
        <v>40</v>
      </c>
      <c r="AM2072">
        <f t="shared" si="128"/>
        <v>0</v>
      </c>
      <c r="AN2072">
        <f t="shared" si="129"/>
        <v>0</v>
      </c>
    </row>
    <row r="2073" spans="1:40" x14ac:dyDescent="0.35">
      <c r="A2073">
        <v>61.781500000000001</v>
      </c>
      <c r="B2073">
        <v>85.138999999999996</v>
      </c>
      <c r="C2073">
        <v>1.7082999999999999</v>
      </c>
      <c r="D2073">
        <v>0</v>
      </c>
      <c r="E2073">
        <v>0.04</v>
      </c>
      <c r="F2073">
        <v>3.4671099999999999</v>
      </c>
      <c r="G2073">
        <v>3.4671099999999999</v>
      </c>
      <c r="H2073">
        <v>0</v>
      </c>
      <c r="I2073">
        <v>0.64974299999999996</v>
      </c>
      <c r="J2073">
        <v>5.3222399999999999</v>
      </c>
      <c r="K2073" s="2">
        <v>228643000</v>
      </c>
      <c r="L2073" s="1">
        <v>0</v>
      </c>
      <c r="M2073" s="1">
        <v>0</v>
      </c>
      <c r="N2073" s="1">
        <v>0</v>
      </c>
      <c r="O2073" s="1">
        <v>0</v>
      </c>
      <c r="P2073" s="2">
        <v>5183240</v>
      </c>
      <c r="Q2073" s="1">
        <v>356426</v>
      </c>
      <c r="R2073" s="1">
        <v>0</v>
      </c>
      <c r="S2073">
        <v>96.503900000000002</v>
      </c>
      <c r="T2073">
        <v>98.274000000000001</v>
      </c>
      <c r="U2073">
        <v>2.5330699999999999</v>
      </c>
      <c r="V2073">
        <v>0</v>
      </c>
      <c r="W2073">
        <v>0</v>
      </c>
      <c r="X2073">
        <v>2.1480000000000001</v>
      </c>
      <c r="Y2073">
        <v>2.1480000000000001</v>
      </c>
      <c r="Z2073">
        <v>0</v>
      </c>
      <c r="AA2073">
        <v>1.6595599999999999</v>
      </c>
      <c r="AB2073">
        <v>3.3868800000000001</v>
      </c>
      <c r="AC2073" s="2">
        <v>1101200000</v>
      </c>
      <c r="AD2073" s="1">
        <v>0</v>
      </c>
      <c r="AE2073" s="1">
        <v>0</v>
      </c>
      <c r="AF2073" s="1">
        <v>0</v>
      </c>
      <c r="AG2073" s="1">
        <v>0</v>
      </c>
      <c r="AH2073" s="2">
        <v>5557380</v>
      </c>
      <c r="AI2073" s="1">
        <v>181149</v>
      </c>
      <c r="AJ2073" s="1">
        <v>0</v>
      </c>
      <c r="AK2073" s="8">
        <f t="shared" si="131"/>
        <v>44</v>
      </c>
      <c r="AL2073" s="8">
        <f t="shared" si="130"/>
        <v>40</v>
      </c>
      <c r="AM2073">
        <f t="shared" si="128"/>
        <v>0</v>
      </c>
      <c r="AN2073">
        <f t="shared" si="129"/>
        <v>0</v>
      </c>
    </row>
    <row r="2074" spans="1:40" x14ac:dyDescent="0.35">
      <c r="A2074">
        <v>60.308399999999999</v>
      </c>
      <c r="B2074">
        <v>85.138999999999996</v>
      </c>
      <c r="C2074">
        <v>1.76641</v>
      </c>
      <c r="D2074">
        <v>0</v>
      </c>
      <c r="E2074">
        <v>0.04</v>
      </c>
      <c r="F2074">
        <v>3.4670700000000001</v>
      </c>
      <c r="G2074">
        <v>3.4670700000000001</v>
      </c>
      <c r="H2074">
        <v>0</v>
      </c>
      <c r="I2074">
        <v>0.64973599999999998</v>
      </c>
      <c r="J2074">
        <v>5.3222399999999999</v>
      </c>
      <c r="K2074" s="2">
        <v>228999000</v>
      </c>
      <c r="L2074" s="1">
        <v>0</v>
      </c>
      <c r="M2074" s="1">
        <v>0</v>
      </c>
      <c r="N2074" s="1">
        <v>0</v>
      </c>
      <c r="O2074" s="1">
        <v>0</v>
      </c>
      <c r="P2074" s="2">
        <v>5183190</v>
      </c>
      <c r="Q2074" s="1">
        <v>356422</v>
      </c>
      <c r="R2074" s="1">
        <v>0</v>
      </c>
      <c r="S2074">
        <v>96.093900000000005</v>
      </c>
      <c r="T2074">
        <v>98.274000000000001</v>
      </c>
      <c r="U2074">
        <v>2.0091800000000002</v>
      </c>
      <c r="V2074">
        <v>0</v>
      </c>
      <c r="W2074">
        <v>0</v>
      </c>
      <c r="X2074">
        <v>2.1479699999999999</v>
      </c>
      <c r="Y2074">
        <v>2.1479699999999999</v>
      </c>
      <c r="Z2074">
        <v>0</v>
      </c>
      <c r="AA2074">
        <v>1.65954</v>
      </c>
      <c r="AB2074">
        <v>3.3868800000000001</v>
      </c>
      <c r="AC2074" s="2">
        <v>1101380000</v>
      </c>
      <c r="AD2074" s="1">
        <v>0</v>
      </c>
      <c r="AE2074" s="1">
        <v>0</v>
      </c>
      <c r="AF2074" s="1">
        <v>0</v>
      </c>
      <c r="AG2074" s="1">
        <v>0</v>
      </c>
      <c r="AH2074" s="2">
        <v>5557320</v>
      </c>
      <c r="AI2074" s="1">
        <v>181147</v>
      </c>
      <c r="AJ2074" s="1">
        <v>0</v>
      </c>
      <c r="AK2074" s="8">
        <f t="shared" si="131"/>
        <v>45</v>
      </c>
      <c r="AL2074" s="8">
        <f t="shared" si="130"/>
        <v>40</v>
      </c>
      <c r="AM2074">
        <f t="shared" si="128"/>
        <v>0</v>
      </c>
      <c r="AN2074">
        <f t="shared" si="129"/>
        <v>0</v>
      </c>
    </row>
    <row r="2075" spans="1:40" x14ac:dyDescent="0.35">
      <c r="A2075">
        <v>58.983600000000003</v>
      </c>
      <c r="B2075">
        <v>85.138999999999996</v>
      </c>
      <c r="C2075">
        <v>1.79559</v>
      </c>
      <c r="D2075">
        <v>0</v>
      </c>
      <c r="E2075">
        <v>0.04</v>
      </c>
      <c r="F2075">
        <v>3.3612500000000001</v>
      </c>
      <c r="G2075">
        <v>3.3612500000000001</v>
      </c>
      <c r="H2075">
        <v>0</v>
      </c>
      <c r="I2075">
        <v>0.64973000000000003</v>
      </c>
      <c r="J2075">
        <v>5.3222399999999999</v>
      </c>
      <c r="K2075" s="2">
        <v>229345000</v>
      </c>
      <c r="L2075" s="1">
        <v>0</v>
      </c>
      <c r="M2075" s="1">
        <v>0</v>
      </c>
      <c r="N2075" s="1">
        <v>0</v>
      </c>
      <c r="O2075" s="1">
        <v>0</v>
      </c>
      <c r="P2075" s="2">
        <v>5024990</v>
      </c>
      <c r="Q2075" s="1">
        <v>345543</v>
      </c>
      <c r="R2075" s="1">
        <v>0</v>
      </c>
      <c r="S2075">
        <v>95.911100000000005</v>
      </c>
      <c r="T2075">
        <v>98.274000000000001</v>
      </c>
      <c r="U2075">
        <v>3.0106999999999999</v>
      </c>
      <c r="V2075">
        <v>0</v>
      </c>
      <c r="W2075">
        <v>0</v>
      </c>
      <c r="X2075">
        <v>2.0446</v>
      </c>
      <c r="Y2075">
        <v>2.0446</v>
      </c>
      <c r="Z2075">
        <v>0</v>
      </c>
      <c r="AA2075">
        <v>1.6595200000000001</v>
      </c>
      <c r="AB2075">
        <v>3.3868800000000001</v>
      </c>
      <c r="AC2075" s="2">
        <v>1101550000</v>
      </c>
      <c r="AD2075" s="1">
        <v>0</v>
      </c>
      <c r="AE2075" s="1">
        <v>0</v>
      </c>
      <c r="AF2075" s="1">
        <v>0</v>
      </c>
      <c r="AG2075" s="1">
        <v>0</v>
      </c>
      <c r="AH2075" s="2">
        <v>5289870</v>
      </c>
      <c r="AI2075" s="1">
        <v>172429</v>
      </c>
      <c r="AJ2075" s="1">
        <v>0</v>
      </c>
      <c r="AK2075" s="8">
        <f t="shared" si="131"/>
        <v>46</v>
      </c>
      <c r="AL2075" s="8">
        <f t="shared" si="130"/>
        <v>40</v>
      </c>
      <c r="AM2075">
        <f t="shared" si="128"/>
        <v>0</v>
      </c>
      <c r="AN2075">
        <f t="shared" si="129"/>
        <v>0</v>
      </c>
    </row>
    <row r="2076" spans="1:40" x14ac:dyDescent="0.35">
      <c r="A2076">
        <v>57.448099999999997</v>
      </c>
      <c r="B2076">
        <v>85.138999999999996</v>
      </c>
      <c r="C2076">
        <v>1.5703199999999999</v>
      </c>
      <c r="D2076">
        <v>0</v>
      </c>
      <c r="E2076">
        <v>0.04</v>
      </c>
      <c r="F2076">
        <v>3.3612199999999999</v>
      </c>
      <c r="G2076">
        <v>3.3612199999999999</v>
      </c>
      <c r="H2076">
        <v>0</v>
      </c>
      <c r="I2076">
        <v>0.62989899999999999</v>
      </c>
      <c r="J2076">
        <v>5.3222399999999999</v>
      </c>
      <c r="K2076" s="2">
        <v>229690000</v>
      </c>
      <c r="L2076" s="1">
        <v>0</v>
      </c>
      <c r="M2076" s="1">
        <v>0</v>
      </c>
      <c r="N2076" s="1">
        <v>0</v>
      </c>
      <c r="O2076" s="1">
        <v>0</v>
      </c>
      <c r="P2076" s="2">
        <v>5024940</v>
      </c>
      <c r="Q2076" s="1">
        <v>345540</v>
      </c>
      <c r="R2076" s="1">
        <v>0</v>
      </c>
      <c r="S2076">
        <v>95.302400000000006</v>
      </c>
      <c r="T2076">
        <v>98.274000000000001</v>
      </c>
      <c r="U2076">
        <v>1.77268</v>
      </c>
      <c r="V2076">
        <v>0</v>
      </c>
      <c r="W2076">
        <v>0</v>
      </c>
      <c r="X2076">
        <v>2.0445799999999998</v>
      </c>
      <c r="Y2076">
        <v>2.0445799999999998</v>
      </c>
      <c r="Z2076">
        <v>0</v>
      </c>
      <c r="AA2076">
        <v>1.5796600000000001</v>
      </c>
      <c r="AB2076">
        <v>3.3868800000000001</v>
      </c>
      <c r="AC2076" s="2">
        <v>1101720000</v>
      </c>
      <c r="AD2076" s="1">
        <v>0</v>
      </c>
      <c r="AE2076" s="1">
        <v>0</v>
      </c>
      <c r="AF2076" s="1">
        <v>0</v>
      </c>
      <c r="AG2076" s="1">
        <v>0</v>
      </c>
      <c r="AH2076" s="2">
        <v>5289820</v>
      </c>
      <c r="AI2076" s="1">
        <v>172428</v>
      </c>
      <c r="AJ2076" s="1">
        <v>0</v>
      </c>
      <c r="AK2076" s="8">
        <f t="shared" si="131"/>
        <v>47</v>
      </c>
      <c r="AL2076" s="8">
        <f t="shared" si="130"/>
        <v>40</v>
      </c>
      <c r="AM2076">
        <f t="shared" si="128"/>
        <v>0</v>
      </c>
      <c r="AN2076">
        <f t="shared" si="129"/>
        <v>0</v>
      </c>
    </row>
    <row r="2077" spans="1:40" x14ac:dyDescent="0.35">
      <c r="A2077">
        <v>55.892099999999999</v>
      </c>
      <c r="B2077">
        <v>85.138999999999996</v>
      </c>
      <c r="C2077">
        <v>1.52291</v>
      </c>
      <c r="D2077">
        <v>0</v>
      </c>
      <c r="E2077">
        <v>0.04</v>
      </c>
      <c r="F2077">
        <v>3.3611800000000001</v>
      </c>
      <c r="G2077">
        <v>3.3611800000000001</v>
      </c>
      <c r="H2077">
        <v>0</v>
      </c>
      <c r="I2077">
        <v>0.62989200000000001</v>
      </c>
      <c r="J2077">
        <v>5.3222399999999999</v>
      </c>
      <c r="K2077" s="2">
        <v>230036000</v>
      </c>
      <c r="L2077" s="1">
        <v>0</v>
      </c>
      <c r="M2077" s="1">
        <v>0</v>
      </c>
      <c r="N2077" s="1">
        <v>0</v>
      </c>
      <c r="O2077" s="1">
        <v>0</v>
      </c>
      <c r="P2077" s="2">
        <v>5024880</v>
      </c>
      <c r="Q2077" s="1">
        <v>345536</v>
      </c>
      <c r="R2077" s="1">
        <v>0</v>
      </c>
      <c r="S2077">
        <v>94.908100000000005</v>
      </c>
      <c r="T2077">
        <v>98.274000000000001</v>
      </c>
      <c r="U2077">
        <v>1.6389400000000001</v>
      </c>
      <c r="V2077">
        <v>0</v>
      </c>
      <c r="W2077">
        <v>0</v>
      </c>
      <c r="X2077">
        <v>2.0445600000000002</v>
      </c>
      <c r="Y2077">
        <v>2.0445600000000002</v>
      </c>
      <c r="Z2077">
        <v>0</v>
      </c>
      <c r="AA2077">
        <v>1.5796399999999999</v>
      </c>
      <c r="AB2077">
        <v>3.3868800000000001</v>
      </c>
      <c r="AC2077" s="2">
        <v>1101900000</v>
      </c>
      <c r="AD2077" s="1">
        <v>0</v>
      </c>
      <c r="AE2077" s="1">
        <v>0</v>
      </c>
      <c r="AF2077" s="1">
        <v>0</v>
      </c>
      <c r="AG2077" s="1">
        <v>0</v>
      </c>
      <c r="AH2077" s="2">
        <v>5289760</v>
      </c>
      <c r="AI2077" s="1">
        <v>172426</v>
      </c>
      <c r="AJ2077" s="1">
        <v>0</v>
      </c>
      <c r="AK2077" s="8">
        <f t="shared" si="131"/>
        <v>48</v>
      </c>
      <c r="AL2077" s="8">
        <f t="shared" si="130"/>
        <v>40</v>
      </c>
      <c r="AM2077">
        <f t="shared" si="128"/>
        <v>0</v>
      </c>
      <c r="AN2077">
        <f t="shared" si="129"/>
        <v>0</v>
      </c>
    </row>
    <row r="2078" spans="1:40" x14ac:dyDescent="0.35">
      <c r="A2078">
        <v>55.72</v>
      </c>
      <c r="B2078">
        <v>85.138999999999996</v>
      </c>
      <c r="C2078">
        <v>3.11205</v>
      </c>
      <c r="D2078">
        <v>0</v>
      </c>
      <c r="E2078">
        <v>0.04</v>
      </c>
      <c r="F2078">
        <v>3.3611499999999999</v>
      </c>
      <c r="G2078">
        <v>3.3611499999999999</v>
      </c>
      <c r="H2078">
        <v>0</v>
      </c>
      <c r="I2078">
        <v>0.62988599999999995</v>
      </c>
      <c r="J2078">
        <v>5.3222399999999999</v>
      </c>
      <c r="K2078" s="2">
        <v>230381000</v>
      </c>
      <c r="L2078" s="1">
        <v>0</v>
      </c>
      <c r="M2078" s="1">
        <v>0</v>
      </c>
      <c r="N2078" s="1">
        <v>0</v>
      </c>
      <c r="O2078" s="1">
        <v>0</v>
      </c>
      <c r="P2078" s="2">
        <v>5024830</v>
      </c>
      <c r="Q2078" s="1">
        <v>345532</v>
      </c>
      <c r="R2078" s="1">
        <v>0</v>
      </c>
      <c r="S2078">
        <v>94.9786</v>
      </c>
      <c r="T2078">
        <v>98.274000000000001</v>
      </c>
      <c r="U2078">
        <v>2.8486699999999998</v>
      </c>
      <c r="V2078">
        <v>0</v>
      </c>
      <c r="W2078">
        <v>0</v>
      </c>
      <c r="X2078">
        <v>2.04454</v>
      </c>
      <c r="Y2078">
        <v>2.04454</v>
      </c>
      <c r="Z2078">
        <v>0</v>
      </c>
      <c r="AA2078">
        <v>1.5796300000000001</v>
      </c>
      <c r="AB2078">
        <v>3.3868800000000001</v>
      </c>
      <c r="AC2078" s="2">
        <v>1102070000</v>
      </c>
      <c r="AD2078" s="1">
        <v>0</v>
      </c>
      <c r="AE2078" s="1">
        <v>0</v>
      </c>
      <c r="AF2078" s="1">
        <v>0</v>
      </c>
      <c r="AG2078" s="1">
        <v>0</v>
      </c>
      <c r="AH2078" s="2">
        <v>5289710</v>
      </c>
      <c r="AI2078" s="1">
        <v>172424</v>
      </c>
      <c r="AJ2078" s="1">
        <v>0</v>
      </c>
      <c r="AK2078" s="8">
        <f t="shared" si="131"/>
        <v>49</v>
      </c>
      <c r="AL2078" s="8">
        <f t="shared" si="130"/>
        <v>40</v>
      </c>
      <c r="AM2078">
        <f t="shared" si="128"/>
        <v>0</v>
      </c>
      <c r="AN2078">
        <f t="shared" si="129"/>
        <v>0</v>
      </c>
    </row>
    <row r="2079" spans="1:40" x14ac:dyDescent="0.35">
      <c r="A2079">
        <v>53.653100000000002</v>
      </c>
      <c r="B2079">
        <v>85.138999999999996</v>
      </c>
      <c r="C2079">
        <v>1.0361</v>
      </c>
      <c r="D2079">
        <v>0</v>
      </c>
      <c r="E2079">
        <v>0.04</v>
      </c>
      <c r="F2079">
        <v>3.2742900000000001</v>
      </c>
      <c r="G2079">
        <v>3.2742900000000001</v>
      </c>
      <c r="H2079">
        <v>0</v>
      </c>
      <c r="I2079">
        <v>0.62987899999999997</v>
      </c>
      <c r="J2079">
        <v>5.3222399999999999</v>
      </c>
      <c r="K2079" s="2">
        <v>230718000</v>
      </c>
      <c r="L2079" s="1">
        <v>0</v>
      </c>
      <c r="M2079" s="1">
        <v>0</v>
      </c>
      <c r="N2079" s="1">
        <v>0</v>
      </c>
      <c r="O2079" s="1">
        <v>0</v>
      </c>
      <c r="P2079" s="2">
        <v>4894980</v>
      </c>
      <c r="Q2079" s="1">
        <v>336603</v>
      </c>
      <c r="R2079" s="1">
        <v>0</v>
      </c>
      <c r="S2079">
        <v>94.572000000000003</v>
      </c>
      <c r="T2079">
        <v>98.274000000000001</v>
      </c>
      <c r="U2079">
        <v>1.79257</v>
      </c>
      <c r="V2079">
        <v>0</v>
      </c>
      <c r="W2079">
        <v>0</v>
      </c>
      <c r="X2079">
        <v>1.95045</v>
      </c>
      <c r="Y2079">
        <v>1.95045</v>
      </c>
      <c r="Z2079">
        <v>0</v>
      </c>
      <c r="AA2079">
        <v>1.57961</v>
      </c>
      <c r="AB2079">
        <v>3.3868800000000001</v>
      </c>
      <c r="AC2079" s="2">
        <v>1102230000</v>
      </c>
      <c r="AD2079" s="1">
        <v>0</v>
      </c>
      <c r="AE2079" s="1">
        <v>0</v>
      </c>
      <c r="AF2079" s="1">
        <v>0</v>
      </c>
      <c r="AG2079" s="1">
        <v>0</v>
      </c>
      <c r="AH2079" s="2">
        <v>5046280</v>
      </c>
      <c r="AI2079" s="1">
        <v>164489</v>
      </c>
      <c r="AJ2079" s="1">
        <v>0</v>
      </c>
      <c r="AK2079" s="8">
        <f t="shared" si="131"/>
        <v>50</v>
      </c>
      <c r="AL2079" s="8">
        <f t="shared" si="130"/>
        <v>40</v>
      </c>
      <c r="AM2079">
        <f t="shared" si="128"/>
        <v>0</v>
      </c>
      <c r="AN2079">
        <f t="shared" si="129"/>
        <v>0</v>
      </c>
    </row>
    <row r="2080" spans="1:40" x14ac:dyDescent="0.35">
      <c r="A2080">
        <v>51.9651</v>
      </c>
      <c r="B2080">
        <v>85.138999999999996</v>
      </c>
      <c r="C2080">
        <v>1.4270099999999999</v>
      </c>
      <c r="D2080">
        <v>0</v>
      </c>
      <c r="E2080">
        <v>0.04</v>
      </c>
      <c r="F2080">
        <v>3.2742499999999999</v>
      </c>
      <c r="G2080">
        <v>3.2742499999999999</v>
      </c>
      <c r="H2080">
        <v>0</v>
      </c>
      <c r="I2080">
        <v>0.61360099999999995</v>
      </c>
      <c r="J2080">
        <v>5.3222399999999999</v>
      </c>
      <c r="K2080" s="2">
        <v>231055000</v>
      </c>
      <c r="L2080" s="1">
        <v>0</v>
      </c>
      <c r="M2080" s="1">
        <v>0</v>
      </c>
      <c r="N2080" s="1">
        <v>0</v>
      </c>
      <c r="O2080" s="1">
        <v>0</v>
      </c>
      <c r="P2080" s="2">
        <v>4894920</v>
      </c>
      <c r="Q2080" s="1">
        <v>336599</v>
      </c>
      <c r="R2080" s="1">
        <v>0</v>
      </c>
      <c r="S2080">
        <v>94.284499999999994</v>
      </c>
      <c r="T2080">
        <v>98.274000000000001</v>
      </c>
      <c r="U2080">
        <v>2.3953899999999999</v>
      </c>
      <c r="V2080">
        <v>0</v>
      </c>
      <c r="W2080">
        <v>0</v>
      </c>
      <c r="X2080">
        <v>1.9504300000000001</v>
      </c>
      <c r="Y2080">
        <v>1.9504300000000001</v>
      </c>
      <c r="Z2080">
        <v>0</v>
      </c>
      <c r="AA2080">
        <v>1.50692</v>
      </c>
      <c r="AB2080">
        <v>3.3868800000000001</v>
      </c>
      <c r="AC2080" s="2">
        <v>1102400000</v>
      </c>
      <c r="AD2080" s="1">
        <v>0</v>
      </c>
      <c r="AE2080" s="1">
        <v>0</v>
      </c>
      <c r="AF2080" s="1">
        <v>0</v>
      </c>
      <c r="AG2080" s="1">
        <v>0</v>
      </c>
      <c r="AH2080" s="2">
        <v>5046220</v>
      </c>
      <c r="AI2080" s="1">
        <v>164487</v>
      </c>
      <c r="AJ2080" s="1">
        <v>0</v>
      </c>
      <c r="AK2080" s="8">
        <f t="shared" si="131"/>
        <v>51</v>
      </c>
      <c r="AL2080" s="8">
        <f t="shared" si="130"/>
        <v>40</v>
      </c>
      <c r="AM2080">
        <f t="shared" si="128"/>
        <v>0</v>
      </c>
      <c r="AN2080">
        <f t="shared" si="129"/>
        <v>0</v>
      </c>
    </row>
    <row r="2081" spans="1:40" x14ac:dyDescent="0.35">
      <c r="A2081">
        <v>51.023899999999998</v>
      </c>
      <c r="B2081">
        <v>85.138999999999996</v>
      </c>
      <c r="C2081">
        <v>2.2269700000000001</v>
      </c>
      <c r="D2081">
        <v>0</v>
      </c>
      <c r="E2081">
        <v>0.04</v>
      </c>
      <c r="F2081">
        <v>3.2742200000000001</v>
      </c>
      <c r="G2081">
        <v>3.2742200000000001</v>
      </c>
      <c r="H2081">
        <v>0</v>
      </c>
      <c r="I2081">
        <v>0.613595</v>
      </c>
      <c r="J2081">
        <v>5.3222399999999999</v>
      </c>
      <c r="K2081" s="2">
        <v>231391000</v>
      </c>
      <c r="L2081" s="1">
        <v>0</v>
      </c>
      <c r="M2081" s="1">
        <v>0</v>
      </c>
      <c r="N2081" s="1">
        <v>0</v>
      </c>
      <c r="O2081" s="1">
        <v>0</v>
      </c>
      <c r="P2081" s="2">
        <v>4894870</v>
      </c>
      <c r="Q2081" s="1">
        <v>336596</v>
      </c>
      <c r="R2081" s="1">
        <v>0</v>
      </c>
      <c r="S2081">
        <v>94.241200000000006</v>
      </c>
      <c r="T2081">
        <v>98.274000000000001</v>
      </c>
      <c r="U2081">
        <v>2.9776500000000001</v>
      </c>
      <c r="V2081">
        <v>0</v>
      </c>
      <c r="W2081">
        <v>0</v>
      </c>
      <c r="X2081">
        <v>1.95041</v>
      </c>
      <c r="Y2081">
        <v>1.95041</v>
      </c>
      <c r="Z2081">
        <v>0</v>
      </c>
      <c r="AA2081">
        <v>1.5068999999999999</v>
      </c>
      <c r="AB2081">
        <v>3.3868800000000001</v>
      </c>
      <c r="AC2081" s="2">
        <v>1102560000</v>
      </c>
      <c r="AD2081" s="1">
        <v>0</v>
      </c>
      <c r="AE2081" s="1">
        <v>0</v>
      </c>
      <c r="AF2081" s="1">
        <v>0</v>
      </c>
      <c r="AG2081" s="1">
        <v>0</v>
      </c>
      <c r="AH2081" s="2">
        <v>5046170</v>
      </c>
      <c r="AI2081" s="1">
        <v>164486</v>
      </c>
      <c r="AJ2081" s="1">
        <v>0</v>
      </c>
      <c r="AK2081" s="8">
        <f t="shared" si="131"/>
        <v>52</v>
      </c>
      <c r="AL2081" s="8">
        <f t="shared" si="130"/>
        <v>40</v>
      </c>
      <c r="AM2081">
        <f t="shared" si="128"/>
        <v>1102560000</v>
      </c>
      <c r="AN2081">
        <f t="shared" si="129"/>
        <v>231391000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WCC</vt:lpstr>
      <vt:lpstr>PFC</vt:lpstr>
      <vt:lpstr>Utilities_s0_r0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Mohamed, A.A.A. (Aseel)</cp:lastModifiedBy>
  <dcterms:created xsi:type="dcterms:W3CDTF">2025-12-03T08:45:26Z</dcterms:created>
  <dcterms:modified xsi:type="dcterms:W3CDTF">2025-12-03T18:41:24Z</dcterms:modified>
</cp:coreProperties>
</file>